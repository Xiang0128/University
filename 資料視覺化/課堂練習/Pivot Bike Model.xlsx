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大學\大二下\資料視覺化\"/>
    </mc:Choice>
  </mc:AlternateContent>
  <xr:revisionPtr revIDLastSave="0" documentId="13_ncr:1_{F076B046-1EB6-4D15-B7C2-2EE02DA8C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銷售總表" sheetId="2" r:id="rId1"/>
    <sheet name="產品" sheetId="1" r:id="rId2"/>
    <sheet name="門市" sheetId="3" r:id="rId3"/>
    <sheet name="業務" sheetId="4" r:id="rId4"/>
  </sheets>
  <externalReferences>
    <externalReference r:id="rId5"/>
  </externalReferences>
  <definedNames>
    <definedName name="_xlnm._FilterDatabase" localSheetId="0" hidden="1">銷售總表!$B$1:$G$7389</definedName>
    <definedName name="aa">[1]產品維度表!#REF!</definedName>
    <definedName name="aaa">[1]產品維度表!#REF!</definedName>
    <definedName name="aaaa">[1]產品維度表!#REF!</definedName>
    <definedName name="產品">[1]產品維度表!#REF!</definedName>
    <definedName name="顏色">"白色,紅色"</definedName>
    <definedName name="類別">[1]產品維度表!$C$13,[1]產品維度表!$C$14,[1]產品維度表!$C$26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2" i="2"/>
  <c r="G3" i="4" l="1"/>
  <c r="G4" i="4"/>
  <c r="G5" i="4"/>
  <c r="G6" i="4"/>
  <c r="G7" i="4"/>
  <c r="G8" i="4"/>
  <c r="G9" i="4"/>
  <c r="G10" i="4"/>
  <c r="G11" i="4"/>
  <c r="G2" i="4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374" i="2"/>
  <c r="I374" i="2" s="1"/>
  <c r="H375" i="2"/>
  <c r="I375" i="2" s="1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 s="1"/>
  <c r="H382" i="2"/>
  <c r="I382" i="2" s="1"/>
  <c r="H383" i="2"/>
  <c r="I383" i="2" s="1"/>
  <c r="H384" i="2"/>
  <c r="I384" i="2" s="1"/>
  <c r="H385" i="2"/>
  <c r="I385" i="2" s="1"/>
  <c r="H386" i="2"/>
  <c r="I386" i="2" s="1"/>
  <c r="H387" i="2"/>
  <c r="I387" i="2" s="1"/>
  <c r="H388" i="2"/>
  <c r="I388" i="2" s="1"/>
  <c r="H389" i="2"/>
  <c r="I389" i="2" s="1"/>
  <c r="H390" i="2"/>
  <c r="I390" i="2" s="1"/>
  <c r="H391" i="2"/>
  <c r="I391" i="2" s="1"/>
  <c r="H392" i="2"/>
  <c r="I392" i="2" s="1"/>
  <c r="H393" i="2"/>
  <c r="I393" i="2" s="1"/>
  <c r="H394" i="2"/>
  <c r="I394" i="2" s="1"/>
  <c r="H395" i="2"/>
  <c r="I395" i="2" s="1"/>
  <c r="H396" i="2"/>
  <c r="I396" i="2" s="1"/>
  <c r="H397" i="2"/>
  <c r="I397" i="2" s="1"/>
  <c r="H398" i="2"/>
  <c r="I398" i="2" s="1"/>
  <c r="H399" i="2"/>
  <c r="I399" i="2" s="1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I411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 s="1"/>
  <c r="H418" i="2"/>
  <c r="I418" i="2" s="1"/>
  <c r="H419" i="2"/>
  <c r="I419" i="2" s="1"/>
  <c r="H420" i="2"/>
  <c r="I420" i="2" s="1"/>
  <c r="H421" i="2"/>
  <c r="I421" i="2" s="1"/>
  <c r="H422" i="2"/>
  <c r="I422" i="2" s="1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 s="1"/>
  <c r="H429" i="2"/>
  <c r="I429" i="2" s="1"/>
  <c r="H430" i="2"/>
  <c r="I430" i="2" s="1"/>
  <c r="H431" i="2"/>
  <c r="I431" i="2" s="1"/>
  <c r="H432" i="2"/>
  <c r="I432" i="2" s="1"/>
  <c r="H433" i="2"/>
  <c r="I433" i="2" s="1"/>
  <c r="H434" i="2"/>
  <c r="I434" i="2" s="1"/>
  <c r="H435" i="2"/>
  <c r="I435" i="2" s="1"/>
  <c r="H436" i="2"/>
  <c r="I436" i="2" s="1"/>
  <c r="H437" i="2"/>
  <c r="I437" i="2" s="1"/>
  <c r="H438" i="2"/>
  <c r="I438" i="2" s="1"/>
  <c r="H439" i="2"/>
  <c r="I439" i="2" s="1"/>
  <c r="H440" i="2"/>
  <c r="I440" i="2" s="1"/>
  <c r="H441" i="2"/>
  <c r="I441" i="2" s="1"/>
  <c r="H442" i="2"/>
  <c r="I442" i="2" s="1"/>
  <c r="H443" i="2"/>
  <c r="I443" i="2" s="1"/>
  <c r="H444" i="2"/>
  <c r="I444" i="2" s="1"/>
  <c r="H445" i="2"/>
  <c r="I445" i="2" s="1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I462" i="2" s="1"/>
  <c r="H463" i="2"/>
  <c r="I463" i="2" s="1"/>
  <c r="H464" i="2"/>
  <c r="I464" i="2" s="1"/>
  <c r="H465" i="2"/>
  <c r="I465" i="2" s="1"/>
  <c r="H466" i="2"/>
  <c r="I466" i="2" s="1"/>
  <c r="H467" i="2"/>
  <c r="I467" i="2" s="1"/>
  <c r="H468" i="2"/>
  <c r="I468" i="2" s="1"/>
  <c r="H469" i="2"/>
  <c r="I469" i="2" s="1"/>
  <c r="H470" i="2"/>
  <c r="I470" i="2" s="1"/>
  <c r="H471" i="2"/>
  <c r="I471" i="2" s="1"/>
  <c r="H472" i="2"/>
  <c r="I472" i="2" s="1"/>
  <c r="H473" i="2"/>
  <c r="I473" i="2" s="1"/>
  <c r="H474" i="2"/>
  <c r="I474" i="2" s="1"/>
  <c r="H475" i="2"/>
  <c r="I475" i="2" s="1"/>
  <c r="H476" i="2"/>
  <c r="I476" i="2" s="1"/>
  <c r="H477" i="2"/>
  <c r="I477" i="2" s="1"/>
  <c r="H478" i="2"/>
  <c r="I478" i="2" s="1"/>
  <c r="H479" i="2"/>
  <c r="I479" i="2" s="1"/>
  <c r="H480" i="2"/>
  <c r="I480" i="2" s="1"/>
  <c r="H481" i="2"/>
  <c r="I481" i="2" s="1"/>
  <c r="H482" i="2"/>
  <c r="I482" i="2" s="1"/>
  <c r="H483" i="2"/>
  <c r="I483" i="2" s="1"/>
  <c r="H484" i="2"/>
  <c r="I484" i="2" s="1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I490" i="2" s="1"/>
  <c r="H491" i="2"/>
  <c r="I491" i="2" s="1"/>
  <c r="H492" i="2"/>
  <c r="I492" i="2" s="1"/>
  <c r="H493" i="2"/>
  <c r="I493" i="2" s="1"/>
  <c r="H494" i="2"/>
  <c r="I494" i="2" s="1"/>
  <c r="H495" i="2"/>
  <c r="I495" i="2" s="1"/>
  <c r="H496" i="2"/>
  <c r="I496" i="2" s="1"/>
  <c r="H497" i="2"/>
  <c r="I497" i="2" s="1"/>
  <c r="H498" i="2"/>
  <c r="I498" i="2" s="1"/>
  <c r="H499" i="2"/>
  <c r="I499" i="2" s="1"/>
  <c r="H500" i="2"/>
  <c r="I500" i="2" s="1"/>
  <c r="H501" i="2"/>
  <c r="I501" i="2" s="1"/>
  <c r="H502" i="2"/>
  <c r="I502" i="2" s="1"/>
  <c r="H503" i="2"/>
  <c r="I503" i="2" s="1"/>
  <c r="H504" i="2"/>
  <c r="I504" i="2" s="1"/>
  <c r="H505" i="2"/>
  <c r="I505" i="2" s="1"/>
  <c r="H506" i="2"/>
  <c r="I506" i="2" s="1"/>
  <c r="H507" i="2"/>
  <c r="I507" i="2" s="1"/>
  <c r="H508" i="2"/>
  <c r="I508" i="2" s="1"/>
  <c r="H509" i="2"/>
  <c r="I509" i="2" s="1"/>
  <c r="H510" i="2"/>
  <c r="I510" i="2" s="1"/>
  <c r="H511" i="2"/>
  <c r="I511" i="2" s="1"/>
  <c r="H512" i="2"/>
  <c r="I512" i="2" s="1"/>
  <c r="H513" i="2"/>
  <c r="I513" i="2" s="1"/>
  <c r="H514" i="2"/>
  <c r="I514" i="2" s="1"/>
  <c r="H515" i="2"/>
  <c r="I515" i="2" s="1"/>
  <c r="H516" i="2"/>
  <c r="I516" i="2" s="1"/>
  <c r="H517" i="2"/>
  <c r="I517" i="2" s="1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I526" i="2" s="1"/>
  <c r="H527" i="2"/>
  <c r="I527" i="2" s="1"/>
  <c r="H528" i="2"/>
  <c r="I528" i="2" s="1"/>
  <c r="H529" i="2"/>
  <c r="I529" i="2" s="1"/>
  <c r="H530" i="2"/>
  <c r="I530" i="2" s="1"/>
  <c r="H531" i="2"/>
  <c r="I531" i="2" s="1"/>
  <c r="H532" i="2"/>
  <c r="I532" i="2" s="1"/>
  <c r="H533" i="2"/>
  <c r="I533" i="2" s="1"/>
  <c r="H534" i="2"/>
  <c r="I534" i="2" s="1"/>
  <c r="H535" i="2"/>
  <c r="I535" i="2" s="1"/>
  <c r="H536" i="2"/>
  <c r="I536" i="2" s="1"/>
  <c r="H537" i="2"/>
  <c r="I537" i="2" s="1"/>
  <c r="H538" i="2"/>
  <c r="I538" i="2" s="1"/>
  <c r="H539" i="2"/>
  <c r="I539" i="2" s="1"/>
  <c r="H540" i="2"/>
  <c r="I540" i="2" s="1"/>
  <c r="H541" i="2"/>
  <c r="I541" i="2" s="1"/>
  <c r="H542" i="2"/>
  <c r="I542" i="2" s="1"/>
  <c r="H543" i="2"/>
  <c r="I543" i="2" s="1"/>
  <c r="H544" i="2"/>
  <c r="I544" i="2" s="1"/>
  <c r="H545" i="2"/>
  <c r="I545" i="2" s="1"/>
  <c r="H546" i="2"/>
  <c r="I546" i="2" s="1"/>
  <c r="H547" i="2"/>
  <c r="I547" i="2" s="1"/>
  <c r="H548" i="2"/>
  <c r="I548" i="2" s="1"/>
  <c r="H549" i="2"/>
  <c r="I549" i="2" s="1"/>
  <c r="H550" i="2"/>
  <c r="I550" i="2" s="1"/>
  <c r="H551" i="2"/>
  <c r="I551" i="2" s="1"/>
  <c r="H552" i="2"/>
  <c r="I552" i="2" s="1"/>
  <c r="H553" i="2"/>
  <c r="I553" i="2" s="1"/>
  <c r="H554" i="2"/>
  <c r="I554" i="2" s="1"/>
  <c r="H555" i="2"/>
  <c r="I555" i="2" s="1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I562" i="2" s="1"/>
  <c r="H563" i="2"/>
  <c r="I563" i="2" s="1"/>
  <c r="H564" i="2"/>
  <c r="I564" i="2" s="1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I574" i="2" s="1"/>
  <c r="H575" i="2"/>
  <c r="I575" i="2" s="1"/>
  <c r="H576" i="2"/>
  <c r="I576" i="2" s="1"/>
  <c r="H577" i="2"/>
  <c r="I577" i="2" s="1"/>
  <c r="H578" i="2"/>
  <c r="I578" i="2" s="1"/>
  <c r="H579" i="2"/>
  <c r="I579" i="2" s="1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I590" i="2" s="1"/>
  <c r="H591" i="2"/>
  <c r="I591" i="2" s="1"/>
  <c r="H592" i="2"/>
  <c r="I592" i="2" s="1"/>
  <c r="H593" i="2"/>
  <c r="I593" i="2" s="1"/>
  <c r="H594" i="2"/>
  <c r="I594" i="2" s="1"/>
  <c r="H595" i="2"/>
  <c r="I595" i="2" s="1"/>
  <c r="H596" i="2"/>
  <c r="I596" i="2" s="1"/>
  <c r="H597" i="2"/>
  <c r="I597" i="2" s="1"/>
  <c r="H598" i="2"/>
  <c r="I598" i="2" s="1"/>
  <c r="H599" i="2"/>
  <c r="I599" i="2" s="1"/>
  <c r="H600" i="2"/>
  <c r="I600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I606" i="2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H614" i="2"/>
  <c r="I614" i="2" s="1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 s="1"/>
  <c r="H621" i="2"/>
  <c r="I621" i="2" s="1"/>
  <c r="H622" i="2"/>
  <c r="I622" i="2" s="1"/>
  <c r="H623" i="2"/>
  <c r="I623" i="2" s="1"/>
  <c r="H624" i="2"/>
  <c r="I624" i="2" s="1"/>
  <c r="H625" i="2"/>
  <c r="I625" i="2" s="1"/>
  <c r="H626" i="2"/>
  <c r="I626" i="2" s="1"/>
  <c r="H627" i="2"/>
  <c r="I627" i="2" s="1"/>
  <c r="H628" i="2"/>
  <c r="I628" i="2" s="1"/>
  <c r="H629" i="2"/>
  <c r="I629" i="2" s="1"/>
  <c r="H630" i="2"/>
  <c r="I630" i="2" s="1"/>
  <c r="H631" i="2"/>
  <c r="I631" i="2" s="1"/>
  <c r="H632" i="2"/>
  <c r="I632" i="2" s="1"/>
  <c r="H633" i="2"/>
  <c r="I633" i="2" s="1"/>
  <c r="H634" i="2"/>
  <c r="I634" i="2" s="1"/>
  <c r="H635" i="2"/>
  <c r="I635" i="2" s="1"/>
  <c r="H636" i="2"/>
  <c r="I636" i="2" s="1"/>
  <c r="H637" i="2"/>
  <c r="I637" i="2" s="1"/>
  <c r="H638" i="2"/>
  <c r="I638" i="2" s="1"/>
  <c r="H639" i="2"/>
  <c r="I639" i="2" s="1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H657" i="2"/>
  <c r="I657" i="2" s="1"/>
  <c r="H658" i="2"/>
  <c r="I658" i="2" s="1"/>
  <c r="H659" i="2"/>
  <c r="I659" i="2" s="1"/>
  <c r="H660" i="2"/>
  <c r="I660" i="2" s="1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I670" i="2" s="1"/>
  <c r="H671" i="2"/>
  <c r="I671" i="2" s="1"/>
  <c r="H672" i="2"/>
  <c r="I672" i="2" s="1"/>
  <c r="H673" i="2"/>
  <c r="I673" i="2" s="1"/>
  <c r="H674" i="2"/>
  <c r="I674" i="2" s="1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I686" i="2" s="1"/>
  <c r="H687" i="2"/>
  <c r="I687" i="2" s="1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I694" i="2" s="1"/>
  <c r="H695" i="2"/>
  <c r="I695" i="2" s="1"/>
  <c r="H696" i="2"/>
  <c r="I696" i="2" s="1"/>
  <c r="H697" i="2"/>
  <c r="I697" i="2" s="1"/>
  <c r="H698" i="2"/>
  <c r="I698" i="2" s="1"/>
  <c r="H699" i="2"/>
  <c r="I699" i="2" s="1"/>
  <c r="H700" i="2"/>
  <c r="I700" i="2" s="1"/>
  <c r="H701" i="2"/>
  <c r="I701" i="2" s="1"/>
  <c r="H702" i="2"/>
  <c r="I702" i="2" s="1"/>
  <c r="H703" i="2"/>
  <c r="I703" i="2" s="1"/>
  <c r="H704" i="2"/>
  <c r="I704" i="2" s="1"/>
  <c r="H705" i="2"/>
  <c r="I705" i="2" s="1"/>
  <c r="H706" i="2"/>
  <c r="I706" i="2" s="1"/>
  <c r="H707" i="2"/>
  <c r="I707" i="2" s="1"/>
  <c r="H708" i="2"/>
  <c r="I708" i="2" s="1"/>
  <c r="H709" i="2"/>
  <c r="I709" i="2" s="1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I718" i="2" s="1"/>
  <c r="H719" i="2"/>
  <c r="I719" i="2" s="1"/>
  <c r="H720" i="2"/>
  <c r="I720" i="2" s="1"/>
  <c r="H721" i="2"/>
  <c r="I721" i="2" s="1"/>
  <c r="H722" i="2"/>
  <c r="I722" i="2" s="1"/>
  <c r="H723" i="2"/>
  <c r="I723" i="2" s="1"/>
  <c r="H724" i="2"/>
  <c r="I724" i="2" s="1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I730" i="2" s="1"/>
  <c r="H731" i="2"/>
  <c r="I731" i="2" s="1"/>
  <c r="H732" i="2"/>
  <c r="I732" i="2" s="1"/>
  <c r="H733" i="2"/>
  <c r="I733" i="2" s="1"/>
  <c r="H734" i="2"/>
  <c r="I734" i="2" s="1"/>
  <c r="H735" i="2"/>
  <c r="I735" i="2" s="1"/>
  <c r="H736" i="2"/>
  <c r="I736" i="2" s="1"/>
  <c r="H737" i="2"/>
  <c r="I737" i="2" s="1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I750" i="2" s="1"/>
  <c r="H751" i="2"/>
  <c r="I751" i="2" s="1"/>
  <c r="H752" i="2"/>
  <c r="I752" i="2" s="1"/>
  <c r="H753" i="2"/>
  <c r="I753" i="2" s="1"/>
  <c r="H754" i="2"/>
  <c r="I754" i="2" s="1"/>
  <c r="H755" i="2"/>
  <c r="I755" i="2" s="1"/>
  <c r="H756" i="2"/>
  <c r="I756" i="2" s="1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H763" i="2"/>
  <c r="I763" i="2" s="1"/>
  <c r="H764" i="2"/>
  <c r="I764" i="2" s="1"/>
  <c r="H765" i="2"/>
  <c r="I765" i="2" s="1"/>
  <c r="H766" i="2"/>
  <c r="I766" i="2" s="1"/>
  <c r="H767" i="2"/>
  <c r="I767" i="2" s="1"/>
  <c r="H768" i="2"/>
  <c r="I768" i="2" s="1"/>
  <c r="H769" i="2"/>
  <c r="I769" i="2" s="1"/>
  <c r="H770" i="2"/>
  <c r="I770" i="2" s="1"/>
  <c r="H771" i="2"/>
  <c r="I771" i="2" s="1"/>
  <c r="H772" i="2"/>
  <c r="I772" i="2" s="1"/>
  <c r="H773" i="2"/>
  <c r="I773" i="2" s="1"/>
  <c r="H774" i="2"/>
  <c r="I774" i="2" s="1"/>
  <c r="H775" i="2"/>
  <c r="I775" i="2" s="1"/>
  <c r="H776" i="2"/>
  <c r="I776" i="2" s="1"/>
  <c r="H777" i="2"/>
  <c r="I777" i="2" s="1"/>
  <c r="H778" i="2"/>
  <c r="I778" i="2" s="1"/>
  <c r="H779" i="2"/>
  <c r="I779" i="2" s="1"/>
  <c r="H780" i="2"/>
  <c r="I780" i="2" s="1"/>
  <c r="H781" i="2"/>
  <c r="I781" i="2" s="1"/>
  <c r="H782" i="2"/>
  <c r="I782" i="2" s="1"/>
  <c r="H783" i="2"/>
  <c r="I783" i="2" s="1"/>
  <c r="H784" i="2"/>
  <c r="I784" i="2" s="1"/>
  <c r="H785" i="2"/>
  <c r="I785" i="2" s="1"/>
  <c r="H786" i="2"/>
  <c r="I786" i="2" s="1"/>
  <c r="H787" i="2"/>
  <c r="I787" i="2" s="1"/>
  <c r="H788" i="2"/>
  <c r="I788" i="2" s="1"/>
  <c r="H789" i="2"/>
  <c r="I789" i="2" s="1"/>
  <c r="H790" i="2"/>
  <c r="I790" i="2" s="1"/>
  <c r="H791" i="2"/>
  <c r="I791" i="2" s="1"/>
  <c r="H792" i="2"/>
  <c r="I792" i="2" s="1"/>
  <c r="H793" i="2"/>
  <c r="I793" i="2" s="1"/>
  <c r="H794" i="2"/>
  <c r="I794" i="2" s="1"/>
  <c r="H795" i="2"/>
  <c r="I795" i="2" s="1"/>
  <c r="H796" i="2"/>
  <c r="I796" i="2" s="1"/>
  <c r="H797" i="2"/>
  <c r="I797" i="2" s="1"/>
  <c r="H798" i="2"/>
  <c r="I798" i="2" s="1"/>
  <c r="H799" i="2"/>
  <c r="I799" i="2" s="1"/>
  <c r="H800" i="2"/>
  <c r="I800" i="2" s="1"/>
  <c r="H801" i="2"/>
  <c r="I801" i="2" s="1"/>
  <c r="H802" i="2"/>
  <c r="I802" i="2" s="1"/>
  <c r="H803" i="2"/>
  <c r="I803" i="2" s="1"/>
  <c r="H804" i="2"/>
  <c r="I804" i="2" s="1"/>
  <c r="H805" i="2"/>
  <c r="I805" i="2" s="1"/>
  <c r="H806" i="2"/>
  <c r="I806" i="2" s="1"/>
  <c r="H807" i="2"/>
  <c r="I807" i="2" s="1"/>
  <c r="H808" i="2"/>
  <c r="I808" i="2" s="1"/>
  <c r="H809" i="2"/>
  <c r="I809" i="2" s="1"/>
  <c r="H810" i="2"/>
  <c r="I810" i="2" s="1"/>
  <c r="H811" i="2"/>
  <c r="I811" i="2" s="1"/>
  <c r="H812" i="2"/>
  <c r="I812" i="2" s="1"/>
  <c r="H813" i="2"/>
  <c r="I813" i="2" s="1"/>
  <c r="H814" i="2"/>
  <c r="I814" i="2" s="1"/>
  <c r="H815" i="2"/>
  <c r="I815" i="2" s="1"/>
  <c r="H816" i="2"/>
  <c r="I816" i="2" s="1"/>
  <c r="H817" i="2"/>
  <c r="I817" i="2" s="1"/>
  <c r="H818" i="2"/>
  <c r="I818" i="2" s="1"/>
  <c r="H819" i="2"/>
  <c r="I819" i="2" s="1"/>
  <c r="H820" i="2"/>
  <c r="I820" i="2" s="1"/>
  <c r="H821" i="2"/>
  <c r="I821" i="2" s="1"/>
  <c r="H822" i="2"/>
  <c r="I822" i="2" s="1"/>
  <c r="H823" i="2"/>
  <c r="I823" i="2" s="1"/>
  <c r="H824" i="2"/>
  <c r="I824" i="2" s="1"/>
  <c r="H825" i="2"/>
  <c r="I825" i="2" s="1"/>
  <c r="H826" i="2"/>
  <c r="I826" i="2" s="1"/>
  <c r="H827" i="2"/>
  <c r="I827" i="2" s="1"/>
  <c r="H828" i="2"/>
  <c r="I828" i="2" s="1"/>
  <c r="H829" i="2"/>
  <c r="I829" i="2" s="1"/>
  <c r="H830" i="2"/>
  <c r="I830" i="2" s="1"/>
  <c r="H831" i="2"/>
  <c r="I831" i="2" s="1"/>
  <c r="H832" i="2"/>
  <c r="I832" i="2" s="1"/>
  <c r="H833" i="2"/>
  <c r="I833" i="2" s="1"/>
  <c r="H834" i="2"/>
  <c r="I834" i="2" s="1"/>
  <c r="H835" i="2"/>
  <c r="I835" i="2" s="1"/>
  <c r="H836" i="2"/>
  <c r="I836" i="2" s="1"/>
  <c r="H837" i="2"/>
  <c r="I837" i="2" s="1"/>
  <c r="H838" i="2"/>
  <c r="I838" i="2" s="1"/>
  <c r="H839" i="2"/>
  <c r="I839" i="2" s="1"/>
  <c r="H840" i="2"/>
  <c r="I840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50" i="2"/>
  <c r="I850" i="2" s="1"/>
  <c r="H851" i="2"/>
  <c r="I851" i="2" s="1"/>
  <c r="H852" i="2"/>
  <c r="I852" i="2" s="1"/>
  <c r="H853" i="2"/>
  <c r="I853" i="2" s="1"/>
  <c r="H854" i="2"/>
  <c r="I854" i="2" s="1"/>
  <c r="H855" i="2"/>
  <c r="I855" i="2" s="1"/>
  <c r="H856" i="2"/>
  <c r="I856" i="2" s="1"/>
  <c r="H857" i="2"/>
  <c r="I857" i="2" s="1"/>
  <c r="H858" i="2"/>
  <c r="I858" i="2" s="1"/>
  <c r="H859" i="2"/>
  <c r="I859" i="2" s="1"/>
  <c r="H860" i="2"/>
  <c r="I860" i="2" s="1"/>
  <c r="H861" i="2"/>
  <c r="I861" i="2" s="1"/>
  <c r="H862" i="2"/>
  <c r="I862" i="2" s="1"/>
  <c r="H863" i="2"/>
  <c r="I863" i="2" s="1"/>
  <c r="H864" i="2"/>
  <c r="I864" i="2" s="1"/>
  <c r="H865" i="2"/>
  <c r="I865" i="2" s="1"/>
  <c r="H866" i="2"/>
  <c r="I866" i="2" s="1"/>
  <c r="H867" i="2"/>
  <c r="I867" i="2" s="1"/>
  <c r="H868" i="2"/>
  <c r="I868" i="2" s="1"/>
  <c r="H869" i="2"/>
  <c r="I869" i="2" s="1"/>
  <c r="H870" i="2"/>
  <c r="I870" i="2" s="1"/>
  <c r="H871" i="2"/>
  <c r="I871" i="2" s="1"/>
  <c r="H872" i="2"/>
  <c r="I872" i="2" s="1"/>
  <c r="H873" i="2"/>
  <c r="I873" i="2" s="1"/>
  <c r="H874" i="2"/>
  <c r="I874" i="2" s="1"/>
  <c r="H875" i="2"/>
  <c r="I875" i="2" s="1"/>
  <c r="H876" i="2"/>
  <c r="I87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84" i="2"/>
  <c r="I884" i="2" s="1"/>
  <c r="H885" i="2"/>
  <c r="I885" i="2" s="1"/>
  <c r="H886" i="2"/>
  <c r="I886" i="2" s="1"/>
  <c r="H887" i="2"/>
  <c r="I887" i="2" s="1"/>
  <c r="H888" i="2"/>
  <c r="I888" i="2" s="1"/>
  <c r="H889" i="2"/>
  <c r="I889" i="2" s="1"/>
  <c r="H890" i="2"/>
  <c r="I890" i="2" s="1"/>
  <c r="H891" i="2"/>
  <c r="I891" i="2" s="1"/>
  <c r="H892" i="2"/>
  <c r="I892" i="2" s="1"/>
  <c r="H893" i="2"/>
  <c r="I893" i="2" s="1"/>
  <c r="H894" i="2"/>
  <c r="I894" i="2" s="1"/>
  <c r="H895" i="2"/>
  <c r="I895" i="2" s="1"/>
  <c r="H896" i="2"/>
  <c r="I896" i="2" s="1"/>
  <c r="H897" i="2"/>
  <c r="I897" i="2" s="1"/>
  <c r="H898" i="2"/>
  <c r="I898" i="2" s="1"/>
  <c r="H899" i="2"/>
  <c r="I899" i="2" s="1"/>
  <c r="H900" i="2"/>
  <c r="I900" i="2" s="1"/>
  <c r="H901" i="2"/>
  <c r="I901" i="2" s="1"/>
  <c r="H902" i="2"/>
  <c r="I902" i="2" s="1"/>
  <c r="H903" i="2"/>
  <c r="I903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H928" i="2"/>
  <c r="I928" i="2" s="1"/>
  <c r="H929" i="2"/>
  <c r="I929" i="2" s="1"/>
  <c r="H930" i="2"/>
  <c r="I930" i="2" s="1"/>
  <c r="H931" i="2"/>
  <c r="I931" i="2" s="1"/>
  <c r="H932" i="2"/>
  <c r="I932" i="2" s="1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48" i="2"/>
  <c r="I948" i="2" s="1"/>
  <c r="H949" i="2"/>
  <c r="I949" i="2" s="1"/>
  <c r="H950" i="2"/>
  <c r="I950" i="2" s="1"/>
  <c r="H951" i="2"/>
  <c r="I951" i="2" s="1"/>
  <c r="H952" i="2"/>
  <c r="I952" i="2" s="1"/>
  <c r="H953" i="2"/>
  <c r="I953" i="2" s="1"/>
  <c r="H954" i="2"/>
  <c r="I954" i="2" s="1"/>
  <c r="H955" i="2"/>
  <c r="I955" i="2" s="1"/>
  <c r="H956" i="2"/>
  <c r="I956" i="2" s="1"/>
  <c r="H957" i="2"/>
  <c r="I957" i="2" s="1"/>
  <c r="H958" i="2"/>
  <c r="I958" i="2" s="1"/>
  <c r="H959" i="2"/>
  <c r="I959" i="2" s="1"/>
  <c r="H960" i="2"/>
  <c r="I960" i="2" s="1"/>
  <c r="H961" i="2"/>
  <c r="I961" i="2" s="1"/>
  <c r="H962" i="2"/>
  <c r="I962" i="2" s="1"/>
  <c r="H963" i="2"/>
  <c r="I963" i="2" s="1"/>
  <c r="H964" i="2"/>
  <c r="I964" i="2" s="1"/>
  <c r="H965" i="2"/>
  <c r="I965" i="2" s="1"/>
  <c r="H966" i="2"/>
  <c r="I966" i="2" s="1"/>
  <c r="H967" i="2"/>
  <c r="I967" i="2" s="1"/>
  <c r="H968" i="2"/>
  <c r="I968" i="2" s="1"/>
  <c r="H969" i="2"/>
  <c r="I969" i="2" s="1"/>
  <c r="H970" i="2"/>
  <c r="I970" i="2" s="1"/>
  <c r="H971" i="2"/>
  <c r="I971" i="2" s="1"/>
  <c r="H972" i="2"/>
  <c r="I972" i="2" s="1"/>
  <c r="H973" i="2"/>
  <c r="I973" i="2" s="1"/>
  <c r="H974" i="2"/>
  <c r="I974" i="2" s="1"/>
  <c r="H975" i="2"/>
  <c r="I975" i="2" s="1"/>
  <c r="H976" i="2"/>
  <c r="I976" i="2" s="1"/>
  <c r="H977" i="2"/>
  <c r="I977" i="2" s="1"/>
  <c r="H978" i="2"/>
  <c r="I978" i="2" s="1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H986" i="2"/>
  <c r="I986" i="2" s="1"/>
  <c r="H987" i="2"/>
  <c r="I987" i="2" s="1"/>
  <c r="H988" i="2"/>
  <c r="I988" i="2" s="1"/>
  <c r="H989" i="2"/>
  <c r="I989" i="2" s="1"/>
  <c r="H990" i="2"/>
  <c r="I990" i="2" s="1"/>
  <c r="H991" i="2"/>
  <c r="I991" i="2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H999" i="2"/>
  <c r="I999" i="2" s="1"/>
  <c r="H1000" i="2"/>
  <c r="I1000" i="2" s="1"/>
  <c r="H1001" i="2"/>
  <c r="I1001" i="2" s="1"/>
  <c r="H1002" i="2"/>
  <c r="I1002" i="2" s="1"/>
  <c r="H1003" i="2"/>
  <c r="I1003" i="2" s="1"/>
  <c r="H1004" i="2"/>
  <c r="I1004" i="2" s="1"/>
  <c r="H1005" i="2"/>
  <c r="I1005" i="2" s="1"/>
  <c r="H1006" i="2"/>
  <c r="I1006" i="2" s="1"/>
  <c r="H1007" i="2"/>
  <c r="I1007" i="2" s="1"/>
  <c r="H1008" i="2"/>
  <c r="I1008" i="2" s="1"/>
  <c r="H1009" i="2"/>
  <c r="I1009" i="2" s="1"/>
  <c r="H1010" i="2"/>
  <c r="I1010" i="2" s="1"/>
  <c r="H1011" i="2"/>
  <c r="I1011" i="2" s="1"/>
  <c r="H1012" i="2"/>
  <c r="I1012" i="2" s="1"/>
  <c r="H1013" i="2"/>
  <c r="I1013" i="2" s="1"/>
  <c r="H1014" i="2"/>
  <c r="I1014" i="2" s="1"/>
  <c r="H1015" i="2"/>
  <c r="I1015" i="2" s="1"/>
  <c r="H1016" i="2"/>
  <c r="I1016" i="2" s="1"/>
  <c r="H1017" i="2"/>
  <c r="I1017" i="2" s="1"/>
  <c r="H1018" i="2"/>
  <c r="I1018" i="2" s="1"/>
  <c r="H1019" i="2"/>
  <c r="I1019" i="2" s="1"/>
  <c r="H1020" i="2"/>
  <c r="I1020" i="2" s="1"/>
  <c r="H1021" i="2"/>
  <c r="I1021" i="2" s="1"/>
  <c r="H1022" i="2"/>
  <c r="I1022" i="2" s="1"/>
  <c r="H1023" i="2"/>
  <c r="I1023" i="2" s="1"/>
  <c r="H1024" i="2"/>
  <c r="I1024" i="2" s="1"/>
  <c r="H1025" i="2"/>
  <c r="I1025" i="2" s="1"/>
  <c r="H1026" i="2"/>
  <c r="I1026" i="2" s="1"/>
  <c r="H1027" i="2"/>
  <c r="I1027" i="2" s="1"/>
  <c r="H1028" i="2"/>
  <c r="I1028" i="2" s="1"/>
  <c r="H1029" i="2"/>
  <c r="I1029" i="2" s="1"/>
  <c r="H1030" i="2"/>
  <c r="I1030" i="2" s="1"/>
  <c r="H1031" i="2"/>
  <c r="I1031" i="2" s="1"/>
  <c r="H1032" i="2"/>
  <c r="I1032" i="2" s="1"/>
  <c r="H1033" i="2"/>
  <c r="I1033" i="2" s="1"/>
  <c r="H1034" i="2"/>
  <c r="I1034" i="2" s="1"/>
  <c r="H1035" i="2"/>
  <c r="I1035" i="2" s="1"/>
  <c r="H1036" i="2"/>
  <c r="I1036" i="2" s="1"/>
  <c r="H1037" i="2"/>
  <c r="I1037" i="2" s="1"/>
  <c r="H1038" i="2"/>
  <c r="I1038" i="2" s="1"/>
  <c r="H1039" i="2"/>
  <c r="I1039" i="2" s="1"/>
  <c r="H1040" i="2"/>
  <c r="I1040" i="2" s="1"/>
  <c r="H1041" i="2"/>
  <c r="I1041" i="2" s="1"/>
  <c r="H1042" i="2"/>
  <c r="I1042" i="2" s="1"/>
  <c r="H1043" i="2"/>
  <c r="I1043" i="2" s="1"/>
  <c r="H1044" i="2"/>
  <c r="I1044" i="2" s="1"/>
  <c r="H1045" i="2"/>
  <c r="I1045" i="2" s="1"/>
  <c r="H1046" i="2"/>
  <c r="I1046" i="2" s="1"/>
  <c r="H1047" i="2"/>
  <c r="I1047" i="2" s="1"/>
  <c r="H1048" i="2"/>
  <c r="I1048" i="2" s="1"/>
  <c r="H1049" i="2"/>
  <c r="I1049" i="2" s="1"/>
  <c r="H1050" i="2"/>
  <c r="I1050" i="2" s="1"/>
  <c r="H1051" i="2"/>
  <c r="I1051" i="2" s="1"/>
  <c r="H1052" i="2"/>
  <c r="I1052" i="2" s="1"/>
  <c r="H1053" i="2"/>
  <c r="I1053" i="2" s="1"/>
  <c r="H1054" i="2"/>
  <c r="I1054" i="2" s="1"/>
  <c r="H1055" i="2"/>
  <c r="I1055" i="2" s="1"/>
  <c r="H1056" i="2"/>
  <c r="I1056" i="2" s="1"/>
  <c r="H1057" i="2"/>
  <c r="I1057" i="2" s="1"/>
  <c r="H1058" i="2"/>
  <c r="I1058" i="2" s="1"/>
  <c r="H1059" i="2"/>
  <c r="I1059" i="2" s="1"/>
  <c r="H1060" i="2"/>
  <c r="I1060" i="2" s="1"/>
  <c r="H1061" i="2"/>
  <c r="I1061" i="2" s="1"/>
  <c r="H1062" i="2"/>
  <c r="I1062" i="2" s="1"/>
  <c r="H1063" i="2"/>
  <c r="I1063" i="2" s="1"/>
  <c r="H1064" i="2"/>
  <c r="I1064" i="2" s="1"/>
  <c r="H1065" i="2"/>
  <c r="I1065" i="2" s="1"/>
  <c r="H1066" i="2"/>
  <c r="I1066" i="2" s="1"/>
  <c r="H1067" i="2"/>
  <c r="I1067" i="2" s="1"/>
  <c r="H1068" i="2"/>
  <c r="I1068" i="2" s="1"/>
  <c r="H1069" i="2"/>
  <c r="I1069" i="2" s="1"/>
  <c r="H1070" i="2"/>
  <c r="I1070" i="2" s="1"/>
  <c r="H1071" i="2"/>
  <c r="I1071" i="2" s="1"/>
  <c r="H1072" i="2"/>
  <c r="I1072" i="2" s="1"/>
  <c r="H1073" i="2"/>
  <c r="I1073" i="2" s="1"/>
  <c r="H1074" i="2"/>
  <c r="I1074" i="2" s="1"/>
  <c r="H1075" i="2"/>
  <c r="I1075" i="2" s="1"/>
  <c r="H1076" i="2"/>
  <c r="I1076" i="2" s="1"/>
  <c r="H1077" i="2"/>
  <c r="I1077" i="2" s="1"/>
  <c r="H1078" i="2"/>
  <c r="I1078" i="2" s="1"/>
  <c r="H1079" i="2"/>
  <c r="I1079" i="2" s="1"/>
  <c r="H1080" i="2"/>
  <c r="I1080" i="2" s="1"/>
  <c r="H1081" i="2"/>
  <c r="I1081" i="2" s="1"/>
  <c r="H1082" i="2"/>
  <c r="I1082" i="2" s="1"/>
  <c r="H1083" i="2"/>
  <c r="I1083" i="2" s="1"/>
  <c r="H1084" i="2"/>
  <c r="I1084" i="2" s="1"/>
  <c r="H1085" i="2"/>
  <c r="I1085" i="2" s="1"/>
  <c r="H1086" i="2"/>
  <c r="I1086" i="2" s="1"/>
  <c r="H1087" i="2"/>
  <c r="I1087" i="2" s="1"/>
  <c r="H1088" i="2"/>
  <c r="I1088" i="2" s="1"/>
  <c r="H1089" i="2"/>
  <c r="I1089" i="2" s="1"/>
  <c r="H1090" i="2"/>
  <c r="I1090" i="2" s="1"/>
  <c r="H1091" i="2"/>
  <c r="I1091" i="2" s="1"/>
  <c r="H1092" i="2"/>
  <c r="I1092" i="2" s="1"/>
  <c r="H1093" i="2"/>
  <c r="I1093" i="2" s="1"/>
  <c r="H1094" i="2"/>
  <c r="I1094" i="2" s="1"/>
  <c r="H1095" i="2"/>
  <c r="I1095" i="2" s="1"/>
  <c r="H1096" i="2"/>
  <c r="I1096" i="2" s="1"/>
  <c r="H1097" i="2"/>
  <c r="I1097" i="2" s="1"/>
  <c r="H1098" i="2"/>
  <c r="I1098" i="2" s="1"/>
  <c r="H1099" i="2"/>
  <c r="I1099" i="2" s="1"/>
  <c r="H1100" i="2"/>
  <c r="I1100" i="2" s="1"/>
  <c r="H1101" i="2"/>
  <c r="I1101" i="2" s="1"/>
  <c r="H1102" i="2"/>
  <c r="I1102" i="2" s="1"/>
  <c r="H1103" i="2"/>
  <c r="I1103" i="2" s="1"/>
  <c r="H1104" i="2"/>
  <c r="I1104" i="2" s="1"/>
  <c r="H1105" i="2"/>
  <c r="I1105" i="2" s="1"/>
  <c r="H1106" i="2"/>
  <c r="I1106" i="2" s="1"/>
  <c r="H1107" i="2"/>
  <c r="I1107" i="2" s="1"/>
  <c r="H1108" i="2"/>
  <c r="I1108" i="2" s="1"/>
  <c r="H1109" i="2"/>
  <c r="I1109" i="2" s="1"/>
  <c r="H1110" i="2"/>
  <c r="I1110" i="2" s="1"/>
  <c r="H1111" i="2"/>
  <c r="I1111" i="2" s="1"/>
  <c r="H1112" i="2"/>
  <c r="I1112" i="2" s="1"/>
  <c r="H1113" i="2"/>
  <c r="I1113" i="2" s="1"/>
  <c r="H1114" i="2"/>
  <c r="I1114" i="2" s="1"/>
  <c r="H1115" i="2"/>
  <c r="I1115" i="2" s="1"/>
  <c r="H1116" i="2"/>
  <c r="I1116" i="2" s="1"/>
  <c r="H1117" i="2"/>
  <c r="I1117" i="2" s="1"/>
  <c r="H1118" i="2"/>
  <c r="I1118" i="2" s="1"/>
  <c r="H1119" i="2"/>
  <c r="I1119" i="2" s="1"/>
  <c r="H1120" i="2"/>
  <c r="I1120" i="2" s="1"/>
  <c r="H1121" i="2"/>
  <c r="I1121" i="2" s="1"/>
  <c r="H1122" i="2"/>
  <c r="I1122" i="2" s="1"/>
  <c r="H1123" i="2"/>
  <c r="I1123" i="2" s="1"/>
  <c r="H1124" i="2"/>
  <c r="I1124" i="2" s="1"/>
  <c r="H1125" i="2"/>
  <c r="I1125" i="2" s="1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 s="1"/>
  <c r="H1132" i="2"/>
  <c r="I1132" i="2" s="1"/>
  <c r="H1133" i="2"/>
  <c r="I1133" i="2" s="1"/>
  <c r="H1134" i="2"/>
  <c r="I1134" i="2" s="1"/>
  <c r="H1135" i="2"/>
  <c r="I1135" i="2" s="1"/>
  <c r="H1136" i="2"/>
  <c r="I1136" i="2" s="1"/>
  <c r="H1137" i="2"/>
  <c r="I1137" i="2" s="1"/>
  <c r="H1138" i="2"/>
  <c r="I1138" i="2" s="1"/>
  <c r="H1139" i="2"/>
  <c r="I1139" i="2" s="1"/>
  <c r="H1140" i="2"/>
  <c r="I1140" i="2" s="1"/>
  <c r="H1141" i="2"/>
  <c r="I1141" i="2" s="1"/>
  <c r="H1142" i="2"/>
  <c r="I1142" i="2" s="1"/>
  <c r="H1143" i="2"/>
  <c r="I1143" i="2" s="1"/>
  <c r="H1144" i="2"/>
  <c r="I1144" i="2" s="1"/>
  <c r="H1145" i="2"/>
  <c r="I1145" i="2" s="1"/>
  <c r="H1146" i="2"/>
  <c r="I1146" i="2" s="1"/>
  <c r="H1147" i="2"/>
  <c r="I1147" i="2" s="1"/>
  <c r="H1148" i="2"/>
  <c r="I1148" i="2" s="1"/>
  <c r="H1149" i="2"/>
  <c r="I1149" i="2" s="1"/>
  <c r="H1150" i="2"/>
  <c r="I1150" i="2" s="1"/>
  <c r="H1151" i="2"/>
  <c r="I1151" i="2" s="1"/>
  <c r="H1152" i="2"/>
  <c r="I1152" i="2" s="1"/>
  <c r="H1153" i="2"/>
  <c r="I1153" i="2" s="1"/>
  <c r="H1154" i="2"/>
  <c r="I1154" i="2" s="1"/>
  <c r="H1155" i="2"/>
  <c r="I1155" i="2" s="1"/>
  <c r="H1156" i="2"/>
  <c r="I1156" i="2" s="1"/>
  <c r="H1157" i="2"/>
  <c r="I1157" i="2" s="1"/>
  <c r="H1158" i="2"/>
  <c r="I1158" i="2" s="1"/>
  <c r="H1159" i="2"/>
  <c r="I1159" i="2" s="1"/>
  <c r="H1160" i="2"/>
  <c r="I1160" i="2" s="1"/>
  <c r="H1161" i="2"/>
  <c r="I1161" i="2" s="1"/>
  <c r="H1162" i="2"/>
  <c r="I1162" i="2" s="1"/>
  <c r="H1163" i="2"/>
  <c r="I1163" i="2" s="1"/>
  <c r="H1164" i="2"/>
  <c r="I1164" i="2" s="1"/>
  <c r="H1165" i="2"/>
  <c r="I1165" i="2" s="1"/>
  <c r="H1166" i="2"/>
  <c r="I1166" i="2" s="1"/>
  <c r="H1167" i="2"/>
  <c r="I1167" i="2" s="1"/>
  <c r="H1168" i="2"/>
  <c r="I1168" i="2" s="1"/>
  <c r="H1169" i="2"/>
  <c r="I1169" i="2" s="1"/>
  <c r="H1170" i="2"/>
  <c r="I1170" i="2" s="1"/>
  <c r="H1171" i="2"/>
  <c r="I1171" i="2" s="1"/>
  <c r="H1172" i="2"/>
  <c r="I1172" i="2" s="1"/>
  <c r="H1173" i="2"/>
  <c r="I1173" i="2" s="1"/>
  <c r="H1174" i="2"/>
  <c r="I1174" i="2" s="1"/>
  <c r="H1175" i="2"/>
  <c r="I1175" i="2" s="1"/>
  <c r="H1176" i="2"/>
  <c r="I1176" i="2" s="1"/>
  <c r="H1177" i="2"/>
  <c r="I1177" i="2" s="1"/>
  <c r="H1178" i="2"/>
  <c r="I1178" i="2" s="1"/>
  <c r="H1179" i="2"/>
  <c r="I1179" i="2" s="1"/>
  <c r="H1180" i="2"/>
  <c r="I1180" i="2" s="1"/>
  <c r="H1181" i="2"/>
  <c r="I1181" i="2" s="1"/>
  <c r="H1182" i="2"/>
  <c r="I1182" i="2" s="1"/>
  <c r="H1183" i="2"/>
  <c r="I1183" i="2" s="1"/>
  <c r="H1184" i="2"/>
  <c r="I1184" i="2" s="1"/>
  <c r="H1185" i="2"/>
  <c r="I1185" i="2" s="1"/>
  <c r="H1186" i="2"/>
  <c r="I1186" i="2" s="1"/>
  <c r="H1187" i="2"/>
  <c r="I1187" i="2" s="1"/>
  <c r="H1188" i="2"/>
  <c r="I1188" i="2" s="1"/>
  <c r="H1189" i="2"/>
  <c r="I1189" i="2" s="1"/>
  <c r="H1190" i="2"/>
  <c r="I1190" i="2" s="1"/>
  <c r="H1191" i="2"/>
  <c r="I1191" i="2" s="1"/>
  <c r="H1192" i="2"/>
  <c r="I1192" i="2" s="1"/>
  <c r="H1193" i="2"/>
  <c r="I1193" i="2" s="1"/>
  <c r="H1194" i="2"/>
  <c r="I1194" i="2" s="1"/>
  <c r="H1195" i="2"/>
  <c r="I1195" i="2" s="1"/>
  <c r="H1196" i="2"/>
  <c r="I1196" i="2" s="1"/>
  <c r="H1197" i="2"/>
  <c r="I1197" i="2" s="1"/>
  <c r="H1198" i="2"/>
  <c r="I1198" i="2" s="1"/>
  <c r="H1199" i="2"/>
  <c r="I1199" i="2" s="1"/>
  <c r="H1200" i="2"/>
  <c r="I1200" i="2" s="1"/>
  <c r="H1201" i="2"/>
  <c r="I1201" i="2" s="1"/>
  <c r="H1202" i="2"/>
  <c r="I1202" i="2" s="1"/>
  <c r="H1203" i="2"/>
  <c r="I1203" i="2" s="1"/>
  <c r="H1204" i="2"/>
  <c r="I1204" i="2" s="1"/>
  <c r="H1205" i="2"/>
  <c r="I1205" i="2" s="1"/>
  <c r="H1206" i="2"/>
  <c r="I1206" i="2" s="1"/>
  <c r="H1207" i="2"/>
  <c r="I1207" i="2" s="1"/>
  <c r="H1208" i="2"/>
  <c r="I1208" i="2" s="1"/>
  <c r="H1209" i="2"/>
  <c r="I1209" i="2" s="1"/>
  <c r="H1210" i="2"/>
  <c r="I1210" i="2" s="1"/>
  <c r="H1211" i="2"/>
  <c r="I1211" i="2" s="1"/>
  <c r="H1212" i="2"/>
  <c r="I1212" i="2" s="1"/>
  <c r="H1213" i="2"/>
  <c r="I1213" i="2" s="1"/>
  <c r="H1214" i="2"/>
  <c r="I1214" i="2" s="1"/>
  <c r="H1215" i="2"/>
  <c r="I1215" i="2" s="1"/>
  <c r="H1216" i="2"/>
  <c r="I1216" i="2" s="1"/>
  <c r="H1217" i="2"/>
  <c r="I1217" i="2" s="1"/>
  <c r="H1218" i="2"/>
  <c r="I1218" i="2" s="1"/>
  <c r="H1219" i="2"/>
  <c r="I1219" i="2" s="1"/>
  <c r="H1220" i="2"/>
  <c r="I1220" i="2" s="1"/>
  <c r="H1221" i="2"/>
  <c r="I1221" i="2" s="1"/>
  <c r="H1222" i="2"/>
  <c r="I1222" i="2" s="1"/>
  <c r="H1223" i="2"/>
  <c r="I1223" i="2" s="1"/>
  <c r="H1224" i="2"/>
  <c r="I1224" i="2" s="1"/>
  <c r="H1225" i="2"/>
  <c r="I1225" i="2" s="1"/>
  <c r="H1226" i="2"/>
  <c r="I1226" i="2" s="1"/>
  <c r="H1227" i="2"/>
  <c r="I1227" i="2" s="1"/>
  <c r="H1228" i="2"/>
  <c r="I1228" i="2" s="1"/>
  <c r="H1229" i="2"/>
  <c r="I1229" i="2" s="1"/>
  <c r="H1230" i="2"/>
  <c r="I1230" i="2" s="1"/>
  <c r="H1231" i="2"/>
  <c r="I1231" i="2" s="1"/>
  <c r="H1232" i="2"/>
  <c r="I1232" i="2" s="1"/>
  <c r="H1233" i="2"/>
  <c r="I1233" i="2" s="1"/>
  <c r="H1234" i="2"/>
  <c r="I1234" i="2" s="1"/>
  <c r="H1235" i="2"/>
  <c r="I1235" i="2" s="1"/>
  <c r="H1236" i="2"/>
  <c r="I1236" i="2" s="1"/>
  <c r="H1237" i="2"/>
  <c r="I1237" i="2" s="1"/>
  <c r="H1238" i="2"/>
  <c r="I1238" i="2" s="1"/>
  <c r="H1239" i="2"/>
  <c r="I1239" i="2" s="1"/>
  <c r="H1240" i="2"/>
  <c r="I1240" i="2" s="1"/>
  <c r="H1241" i="2"/>
  <c r="I1241" i="2" s="1"/>
  <c r="H1242" i="2"/>
  <c r="I1242" i="2" s="1"/>
  <c r="H1243" i="2"/>
  <c r="I1243" i="2" s="1"/>
  <c r="H1244" i="2"/>
  <c r="I1244" i="2" s="1"/>
  <c r="H1245" i="2"/>
  <c r="I1245" i="2" s="1"/>
  <c r="H1246" i="2"/>
  <c r="I1246" i="2" s="1"/>
  <c r="H1247" i="2"/>
  <c r="I1247" i="2" s="1"/>
  <c r="H1248" i="2"/>
  <c r="I1248" i="2" s="1"/>
  <c r="H1249" i="2"/>
  <c r="I1249" i="2" s="1"/>
  <c r="H1250" i="2"/>
  <c r="I1250" i="2" s="1"/>
  <c r="H1251" i="2"/>
  <c r="I1251" i="2" s="1"/>
  <c r="H1252" i="2"/>
  <c r="I1252" i="2" s="1"/>
  <c r="H1253" i="2"/>
  <c r="I1253" i="2" s="1"/>
  <c r="H1254" i="2"/>
  <c r="I1254" i="2" s="1"/>
  <c r="H1255" i="2"/>
  <c r="I1255" i="2" s="1"/>
  <c r="H1256" i="2"/>
  <c r="I1256" i="2" s="1"/>
  <c r="H1257" i="2"/>
  <c r="I1257" i="2" s="1"/>
  <c r="H1258" i="2"/>
  <c r="I1258" i="2" s="1"/>
  <c r="H1259" i="2"/>
  <c r="I1259" i="2" s="1"/>
  <c r="H1260" i="2"/>
  <c r="I1260" i="2" s="1"/>
  <c r="H1261" i="2"/>
  <c r="I1261" i="2" s="1"/>
  <c r="H1262" i="2"/>
  <c r="I1262" i="2" s="1"/>
  <c r="H1263" i="2"/>
  <c r="I1263" i="2" s="1"/>
  <c r="H1264" i="2"/>
  <c r="I1264" i="2" s="1"/>
  <c r="H1265" i="2"/>
  <c r="I1265" i="2" s="1"/>
  <c r="H1266" i="2"/>
  <c r="I1266" i="2" s="1"/>
  <c r="H1267" i="2"/>
  <c r="I1267" i="2" s="1"/>
  <c r="H1268" i="2"/>
  <c r="I1268" i="2" s="1"/>
  <c r="H1269" i="2"/>
  <c r="I1269" i="2" s="1"/>
  <c r="H1270" i="2"/>
  <c r="I1270" i="2" s="1"/>
  <c r="H1271" i="2"/>
  <c r="I1271" i="2" s="1"/>
  <c r="H1272" i="2"/>
  <c r="I1272" i="2" s="1"/>
  <c r="H1273" i="2"/>
  <c r="I1273" i="2" s="1"/>
  <c r="H1274" i="2"/>
  <c r="I1274" i="2" s="1"/>
  <c r="H1275" i="2"/>
  <c r="I1275" i="2" s="1"/>
  <c r="H1276" i="2"/>
  <c r="I1276" i="2" s="1"/>
  <c r="H1277" i="2"/>
  <c r="I1277" i="2" s="1"/>
  <c r="H1278" i="2"/>
  <c r="I1278" i="2" s="1"/>
  <c r="H1279" i="2"/>
  <c r="I1279" i="2" s="1"/>
  <c r="H1280" i="2"/>
  <c r="I1280" i="2" s="1"/>
  <c r="H1281" i="2"/>
  <c r="I1281" i="2" s="1"/>
  <c r="H1282" i="2"/>
  <c r="I1282" i="2" s="1"/>
  <c r="H1283" i="2"/>
  <c r="I1283" i="2" s="1"/>
  <c r="H1284" i="2"/>
  <c r="I1284" i="2" s="1"/>
  <c r="H1285" i="2"/>
  <c r="I1285" i="2" s="1"/>
  <c r="H1286" i="2"/>
  <c r="I1286" i="2" s="1"/>
  <c r="H1287" i="2"/>
  <c r="I1287" i="2" s="1"/>
  <c r="H1288" i="2"/>
  <c r="I1288" i="2" s="1"/>
  <c r="H1289" i="2"/>
  <c r="I1289" i="2" s="1"/>
  <c r="H1290" i="2"/>
  <c r="I1290" i="2" s="1"/>
  <c r="H1291" i="2"/>
  <c r="I1291" i="2" s="1"/>
  <c r="H1292" i="2"/>
  <c r="I1292" i="2" s="1"/>
  <c r="H1293" i="2"/>
  <c r="I1293" i="2" s="1"/>
  <c r="H1294" i="2"/>
  <c r="I1294" i="2" s="1"/>
  <c r="H1295" i="2"/>
  <c r="I1295" i="2" s="1"/>
  <c r="H1296" i="2"/>
  <c r="I1296" i="2" s="1"/>
  <c r="H1297" i="2"/>
  <c r="I1297" i="2" s="1"/>
  <c r="H1298" i="2"/>
  <c r="I1298" i="2" s="1"/>
  <c r="H1299" i="2"/>
  <c r="I1299" i="2" s="1"/>
  <c r="H1300" i="2"/>
  <c r="I1300" i="2" s="1"/>
  <c r="H1301" i="2"/>
  <c r="I1301" i="2" s="1"/>
  <c r="H1302" i="2"/>
  <c r="I1302" i="2" s="1"/>
  <c r="H1303" i="2"/>
  <c r="I1303" i="2" s="1"/>
  <c r="H1304" i="2"/>
  <c r="I1304" i="2" s="1"/>
  <c r="H1305" i="2"/>
  <c r="I1305" i="2" s="1"/>
  <c r="H1306" i="2"/>
  <c r="I1306" i="2" s="1"/>
  <c r="H1307" i="2"/>
  <c r="I1307" i="2" s="1"/>
  <c r="H1308" i="2"/>
  <c r="I1308" i="2" s="1"/>
  <c r="H1309" i="2"/>
  <c r="I1309" i="2" s="1"/>
  <c r="H1310" i="2"/>
  <c r="I1310" i="2" s="1"/>
  <c r="H1311" i="2"/>
  <c r="I1311" i="2" s="1"/>
  <c r="H1312" i="2"/>
  <c r="I1312" i="2" s="1"/>
  <c r="H1313" i="2"/>
  <c r="I1313" i="2" s="1"/>
  <c r="H1314" i="2"/>
  <c r="I1314" i="2" s="1"/>
  <c r="H1315" i="2"/>
  <c r="I1315" i="2" s="1"/>
  <c r="H1316" i="2"/>
  <c r="I1316" i="2" s="1"/>
  <c r="H1317" i="2"/>
  <c r="I1317" i="2" s="1"/>
  <c r="H1318" i="2"/>
  <c r="I1318" i="2" s="1"/>
  <c r="H1319" i="2"/>
  <c r="I1319" i="2" s="1"/>
  <c r="H1320" i="2"/>
  <c r="I1320" i="2" s="1"/>
  <c r="H1321" i="2"/>
  <c r="I1321" i="2" s="1"/>
  <c r="H1322" i="2"/>
  <c r="I1322" i="2" s="1"/>
  <c r="H1323" i="2"/>
  <c r="I1323" i="2" s="1"/>
  <c r="H1324" i="2"/>
  <c r="I1324" i="2" s="1"/>
  <c r="H1325" i="2"/>
  <c r="I1325" i="2" s="1"/>
  <c r="H1326" i="2"/>
  <c r="I1326" i="2" s="1"/>
  <c r="H1327" i="2"/>
  <c r="I1327" i="2" s="1"/>
  <c r="H1328" i="2"/>
  <c r="I1328" i="2" s="1"/>
  <c r="H1329" i="2"/>
  <c r="I1329" i="2" s="1"/>
  <c r="H1330" i="2"/>
  <c r="I1330" i="2" s="1"/>
  <c r="H1331" i="2"/>
  <c r="I1331" i="2" s="1"/>
  <c r="H1332" i="2"/>
  <c r="I1332" i="2" s="1"/>
  <c r="H1333" i="2"/>
  <c r="I1333" i="2" s="1"/>
  <c r="H1334" i="2"/>
  <c r="I1334" i="2" s="1"/>
  <c r="H1335" i="2"/>
  <c r="I1335" i="2" s="1"/>
  <c r="H1336" i="2"/>
  <c r="I1336" i="2" s="1"/>
  <c r="H1337" i="2"/>
  <c r="I1337" i="2" s="1"/>
  <c r="H1338" i="2"/>
  <c r="I1338" i="2" s="1"/>
  <c r="H1339" i="2"/>
  <c r="I1339" i="2" s="1"/>
  <c r="H1340" i="2"/>
  <c r="I1340" i="2" s="1"/>
  <c r="H1341" i="2"/>
  <c r="I1341" i="2" s="1"/>
  <c r="H1342" i="2"/>
  <c r="I1342" i="2" s="1"/>
  <c r="H1343" i="2"/>
  <c r="I1343" i="2" s="1"/>
  <c r="H1344" i="2"/>
  <c r="I1344" i="2" s="1"/>
  <c r="H1345" i="2"/>
  <c r="I1345" i="2" s="1"/>
  <c r="H1346" i="2"/>
  <c r="I1346" i="2" s="1"/>
  <c r="H1347" i="2"/>
  <c r="I1347" i="2" s="1"/>
  <c r="H1348" i="2"/>
  <c r="I1348" i="2" s="1"/>
  <c r="H1349" i="2"/>
  <c r="I1349" i="2" s="1"/>
  <c r="H1350" i="2"/>
  <c r="I1350" i="2" s="1"/>
  <c r="H1351" i="2"/>
  <c r="I1351" i="2" s="1"/>
  <c r="H1352" i="2"/>
  <c r="I1352" i="2" s="1"/>
  <c r="H1353" i="2"/>
  <c r="I1353" i="2" s="1"/>
  <c r="H1354" i="2"/>
  <c r="I1354" i="2" s="1"/>
  <c r="H1355" i="2"/>
  <c r="I1355" i="2" s="1"/>
  <c r="H1356" i="2"/>
  <c r="I1356" i="2" s="1"/>
  <c r="H1357" i="2"/>
  <c r="I1357" i="2" s="1"/>
  <c r="H1358" i="2"/>
  <c r="I1358" i="2" s="1"/>
  <c r="H1359" i="2"/>
  <c r="I1359" i="2" s="1"/>
  <c r="H1360" i="2"/>
  <c r="I1360" i="2" s="1"/>
  <c r="H1361" i="2"/>
  <c r="I1361" i="2" s="1"/>
  <c r="H1362" i="2"/>
  <c r="I1362" i="2" s="1"/>
  <c r="H1363" i="2"/>
  <c r="I1363" i="2" s="1"/>
  <c r="H1364" i="2"/>
  <c r="I1364" i="2" s="1"/>
  <c r="H1365" i="2"/>
  <c r="I1365" i="2" s="1"/>
  <c r="H1366" i="2"/>
  <c r="I1366" i="2" s="1"/>
  <c r="H1367" i="2"/>
  <c r="I1367" i="2" s="1"/>
  <c r="H1368" i="2"/>
  <c r="I1368" i="2" s="1"/>
  <c r="H1369" i="2"/>
  <c r="I1369" i="2" s="1"/>
  <c r="H1370" i="2"/>
  <c r="I1370" i="2" s="1"/>
  <c r="H1371" i="2"/>
  <c r="I1371" i="2" s="1"/>
  <c r="H1372" i="2"/>
  <c r="I1372" i="2" s="1"/>
  <c r="H1373" i="2"/>
  <c r="I1373" i="2" s="1"/>
  <c r="H1374" i="2"/>
  <c r="I1374" i="2" s="1"/>
  <c r="H1375" i="2"/>
  <c r="I1375" i="2" s="1"/>
  <c r="H1376" i="2"/>
  <c r="I1376" i="2" s="1"/>
  <c r="H1377" i="2"/>
  <c r="I1377" i="2" s="1"/>
  <c r="H1378" i="2"/>
  <c r="I1378" i="2" s="1"/>
  <c r="H1379" i="2"/>
  <c r="I1379" i="2" s="1"/>
  <c r="H1380" i="2"/>
  <c r="I1380" i="2" s="1"/>
  <c r="H1381" i="2"/>
  <c r="I1381" i="2" s="1"/>
  <c r="H1382" i="2"/>
  <c r="I1382" i="2" s="1"/>
  <c r="H1383" i="2"/>
  <c r="I1383" i="2" s="1"/>
  <c r="H1384" i="2"/>
  <c r="I1384" i="2" s="1"/>
  <c r="H1385" i="2"/>
  <c r="I1385" i="2" s="1"/>
  <c r="H1386" i="2"/>
  <c r="I1386" i="2" s="1"/>
  <c r="H1387" i="2"/>
  <c r="I1387" i="2" s="1"/>
  <c r="H1388" i="2"/>
  <c r="I1388" i="2" s="1"/>
  <c r="H1389" i="2"/>
  <c r="I1389" i="2" s="1"/>
  <c r="H1390" i="2"/>
  <c r="I1390" i="2" s="1"/>
  <c r="H1391" i="2"/>
  <c r="I1391" i="2" s="1"/>
  <c r="H1392" i="2"/>
  <c r="I1392" i="2" s="1"/>
  <c r="H1393" i="2"/>
  <c r="I1393" i="2" s="1"/>
  <c r="H1394" i="2"/>
  <c r="I1394" i="2" s="1"/>
  <c r="H1395" i="2"/>
  <c r="I1395" i="2" s="1"/>
  <c r="H1396" i="2"/>
  <c r="I1396" i="2" s="1"/>
  <c r="H1397" i="2"/>
  <c r="I1397" i="2" s="1"/>
  <c r="H1398" i="2"/>
  <c r="I1398" i="2" s="1"/>
  <c r="H1399" i="2"/>
  <c r="I1399" i="2" s="1"/>
  <c r="H1400" i="2"/>
  <c r="I1400" i="2" s="1"/>
  <c r="H1401" i="2"/>
  <c r="I1401" i="2" s="1"/>
  <c r="H1402" i="2"/>
  <c r="I1402" i="2" s="1"/>
  <c r="H1403" i="2"/>
  <c r="I1403" i="2" s="1"/>
  <c r="H1404" i="2"/>
  <c r="I1404" i="2" s="1"/>
  <c r="H1405" i="2"/>
  <c r="I1405" i="2" s="1"/>
  <c r="H1406" i="2"/>
  <c r="I1406" i="2" s="1"/>
  <c r="H1407" i="2"/>
  <c r="I1407" i="2" s="1"/>
  <c r="H1408" i="2"/>
  <c r="I1408" i="2" s="1"/>
  <c r="H1409" i="2"/>
  <c r="I1409" i="2" s="1"/>
  <c r="H1410" i="2"/>
  <c r="I1410" i="2" s="1"/>
  <c r="H1411" i="2"/>
  <c r="I1411" i="2" s="1"/>
  <c r="H1412" i="2"/>
  <c r="I1412" i="2" s="1"/>
  <c r="H1413" i="2"/>
  <c r="I1413" i="2" s="1"/>
  <c r="H1414" i="2"/>
  <c r="I1414" i="2" s="1"/>
  <c r="H1415" i="2"/>
  <c r="I1415" i="2" s="1"/>
  <c r="H1416" i="2"/>
  <c r="I1416" i="2" s="1"/>
  <c r="H1417" i="2"/>
  <c r="I1417" i="2" s="1"/>
  <c r="H1418" i="2"/>
  <c r="I1418" i="2" s="1"/>
  <c r="H1419" i="2"/>
  <c r="I1419" i="2" s="1"/>
  <c r="H1420" i="2"/>
  <c r="I1420" i="2" s="1"/>
  <c r="H1421" i="2"/>
  <c r="I1421" i="2" s="1"/>
  <c r="H1422" i="2"/>
  <c r="I1422" i="2" s="1"/>
  <c r="H1423" i="2"/>
  <c r="I1423" i="2" s="1"/>
  <c r="H1424" i="2"/>
  <c r="I1424" i="2" s="1"/>
  <c r="H1425" i="2"/>
  <c r="I1425" i="2" s="1"/>
  <c r="H1426" i="2"/>
  <c r="I1426" i="2" s="1"/>
  <c r="H1427" i="2"/>
  <c r="I1427" i="2" s="1"/>
  <c r="H1428" i="2"/>
  <c r="I1428" i="2" s="1"/>
  <c r="H1429" i="2"/>
  <c r="I1429" i="2" s="1"/>
  <c r="H1430" i="2"/>
  <c r="I1430" i="2" s="1"/>
  <c r="H1431" i="2"/>
  <c r="I1431" i="2" s="1"/>
  <c r="H1432" i="2"/>
  <c r="I1432" i="2" s="1"/>
  <c r="H1433" i="2"/>
  <c r="I1433" i="2" s="1"/>
  <c r="H1434" i="2"/>
  <c r="I1434" i="2" s="1"/>
  <c r="H1435" i="2"/>
  <c r="I1435" i="2" s="1"/>
  <c r="H1436" i="2"/>
  <c r="I1436" i="2" s="1"/>
  <c r="H1437" i="2"/>
  <c r="I1437" i="2" s="1"/>
  <c r="H1438" i="2"/>
  <c r="I1438" i="2" s="1"/>
  <c r="H1439" i="2"/>
  <c r="I1439" i="2" s="1"/>
  <c r="H1440" i="2"/>
  <c r="I1440" i="2" s="1"/>
  <c r="H1441" i="2"/>
  <c r="I1441" i="2" s="1"/>
  <c r="H1442" i="2"/>
  <c r="I1442" i="2" s="1"/>
  <c r="H1443" i="2"/>
  <c r="I1443" i="2" s="1"/>
  <c r="H1444" i="2"/>
  <c r="I1444" i="2" s="1"/>
  <c r="H1445" i="2"/>
  <c r="I1445" i="2" s="1"/>
  <c r="H1446" i="2"/>
  <c r="I1446" i="2" s="1"/>
  <c r="H1447" i="2"/>
  <c r="I1447" i="2" s="1"/>
  <c r="H1448" i="2"/>
  <c r="I1448" i="2" s="1"/>
  <c r="H1449" i="2"/>
  <c r="I1449" i="2" s="1"/>
  <c r="H1450" i="2"/>
  <c r="I1450" i="2" s="1"/>
  <c r="H1451" i="2"/>
  <c r="I1451" i="2" s="1"/>
  <c r="H1452" i="2"/>
  <c r="I1452" i="2" s="1"/>
  <c r="H1453" i="2"/>
  <c r="I1453" i="2" s="1"/>
  <c r="H1454" i="2"/>
  <c r="I1454" i="2" s="1"/>
  <c r="H1455" i="2"/>
  <c r="I1455" i="2" s="1"/>
  <c r="H1456" i="2"/>
  <c r="I1456" i="2" s="1"/>
  <c r="H1457" i="2"/>
  <c r="I1457" i="2" s="1"/>
  <c r="H1458" i="2"/>
  <c r="I1458" i="2" s="1"/>
  <c r="H1459" i="2"/>
  <c r="I1459" i="2" s="1"/>
  <c r="H1460" i="2"/>
  <c r="I1460" i="2" s="1"/>
  <c r="H1461" i="2"/>
  <c r="I1461" i="2" s="1"/>
  <c r="H1462" i="2"/>
  <c r="I1462" i="2" s="1"/>
  <c r="H1463" i="2"/>
  <c r="I1463" i="2" s="1"/>
  <c r="H1464" i="2"/>
  <c r="I1464" i="2" s="1"/>
  <c r="H1465" i="2"/>
  <c r="I1465" i="2" s="1"/>
  <c r="H1466" i="2"/>
  <c r="I1466" i="2" s="1"/>
  <c r="H1467" i="2"/>
  <c r="I1467" i="2" s="1"/>
  <c r="H1468" i="2"/>
  <c r="I1468" i="2" s="1"/>
  <c r="H1469" i="2"/>
  <c r="I1469" i="2" s="1"/>
  <c r="H1470" i="2"/>
  <c r="I1470" i="2" s="1"/>
  <c r="H1471" i="2"/>
  <c r="I1471" i="2" s="1"/>
  <c r="H1472" i="2"/>
  <c r="I1472" i="2" s="1"/>
  <c r="H1473" i="2"/>
  <c r="I1473" i="2" s="1"/>
  <c r="H1474" i="2"/>
  <c r="I1474" i="2" s="1"/>
  <c r="H1475" i="2"/>
  <c r="I1475" i="2" s="1"/>
  <c r="H1476" i="2"/>
  <c r="I1476" i="2" s="1"/>
  <c r="H1477" i="2"/>
  <c r="I1477" i="2" s="1"/>
  <c r="H1478" i="2"/>
  <c r="I1478" i="2" s="1"/>
  <c r="H1479" i="2"/>
  <c r="I1479" i="2" s="1"/>
  <c r="H1480" i="2"/>
  <c r="I1480" i="2" s="1"/>
  <c r="H1481" i="2"/>
  <c r="I1481" i="2" s="1"/>
  <c r="H1482" i="2"/>
  <c r="I1482" i="2" s="1"/>
  <c r="H1483" i="2"/>
  <c r="I1483" i="2" s="1"/>
  <c r="H1484" i="2"/>
  <c r="I1484" i="2" s="1"/>
  <c r="H1485" i="2"/>
  <c r="I1485" i="2" s="1"/>
  <c r="H1486" i="2"/>
  <c r="I1486" i="2" s="1"/>
  <c r="H1487" i="2"/>
  <c r="I1487" i="2" s="1"/>
  <c r="H1488" i="2"/>
  <c r="I1488" i="2" s="1"/>
  <c r="H1489" i="2"/>
  <c r="I1489" i="2" s="1"/>
  <c r="H1490" i="2"/>
  <c r="I1490" i="2" s="1"/>
  <c r="H1491" i="2"/>
  <c r="I1491" i="2" s="1"/>
  <c r="H1492" i="2"/>
  <c r="I1492" i="2" s="1"/>
  <c r="H1493" i="2"/>
  <c r="I1493" i="2" s="1"/>
  <c r="H1494" i="2"/>
  <c r="I1494" i="2" s="1"/>
  <c r="H1495" i="2"/>
  <c r="I1495" i="2" s="1"/>
  <c r="H1496" i="2"/>
  <c r="I1496" i="2" s="1"/>
  <c r="H1497" i="2"/>
  <c r="I1497" i="2" s="1"/>
  <c r="H1498" i="2"/>
  <c r="I1498" i="2" s="1"/>
  <c r="H1499" i="2"/>
  <c r="I1499" i="2" s="1"/>
  <c r="H1500" i="2"/>
  <c r="I1500" i="2" s="1"/>
  <c r="H1501" i="2"/>
  <c r="I1501" i="2" s="1"/>
  <c r="H1502" i="2"/>
  <c r="I1502" i="2" s="1"/>
  <c r="H1503" i="2"/>
  <c r="I1503" i="2" s="1"/>
  <c r="H1504" i="2"/>
  <c r="I1504" i="2" s="1"/>
  <c r="H1505" i="2"/>
  <c r="I1505" i="2" s="1"/>
  <c r="H1506" i="2"/>
  <c r="I1506" i="2" s="1"/>
  <c r="H1507" i="2"/>
  <c r="I1507" i="2" s="1"/>
  <c r="H1508" i="2"/>
  <c r="I1508" i="2" s="1"/>
  <c r="H1509" i="2"/>
  <c r="I1509" i="2" s="1"/>
  <c r="H1510" i="2"/>
  <c r="I1510" i="2" s="1"/>
  <c r="H1511" i="2"/>
  <c r="I1511" i="2" s="1"/>
  <c r="H1512" i="2"/>
  <c r="I1512" i="2" s="1"/>
  <c r="H1513" i="2"/>
  <c r="I1513" i="2" s="1"/>
  <c r="H1514" i="2"/>
  <c r="I1514" i="2" s="1"/>
  <c r="H1515" i="2"/>
  <c r="I1515" i="2" s="1"/>
  <c r="H1516" i="2"/>
  <c r="I1516" i="2" s="1"/>
  <c r="H1517" i="2"/>
  <c r="I1517" i="2" s="1"/>
  <c r="H1518" i="2"/>
  <c r="I1518" i="2" s="1"/>
  <c r="H1519" i="2"/>
  <c r="I1519" i="2" s="1"/>
  <c r="H1520" i="2"/>
  <c r="I1520" i="2" s="1"/>
  <c r="H1521" i="2"/>
  <c r="I1521" i="2" s="1"/>
  <c r="H1522" i="2"/>
  <c r="I1522" i="2" s="1"/>
  <c r="H1523" i="2"/>
  <c r="I1523" i="2" s="1"/>
  <c r="H1524" i="2"/>
  <c r="I1524" i="2" s="1"/>
  <c r="H1525" i="2"/>
  <c r="I1525" i="2" s="1"/>
  <c r="H1526" i="2"/>
  <c r="I1526" i="2" s="1"/>
  <c r="H1527" i="2"/>
  <c r="I1527" i="2" s="1"/>
  <c r="H1528" i="2"/>
  <c r="I1528" i="2" s="1"/>
  <c r="H1529" i="2"/>
  <c r="I1529" i="2" s="1"/>
  <c r="H1530" i="2"/>
  <c r="I1530" i="2" s="1"/>
  <c r="H1531" i="2"/>
  <c r="I1531" i="2" s="1"/>
  <c r="H1532" i="2"/>
  <c r="I1532" i="2" s="1"/>
  <c r="H1533" i="2"/>
  <c r="I1533" i="2" s="1"/>
  <c r="H1534" i="2"/>
  <c r="I1534" i="2" s="1"/>
  <c r="H1535" i="2"/>
  <c r="I1535" i="2" s="1"/>
  <c r="H1536" i="2"/>
  <c r="I1536" i="2" s="1"/>
  <c r="H1537" i="2"/>
  <c r="I1537" i="2" s="1"/>
  <c r="H1538" i="2"/>
  <c r="I1538" i="2" s="1"/>
  <c r="H1539" i="2"/>
  <c r="I1539" i="2" s="1"/>
  <c r="H1540" i="2"/>
  <c r="I1540" i="2" s="1"/>
  <c r="H1541" i="2"/>
  <c r="I1541" i="2" s="1"/>
  <c r="H1542" i="2"/>
  <c r="I1542" i="2" s="1"/>
  <c r="H1543" i="2"/>
  <c r="I1543" i="2" s="1"/>
  <c r="H1544" i="2"/>
  <c r="I1544" i="2" s="1"/>
  <c r="H1545" i="2"/>
  <c r="I1545" i="2" s="1"/>
  <c r="H1546" i="2"/>
  <c r="I1546" i="2" s="1"/>
  <c r="H1547" i="2"/>
  <c r="I1547" i="2" s="1"/>
  <c r="H1548" i="2"/>
  <c r="I1548" i="2" s="1"/>
  <c r="H1549" i="2"/>
  <c r="I1549" i="2" s="1"/>
  <c r="H1550" i="2"/>
  <c r="I1550" i="2" s="1"/>
  <c r="H1551" i="2"/>
  <c r="I1551" i="2" s="1"/>
  <c r="H1552" i="2"/>
  <c r="I1552" i="2" s="1"/>
  <c r="H1553" i="2"/>
  <c r="I1553" i="2" s="1"/>
  <c r="H1554" i="2"/>
  <c r="I1554" i="2" s="1"/>
  <c r="H1555" i="2"/>
  <c r="I1555" i="2" s="1"/>
  <c r="H1556" i="2"/>
  <c r="I1556" i="2" s="1"/>
  <c r="H1557" i="2"/>
  <c r="I1557" i="2" s="1"/>
  <c r="H1558" i="2"/>
  <c r="I1558" i="2" s="1"/>
  <c r="H1559" i="2"/>
  <c r="I1559" i="2" s="1"/>
  <c r="H1560" i="2"/>
  <c r="I1560" i="2" s="1"/>
  <c r="H1561" i="2"/>
  <c r="I1561" i="2" s="1"/>
  <c r="H1562" i="2"/>
  <c r="I1562" i="2" s="1"/>
  <c r="H1563" i="2"/>
  <c r="I1563" i="2" s="1"/>
  <c r="H1564" i="2"/>
  <c r="I1564" i="2" s="1"/>
  <c r="H1565" i="2"/>
  <c r="I1565" i="2" s="1"/>
  <c r="H1566" i="2"/>
  <c r="I1566" i="2" s="1"/>
  <c r="H1567" i="2"/>
  <c r="I1567" i="2" s="1"/>
  <c r="H1568" i="2"/>
  <c r="I1568" i="2" s="1"/>
  <c r="H1569" i="2"/>
  <c r="I1569" i="2" s="1"/>
  <c r="H1570" i="2"/>
  <c r="I1570" i="2" s="1"/>
  <c r="H1571" i="2"/>
  <c r="I1571" i="2" s="1"/>
  <c r="H1572" i="2"/>
  <c r="I1572" i="2" s="1"/>
  <c r="H1573" i="2"/>
  <c r="I1573" i="2" s="1"/>
  <c r="H1574" i="2"/>
  <c r="I1574" i="2" s="1"/>
  <c r="H1575" i="2"/>
  <c r="I1575" i="2" s="1"/>
  <c r="H1576" i="2"/>
  <c r="I1576" i="2" s="1"/>
  <c r="H1577" i="2"/>
  <c r="I1577" i="2" s="1"/>
  <c r="H1578" i="2"/>
  <c r="I1578" i="2" s="1"/>
  <c r="H1579" i="2"/>
  <c r="I1579" i="2" s="1"/>
  <c r="H1580" i="2"/>
  <c r="I1580" i="2" s="1"/>
  <c r="H1581" i="2"/>
  <c r="I1581" i="2" s="1"/>
  <c r="H1582" i="2"/>
  <c r="I1582" i="2" s="1"/>
  <c r="H1583" i="2"/>
  <c r="I1583" i="2" s="1"/>
  <c r="H1584" i="2"/>
  <c r="I1584" i="2" s="1"/>
  <c r="H1585" i="2"/>
  <c r="I1585" i="2" s="1"/>
  <c r="H1586" i="2"/>
  <c r="I1586" i="2" s="1"/>
  <c r="H1587" i="2"/>
  <c r="I1587" i="2" s="1"/>
  <c r="H1588" i="2"/>
  <c r="I1588" i="2" s="1"/>
  <c r="H1589" i="2"/>
  <c r="I1589" i="2" s="1"/>
  <c r="H1590" i="2"/>
  <c r="I1590" i="2" s="1"/>
  <c r="H1591" i="2"/>
  <c r="I1591" i="2" s="1"/>
  <c r="H1592" i="2"/>
  <c r="I1592" i="2" s="1"/>
  <c r="H1593" i="2"/>
  <c r="I1593" i="2" s="1"/>
  <c r="H1594" i="2"/>
  <c r="I1594" i="2" s="1"/>
  <c r="H1595" i="2"/>
  <c r="I1595" i="2" s="1"/>
  <c r="H1596" i="2"/>
  <c r="I1596" i="2" s="1"/>
  <c r="H1597" i="2"/>
  <c r="I1597" i="2" s="1"/>
  <c r="H1598" i="2"/>
  <c r="I1598" i="2" s="1"/>
  <c r="H1599" i="2"/>
  <c r="I1599" i="2" s="1"/>
  <c r="H1600" i="2"/>
  <c r="I1600" i="2" s="1"/>
  <c r="H1601" i="2"/>
  <c r="I1601" i="2" s="1"/>
  <c r="H1602" i="2"/>
  <c r="I1602" i="2" s="1"/>
  <c r="H1603" i="2"/>
  <c r="I1603" i="2" s="1"/>
  <c r="H1604" i="2"/>
  <c r="I1604" i="2" s="1"/>
  <c r="H1605" i="2"/>
  <c r="I1605" i="2" s="1"/>
  <c r="H1606" i="2"/>
  <c r="I1606" i="2" s="1"/>
  <c r="H1607" i="2"/>
  <c r="I1607" i="2" s="1"/>
  <c r="H1608" i="2"/>
  <c r="I1608" i="2" s="1"/>
  <c r="H1609" i="2"/>
  <c r="I1609" i="2" s="1"/>
  <c r="H1610" i="2"/>
  <c r="I1610" i="2" s="1"/>
  <c r="H1611" i="2"/>
  <c r="I1611" i="2" s="1"/>
  <c r="H1612" i="2"/>
  <c r="I1612" i="2" s="1"/>
  <c r="H1613" i="2"/>
  <c r="I1613" i="2" s="1"/>
  <c r="H1614" i="2"/>
  <c r="I1614" i="2" s="1"/>
  <c r="H1615" i="2"/>
  <c r="I1615" i="2" s="1"/>
  <c r="H1616" i="2"/>
  <c r="I1616" i="2" s="1"/>
  <c r="H1617" i="2"/>
  <c r="I1617" i="2" s="1"/>
  <c r="H1618" i="2"/>
  <c r="I1618" i="2" s="1"/>
  <c r="H1619" i="2"/>
  <c r="I1619" i="2" s="1"/>
  <c r="H1620" i="2"/>
  <c r="I1620" i="2" s="1"/>
  <c r="H1621" i="2"/>
  <c r="I1621" i="2" s="1"/>
  <c r="H1622" i="2"/>
  <c r="I1622" i="2" s="1"/>
  <c r="H1623" i="2"/>
  <c r="I1623" i="2" s="1"/>
  <c r="H1624" i="2"/>
  <c r="I1624" i="2" s="1"/>
  <c r="H1625" i="2"/>
  <c r="I1625" i="2" s="1"/>
  <c r="H1626" i="2"/>
  <c r="I1626" i="2" s="1"/>
  <c r="H1627" i="2"/>
  <c r="I1627" i="2" s="1"/>
  <c r="H1628" i="2"/>
  <c r="I1628" i="2" s="1"/>
  <c r="H1629" i="2"/>
  <c r="I1629" i="2" s="1"/>
  <c r="H1630" i="2"/>
  <c r="I1630" i="2" s="1"/>
  <c r="H1631" i="2"/>
  <c r="I1631" i="2" s="1"/>
  <c r="H1632" i="2"/>
  <c r="I1632" i="2" s="1"/>
  <c r="H1633" i="2"/>
  <c r="I1633" i="2" s="1"/>
  <c r="H1634" i="2"/>
  <c r="I1634" i="2" s="1"/>
  <c r="H1635" i="2"/>
  <c r="I1635" i="2" s="1"/>
  <c r="H1636" i="2"/>
  <c r="I1636" i="2" s="1"/>
  <c r="H1637" i="2"/>
  <c r="I1637" i="2" s="1"/>
  <c r="H1638" i="2"/>
  <c r="I1638" i="2" s="1"/>
  <c r="H1639" i="2"/>
  <c r="I1639" i="2" s="1"/>
  <c r="H1640" i="2"/>
  <c r="I1640" i="2" s="1"/>
  <c r="H1641" i="2"/>
  <c r="I1641" i="2" s="1"/>
  <c r="H1642" i="2"/>
  <c r="I1642" i="2" s="1"/>
  <c r="H1643" i="2"/>
  <c r="I1643" i="2" s="1"/>
  <c r="H1644" i="2"/>
  <c r="I1644" i="2" s="1"/>
  <c r="H1645" i="2"/>
  <c r="I1645" i="2" s="1"/>
  <c r="H1646" i="2"/>
  <c r="I1646" i="2" s="1"/>
  <c r="H1647" i="2"/>
  <c r="I1647" i="2" s="1"/>
  <c r="H1648" i="2"/>
  <c r="I1648" i="2" s="1"/>
  <c r="H1649" i="2"/>
  <c r="I1649" i="2" s="1"/>
  <c r="H1650" i="2"/>
  <c r="I1650" i="2" s="1"/>
  <c r="H1651" i="2"/>
  <c r="I1651" i="2" s="1"/>
  <c r="H1652" i="2"/>
  <c r="I1652" i="2" s="1"/>
  <c r="H1653" i="2"/>
  <c r="I1653" i="2" s="1"/>
  <c r="H1654" i="2"/>
  <c r="I1654" i="2" s="1"/>
  <c r="H1655" i="2"/>
  <c r="I1655" i="2" s="1"/>
  <c r="H1656" i="2"/>
  <c r="I1656" i="2" s="1"/>
  <c r="H1657" i="2"/>
  <c r="I1657" i="2" s="1"/>
  <c r="H1658" i="2"/>
  <c r="I1658" i="2" s="1"/>
  <c r="H1659" i="2"/>
  <c r="I1659" i="2" s="1"/>
  <c r="H1660" i="2"/>
  <c r="I1660" i="2" s="1"/>
  <c r="H1661" i="2"/>
  <c r="I1661" i="2" s="1"/>
  <c r="H1662" i="2"/>
  <c r="I1662" i="2" s="1"/>
  <c r="H1663" i="2"/>
  <c r="I1663" i="2" s="1"/>
  <c r="H1664" i="2"/>
  <c r="I1664" i="2" s="1"/>
  <c r="H1665" i="2"/>
  <c r="I1665" i="2" s="1"/>
  <c r="H1666" i="2"/>
  <c r="I1666" i="2" s="1"/>
  <c r="H1667" i="2"/>
  <c r="I1667" i="2" s="1"/>
  <c r="H1668" i="2"/>
  <c r="I1668" i="2" s="1"/>
  <c r="H1669" i="2"/>
  <c r="I1669" i="2" s="1"/>
  <c r="H1670" i="2"/>
  <c r="I1670" i="2" s="1"/>
  <c r="H1671" i="2"/>
  <c r="I1671" i="2" s="1"/>
  <c r="H1672" i="2"/>
  <c r="I1672" i="2" s="1"/>
  <c r="H1673" i="2"/>
  <c r="I1673" i="2" s="1"/>
  <c r="H1674" i="2"/>
  <c r="I1674" i="2" s="1"/>
  <c r="H1675" i="2"/>
  <c r="I1675" i="2" s="1"/>
  <c r="H1676" i="2"/>
  <c r="I1676" i="2" s="1"/>
  <c r="H1677" i="2"/>
  <c r="I1677" i="2" s="1"/>
  <c r="H1678" i="2"/>
  <c r="I1678" i="2" s="1"/>
  <c r="H1679" i="2"/>
  <c r="I1679" i="2" s="1"/>
  <c r="H1680" i="2"/>
  <c r="I1680" i="2" s="1"/>
  <c r="H1681" i="2"/>
  <c r="I1681" i="2" s="1"/>
  <c r="H1682" i="2"/>
  <c r="I1682" i="2" s="1"/>
  <c r="H1683" i="2"/>
  <c r="I1683" i="2" s="1"/>
  <c r="H1684" i="2"/>
  <c r="I1684" i="2" s="1"/>
  <c r="H1685" i="2"/>
  <c r="I1685" i="2" s="1"/>
  <c r="H1686" i="2"/>
  <c r="I1686" i="2" s="1"/>
  <c r="H1687" i="2"/>
  <c r="I1687" i="2" s="1"/>
  <c r="H1688" i="2"/>
  <c r="I1688" i="2" s="1"/>
  <c r="H1689" i="2"/>
  <c r="I1689" i="2" s="1"/>
  <c r="H1690" i="2"/>
  <c r="I1690" i="2" s="1"/>
  <c r="H1691" i="2"/>
  <c r="I1691" i="2" s="1"/>
  <c r="H1692" i="2"/>
  <c r="I1692" i="2" s="1"/>
  <c r="H1693" i="2"/>
  <c r="I1693" i="2" s="1"/>
  <c r="H1694" i="2"/>
  <c r="I1694" i="2" s="1"/>
  <c r="H1695" i="2"/>
  <c r="I1695" i="2" s="1"/>
  <c r="H1696" i="2"/>
  <c r="I1696" i="2" s="1"/>
  <c r="H1697" i="2"/>
  <c r="I1697" i="2" s="1"/>
  <c r="H1698" i="2"/>
  <c r="I1698" i="2" s="1"/>
  <c r="H1699" i="2"/>
  <c r="I1699" i="2" s="1"/>
  <c r="H1700" i="2"/>
  <c r="I1700" i="2" s="1"/>
  <c r="H1701" i="2"/>
  <c r="I1701" i="2" s="1"/>
  <c r="H1702" i="2"/>
  <c r="I1702" i="2" s="1"/>
  <c r="H1703" i="2"/>
  <c r="I1703" i="2" s="1"/>
  <c r="H1704" i="2"/>
  <c r="I1704" i="2" s="1"/>
  <c r="H1705" i="2"/>
  <c r="I1705" i="2" s="1"/>
  <c r="H1706" i="2"/>
  <c r="I1706" i="2" s="1"/>
  <c r="H1707" i="2"/>
  <c r="I1707" i="2" s="1"/>
  <c r="H1708" i="2"/>
  <c r="I1708" i="2" s="1"/>
  <c r="H1709" i="2"/>
  <c r="I1709" i="2" s="1"/>
  <c r="H1710" i="2"/>
  <c r="I1710" i="2" s="1"/>
  <c r="H1711" i="2"/>
  <c r="I1711" i="2" s="1"/>
  <c r="H1712" i="2"/>
  <c r="I1712" i="2" s="1"/>
  <c r="H1713" i="2"/>
  <c r="I1713" i="2" s="1"/>
  <c r="H1714" i="2"/>
  <c r="I1714" i="2" s="1"/>
  <c r="H1715" i="2"/>
  <c r="I1715" i="2" s="1"/>
  <c r="H1716" i="2"/>
  <c r="I1716" i="2" s="1"/>
  <c r="H1717" i="2"/>
  <c r="I1717" i="2" s="1"/>
  <c r="H1718" i="2"/>
  <c r="I1718" i="2" s="1"/>
  <c r="H1719" i="2"/>
  <c r="I1719" i="2" s="1"/>
  <c r="H1720" i="2"/>
  <c r="I1720" i="2" s="1"/>
  <c r="H1721" i="2"/>
  <c r="I1721" i="2" s="1"/>
  <c r="H1722" i="2"/>
  <c r="I1722" i="2" s="1"/>
  <c r="H1723" i="2"/>
  <c r="I1723" i="2" s="1"/>
  <c r="H1724" i="2"/>
  <c r="I1724" i="2" s="1"/>
  <c r="H1725" i="2"/>
  <c r="I1725" i="2" s="1"/>
  <c r="H1726" i="2"/>
  <c r="I1726" i="2" s="1"/>
  <c r="H1727" i="2"/>
  <c r="I1727" i="2" s="1"/>
  <c r="H1728" i="2"/>
  <c r="I1728" i="2" s="1"/>
  <c r="H1729" i="2"/>
  <c r="I1729" i="2" s="1"/>
  <c r="H1730" i="2"/>
  <c r="I1730" i="2" s="1"/>
  <c r="H1731" i="2"/>
  <c r="I1731" i="2" s="1"/>
  <c r="H1732" i="2"/>
  <c r="I1732" i="2" s="1"/>
  <c r="H1733" i="2"/>
  <c r="I1733" i="2" s="1"/>
  <c r="H1734" i="2"/>
  <c r="I1734" i="2" s="1"/>
  <c r="H1735" i="2"/>
  <c r="I1735" i="2" s="1"/>
  <c r="H1736" i="2"/>
  <c r="I1736" i="2" s="1"/>
  <c r="H1737" i="2"/>
  <c r="I1737" i="2" s="1"/>
  <c r="H1738" i="2"/>
  <c r="I1738" i="2" s="1"/>
  <c r="H1739" i="2"/>
  <c r="I1739" i="2" s="1"/>
  <c r="H1740" i="2"/>
  <c r="I1740" i="2" s="1"/>
  <c r="H1741" i="2"/>
  <c r="I1741" i="2" s="1"/>
  <c r="H1742" i="2"/>
  <c r="I1742" i="2" s="1"/>
  <c r="H1743" i="2"/>
  <c r="I1743" i="2" s="1"/>
  <c r="H1744" i="2"/>
  <c r="I1744" i="2" s="1"/>
  <c r="H1745" i="2"/>
  <c r="I1745" i="2" s="1"/>
  <c r="H1746" i="2"/>
  <c r="I1746" i="2" s="1"/>
  <c r="H1747" i="2"/>
  <c r="I1747" i="2" s="1"/>
  <c r="H1748" i="2"/>
  <c r="I1748" i="2" s="1"/>
  <c r="H1749" i="2"/>
  <c r="I1749" i="2" s="1"/>
  <c r="H1750" i="2"/>
  <c r="I1750" i="2" s="1"/>
  <c r="H1751" i="2"/>
  <c r="I1751" i="2" s="1"/>
  <c r="H1752" i="2"/>
  <c r="I1752" i="2" s="1"/>
  <c r="H1753" i="2"/>
  <c r="I1753" i="2" s="1"/>
  <c r="H1754" i="2"/>
  <c r="I1754" i="2" s="1"/>
  <c r="H1755" i="2"/>
  <c r="I1755" i="2" s="1"/>
  <c r="H1756" i="2"/>
  <c r="I1756" i="2" s="1"/>
  <c r="H1757" i="2"/>
  <c r="I1757" i="2" s="1"/>
  <c r="H1758" i="2"/>
  <c r="I1758" i="2" s="1"/>
  <c r="H1759" i="2"/>
  <c r="I1759" i="2" s="1"/>
  <c r="H1760" i="2"/>
  <c r="I1760" i="2" s="1"/>
  <c r="H1761" i="2"/>
  <c r="I1761" i="2" s="1"/>
  <c r="H1762" i="2"/>
  <c r="I1762" i="2" s="1"/>
  <c r="H1763" i="2"/>
  <c r="I1763" i="2" s="1"/>
  <c r="H1764" i="2"/>
  <c r="I1764" i="2" s="1"/>
  <c r="H1765" i="2"/>
  <c r="I1765" i="2" s="1"/>
  <c r="H1766" i="2"/>
  <c r="I1766" i="2" s="1"/>
  <c r="H1767" i="2"/>
  <c r="I1767" i="2" s="1"/>
  <c r="H1768" i="2"/>
  <c r="I1768" i="2" s="1"/>
  <c r="H1769" i="2"/>
  <c r="I1769" i="2" s="1"/>
  <c r="H1770" i="2"/>
  <c r="I1770" i="2" s="1"/>
  <c r="H1771" i="2"/>
  <c r="I1771" i="2" s="1"/>
  <c r="H1772" i="2"/>
  <c r="I1772" i="2" s="1"/>
  <c r="H1773" i="2"/>
  <c r="I1773" i="2" s="1"/>
  <c r="H1774" i="2"/>
  <c r="I1774" i="2" s="1"/>
  <c r="H1775" i="2"/>
  <c r="I1775" i="2" s="1"/>
  <c r="H1776" i="2"/>
  <c r="I1776" i="2" s="1"/>
  <c r="H1777" i="2"/>
  <c r="I1777" i="2" s="1"/>
  <c r="H1778" i="2"/>
  <c r="I1778" i="2" s="1"/>
  <c r="H1779" i="2"/>
  <c r="I1779" i="2" s="1"/>
  <c r="H1780" i="2"/>
  <c r="I1780" i="2" s="1"/>
  <c r="H1781" i="2"/>
  <c r="I1781" i="2" s="1"/>
  <c r="H1782" i="2"/>
  <c r="I1782" i="2" s="1"/>
  <c r="H1783" i="2"/>
  <c r="I1783" i="2" s="1"/>
  <c r="H1784" i="2"/>
  <c r="I1784" i="2" s="1"/>
  <c r="H1785" i="2"/>
  <c r="I1785" i="2" s="1"/>
  <c r="H1786" i="2"/>
  <c r="I1786" i="2" s="1"/>
  <c r="H1787" i="2"/>
  <c r="I1787" i="2" s="1"/>
  <c r="H1788" i="2"/>
  <c r="I1788" i="2" s="1"/>
  <c r="H1789" i="2"/>
  <c r="I1789" i="2" s="1"/>
  <c r="H1790" i="2"/>
  <c r="I1790" i="2" s="1"/>
  <c r="H1791" i="2"/>
  <c r="I1791" i="2" s="1"/>
  <c r="H1792" i="2"/>
  <c r="I1792" i="2" s="1"/>
  <c r="H1793" i="2"/>
  <c r="I1793" i="2" s="1"/>
  <c r="H1794" i="2"/>
  <c r="I1794" i="2" s="1"/>
  <c r="H1795" i="2"/>
  <c r="I1795" i="2" s="1"/>
  <c r="H1796" i="2"/>
  <c r="I1796" i="2" s="1"/>
  <c r="H1797" i="2"/>
  <c r="I1797" i="2" s="1"/>
  <c r="H1798" i="2"/>
  <c r="I1798" i="2" s="1"/>
  <c r="H1799" i="2"/>
  <c r="I1799" i="2" s="1"/>
  <c r="H1800" i="2"/>
  <c r="I1800" i="2" s="1"/>
  <c r="H1801" i="2"/>
  <c r="I1801" i="2" s="1"/>
  <c r="H1802" i="2"/>
  <c r="I1802" i="2" s="1"/>
  <c r="H1803" i="2"/>
  <c r="I1803" i="2" s="1"/>
  <c r="H1804" i="2"/>
  <c r="I1804" i="2" s="1"/>
  <c r="H1805" i="2"/>
  <c r="I1805" i="2" s="1"/>
  <c r="H1806" i="2"/>
  <c r="I1806" i="2" s="1"/>
  <c r="H1807" i="2"/>
  <c r="I1807" i="2" s="1"/>
  <c r="H1808" i="2"/>
  <c r="I1808" i="2" s="1"/>
  <c r="H1809" i="2"/>
  <c r="I1809" i="2" s="1"/>
  <c r="H1810" i="2"/>
  <c r="I1810" i="2" s="1"/>
  <c r="H1811" i="2"/>
  <c r="I1811" i="2" s="1"/>
  <c r="H1812" i="2"/>
  <c r="I1812" i="2" s="1"/>
  <c r="H1813" i="2"/>
  <c r="I1813" i="2" s="1"/>
  <c r="H1814" i="2"/>
  <c r="I1814" i="2" s="1"/>
  <c r="H1815" i="2"/>
  <c r="I1815" i="2" s="1"/>
  <c r="H1816" i="2"/>
  <c r="I1816" i="2" s="1"/>
  <c r="H1817" i="2"/>
  <c r="I1817" i="2" s="1"/>
  <c r="H1818" i="2"/>
  <c r="I1818" i="2" s="1"/>
  <c r="H1819" i="2"/>
  <c r="I1819" i="2" s="1"/>
  <c r="H1820" i="2"/>
  <c r="I1820" i="2" s="1"/>
  <c r="H1821" i="2"/>
  <c r="I1821" i="2" s="1"/>
  <c r="H1822" i="2"/>
  <c r="I1822" i="2" s="1"/>
  <c r="H1823" i="2"/>
  <c r="I1823" i="2" s="1"/>
  <c r="H1824" i="2"/>
  <c r="I1824" i="2" s="1"/>
  <c r="H1825" i="2"/>
  <c r="I1825" i="2" s="1"/>
  <c r="H1826" i="2"/>
  <c r="I1826" i="2" s="1"/>
  <c r="H1827" i="2"/>
  <c r="I1827" i="2" s="1"/>
  <c r="H1828" i="2"/>
  <c r="I1828" i="2" s="1"/>
  <c r="H1829" i="2"/>
  <c r="I1829" i="2" s="1"/>
  <c r="H1830" i="2"/>
  <c r="I1830" i="2" s="1"/>
  <c r="H1831" i="2"/>
  <c r="I1831" i="2" s="1"/>
  <c r="H1832" i="2"/>
  <c r="I1832" i="2" s="1"/>
  <c r="H1833" i="2"/>
  <c r="I1833" i="2" s="1"/>
  <c r="H1834" i="2"/>
  <c r="I1834" i="2" s="1"/>
  <c r="H1835" i="2"/>
  <c r="I1835" i="2" s="1"/>
  <c r="H1836" i="2"/>
  <c r="I1836" i="2" s="1"/>
  <c r="H1837" i="2"/>
  <c r="I1837" i="2" s="1"/>
  <c r="H1838" i="2"/>
  <c r="I1838" i="2" s="1"/>
  <c r="H1839" i="2"/>
  <c r="I1839" i="2" s="1"/>
  <c r="H1840" i="2"/>
  <c r="I1840" i="2" s="1"/>
  <c r="H1841" i="2"/>
  <c r="I1841" i="2" s="1"/>
  <c r="H1842" i="2"/>
  <c r="I1842" i="2" s="1"/>
  <c r="H1843" i="2"/>
  <c r="I1843" i="2" s="1"/>
  <c r="H1844" i="2"/>
  <c r="I1844" i="2" s="1"/>
  <c r="H1845" i="2"/>
  <c r="I1845" i="2" s="1"/>
  <c r="H1846" i="2"/>
  <c r="I1846" i="2" s="1"/>
  <c r="H1847" i="2"/>
  <c r="I1847" i="2" s="1"/>
  <c r="H1848" i="2"/>
  <c r="I1848" i="2" s="1"/>
  <c r="H1849" i="2"/>
  <c r="I1849" i="2" s="1"/>
  <c r="H1850" i="2"/>
  <c r="I1850" i="2" s="1"/>
  <c r="H1851" i="2"/>
  <c r="I1851" i="2" s="1"/>
  <c r="H1852" i="2"/>
  <c r="I1852" i="2" s="1"/>
  <c r="H1853" i="2"/>
  <c r="I1853" i="2" s="1"/>
  <c r="H1854" i="2"/>
  <c r="I1854" i="2" s="1"/>
  <c r="H1855" i="2"/>
  <c r="I1855" i="2" s="1"/>
  <c r="H1856" i="2"/>
  <c r="I1856" i="2" s="1"/>
  <c r="H1857" i="2"/>
  <c r="I1857" i="2" s="1"/>
  <c r="H1858" i="2"/>
  <c r="I1858" i="2" s="1"/>
  <c r="H1859" i="2"/>
  <c r="I1859" i="2" s="1"/>
  <c r="H1860" i="2"/>
  <c r="I1860" i="2" s="1"/>
  <c r="H1861" i="2"/>
  <c r="I1861" i="2" s="1"/>
  <c r="H1862" i="2"/>
  <c r="I1862" i="2" s="1"/>
  <c r="H1863" i="2"/>
  <c r="I1863" i="2" s="1"/>
  <c r="H1864" i="2"/>
  <c r="I1864" i="2" s="1"/>
  <c r="H1865" i="2"/>
  <c r="I1865" i="2" s="1"/>
  <c r="H1866" i="2"/>
  <c r="I1866" i="2" s="1"/>
  <c r="H1867" i="2"/>
  <c r="I1867" i="2" s="1"/>
  <c r="H1868" i="2"/>
  <c r="I1868" i="2" s="1"/>
  <c r="H1869" i="2"/>
  <c r="I1869" i="2" s="1"/>
  <c r="H1870" i="2"/>
  <c r="I1870" i="2" s="1"/>
  <c r="H1871" i="2"/>
  <c r="I1871" i="2" s="1"/>
  <c r="H1872" i="2"/>
  <c r="I1872" i="2" s="1"/>
  <c r="H1873" i="2"/>
  <c r="I1873" i="2" s="1"/>
  <c r="H1874" i="2"/>
  <c r="I1874" i="2" s="1"/>
  <c r="H1875" i="2"/>
  <c r="I1875" i="2" s="1"/>
  <c r="H1876" i="2"/>
  <c r="I1876" i="2" s="1"/>
  <c r="H1877" i="2"/>
  <c r="I1877" i="2" s="1"/>
  <c r="H1878" i="2"/>
  <c r="I1878" i="2" s="1"/>
  <c r="H1879" i="2"/>
  <c r="I1879" i="2" s="1"/>
  <c r="H1880" i="2"/>
  <c r="I1880" i="2" s="1"/>
  <c r="H1881" i="2"/>
  <c r="I1881" i="2" s="1"/>
  <c r="H1882" i="2"/>
  <c r="I1882" i="2" s="1"/>
  <c r="H1883" i="2"/>
  <c r="I1883" i="2" s="1"/>
  <c r="H1884" i="2"/>
  <c r="I1884" i="2" s="1"/>
  <c r="H1885" i="2"/>
  <c r="I1885" i="2" s="1"/>
  <c r="H1886" i="2"/>
  <c r="I1886" i="2" s="1"/>
  <c r="H1887" i="2"/>
  <c r="I1887" i="2" s="1"/>
  <c r="H1888" i="2"/>
  <c r="I1888" i="2" s="1"/>
  <c r="H1889" i="2"/>
  <c r="I1889" i="2" s="1"/>
  <c r="H1890" i="2"/>
  <c r="I1890" i="2" s="1"/>
  <c r="H1891" i="2"/>
  <c r="I1891" i="2" s="1"/>
  <c r="H1892" i="2"/>
  <c r="I1892" i="2" s="1"/>
  <c r="H1893" i="2"/>
  <c r="I1893" i="2" s="1"/>
  <c r="H1894" i="2"/>
  <c r="I1894" i="2" s="1"/>
  <c r="H1895" i="2"/>
  <c r="I1895" i="2" s="1"/>
  <c r="H1896" i="2"/>
  <c r="I1896" i="2" s="1"/>
  <c r="H1897" i="2"/>
  <c r="I1897" i="2" s="1"/>
  <c r="H1898" i="2"/>
  <c r="I1898" i="2" s="1"/>
  <c r="H1899" i="2"/>
  <c r="I1899" i="2" s="1"/>
  <c r="H1900" i="2"/>
  <c r="I1900" i="2" s="1"/>
  <c r="H1901" i="2"/>
  <c r="I1901" i="2" s="1"/>
  <c r="H1902" i="2"/>
  <c r="I1902" i="2" s="1"/>
  <c r="H1903" i="2"/>
  <c r="I1903" i="2" s="1"/>
  <c r="H1904" i="2"/>
  <c r="I1904" i="2" s="1"/>
  <c r="H1905" i="2"/>
  <c r="I1905" i="2" s="1"/>
  <c r="H1906" i="2"/>
  <c r="I1906" i="2" s="1"/>
  <c r="H1907" i="2"/>
  <c r="I1907" i="2" s="1"/>
  <c r="H1908" i="2"/>
  <c r="I1908" i="2" s="1"/>
  <c r="H1909" i="2"/>
  <c r="I1909" i="2" s="1"/>
  <c r="H1910" i="2"/>
  <c r="I1910" i="2" s="1"/>
  <c r="H1911" i="2"/>
  <c r="I1911" i="2" s="1"/>
  <c r="H1912" i="2"/>
  <c r="I1912" i="2" s="1"/>
  <c r="H1913" i="2"/>
  <c r="I1913" i="2" s="1"/>
  <c r="H1914" i="2"/>
  <c r="I1914" i="2" s="1"/>
  <c r="H1915" i="2"/>
  <c r="I1915" i="2" s="1"/>
  <c r="H1916" i="2"/>
  <c r="I1916" i="2" s="1"/>
  <c r="H1917" i="2"/>
  <c r="I1917" i="2" s="1"/>
  <c r="H1918" i="2"/>
  <c r="I1918" i="2" s="1"/>
  <c r="H1919" i="2"/>
  <c r="I1919" i="2" s="1"/>
  <c r="H1920" i="2"/>
  <c r="I1920" i="2" s="1"/>
  <c r="H1921" i="2"/>
  <c r="I1921" i="2" s="1"/>
  <c r="H1922" i="2"/>
  <c r="I1922" i="2" s="1"/>
  <c r="H1923" i="2"/>
  <c r="I1923" i="2" s="1"/>
  <c r="H1924" i="2"/>
  <c r="I1924" i="2" s="1"/>
  <c r="H1925" i="2"/>
  <c r="I1925" i="2" s="1"/>
  <c r="H1926" i="2"/>
  <c r="I1926" i="2" s="1"/>
  <c r="H1927" i="2"/>
  <c r="I1927" i="2" s="1"/>
  <c r="H1928" i="2"/>
  <c r="I1928" i="2" s="1"/>
  <c r="H1929" i="2"/>
  <c r="I1929" i="2" s="1"/>
  <c r="H1930" i="2"/>
  <c r="I1930" i="2" s="1"/>
  <c r="H1931" i="2"/>
  <c r="I1931" i="2" s="1"/>
  <c r="H1932" i="2"/>
  <c r="I1932" i="2" s="1"/>
  <c r="H1933" i="2"/>
  <c r="I1933" i="2" s="1"/>
  <c r="H1934" i="2"/>
  <c r="I1934" i="2" s="1"/>
  <c r="H1935" i="2"/>
  <c r="I1935" i="2" s="1"/>
  <c r="H1936" i="2"/>
  <c r="I1936" i="2" s="1"/>
  <c r="H1937" i="2"/>
  <c r="I1937" i="2" s="1"/>
  <c r="H1938" i="2"/>
  <c r="I1938" i="2" s="1"/>
  <c r="H1939" i="2"/>
  <c r="I1939" i="2" s="1"/>
  <c r="H1940" i="2"/>
  <c r="I1940" i="2" s="1"/>
  <c r="H1941" i="2"/>
  <c r="I1941" i="2" s="1"/>
  <c r="H1942" i="2"/>
  <c r="I1942" i="2" s="1"/>
  <c r="H1943" i="2"/>
  <c r="I1943" i="2" s="1"/>
  <c r="H1944" i="2"/>
  <c r="I1944" i="2" s="1"/>
  <c r="H1945" i="2"/>
  <c r="I1945" i="2" s="1"/>
  <c r="H1946" i="2"/>
  <c r="I1946" i="2" s="1"/>
  <c r="H1947" i="2"/>
  <c r="I1947" i="2" s="1"/>
  <c r="H1948" i="2"/>
  <c r="I1948" i="2" s="1"/>
  <c r="H1949" i="2"/>
  <c r="I1949" i="2" s="1"/>
  <c r="H1950" i="2"/>
  <c r="I1950" i="2" s="1"/>
  <c r="H1951" i="2"/>
  <c r="I1951" i="2" s="1"/>
  <c r="H1952" i="2"/>
  <c r="I1952" i="2" s="1"/>
  <c r="H1953" i="2"/>
  <c r="I1953" i="2" s="1"/>
  <c r="H1954" i="2"/>
  <c r="I1954" i="2" s="1"/>
  <c r="H1955" i="2"/>
  <c r="I1955" i="2" s="1"/>
  <c r="H1956" i="2"/>
  <c r="I1956" i="2" s="1"/>
  <c r="H1957" i="2"/>
  <c r="I1957" i="2" s="1"/>
  <c r="H1958" i="2"/>
  <c r="I1958" i="2" s="1"/>
  <c r="H1959" i="2"/>
  <c r="I1959" i="2" s="1"/>
  <c r="H1960" i="2"/>
  <c r="I1960" i="2" s="1"/>
  <c r="H1961" i="2"/>
  <c r="I1961" i="2" s="1"/>
  <c r="H1962" i="2"/>
  <c r="I1962" i="2" s="1"/>
  <c r="H1963" i="2"/>
  <c r="I1963" i="2" s="1"/>
  <c r="H1964" i="2"/>
  <c r="I1964" i="2" s="1"/>
  <c r="H1965" i="2"/>
  <c r="I1965" i="2" s="1"/>
  <c r="H1966" i="2"/>
  <c r="I1966" i="2" s="1"/>
  <c r="H1967" i="2"/>
  <c r="I1967" i="2" s="1"/>
  <c r="H1968" i="2"/>
  <c r="I1968" i="2" s="1"/>
  <c r="H1969" i="2"/>
  <c r="I1969" i="2" s="1"/>
  <c r="H1970" i="2"/>
  <c r="I1970" i="2" s="1"/>
  <c r="H1971" i="2"/>
  <c r="I1971" i="2" s="1"/>
  <c r="H1972" i="2"/>
  <c r="I1972" i="2" s="1"/>
  <c r="H1973" i="2"/>
  <c r="I1973" i="2" s="1"/>
  <c r="H1974" i="2"/>
  <c r="I1974" i="2" s="1"/>
  <c r="H1975" i="2"/>
  <c r="I1975" i="2" s="1"/>
  <c r="H1976" i="2"/>
  <c r="I1976" i="2" s="1"/>
  <c r="H1977" i="2"/>
  <c r="I1977" i="2" s="1"/>
  <c r="H1978" i="2"/>
  <c r="I1978" i="2" s="1"/>
  <c r="H1979" i="2"/>
  <c r="I1979" i="2" s="1"/>
  <c r="H1980" i="2"/>
  <c r="I1980" i="2" s="1"/>
  <c r="H1981" i="2"/>
  <c r="I1981" i="2" s="1"/>
  <c r="H1982" i="2"/>
  <c r="I1982" i="2" s="1"/>
  <c r="H1983" i="2"/>
  <c r="I1983" i="2" s="1"/>
  <c r="H1984" i="2"/>
  <c r="I1984" i="2" s="1"/>
  <c r="H1985" i="2"/>
  <c r="I1985" i="2" s="1"/>
  <c r="H1986" i="2"/>
  <c r="I1986" i="2" s="1"/>
  <c r="H1987" i="2"/>
  <c r="I1987" i="2" s="1"/>
  <c r="H1988" i="2"/>
  <c r="I1988" i="2" s="1"/>
  <c r="H1989" i="2"/>
  <c r="I1989" i="2" s="1"/>
  <c r="H1990" i="2"/>
  <c r="I1990" i="2" s="1"/>
  <c r="H1991" i="2"/>
  <c r="I1991" i="2" s="1"/>
  <c r="H1992" i="2"/>
  <c r="I1992" i="2" s="1"/>
  <c r="H1993" i="2"/>
  <c r="I1993" i="2" s="1"/>
  <c r="H1994" i="2"/>
  <c r="I1994" i="2" s="1"/>
  <c r="H1995" i="2"/>
  <c r="I1995" i="2" s="1"/>
  <c r="H1996" i="2"/>
  <c r="I1996" i="2" s="1"/>
  <c r="H1997" i="2"/>
  <c r="I1997" i="2" s="1"/>
  <c r="H1998" i="2"/>
  <c r="I1998" i="2" s="1"/>
  <c r="H1999" i="2"/>
  <c r="I1999" i="2" s="1"/>
  <c r="H2000" i="2"/>
  <c r="I2000" i="2" s="1"/>
  <c r="H2001" i="2"/>
  <c r="I2001" i="2" s="1"/>
  <c r="H2002" i="2"/>
  <c r="I2002" i="2" s="1"/>
  <c r="H2003" i="2"/>
  <c r="I2003" i="2" s="1"/>
  <c r="H2004" i="2"/>
  <c r="I2004" i="2" s="1"/>
  <c r="H2005" i="2"/>
  <c r="I2005" i="2" s="1"/>
  <c r="H2006" i="2"/>
  <c r="I2006" i="2" s="1"/>
  <c r="H2007" i="2"/>
  <c r="I2007" i="2" s="1"/>
  <c r="H2008" i="2"/>
  <c r="I2008" i="2" s="1"/>
  <c r="H2009" i="2"/>
  <c r="I2009" i="2" s="1"/>
  <c r="H2010" i="2"/>
  <c r="I2010" i="2" s="1"/>
  <c r="H2011" i="2"/>
  <c r="I2011" i="2" s="1"/>
  <c r="H2012" i="2"/>
  <c r="I2012" i="2" s="1"/>
  <c r="H2013" i="2"/>
  <c r="I2013" i="2" s="1"/>
  <c r="H2014" i="2"/>
  <c r="I2014" i="2" s="1"/>
  <c r="H2015" i="2"/>
  <c r="I2015" i="2" s="1"/>
  <c r="H2016" i="2"/>
  <c r="I2016" i="2" s="1"/>
  <c r="H2017" i="2"/>
  <c r="I2017" i="2" s="1"/>
  <c r="H2018" i="2"/>
  <c r="I2018" i="2" s="1"/>
  <c r="H2019" i="2"/>
  <c r="I2019" i="2" s="1"/>
  <c r="H2020" i="2"/>
  <c r="I2020" i="2" s="1"/>
  <c r="H2021" i="2"/>
  <c r="I2021" i="2" s="1"/>
  <c r="H2022" i="2"/>
  <c r="I2022" i="2" s="1"/>
  <c r="H2023" i="2"/>
  <c r="I2023" i="2" s="1"/>
  <c r="H2024" i="2"/>
  <c r="I2024" i="2" s="1"/>
  <c r="H2025" i="2"/>
  <c r="I2025" i="2" s="1"/>
  <c r="H2026" i="2"/>
  <c r="I2026" i="2" s="1"/>
  <c r="H2027" i="2"/>
  <c r="I2027" i="2" s="1"/>
  <c r="H2028" i="2"/>
  <c r="I2028" i="2" s="1"/>
  <c r="H2029" i="2"/>
  <c r="I2029" i="2" s="1"/>
  <c r="H2030" i="2"/>
  <c r="I2030" i="2" s="1"/>
  <c r="H2031" i="2"/>
  <c r="I2031" i="2" s="1"/>
  <c r="H2032" i="2"/>
  <c r="I2032" i="2" s="1"/>
  <c r="H2033" i="2"/>
  <c r="I2033" i="2" s="1"/>
  <c r="H2034" i="2"/>
  <c r="I2034" i="2" s="1"/>
  <c r="H2035" i="2"/>
  <c r="I2035" i="2" s="1"/>
  <c r="H2036" i="2"/>
  <c r="I2036" i="2" s="1"/>
  <c r="H2037" i="2"/>
  <c r="I2037" i="2" s="1"/>
  <c r="H2038" i="2"/>
  <c r="I2038" i="2" s="1"/>
  <c r="H2039" i="2"/>
  <c r="I2039" i="2" s="1"/>
  <c r="H2040" i="2"/>
  <c r="I2040" i="2" s="1"/>
  <c r="H2041" i="2"/>
  <c r="I2041" i="2" s="1"/>
  <c r="H2042" i="2"/>
  <c r="I2042" i="2" s="1"/>
  <c r="H2043" i="2"/>
  <c r="I2043" i="2" s="1"/>
  <c r="H2044" i="2"/>
  <c r="I2044" i="2" s="1"/>
  <c r="H2045" i="2"/>
  <c r="I2045" i="2" s="1"/>
  <c r="H2046" i="2"/>
  <c r="I2046" i="2" s="1"/>
  <c r="H2047" i="2"/>
  <c r="I2047" i="2" s="1"/>
  <c r="H2048" i="2"/>
  <c r="I2048" i="2" s="1"/>
  <c r="H2049" i="2"/>
  <c r="I2049" i="2" s="1"/>
  <c r="H2050" i="2"/>
  <c r="I2050" i="2" s="1"/>
  <c r="H2051" i="2"/>
  <c r="I2051" i="2" s="1"/>
  <c r="H2052" i="2"/>
  <c r="I2052" i="2" s="1"/>
  <c r="H2053" i="2"/>
  <c r="I2053" i="2" s="1"/>
  <c r="H2054" i="2"/>
  <c r="I2054" i="2" s="1"/>
  <c r="H2055" i="2"/>
  <c r="I2055" i="2" s="1"/>
  <c r="H2056" i="2"/>
  <c r="I2056" i="2" s="1"/>
  <c r="H2057" i="2"/>
  <c r="I2057" i="2" s="1"/>
  <c r="H2058" i="2"/>
  <c r="I2058" i="2" s="1"/>
  <c r="H2059" i="2"/>
  <c r="I2059" i="2" s="1"/>
  <c r="H2060" i="2"/>
  <c r="I2060" i="2" s="1"/>
  <c r="H2061" i="2"/>
  <c r="I2061" i="2" s="1"/>
  <c r="H2062" i="2"/>
  <c r="I2062" i="2" s="1"/>
  <c r="H2063" i="2"/>
  <c r="I2063" i="2" s="1"/>
  <c r="H2064" i="2"/>
  <c r="I2064" i="2" s="1"/>
  <c r="H2065" i="2"/>
  <c r="I2065" i="2" s="1"/>
  <c r="H2066" i="2"/>
  <c r="I2066" i="2" s="1"/>
  <c r="H2067" i="2"/>
  <c r="I2067" i="2" s="1"/>
  <c r="H2068" i="2"/>
  <c r="I2068" i="2" s="1"/>
  <c r="H2069" i="2"/>
  <c r="I2069" i="2" s="1"/>
  <c r="H2070" i="2"/>
  <c r="I2070" i="2" s="1"/>
  <c r="H2071" i="2"/>
  <c r="I2071" i="2" s="1"/>
  <c r="H2072" i="2"/>
  <c r="I2072" i="2" s="1"/>
  <c r="H2073" i="2"/>
  <c r="I2073" i="2" s="1"/>
  <c r="H2074" i="2"/>
  <c r="I2074" i="2" s="1"/>
  <c r="H2075" i="2"/>
  <c r="I2075" i="2" s="1"/>
  <c r="H2076" i="2"/>
  <c r="I2076" i="2" s="1"/>
  <c r="H2077" i="2"/>
  <c r="I2077" i="2" s="1"/>
  <c r="H2078" i="2"/>
  <c r="I2078" i="2" s="1"/>
  <c r="H2079" i="2"/>
  <c r="I2079" i="2" s="1"/>
  <c r="H2080" i="2"/>
  <c r="I2080" i="2" s="1"/>
  <c r="H2081" i="2"/>
  <c r="I2081" i="2" s="1"/>
  <c r="H2082" i="2"/>
  <c r="I2082" i="2" s="1"/>
  <c r="H2083" i="2"/>
  <c r="I2083" i="2" s="1"/>
  <c r="H2084" i="2"/>
  <c r="I2084" i="2" s="1"/>
  <c r="H2085" i="2"/>
  <c r="I2085" i="2" s="1"/>
  <c r="H2086" i="2"/>
  <c r="I2086" i="2" s="1"/>
  <c r="H2087" i="2"/>
  <c r="I2087" i="2" s="1"/>
  <c r="H2088" i="2"/>
  <c r="I2088" i="2" s="1"/>
  <c r="H2089" i="2"/>
  <c r="I2089" i="2" s="1"/>
  <c r="H2090" i="2"/>
  <c r="I2090" i="2" s="1"/>
  <c r="H2091" i="2"/>
  <c r="I2091" i="2" s="1"/>
  <c r="H2092" i="2"/>
  <c r="I2092" i="2" s="1"/>
  <c r="H2093" i="2"/>
  <c r="I2093" i="2" s="1"/>
  <c r="H2094" i="2"/>
  <c r="I2094" i="2" s="1"/>
  <c r="H2095" i="2"/>
  <c r="I2095" i="2" s="1"/>
  <c r="H2096" i="2"/>
  <c r="I2096" i="2" s="1"/>
  <c r="H2097" i="2"/>
  <c r="I2097" i="2" s="1"/>
  <c r="H2098" i="2"/>
  <c r="I2098" i="2" s="1"/>
  <c r="H2099" i="2"/>
  <c r="I2099" i="2" s="1"/>
  <c r="H2100" i="2"/>
  <c r="I2100" i="2" s="1"/>
  <c r="H2101" i="2"/>
  <c r="I2101" i="2" s="1"/>
  <c r="H2102" i="2"/>
  <c r="I2102" i="2" s="1"/>
  <c r="H2103" i="2"/>
  <c r="I2103" i="2" s="1"/>
  <c r="H2104" i="2"/>
  <c r="I2104" i="2" s="1"/>
  <c r="H2105" i="2"/>
  <c r="I2105" i="2" s="1"/>
  <c r="H2106" i="2"/>
  <c r="I2106" i="2" s="1"/>
  <c r="H2107" i="2"/>
  <c r="I2107" i="2" s="1"/>
  <c r="H2108" i="2"/>
  <c r="I2108" i="2" s="1"/>
  <c r="H2109" i="2"/>
  <c r="I2109" i="2" s="1"/>
  <c r="H2110" i="2"/>
  <c r="I2110" i="2" s="1"/>
  <c r="H2111" i="2"/>
  <c r="I2111" i="2" s="1"/>
  <c r="H2112" i="2"/>
  <c r="I2112" i="2" s="1"/>
  <c r="H2113" i="2"/>
  <c r="I2113" i="2" s="1"/>
  <c r="H2114" i="2"/>
  <c r="I2114" i="2" s="1"/>
  <c r="H2115" i="2"/>
  <c r="I2115" i="2" s="1"/>
  <c r="H2116" i="2"/>
  <c r="I2116" i="2" s="1"/>
  <c r="H2117" i="2"/>
  <c r="I2117" i="2" s="1"/>
  <c r="H2118" i="2"/>
  <c r="I2118" i="2" s="1"/>
  <c r="H2119" i="2"/>
  <c r="I2119" i="2" s="1"/>
  <c r="H2120" i="2"/>
  <c r="I2120" i="2" s="1"/>
  <c r="H2121" i="2"/>
  <c r="I2121" i="2" s="1"/>
  <c r="H2122" i="2"/>
  <c r="I2122" i="2" s="1"/>
  <c r="H2123" i="2"/>
  <c r="I2123" i="2" s="1"/>
  <c r="H2124" i="2"/>
  <c r="I2124" i="2" s="1"/>
  <c r="H2125" i="2"/>
  <c r="I2125" i="2" s="1"/>
  <c r="H2126" i="2"/>
  <c r="I2126" i="2" s="1"/>
  <c r="H2127" i="2"/>
  <c r="I2127" i="2" s="1"/>
  <c r="H2128" i="2"/>
  <c r="I2128" i="2" s="1"/>
  <c r="H2129" i="2"/>
  <c r="I2129" i="2" s="1"/>
  <c r="H2130" i="2"/>
  <c r="I2130" i="2" s="1"/>
  <c r="H2131" i="2"/>
  <c r="I2131" i="2" s="1"/>
  <c r="H2132" i="2"/>
  <c r="I2132" i="2" s="1"/>
  <c r="H2133" i="2"/>
  <c r="I2133" i="2" s="1"/>
  <c r="H2134" i="2"/>
  <c r="I2134" i="2" s="1"/>
  <c r="H2135" i="2"/>
  <c r="I2135" i="2" s="1"/>
  <c r="H2136" i="2"/>
  <c r="I2136" i="2" s="1"/>
  <c r="H2137" i="2"/>
  <c r="I2137" i="2" s="1"/>
  <c r="H2138" i="2"/>
  <c r="I2138" i="2" s="1"/>
  <c r="H2139" i="2"/>
  <c r="I2139" i="2" s="1"/>
  <c r="H2140" i="2"/>
  <c r="I2140" i="2" s="1"/>
  <c r="H2141" i="2"/>
  <c r="I2141" i="2" s="1"/>
  <c r="H2142" i="2"/>
  <c r="I2142" i="2" s="1"/>
  <c r="H2143" i="2"/>
  <c r="I2143" i="2" s="1"/>
  <c r="H2144" i="2"/>
  <c r="I2144" i="2" s="1"/>
  <c r="H2145" i="2"/>
  <c r="I2145" i="2" s="1"/>
  <c r="H2146" i="2"/>
  <c r="I2146" i="2" s="1"/>
  <c r="H2147" i="2"/>
  <c r="I2147" i="2" s="1"/>
  <c r="H2148" i="2"/>
  <c r="I2148" i="2" s="1"/>
  <c r="H2149" i="2"/>
  <c r="I2149" i="2" s="1"/>
  <c r="H2150" i="2"/>
  <c r="I2150" i="2" s="1"/>
  <c r="H2151" i="2"/>
  <c r="I2151" i="2" s="1"/>
  <c r="H2152" i="2"/>
  <c r="I2152" i="2" s="1"/>
  <c r="H2153" i="2"/>
  <c r="I2153" i="2" s="1"/>
  <c r="H2154" i="2"/>
  <c r="I2154" i="2" s="1"/>
  <c r="H2155" i="2"/>
  <c r="I2155" i="2" s="1"/>
  <c r="H2156" i="2"/>
  <c r="I2156" i="2" s="1"/>
  <c r="H2157" i="2"/>
  <c r="I2157" i="2" s="1"/>
  <c r="H2158" i="2"/>
  <c r="I2158" i="2" s="1"/>
  <c r="H2159" i="2"/>
  <c r="I2159" i="2" s="1"/>
  <c r="H2160" i="2"/>
  <c r="I2160" i="2" s="1"/>
  <c r="H2161" i="2"/>
  <c r="I2161" i="2" s="1"/>
  <c r="H2162" i="2"/>
  <c r="I2162" i="2" s="1"/>
  <c r="H2163" i="2"/>
  <c r="I2163" i="2" s="1"/>
  <c r="H2164" i="2"/>
  <c r="I2164" i="2" s="1"/>
  <c r="H2165" i="2"/>
  <c r="I2165" i="2" s="1"/>
  <c r="H2166" i="2"/>
  <c r="I2166" i="2" s="1"/>
  <c r="H2167" i="2"/>
  <c r="I2167" i="2" s="1"/>
  <c r="H2168" i="2"/>
  <c r="I2168" i="2" s="1"/>
  <c r="H2169" i="2"/>
  <c r="I2169" i="2" s="1"/>
  <c r="H2170" i="2"/>
  <c r="I2170" i="2" s="1"/>
  <c r="H2171" i="2"/>
  <c r="I2171" i="2" s="1"/>
  <c r="H2172" i="2"/>
  <c r="I2172" i="2" s="1"/>
  <c r="H2173" i="2"/>
  <c r="I2173" i="2" s="1"/>
  <c r="H2174" i="2"/>
  <c r="I2174" i="2" s="1"/>
  <c r="H2175" i="2"/>
  <c r="I2175" i="2" s="1"/>
  <c r="H2176" i="2"/>
  <c r="I2176" i="2" s="1"/>
  <c r="H2177" i="2"/>
  <c r="I2177" i="2" s="1"/>
  <c r="H2178" i="2"/>
  <c r="I2178" i="2" s="1"/>
  <c r="H2179" i="2"/>
  <c r="I2179" i="2" s="1"/>
  <c r="H2180" i="2"/>
  <c r="I2180" i="2" s="1"/>
  <c r="H2181" i="2"/>
  <c r="I2181" i="2" s="1"/>
  <c r="H2182" i="2"/>
  <c r="I2182" i="2" s="1"/>
  <c r="H2183" i="2"/>
  <c r="I2183" i="2" s="1"/>
  <c r="H2184" i="2"/>
  <c r="I2184" i="2" s="1"/>
  <c r="H2185" i="2"/>
  <c r="I2185" i="2" s="1"/>
  <c r="H2186" i="2"/>
  <c r="I2186" i="2" s="1"/>
  <c r="H2187" i="2"/>
  <c r="I2187" i="2" s="1"/>
  <c r="H2188" i="2"/>
  <c r="I2188" i="2" s="1"/>
  <c r="H2189" i="2"/>
  <c r="I2189" i="2" s="1"/>
  <c r="H2190" i="2"/>
  <c r="I2190" i="2" s="1"/>
  <c r="H2191" i="2"/>
  <c r="I2191" i="2" s="1"/>
  <c r="H2192" i="2"/>
  <c r="I2192" i="2" s="1"/>
  <c r="H2193" i="2"/>
  <c r="I2193" i="2" s="1"/>
  <c r="H2194" i="2"/>
  <c r="I2194" i="2" s="1"/>
  <c r="H2195" i="2"/>
  <c r="I2195" i="2" s="1"/>
  <c r="H2196" i="2"/>
  <c r="I2196" i="2" s="1"/>
  <c r="H2197" i="2"/>
  <c r="I2197" i="2" s="1"/>
  <c r="H2198" i="2"/>
  <c r="I2198" i="2" s="1"/>
  <c r="H2199" i="2"/>
  <c r="I2199" i="2" s="1"/>
  <c r="H2200" i="2"/>
  <c r="I2200" i="2" s="1"/>
  <c r="H2201" i="2"/>
  <c r="I2201" i="2" s="1"/>
  <c r="H2202" i="2"/>
  <c r="I2202" i="2" s="1"/>
  <c r="H2203" i="2"/>
  <c r="I2203" i="2" s="1"/>
  <c r="H2204" i="2"/>
  <c r="I2204" i="2" s="1"/>
  <c r="H2205" i="2"/>
  <c r="I2205" i="2" s="1"/>
  <c r="H2206" i="2"/>
  <c r="I2206" i="2" s="1"/>
  <c r="H2207" i="2"/>
  <c r="I2207" i="2" s="1"/>
  <c r="H2208" i="2"/>
  <c r="I2208" i="2" s="1"/>
  <c r="H2209" i="2"/>
  <c r="I2209" i="2" s="1"/>
  <c r="H2210" i="2"/>
  <c r="I2210" i="2" s="1"/>
  <c r="H2211" i="2"/>
  <c r="I2211" i="2" s="1"/>
  <c r="H2212" i="2"/>
  <c r="I2212" i="2" s="1"/>
  <c r="H2213" i="2"/>
  <c r="I2213" i="2" s="1"/>
  <c r="H2214" i="2"/>
  <c r="I2214" i="2" s="1"/>
  <c r="H2215" i="2"/>
  <c r="I2215" i="2" s="1"/>
  <c r="H2216" i="2"/>
  <c r="I2216" i="2" s="1"/>
  <c r="H2217" i="2"/>
  <c r="I2217" i="2" s="1"/>
  <c r="H2218" i="2"/>
  <c r="I2218" i="2" s="1"/>
  <c r="H2219" i="2"/>
  <c r="I2219" i="2" s="1"/>
  <c r="H2220" i="2"/>
  <c r="I2220" i="2" s="1"/>
  <c r="H2221" i="2"/>
  <c r="I2221" i="2" s="1"/>
  <c r="H2222" i="2"/>
  <c r="I2222" i="2" s="1"/>
  <c r="H2223" i="2"/>
  <c r="I2223" i="2" s="1"/>
  <c r="H2224" i="2"/>
  <c r="I2224" i="2" s="1"/>
  <c r="H2225" i="2"/>
  <c r="I2225" i="2" s="1"/>
  <c r="H2226" i="2"/>
  <c r="I2226" i="2" s="1"/>
  <c r="H2227" i="2"/>
  <c r="I2227" i="2" s="1"/>
  <c r="H2228" i="2"/>
  <c r="I2228" i="2" s="1"/>
  <c r="H2229" i="2"/>
  <c r="I2229" i="2" s="1"/>
  <c r="H2230" i="2"/>
  <c r="I2230" i="2" s="1"/>
  <c r="H2231" i="2"/>
  <c r="I2231" i="2" s="1"/>
  <c r="H2232" i="2"/>
  <c r="I2232" i="2" s="1"/>
  <c r="H2233" i="2"/>
  <c r="I2233" i="2" s="1"/>
  <c r="H2234" i="2"/>
  <c r="I2234" i="2" s="1"/>
  <c r="H2235" i="2"/>
  <c r="I2235" i="2" s="1"/>
  <c r="H2236" i="2"/>
  <c r="I2236" i="2" s="1"/>
  <c r="H2237" i="2"/>
  <c r="I2237" i="2" s="1"/>
  <c r="H2238" i="2"/>
  <c r="I2238" i="2" s="1"/>
  <c r="H2239" i="2"/>
  <c r="I2239" i="2" s="1"/>
  <c r="H2240" i="2"/>
  <c r="I2240" i="2" s="1"/>
  <c r="H2241" i="2"/>
  <c r="I2241" i="2" s="1"/>
  <c r="H2242" i="2"/>
  <c r="I2242" i="2" s="1"/>
  <c r="H2243" i="2"/>
  <c r="I2243" i="2" s="1"/>
  <c r="H2244" i="2"/>
  <c r="I2244" i="2" s="1"/>
  <c r="H2245" i="2"/>
  <c r="I2245" i="2" s="1"/>
  <c r="H2246" i="2"/>
  <c r="I2246" i="2" s="1"/>
  <c r="H2247" i="2"/>
  <c r="I2247" i="2" s="1"/>
  <c r="H2248" i="2"/>
  <c r="I2248" i="2" s="1"/>
  <c r="H2249" i="2"/>
  <c r="I2249" i="2" s="1"/>
  <c r="H2250" i="2"/>
  <c r="I2250" i="2" s="1"/>
  <c r="H2251" i="2"/>
  <c r="I2251" i="2" s="1"/>
  <c r="H2252" i="2"/>
  <c r="I2252" i="2" s="1"/>
  <c r="H2253" i="2"/>
  <c r="I2253" i="2" s="1"/>
  <c r="H2254" i="2"/>
  <c r="I2254" i="2" s="1"/>
  <c r="H2255" i="2"/>
  <c r="I2255" i="2" s="1"/>
  <c r="H2256" i="2"/>
  <c r="I2256" i="2" s="1"/>
  <c r="H2257" i="2"/>
  <c r="I2257" i="2" s="1"/>
  <c r="H2258" i="2"/>
  <c r="I2258" i="2" s="1"/>
  <c r="H2259" i="2"/>
  <c r="I2259" i="2" s="1"/>
  <c r="H2260" i="2"/>
  <c r="I2260" i="2" s="1"/>
  <c r="H2261" i="2"/>
  <c r="I2261" i="2" s="1"/>
  <c r="H2262" i="2"/>
  <c r="I2262" i="2" s="1"/>
  <c r="H2263" i="2"/>
  <c r="I2263" i="2" s="1"/>
  <c r="H2264" i="2"/>
  <c r="I2264" i="2" s="1"/>
  <c r="H2265" i="2"/>
  <c r="I2265" i="2" s="1"/>
  <c r="H2266" i="2"/>
  <c r="I2266" i="2" s="1"/>
  <c r="H2267" i="2"/>
  <c r="I2267" i="2" s="1"/>
  <c r="H2268" i="2"/>
  <c r="I2268" i="2" s="1"/>
  <c r="H2269" i="2"/>
  <c r="I2269" i="2" s="1"/>
  <c r="H2270" i="2"/>
  <c r="I2270" i="2" s="1"/>
  <c r="H2271" i="2"/>
  <c r="I2271" i="2" s="1"/>
  <c r="H2272" i="2"/>
  <c r="I2272" i="2" s="1"/>
  <c r="H2273" i="2"/>
  <c r="I2273" i="2" s="1"/>
  <c r="H2274" i="2"/>
  <c r="I2274" i="2" s="1"/>
  <c r="H2275" i="2"/>
  <c r="I2275" i="2" s="1"/>
  <c r="H2276" i="2"/>
  <c r="I2276" i="2" s="1"/>
  <c r="H2277" i="2"/>
  <c r="I2277" i="2" s="1"/>
  <c r="H2278" i="2"/>
  <c r="I2278" i="2" s="1"/>
  <c r="H2279" i="2"/>
  <c r="I2279" i="2" s="1"/>
  <c r="H2280" i="2"/>
  <c r="I2280" i="2" s="1"/>
  <c r="H2281" i="2"/>
  <c r="I2281" i="2" s="1"/>
  <c r="H2282" i="2"/>
  <c r="I2282" i="2" s="1"/>
  <c r="H2283" i="2"/>
  <c r="I2283" i="2" s="1"/>
  <c r="H2284" i="2"/>
  <c r="I2284" i="2" s="1"/>
  <c r="H2285" i="2"/>
  <c r="I2285" i="2" s="1"/>
  <c r="H2286" i="2"/>
  <c r="I2286" i="2" s="1"/>
  <c r="H2287" i="2"/>
  <c r="I2287" i="2" s="1"/>
  <c r="H2288" i="2"/>
  <c r="I2288" i="2" s="1"/>
  <c r="H2289" i="2"/>
  <c r="I2289" i="2" s="1"/>
  <c r="H2290" i="2"/>
  <c r="I2290" i="2" s="1"/>
  <c r="H2291" i="2"/>
  <c r="I2291" i="2" s="1"/>
  <c r="H2292" i="2"/>
  <c r="I2292" i="2" s="1"/>
  <c r="H2293" i="2"/>
  <c r="I2293" i="2" s="1"/>
  <c r="H2294" i="2"/>
  <c r="I2294" i="2" s="1"/>
  <c r="H2295" i="2"/>
  <c r="I2295" i="2" s="1"/>
  <c r="H2296" i="2"/>
  <c r="I2296" i="2" s="1"/>
  <c r="H2297" i="2"/>
  <c r="I2297" i="2" s="1"/>
  <c r="H2298" i="2"/>
  <c r="I2298" i="2" s="1"/>
  <c r="H2299" i="2"/>
  <c r="I2299" i="2" s="1"/>
  <c r="H2300" i="2"/>
  <c r="I2300" i="2" s="1"/>
  <c r="H2301" i="2"/>
  <c r="I2301" i="2" s="1"/>
  <c r="H2302" i="2"/>
  <c r="I2302" i="2" s="1"/>
  <c r="H2303" i="2"/>
  <c r="I2303" i="2" s="1"/>
  <c r="H2304" i="2"/>
  <c r="I2304" i="2" s="1"/>
  <c r="H2305" i="2"/>
  <c r="I2305" i="2" s="1"/>
  <c r="H2306" i="2"/>
  <c r="I2306" i="2" s="1"/>
  <c r="H2307" i="2"/>
  <c r="I2307" i="2" s="1"/>
  <c r="H2308" i="2"/>
  <c r="I2308" i="2" s="1"/>
  <c r="H2309" i="2"/>
  <c r="I2309" i="2" s="1"/>
  <c r="H2310" i="2"/>
  <c r="I2310" i="2" s="1"/>
  <c r="H2311" i="2"/>
  <c r="I2311" i="2" s="1"/>
  <c r="H2312" i="2"/>
  <c r="I2312" i="2" s="1"/>
  <c r="H2313" i="2"/>
  <c r="I2313" i="2" s="1"/>
  <c r="H2314" i="2"/>
  <c r="I2314" i="2" s="1"/>
  <c r="H2315" i="2"/>
  <c r="I2315" i="2" s="1"/>
  <c r="H2316" i="2"/>
  <c r="I2316" i="2" s="1"/>
  <c r="H2317" i="2"/>
  <c r="I2317" i="2" s="1"/>
  <c r="H2318" i="2"/>
  <c r="I2318" i="2" s="1"/>
  <c r="H2319" i="2"/>
  <c r="I2319" i="2" s="1"/>
  <c r="H2320" i="2"/>
  <c r="I2320" i="2" s="1"/>
  <c r="H2321" i="2"/>
  <c r="I2321" i="2" s="1"/>
  <c r="H2322" i="2"/>
  <c r="I2322" i="2" s="1"/>
  <c r="H2323" i="2"/>
  <c r="I2323" i="2" s="1"/>
  <c r="H2324" i="2"/>
  <c r="I2324" i="2" s="1"/>
  <c r="H2325" i="2"/>
  <c r="I2325" i="2" s="1"/>
  <c r="H2326" i="2"/>
  <c r="I2326" i="2" s="1"/>
  <c r="H2327" i="2"/>
  <c r="I2327" i="2" s="1"/>
  <c r="H2328" i="2"/>
  <c r="I2328" i="2" s="1"/>
  <c r="H2329" i="2"/>
  <c r="I2329" i="2" s="1"/>
  <c r="H2330" i="2"/>
  <c r="I2330" i="2" s="1"/>
  <c r="H2331" i="2"/>
  <c r="I2331" i="2" s="1"/>
  <c r="H2332" i="2"/>
  <c r="I2332" i="2" s="1"/>
  <c r="H2333" i="2"/>
  <c r="I2333" i="2" s="1"/>
  <c r="H2334" i="2"/>
  <c r="I2334" i="2" s="1"/>
  <c r="H2335" i="2"/>
  <c r="I2335" i="2" s="1"/>
  <c r="H2336" i="2"/>
  <c r="I2336" i="2" s="1"/>
  <c r="H2337" i="2"/>
  <c r="I2337" i="2" s="1"/>
  <c r="H2338" i="2"/>
  <c r="I2338" i="2" s="1"/>
  <c r="H2339" i="2"/>
  <c r="I2339" i="2" s="1"/>
  <c r="H2340" i="2"/>
  <c r="I2340" i="2" s="1"/>
  <c r="H2341" i="2"/>
  <c r="I2341" i="2" s="1"/>
  <c r="H2342" i="2"/>
  <c r="I2342" i="2" s="1"/>
  <c r="H2343" i="2"/>
  <c r="I2343" i="2" s="1"/>
  <c r="H2344" i="2"/>
  <c r="I2344" i="2" s="1"/>
  <c r="H2345" i="2"/>
  <c r="I2345" i="2" s="1"/>
  <c r="H2346" i="2"/>
  <c r="I2346" i="2" s="1"/>
  <c r="H2347" i="2"/>
  <c r="I2347" i="2" s="1"/>
  <c r="H2348" i="2"/>
  <c r="I2348" i="2" s="1"/>
  <c r="H2349" i="2"/>
  <c r="I2349" i="2" s="1"/>
  <c r="H2350" i="2"/>
  <c r="I2350" i="2" s="1"/>
  <c r="H2351" i="2"/>
  <c r="I2351" i="2" s="1"/>
  <c r="H2352" i="2"/>
  <c r="I2352" i="2" s="1"/>
  <c r="H2353" i="2"/>
  <c r="I2353" i="2" s="1"/>
  <c r="H2354" i="2"/>
  <c r="I2354" i="2" s="1"/>
  <c r="H2355" i="2"/>
  <c r="I2355" i="2" s="1"/>
  <c r="H2356" i="2"/>
  <c r="I2356" i="2" s="1"/>
  <c r="H2357" i="2"/>
  <c r="I2357" i="2" s="1"/>
  <c r="H2358" i="2"/>
  <c r="I2358" i="2" s="1"/>
  <c r="H2359" i="2"/>
  <c r="I2359" i="2" s="1"/>
  <c r="H2360" i="2"/>
  <c r="I2360" i="2" s="1"/>
  <c r="H2361" i="2"/>
  <c r="I2361" i="2" s="1"/>
  <c r="H2362" i="2"/>
  <c r="I2362" i="2" s="1"/>
  <c r="H2363" i="2"/>
  <c r="I2363" i="2" s="1"/>
  <c r="H2364" i="2"/>
  <c r="I2364" i="2" s="1"/>
  <c r="H2365" i="2"/>
  <c r="I2365" i="2" s="1"/>
  <c r="H2366" i="2"/>
  <c r="I2366" i="2" s="1"/>
  <c r="H2367" i="2"/>
  <c r="I2367" i="2" s="1"/>
  <c r="H2368" i="2"/>
  <c r="I2368" i="2" s="1"/>
  <c r="H2369" i="2"/>
  <c r="I2369" i="2" s="1"/>
  <c r="H2370" i="2"/>
  <c r="I2370" i="2" s="1"/>
  <c r="H2371" i="2"/>
  <c r="I2371" i="2" s="1"/>
  <c r="H2372" i="2"/>
  <c r="I2372" i="2" s="1"/>
  <c r="H2373" i="2"/>
  <c r="I2373" i="2" s="1"/>
  <c r="H2374" i="2"/>
  <c r="I2374" i="2" s="1"/>
  <c r="H2375" i="2"/>
  <c r="I2375" i="2" s="1"/>
  <c r="H2376" i="2"/>
  <c r="I2376" i="2" s="1"/>
  <c r="H2377" i="2"/>
  <c r="I2377" i="2" s="1"/>
  <c r="H2378" i="2"/>
  <c r="I2378" i="2" s="1"/>
  <c r="H2379" i="2"/>
  <c r="I2379" i="2" s="1"/>
  <c r="H2380" i="2"/>
  <c r="I2380" i="2" s="1"/>
  <c r="H2381" i="2"/>
  <c r="I2381" i="2" s="1"/>
  <c r="H2382" i="2"/>
  <c r="I2382" i="2" s="1"/>
  <c r="H2383" i="2"/>
  <c r="I2383" i="2" s="1"/>
  <c r="H2384" i="2"/>
  <c r="I2384" i="2" s="1"/>
  <c r="H2385" i="2"/>
  <c r="I2385" i="2" s="1"/>
  <c r="H2386" i="2"/>
  <c r="I2386" i="2" s="1"/>
  <c r="H2387" i="2"/>
  <c r="I2387" i="2" s="1"/>
  <c r="H2388" i="2"/>
  <c r="I2388" i="2" s="1"/>
  <c r="H2389" i="2"/>
  <c r="I2389" i="2" s="1"/>
  <c r="H2390" i="2"/>
  <c r="I2390" i="2" s="1"/>
  <c r="H2391" i="2"/>
  <c r="I2391" i="2" s="1"/>
  <c r="H2392" i="2"/>
  <c r="I2392" i="2" s="1"/>
  <c r="H2393" i="2"/>
  <c r="I2393" i="2" s="1"/>
  <c r="H2394" i="2"/>
  <c r="I2394" i="2" s="1"/>
  <c r="H2395" i="2"/>
  <c r="I2395" i="2" s="1"/>
  <c r="H2396" i="2"/>
  <c r="I2396" i="2" s="1"/>
  <c r="H2397" i="2"/>
  <c r="I2397" i="2" s="1"/>
  <c r="H2398" i="2"/>
  <c r="I2398" i="2" s="1"/>
  <c r="H2399" i="2"/>
  <c r="I2399" i="2" s="1"/>
  <c r="H2400" i="2"/>
  <c r="I2400" i="2" s="1"/>
  <c r="H2401" i="2"/>
  <c r="I2401" i="2" s="1"/>
  <c r="H2402" i="2"/>
  <c r="I2402" i="2" s="1"/>
  <c r="H2403" i="2"/>
  <c r="I2403" i="2" s="1"/>
  <c r="H2404" i="2"/>
  <c r="I2404" i="2" s="1"/>
  <c r="H2405" i="2"/>
  <c r="I2405" i="2" s="1"/>
  <c r="H2406" i="2"/>
  <c r="I2406" i="2" s="1"/>
  <c r="H2407" i="2"/>
  <c r="I2407" i="2" s="1"/>
  <c r="H2408" i="2"/>
  <c r="I2408" i="2" s="1"/>
  <c r="H2409" i="2"/>
  <c r="I2409" i="2" s="1"/>
  <c r="H2410" i="2"/>
  <c r="I2410" i="2" s="1"/>
  <c r="H2411" i="2"/>
  <c r="I2411" i="2" s="1"/>
  <c r="H2412" i="2"/>
  <c r="I2412" i="2" s="1"/>
  <c r="H2413" i="2"/>
  <c r="I2413" i="2" s="1"/>
  <c r="H2414" i="2"/>
  <c r="I2414" i="2" s="1"/>
  <c r="H2415" i="2"/>
  <c r="I2415" i="2" s="1"/>
  <c r="H2416" i="2"/>
  <c r="I2416" i="2" s="1"/>
  <c r="H2417" i="2"/>
  <c r="I2417" i="2" s="1"/>
  <c r="H2418" i="2"/>
  <c r="I2418" i="2" s="1"/>
  <c r="H2419" i="2"/>
  <c r="I2419" i="2" s="1"/>
  <c r="H2420" i="2"/>
  <c r="I2420" i="2" s="1"/>
  <c r="H2421" i="2"/>
  <c r="I2421" i="2" s="1"/>
  <c r="H2422" i="2"/>
  <c r="I2422" i="2" s="1"/>
  <c r="H2423" i="2"/>
  <c r="I2423" i="2" s="1"/>
  <c r="H2424" i="2"/>
  <c r="I2424" i="2" s="1"/>
  <c r="H2425" i="2"/>
  <c r="I2425" i="2" s="1"/>
  <c r="H2426" i="2"/>
  <c r="I2426" i="2" s="1"/>
  <c r="H2427" i="2"/>
  <c r="I2427" i="2" s="1"/>
  <c r="H2428" i="2"/>
  <c r="I2428" i="2" s="1"/>
  <c r="H2429" i="2"/>
  <c r="I2429" i="2" s="1"/>
  <c r="H2430" i="2"/>
  <c r="I2430" i="2" s="1"/>
  <c r="H2431" i="2"/>
  <c r="I2431" i="2" s="1"/>
  <c r="H2432" i="2"/>
  <c r="I2432" i="2" s="1"/>
  <c r="H2433" i="2"/>
  <c r="I2433" i="2" s="1"/>
  <c r="H2434" i="2"/>
  <c r="I2434" i="2" s="1"/>
  <c r="H2435" i="2"/>
  <c r="I2435" i="2" s="1"/>
  <c r="H2436" i="2"/>
  <c r="I2436" i="2" s="1"/>
  <c r="H2437" i="2"/>
  <c r="I2437" i="2" s="1"/>
  <c r="H2438" i="2"/>
  <c r="I2438" i="2" s="1"/>
  <c r="H2439" i="2"/>
  <c r="I2439" i="2" s="1"/>
  <c r="H2440" i="2"/>
  <c r="I2440" i="2" s="1"/>
  <c r="H2441" i="2"/>
  <c r="I2441" i="2" s="1"/>
  <c r="H2442" i="2"/>
  <c r="I2442" i="2" s="1"/>
  <c r="H2443" i="2"/>
  <c r="I2443" i="2" s="1"/>
  <c r="H2444" i="2"/>
  <c r="I2444" i="2" s="1"/>
  <c r="H2445" i="2"/>
  <c r="I2445" i="2" s="1"/>
  <c r="H2446" i="2"/>
  <c r="I2446" i="2" s="1"/>
  <c r="H2447" i="2"/>
  <c r="I2447" i="2" s="1"/>
  <c r="H2448" i="2"/>
  <c r="I2448" i="2" s="1"/>
  <c r="H2449" i="2"/>
  <c r="I2449" i="2" s="1"/>
  <c r="H2450" i="2"/>
  <c r="I2450" i="2" s="1"/>
  <c r="H2451" i="2"/>
  <c r="I2451" i="2" s="1"/>
  <c r="H2452" i="2"/>
  <c r="I2452" i="2" s="1"/>
  <c r="H2453" i="2"/>
  <c r="I2453" i="2" s="1"/>
  <c r="H2454" i="2"/>
  <c r="I2454" i="2" s="1"/>
  <c r="H2455" i="2"/>
  <c r="I2455" i="2" s="1"/>
  <c r="H2456" i="2"/>
  <c r="I2456" i="2" s="1"/>
  <c r="H2457" i="2"/>
  <c r="I2457" i="2" s="1"/>
  <c r="H2458" i="2"/>
  <c r="I2458" i="2" s="1"/>
  <c r="H2459" i="2"/>
  <c r="I2459" i="2" s="1"/>
  <c r="H2460" i="2"/>
  <c r="I2460" i="2" s="1"/>
  <c r="H2461" i="2"/>
  <c r="I2461" i="2" s="1"/>
  <c r="H2462" i="2"/>
  <c r="I2462" i="2" s="1"/>
  <c r="H2463" i="2"/>
  <c r="I2463" i="2" s="1"/>
  <c r="H2464" i="2"/>
  <c r="I2464" i="2" s="1"/>
  <c r="H2465" i="2"/>
  <c r="I2465" i="2" s="1"/>
  <c r="H2466" i="2"/>
  <c r="I2466" i="2" s="1"/>
  <c r="H2467" i="2"/>
  <c r="I2467" i="2" s="1"/>
  <c r="H2468" i="2"/>
  <c r="I2468" i="2" s="1"/>
  <c r="H2469" i="2"/>
  <c r="I2469" i="2" s="1"/>
  <c r="H2470" i="2"/>
  <c r="I2470" i="2" s="1"/>
  <c r="H2471" i="2"/>
  <c r="I2471" i="2" s="1"/>
  <c r="H2472" i="2"/>
  <c r="I2472" i="2" s="1"/>
  <c r="H2473" i="2"/>
  <c r="I2473" i="2" s="1"/>
  <c r="H2474" i="2"/>
  <c r="I2474" i="2" s="1"/>
  <c r="H2475" i="2"/>
  <c r="I2475" i="2" s="1"/>
  <c r="H2476" i="2"/>
  <c r="I2476" i="2" s="1"/>
  <c r="H2477" i="2"/>
  <c r="I2477" i="2" s="1"/>
  <c r="H2478" i="2"/>
  <c r="I2478" i="2" s="1"/>
  <c r="H2479" i="2"/>
  <c r="I2479" i="2" s="1"/>
  <c r="H2480" i="2"/>
  <c r="I2480" i="2" s="1"/>
  <c r="H2481" i="2"/>
  <c r="I2481" i="2" s="1"/>
  <c r="H2482" i="2"/>
  <c r="I2482" i="2" s="1"/>
  <c r="H2483" i="2"/>
  <c r="I2483" i="2" s="1"/>
  <c r="H2484" i="2"/>
  <c r="I2484" i="2" s="1"/>
  <c r="H2485" i="2"/>
  <c r="I2485" i="2" s="1"/>
  <c r="H2486" i="2"/>
  <c r="I2486" i="2" s="1"/>
  <c r="H2487" i="2"/>
  <c r="I2487" i="2" s="1"/>
  <c r="H2488" i="2"/>
  <c r="I2488" i="2" s="1"/>
  <c r="H2489" i="2"/>
  <c r="I2489" i="2" s="1"/>
  <c r="H2490" i="2"/>
  <c r="I2490" i="2" s="1"/>
  <c r="H2491" i="2"/>
  <c r="I2491" i="2" s="1"/>
  <c r="H2492" i="2"/>
  <c r="I2492" i="2" s="1"/>
  <c r="H2493" i="2"/>
  <c r="I2493" i="2" s="1"/>
  <c r="H2494" i="2"/>
  <c r="I2494" i="2" s="1"/>
  <c r="H2495" i="2"/>
  <c r="I2495" i="2" s="1"/>
  <c r="H2496" i="2"/>
  <c r="I2496" i="2" s="1"/>
  <c r="H2497" i="2"/>
  <c r="I2497" i="2" s="1"/>
  <c r="H2498" i="2"/>
  <c r="I2498" i="2" s="1"/>
  <c r="H2499" i="2"/>
  <c r="I2499" i="2" s="1"/>
  <c r="H2500" i="2"/>
  <c r="I2500" i="2" s="1"/>
  <c r="H2501" i="2"/>
  <c r="I2501" i="2" s="1"/>
  <c r="H2502" i="2"/>
  <c r="I2502" i="2" s="1"/>
  <c r="H2503" i="2"/>
  <c r="I2503" i="2" s="1"/>
  <c r="H2504" i="2"/>
  <c r="I2504" i="2" s="1"/>
  <c r="H2505" i="2"/>
  <c r="I2505" i="2" s="1"/>
  <c r="H2506" i="2"/>
  <c r="I2506" i="2" s="1"/>
  <c r="H2507" i="2"/>
  <c r="I2507" i="2" s="1"/>
  <c r="H2508" i="2"/>
  <c r="I2508" i="2" s="1"/>
  <c r="H2509" i="2"/>
  <c r="I2509" i="2" s="1"/>
  <c r="H2510" i="2"/>
  <c r="I2510" i="2" s="1"/>
  <c r="H2511" i="2"/>
  <c r="I2511" i="2" s="1"/>
  <c r="H2512" i="2"/>
  <c r="I2512" i="2" s="1"/>
  <c r="H2513" i="2"/>
  <c r="I2513" i="2" s="1"/>
  <c r="H2514" i="2"/>
  <c r="I2514" i="2" s="1"/>
  <c r="H2515" i="2"/>
  <c r="I2515" i="2" s="1"/>
  <c r="H2516" i="2"/>
  <c r="I2516" i="2" s="1"/>
  <c r="H2517" i="2"/>
  <c r="I2517" i="2" s="1"/>
  <c r="H2518" i="2"/>
  <c r="I2518" i="2" s="1"/>
  <c r="H2519" i="2"/>
  <c r="I2519" i="2" s="1"/>
  <c r="H2520" i="2"/>
  <c r="I2520" i="2" s="1"/>
  <c r="H2521" i="2"/>
  <c r="I2521" i="2" s="1"/>
  <c r="H2522" i="2"/>
  <c r="I2522" i="2" s="1"/>
  <c r="H2523" i="2"/>
  <c r="I2523" i="2" s="1"/>
  <c r="H2524" i="2"/>
  <c r="I2524" i="2" s="1"/>
  <c r="H2525" i="2"/>
  <c r="I2525" i="2" s="1"/>
  <c r="H2526" i="2"/>
  <c r="I2526" i="2" s="1"/>
  <c r="H2527" i="2"/>
  <c r="I2527" i="2" s="1"/>
  <c r="H2528" i="2"/>
  <c r="I2528" i="2" s="1"/>
  <c r="H2529" i="2"/>
  <c r="I2529" i="2" s="1"/>
  <c r="H2530" i="2"/>
  <c r="I2530" i="2" s="1"/>
  <c r="H2531" i="2"/>
  <c r="I2531" i="2" s="1"/>
  <c r="H2532" i="2"/>
  <c r="I2532" i="2" s="1"/>
  <c r="H2533" i="2"/>
  <c r="I2533" i="2" s="1"/>
  <c r="H2534" i="2"/>
  <c r="I2534" i="2" s="1"/>
  <c r="H2535" i="2"/>
  <c r="I2535" i="2" s="1"/>
  <c r="H2536" i="2"/>
  <c r="I2536" i="2" s="1"/>
  <c r="H2537" i="2"/>
  <c r="I2537" i="2" s="1"/>
  <c r="H2538" i="2"/>
  <c r="I2538" i="2" s="1"/>
  <c r="H2539" i="2"/>
  <c r="I2539" i="2" s="1"/>
  <c r="H2540" i="2"/>
  <c r="I2540" i="2" s="1"/>
  <c r="H2541" i="2"/>
  <c r="I2541" i="2" s="1"/>
  <c r="H2542" i="2"/>
  <c r="I2542" i="2" s="1"/>
  <c r="H2543" i="2"/>
  <c r="I2543" i="2" s="1"/>
  <c r="H2544" i="2"/>
  <c r="I2544" i="2" s="1"/>
  <c r="H2545" i="2"/>
  <c r="I2545" i="2" s="1"/>
  <c r="H2546" i="2"/>
  <c r="I2546" i="2" s="1"/>
  <c r="H2547" i="2"/>
  <c r="I2547" i="2" s="1"/>
  <c r="H2548" i="2"/>
  <c r="I2548" i="2" s="1"/>
  <c r="H2549" i="2"/>
  <c r="I2549" i="2" s="1"/>
  <c r="H2550" i="2"/>
  <c r="I2550" i="2" s="1"/>
  <c r="H2551" i="2"/>
  <c r="I2551" i="2" s="1"/>
  <c r="H2552" i="2"/>
  <c r="I2552" i="2" s="1"/>
  <c r="H2553" i="2"/>
  <c r="I2553" i="2" s="1"/>
  <c r="H2554" i="2"/>
  <c r="I2554" i="2" s="1"/>
  <c r="H2555" i="2"/>
  <c r="I2555" i="2" s="1"/>
  <c r="H2556" i="2"/>
  <c r="I2556" i="2" s="1"/>
  <c r="H2557" i="2"/>
  <c r="I2557" i="2" s="1"/>
  <c r="H2558" i="2"/>
  <c r="I2558" i="2" s="1"/>
  <c r="H2559" i="2"/>
  <c r="I2559" i="2" s="1"/>
  <c r="H2560" i="2"/>
  <c r="I2560" i="2" s="1"/>
  <c r="H2561" i="2"/>
  <c r="I2561" i="2" s="1"/>
  <c r="H2562" i="2"/>
  <c r="I2562" i="2" s="1"/>
  <c r="H2563" i="2"/>
  <c r="I2563" i="2" s="1"/>
  <c r="H2564" i="2"/>
  <c r="I2564" i="2" s="1"/>
  <c r="H2565" i="2"/>
  <c r="I2565" i="2" s="1"/>
  <c r="H2566" i="2"/>
  <c r="I2566" i="2" s="1"/>
  <c r="H2567" i="2"/>
  <c r="I2567" i="2" s="1"/>
  <c r="H2568" i="2"/>
  <c r="I2568" i="2" s="1"/>
  <c r="H2569" i="2"/>
  <c r="I2569" i="2" s="1"/>
  <c r="H2570" i="2"/>
  <c r="I2570" i="2" s="1"/>
  <c r="H2571" i="2"/>
  <c r="I2571" i="2" s="1"/>
  <c r="H2572" i="2"/>
  <c r="I2572" i="2" s="1"/>
  <c r="H2573" i="2"/>
  <c r="I2573" i="2" s="1"/>
  <c r="H2574" i="2"/>
  <c r="I2574" i="2" s="1"/>
  <c r="H2575" i="2"/>
  <c r="I2575" i="2" s="1"/>
  <c r="H2576" i="2"/>
  <c r="I2576" i="2" s="1"/>
  <c r="H2577" i="2"/>
  <c r="I2577" i="2" s="1"/>
  <c r="H2578" i="2"/>
  <c r="I2578" i="2" s="1"/>
  <c r="H2579" i="2"/>
  <c r="I2579" i="2" s="1"/>
  <c r="H2580" i="2"/>
  <c r="I2580" i="2" s="1"/>
  <c r="H2581" i="2"/>
  <c r="I2581" i="2" s="1"/>
  <c r="H2582" i="2"/>
  <c r="I2582" i="2" s="1"/>
  <c r="H2583" i="2"/>
  <c r="I2583" i="2" s="1"/>
  <c r="H2584" i="2"/>
  <c r="I2584" i="2" s="1"/>
  <c r="H2585" i="2"/>
  <c r="I2585" i="2" s="1"/>
  <c r="H2586" i="2"/>
  <c r="I2586" i="2" s="1"/>
  <c r="H2587" i="2"/>
  <c r="I2587" i="2" s="1"/>
  <c r="H2588" i="2"/>
  <c r="I2588" i="2" s="1"/>
  <c r="H2589" i="2"/>
  <c r="I2589" i="2" s="1"/>
  <c r="H2590" i="2"/>
  <c r="I2590" i="2" s="1"/>
  <c r="H2591" i="2"/>
  <c r="I2591" i="2" s="1"/>
  <c r="H2592" i="2"/>
  <c r="I2592" i="2" s="1"/>
  <c r="H2593" i="2"/>
  <c r="I2593" i="2" s="1"/>
  <c r="H2594" i="2"/>
  <c r="I2594" i="2" s="1"/>
  <c r="H2595" i="2"/>
  <c r="I2595" i="2" s="1"/>
  <c r="H2596" i="2"/>
  <c r="I2596" i="2" s="1"/>
  <c r="H2597" i="2"/>
  <c r="I2597" i="2" s="1"/>
  <c r="H2598" i="2"/>
  <c r="I2598" i="2" s="1"/>
  <c r="H2599" i="2"/>
  <c r="I2599" i="2" s="1"/>
  <c r="H2600" i="2"/>
  <c r="I2600" i="2" s="1"/>
  <c r="H2601" i="2"/>
  <c r="I2601" i="2" s="1"/>
  <c r="H2602" i="2"/>
  <c r="I2602" i="2" s="1"/>
  <c r="H2603" i="2"/>
  <c r="I2603" i="2" s="1"/>
  <c r="H2604" i="2"/>
  <c r="I2604" i="2" s="1"/>
  <c r="H2605" i="2"/>
  <c r="I2605" i="2" s="1"/>
  <c r="H2606" i="2"/>
  <c r="I2606" i="2" s="1"/>
  <c r="H2607" i="2"/>
  <c r="I2607" i="2" s="1"/>
  <c r="H2608" i="2"/>
  <c r="I2608" i="2" s="1"/>
  <c r="H2609" i="2"/>
  <c r="I2609" i="2" s="1"/>
  <c r="H2610" i="2"/>
  <c r="I2610" i="2" s="1"/>
  <c r="H2611" i="2"/>
  <c r="I2611" i="2" s="1"/>
  <c r="H2612" i="2"/>
  <c r="I2612" i="2" s="1"/>
  <c r="H2613" i="2"/>
  <c r="I2613" i="2" s="1"/>
  <c r="H2614" i="2"/>
  <c r="I2614" i="2" s="1"/>
  <c r="H2615" i="2"/>
  <c r="I2615" i="2" s="1"/>
  <c r="H2616" i="2"/>
  <c r="I2616" i="2" s="1"/>
  <c r="H2617" i="2"/>
  <c r="I2617" i="2" s="1"/>
  <c r="H2618" i="2"/>
  <c r="I2618" i="2" s="1"/>
  <c r="H2619" i="2"/>
  <c r="I2619" i="2" s="1"/>
  <c r="H2620" i="2"/>
  <c r="I2620" i="2" s="1"/>
  <c r="H2621" i="2"/>
  <c r="I2621" i="2" s="1"/>
  <c r="H2622" i="2"/>
  <c r="I2622" i="2" s="1"/>
  <c r="H2623" i="2"/>
  <c r="I2623" i="2" s="1"/>
  <c r="H2624" i="2"/>
  <c r="I2624" i="2" s="1"/>
  <c r="H2625" i="2"/>
  <c r="I2625" i="2" s="1"/>
  <c r="H2626" i="2"/>
  <c r="I2626" i="2" s="1"/>
  <c r="H2627" i="2"/>
  <c r="I2627" i="2" s="1"/>
  <c r="H2628" i="2"/>
  <c r="I2628" i="2" s="1"/>
  <c r="H2629" i="2"/>
  <c r="I2629" i="2" s="1"/>
  <c r="H2630" i="2"/>
  <c r="I2630" i="2" s="1"/>
  <c r="H2631" i="2"/>
  <c r="I2631" i="2" s="1"/>
  <c r="H2632" i="2"/>
  <c r="I2632" i="2" s="1"/>
  <c r="H2633" i="2"/>
  <c r="I2633" i="2" s="1"/>
  <c r="H2634" i="2"/>
  <c r="I2634" i="2" s="1"/>
  <c r="H2635" i="2"/>
  <c r="I2635" i="2" s="1"/>
  <c r="H2636" i="2"/>
  <c r="I2636" i="2" s="1"/>
  <c r="H2637" i="2"/>
  <c r="I2637" i="2" s="1"/>
  <c r="H2638" i="2"/>
  <c r="I2638" i="2" s="1"/>
  <c r="H2639" i="2"/>
  <c r="I2639" i="2" s="1"/>
  <c r="H2640" i="2"/>
  <c r="I2640" i="2" s="1"/>
  <c r="H2641" i="2"/>
  <c r="I2641" i="2" s="1"/>
  <c r="H2642" i="2"/>
  <c r="I2642" i="2" s="1"/>
  <c r="H2643" i="2"/>
  <c r="I2643" i="2" s="1"/>
  <c r="H2644" i="2"/>
  <c r="I2644" i="2" s="1"/>
  <c r="H2645" i="2"/>
  <c r="I2645" i="2" s="1"/>
  <c r="H2646" i="2"/>
  <c r="I2646" i="2" s="1"/>
  <c r="H2647" i="2"/>
  <c r="I2647" i="2" s="1"/>
  <c r="H2648" i="2"/>
  <c r="I2648" i="2" s="1"/>
  <c r="H2649" i="2"/>
  <c r="I2649" i="2" s="1"/>
  <c r="H2650" i="2"/>
  <c r="I2650" i="2" s="1"/>
  <c r="H2651" i="2"/>
  <c r="I2651" i="2" s="1"/>
  <c r="H2652" i="2"/>
  <c r="I2652" i="2" s="1"/>
  <c r="H2653" i="2"/>
  <c r="I2653" i="2" s="1"/>
  <c r="H2654" i="2"/>
  <c r="I2654" i="2" s="1"/>
  <c r="H2655" i="2"/>
  <c r="I2655" i="2" s="1"/>
  <c r="H2656" i="2"/>
  <c r="I2656" i="2" s="1"/>
  <c r="H2657" i="2"/>
  <c r="I2657" i="2" s="1"/>
  <c r="H2658" i="2"/>
  <c r="I2658" i="2" s="1"/>
  <c r="H2659" i="2"/>
  <c r="I2659" i="2" s="1"/>
  <c r="H2660" i="2"/>
  <c r="I2660" i="2" s="1"/>
  <c r="H2661" i="2"/>
  <c r="I2661" i="2" s="1"/>
  <c r="H2662" i="2"/>
  <c r="I2662" i="2" s="1"/>
  <c r="H2663" i="2"/>
  <c r="I2663" i="2" s="1"/>
  <c r="H2664" i="2"/>
  <c r="I2664" i="2" s="1"/>
  <c r="H2665" i="2"/>
  <c r="I2665" i="2" s="1"/>
  <c r="H2666" i="2"/>
  <c r="I2666" i="2" s="1"/>
  <c r="H2667" i="2"/>
  <c r="I2667" i="2" s="1"/>
  <c r="H2668" i="2"/>
  <c r="I2668" i="2" s="1"/>
  <c r="H2669" i="2"/>
  <c r="I2669" i="2" s="1"/>
  <c r="H2670" i="2"/>
  <c r="I2670" i="2" s="1"/>
  <c r="H2671" i="2"/>
  <c r="I2671" i="2" s="1"/>
  <c r="H2672" i="2"/>
  <c r="I2672" i="2" s="1"/>
  <c r="H2673" i="2"/>
  <c r="I2673" i="2" s="1"/>
  <c r="H2674" i="2"/>
  <c r="I2674" i="2" s="1"/>
  <c r="H2675" i="2"/>
  <c r="I2675" i="2" s="1"/>
  <c r="H2676" i="2"/>
  <c r="I2676" i="2" s="1"/>
  <c r="H2677" i="2"/>
  <c r="I2677" i="2" s="1"/>
  <c r="H2678" i="2"/>
  <c r="I2678" i="2" s="1"/>
  <c r="H2679" i="2"/>
  <c r="I2679" i="2" s="1"/>
  <c r="H2680" i="2"/>
  <c r="I2680" i="2" s="1"/>
  <c r="H2681" i="2"/>
  <c r="I2681" i="2" s="1"/>
  <c r="H2682" i="2"/>
  <c r="I2682" i="2" s="1"/>
  <c r="H2683" i="2"/>
  <c r="I2683" i="2" s="1"/>
  <c r="H2684" i="2"/>
  <c r="I2684" i="2" s="1"/>
  <c r="H2685" i="2"/>
  <c r="I2685" i="2" s="1"/>
  <c r="H2686" i="2"/>
  <c r="I2686" i="2" s="1"/>
  <c r="H2687" i="2"/>
  <c r="I2687" i="2" s="1"/>
  <c r="H2688" i="2"/>
  <c r="I2688" i="2" s="1"/>
  <c r="H2689" i="2"/>
  <c r="I2689" i="2" s="1"/>
  <c r="H2690" i="2"/>
  <c r="I2690" i="2" s="1"/>
  <c r="H2691" i="2"/>
  <c r="I2691" i="2" s="1"/>
  <c r="H2692" i="2"/>
  <c r="I2692" i="2" s="1"/>
  <c r="H2693" i="2"/>
  <c r="I2693" i="2" s="1"/>
  <c r="H2694" i="2"/>
  <c r="I2694" i="2" s="1"/>
  <c r="H2695" i="2"/>
  <c r="I2695" i="2" s="1"/>
  <c r="H2696" i="2"/>
  <c r="I2696" i="2" s="1"/>
  <c r="H2697" i="2"/>
  <c r="I2697" i="2" s="1"/>
  <c r="H2698" i="2"/>
  <c r="I2698" i="2" s="1"/>
  <c r="H2699" i="2"/>
  <c r="I2699" i="2" s="1"/>
  <c r="H2700" i="2"/>
  <c r="I2700" i="2" s="1"/>
  <c r="H2701" i="2"/>
  <c r="I2701" i="2" s="1"/>
  <c r="H2702" i="2"/>
  <c r="I2702" i="2" s="1"/>
  <c r="H2703" i="2"/>
  <c r="I2703" i="2" s="1"/>
  <c r="H2704" i="2"/>
  <c r="I2704" i="2" s="1"/>
  <c r="H2705" i="2"/>
  <c r="I2705" i="2" s="1"/>
  <c r="H2706" i="2"/>
  <c r="I2706" i="2" s="1"/>
  <c r="H2707" i="2"/>
  <c r="I2707" i="2" s="1"/>
  <c r="H2708" i="2"/>
  <c r="I2708" i="2" s="1"/>
  <c r="H2709" i="2"/>
  <c r="I2709" i="2" s="1"/>
  <c r="H2710" i="2"/>
  <c r="I2710" i="2" s="1"/>
  <c r="H2711" i="2"/>
  <c r="I2711" i="2" s="1"/>
  <c r="H2712" i="2"/>
  <c r="I2712" i="2" s="1"/>
  <c r="H2713" i="2"/>
  <c r="I2713" i="2" s="1"/>
  <c r="H2714" i="2"/>
  <c r="I2714" i="2" s="1"/>
  <c r="H2715" i="2"/>
  <c r="I2715" i="2" s="1"/>
  <c r="H2716" i="2"/>
  <c r="I2716" i="2" s="1"/>
  <c r="H2717" i="2"/>
  <c r="I2717" i="2" s="1"/>
  <c r="H2718" i="2"/>
  <c r="I2718" i="2" s="1"/>
  <c r="H2719" i="2"/>
  <c r="I2719" i="2" s="1"/>
  <c r="H2720" i="2"/>
  <c r="I2720" i="2" s="1"/>
  <c r="H2721" i="2"/>
  <c r="I2721" i="2" s="1"/>
  <c r="H2722" i="2"/>
  <c r="I2722" i="2" s="1"/>
  <c r="H2723" i="2"/>
  <c r="I2723" i="2" s="1"/>
  <c r="H2724" i="2"/>
  <c r="I2724" i="2" s="1"/>
  <c r="H2725" i="2"/>
  <c r="I2725" i="2" s="1"/>
  <c r="H2726" i="2"/>
  <c r="I2726" i="2" s="1"/>
  <c r="H2727" i="2"/>
  <c r="I2727" i="2" s="1"/>
  <c r="H2728" i="2"/>
  <c r="I2728" i="2" s="1"/>
  <c r="H2729" i="2"/>
  <c r="I2729" i="2" s="1"/>
  <c r="H2730" i="2"/>
  <c r="I2730" i="2" s="1"/>
  <c r="H2731" i="2"/>
  <c r="I2731" i="2" s="1"/>
  <c r="H2732" i="2"/>
  <c r="I2732" i="2" s="1"/>
  <c r="H2733" i="2"/>
  <c r="I2733" i="2" s="1"/>
  <c r="H2734" i="2"/>
  <c r="I2734" i="2" s="1"/>
  <c r="H2735" i="2"/>
  <c r="I2735" i="2" s="1"/>
  <c r="H2736" i="2"/>
  <c r="I2736" i="2" s="1"/>
  <c r="H2737" i="2"/>
  <c r="I2737" i="2" s="1"/>
  <c r="H2738" i="2"/>
  <c r="I2738" i="2" s="1"/>
  <c r="H2739" i="2"/>
  <c r="I2739" i="2" s="1"/>
  <c r="H2740" i="2"/>
  <c r="I2740" i="2" s="1"/>
  <c r="H2741" i="2"/>
  <c r="I2741" i="2" s="1"/>
  <c r="H2742" i="2"/>
  <c r="I2742" i="2" s="1"/>
  <c r="H2743" i="2"/>
  <c r="I2743" i="2" s="1"/>
  <c r="H2744" i="2"/>
  <c r="I2744" i="2" s="1"/>
  <c r="H2745" i="2"/>
  <c r="I2745" i="2" s="1"/>
  <c r="H2746" i="2"/>
  <c r="I2746" i="2" s="1"/>
  <c r="H2747" i="2"/>
  <c r="I2747" i="2" s="1"/>
  <c r="H2748" i="2"/>
  <c r="I2748" i="2" s="1"/>
  <c r="H2749" i="2"/>
  <c r="I2749" i="2" s="1"/>
  <c r="H2750" i="2"/>
  <c r="I2750" i="2" s="1"/>
  <c r="H2751" i="2"/>
  <c r="I2751" i="2" s="1"/>
  <c r="H2752" i="2"/>
  <c r="I2752" i="2" s="1"/>
  <c r="H2753" i="2"/>
  <c r="I2753" i="2" s="1"/>
  <c r="H2754" i="2"/>
  <c r="I2754" i="2" s="1"/>
  <c r="H2755" i="2"/>
  <c r="I2755" i="2" s="1"/>
  <c r="H2756" i="2"/>
  <c r="I2756" i="2" s="1"/>
  <c r="H2757" i="2"/>
  <c r="I2757" i="2" s="1"/>
  <c r="H2758" i="2"/>
  <c r="I2758" i="2" s="1"/>
  <c r="H2759" i="2"/>
  <c r="I2759" i="2" s="1"/>
  <c r="H2760" i="2"/>
  <c r="I2760" i="2" s="1"/>
  <c r="H2761" i="2"/>
  <c r="I2761" i="2" s="1"/>
  <c r="H2762" i="2"/>
  <c r="I2762" i="2" s="1"/>
  <c r="H2763" i="2"/>
  <c r="I2763" i="2" s="1"/>
  <c r="H2764" i="2"/>
  <c r="I2764" i="2" s="1"/>
  <c r="H2765" i="2"/>
  <c r="I2765" i="2" s="1"/>
  <c r="H2766" i="2"/>
  <c r="I2766" i="2" s="1"/>
  <c r="H2767" i="2"/>
  <c r="I2767" i="2" s="1"/>
  <c r="H2768" i="2"/>
  <c r="I2768" i="2" s="1"/>
  <c r="H2769" i="2"/>
  <c r="I2769" i="2" s="1"/>
  <c r="H2770" i="2"/>
  <c r="I2770" i="2" s="1"/>
  <c r="H2771" i="2"/>
  <c r="I2771" i="2" s="1"/>
  <c r="H2772" i="2"/>
  <c r="I2772" i="2" s="1"/>
  <c r="H2773" i="2"/>
  <c r="I2773" i="2" s="1"/>
  <c r="H2774" i="2"/>
  <c r="I2774" i="2" s="1"/>
  <c r="H2775" i="2"/>
  <c r="I2775" i="2" s="1"/>
  <c r="H2776" i="2"/>
  <c r="I2776" i="2" s="1"/>
  <c r="H2777" i="2"/>
  <c r="I2777" i="2" s="1"/>
  <c r="H2778" i="2"/>
  <c r="I2778" i="2" s="1"/>
  <c r="H2779" i="2"/>
  <c r="I2779" i="2" s="1"/>
  <c r="H2780" i="2"/>
  <c r="I2780" i="2" s="1"/>
  <c r="H2781" i="2"/>
  <c r="I2781" i="2" s="1"/>
  <c r="H2782" i="2"/>
  <c r="I2782" i="2" s="1"/>
  <c r="H2783" i="2"/>
  <c r="I2783" i="2" s="1"/>
  <c r="H2784" i="2"/>
  <c r="I2784" i="2" s="1"/>
  <c r="H2785" i="2"/>
  <c r="I2785" i="2" s="1"/>
  <c r="H2786" i="2"/>
  <c r="I2786" i="2" s="1"/>
  <c r="H2787" i="2"/>
  <c r="I2787" i="2" s="1"/>
  <c r="H2788" i="2"/>
  <c r="I2788" i="2" s="1"/>
  <c r="H2789" i="2"/>
  <c r="I2789" i="2" s="1"/>
  <c r="H2790" i="2"/>
  <c r="I2790" i="2" s="1"/>
  <c r="H2791" i="2"/>
  <c r="I2791" i="2" s="1"/>
  <c r="H2792" i="2"/>
  <c r="I2792" i="2" s="1"/>
  <c r="H2793" i="2"/>
  <c r="I2793" i="2" s="1"/>
  <c r="H2794" i="2"/>
  <c r="I2794" i="2" s="1"/>
  <c r="H2795" i="2"/>
  <c r="I2795" i="2" s="1"/>
  <c r="H2796" i="2"/>
  <c r="I2796" i="2" s="1"/>
  <c r="H2797" i="2"/>
  <c r="I2797" i="2" s="1"/>
  <c r="H2798" i="2"/>
  <c r="I2798" i="2" s="1"/>
  <c r="H2799" i="2"/>
  <c r="I2799" i="2" s="1"/>
  <c r="H2800" i="2"/>
  <c r="I2800" i="2" s="1"/>
  <c r="H2801" i="2"/>
  <c r="I2801" i="2" s="1"/>
  <c r="H2802" i="2"/>
  <c r="I2802" i="2" s="1"/>
  <c r="H2803" i="2"/>
  <c r="I2803" i="2" s="1"/>
  <c r="H2804" i="2"/>
  <c r="I2804" i="2" s="1"/>
  <c r="H2805" i="2"/>
  <c r="I2805" i="2" s="1"/>
  <c r="H2806" i="2"/>
  <c r="I2806" i="2" s="1"/>
  <c r="H2807" i="2"/>
  <c r="I2807" i="2" s="1"/>
  <c r="H2808" i="2"/>
  <c r="I2808" i="2" s="1"/>
  <c r="H2809" i="2"/>
  <c r="I2809" i="2" s="1"/>
  <c r="H2810" i="2"/>
  <c r="I2810" i="2" s="1"/>
  <c r="H2811" i="2"/>
  <c r="I2811" i="2" s="1"/>
  <c r="H2812" i="2"/>
  <c r="I2812" i="2" s="1"/>
  <c r="H2813" i="2"/>
  <c r="I2813" i="2" s="1"/>
  <c r="H2814" i="2"/>
  <c r="I2814" i="2" s="1"/>
  <c r="H2815" i="2"/>
  <c r="I2815" i="2" s="1"/>
  <c r="H2816" i="2"/>
  <c r="I2816" i="2" s="1"/>
  <c r="H2817" i="2"/>
  <c r="I2817" i="2" s="1"/>
  <c r="H2818" i="2"/>
  <c r="I2818" i="2" s="1"/>
  <c r="H2819" i="2"/>
  <c r="I2819" i="2" s="1"/>
  <c r="H2820" i="2"/>
  <c r="I2820" i="2" s="1"/>
  <c r="H2821" i="2"/>
  <c r="I2821" i="2" s="1"/>
  <c r="H2822" i="2"/>
  <c r="I2822" i="2" s="1"/>
  <c r="H2823" i="2"/>
  <c r="I2823" i="2" s="1"/>
  <c r="H2824" i="2"/>
  <c r="I2824" i="2" s="1"/>
  <c r="H2825" i="2"/>
  <c r="I2825" i="2" s="1"/>
  <c r="H2826" i="2"/>
  <c r="I2826" i="2" s="1"/>
  <c r="H2827" i="2"/>
  <c r="I2827" i="2" s="1"/>
  <c r="H2828" i="2"/>
  <c r="I2828" i="2" s="1"/>
  <c r="H2829" i="2"/>
  <c r="I2829" i="2" s="1"/>
  <c r="H2830" i="2"/>
  <c r="I2830" i="2" s="1"/>
  <c r="H2831" i="2"/>
  <c r="I2831" i="2" s="1"/>
  <c r="H2832" i="2"/>
  <c r="I2832" i="2" s="1"/>
  <c r="H2833" i="2"/>
  <c r="I2833" i="2" s="1"/>
  <c r="H2834" i="2"/>
  <c r="I2834" i="2" s="1"/>
  <c r="H2835" i="2"/>
  <c r="I2835" i="2" s="1"/>
  <c r="H2836" i="2"/>
  <c r="I2836" i="2" s="1"/>
  <c r="H2837" i="2"/>
  <c r="I2837" i="2" s="1"/>
  <c r="H2838" i="2"/>
  <c r="I2838" i="2" s="1"/>
  <c r="H2839" i="2"/>
  <c r="I2839" i="2" s="1"/>
  <c r="H2840" i="2"/>
  <c r="I2840" i="2" s="1"/>
  <c r="H2841" i="2"/>
  <c r="I2841" i="2" s="1"/>
  <c r="H2842" i="2"/>
  <c r="I2842" i="2" s="1"/>
  <c r="H2843" i="2"/>
  <c r="I2843" i="2" s="1"/>
  <c r="H2844" i="2"/>
  <c r="I2844" i="2" s="1"/>
  <c r="H2845" i="2"/>
  <c r="I2845" i="2" s="1"/>
  <c r="H2846" i="2"/>
  <c r="I2846" i="2" s="1"/>
  <c r="H2847" i="2"/>
  <c r="I2847" i="2" s="1"/>
  <c r="H2848" i="2"/>
  <c r="I2848" i="2" s="1"/>
  <c r="H2849" i="2"/>
  <c r="I2849" i="2" s="1"/>
  <c r="H2850" i="2"/>
  <c r="I2850" i="2" s="1"/>
  <c r="H2851" i="2"/>
  <c r="I2851" i="2" s="1"/>
  <c r="H2852" i="2"/>
  <c r="I2852" i="2" s="1"/>
  <c r="H2853" i="2"/>
  <c r="I2853" i="2" s="1"/>
  <c r="H2854" i="2"/>
  <c r="I2854" i="2" s="1"/>
  <c r="H2855" i="2"/>
  <c r="I2855" i="2" s="1"/>
  <c r="H2856" i="2"/>
  <c r="I2856" i="2" s="1"/>
  <c r="H2857" i="2"/>
  <c r="I2857" i="2" s="1"/>
  <c r="H2858" i="2"/>
  <c r="I2858" i="2" s="1"/>
  <c r="H2859" i="2"/>
  <c r="I2859" i="2" s="1"/>
  <c r="H2860" i="2"/>
  <c r="I2860" i="2" s="1"/>
  <c r="H2861" i="2"/>
  <c r="I2861" i="2" s="1"/>
  <c r="H2862" i="2"/>
  <c r="I2862" i="2" s="1"/>
  <c r="H2863" i="2"/>
  <c r="I2863" i="2" s="1"/>
  <c r="H2864" i="2"/>
  <c r="I2864" i="2" s="1"/>
  <c r="H2865" i="2"/>
  <c r="I2865" i="2" s="1"/>
  <c r="H2866" i="2"/>
  <c r="I2866" i="2" s="1"/>
  <c r="H2867" i="2"/>
  <c r="I2867" i="2" s="1"/>
  <c r="H2868" i="2"/>
  <c r="I2868" i="2" s="1"/>
  <c r="H2869" i="2"/>
  <c r="I2869" i="2" s="1"/>
  <c r="H2870" i="2"/>
  <c r="I2870" i="2" s="1"/>
  <c r="H2871" i="2"/>
  <c r="I2871" i="2" s="1"/>
  <c r="H2872" i="2"/>
  <c r="I2872" i="2" s="1"/>
  <c r="H2873" i="2"/>
  <c r="I2873" i="2" s="1"/>
  <c r="H2874" i="2"/>
  <c r="I2874" i="2" s="1"/>
  <c r="H2875" i="2"/>
  <c r="I2875" i="2" s="1"/>
  <c r="H2876" i="2"/>
  <c r="I2876" i="2" s="1"/>
  <c r="H2877" i="2"/>
  <c r="I2877" i="2" s="1"/>
  <c r="H2878" i="2"/>
  <c r="I2878" i="2" s="1"/>
  <c r="H2879" i="2"/>
  <c r="I2879" i="2" s="1"/>
  <c r="H2880" i="2"/>
  <c r="I2880" i="2" s="1"/>
  <c r="H2881" i="2"/>
  <c r="I2881" i="2" s="1"/>
  <c r="H2882" i="2"/>
  <c r="I2882" i="2" s="1"/>
  <c r="H2883" i="2"/>
  <c r="I2883" i="2" s="1"/>
  <c r="H2884" i="2"/>
  <c r="I2884" i="2" s="1"/>
  <c r="H2885" i="2"/>
  <c r="I2885" i="2" s="1"/>
  <c r="H2886" i="2"/>
  <c r="I2886" i="2" s="1"/>
  <c r="H2887" i="2"/>
  <c r="I2887" i="2" s="1"/>
  <c r="H2888" i="2"/>
  <c r="I2888" i="2" s="1"/>
  <c r="H2889" i="2"/>
  <c r="I2889" i="2" s="1"/>
  <c r="H2890" i="2"/>
  <c r="I2890" i="2" s="1"/>
  <c r="H2891" i="2"/>
  <c r="I2891" i="2" s="1"/>
  <c r="H2892" i="2"/>
  <c r="I2892" i="2" s="1"/>
  <c r="H2893" i="2"/>
  <c r="I2893" i="2" s="1"/>
  <c r="H2894" i="2"/>
  <c r="I2894" i="2" s="1"/>
  <c r="H2895" i="2"/>
  <c r="I2895" i="2" s="1"/>
  <c r="H2896" i="2"/>
  <c r="I2896" i="2" s="1"/>
  <c r="H2897" i="2"/>
  <c r="I2897" i="2" s="1"/>
  <c r="H2898" i="2"/>
  <c r="I2898" i="2" s="1"/>
  <c r="H2899" i="2"/>
  <c r="I2899" i="2" s="1"/>
  <c r="H2900" i="2"/>
  <c r="I2900" i="2" s="1"/>
  <c r="H2901" i="2"/>
  <c r="I2901" i="2" s="1"/>
  <c r="H2902" i="2"/>
  <c r="I2902" i="2" s="1"/>
  <c r="H2903" i="2"/>
  <c r="I2903" i="2" s="1"/>
  <c r="H2904" i="2"/>
  <c r="I2904" i="2" s="1"/>
  <c r="H2905" i="2"/>
  <c r="I2905" i="2" s="1"/>
  <c r="H2906" i="2"/>
  <c r="I2906" i="2" s="1"/>
  <c r="H2907" i="2"/>
  <c r="I2907" i="2" s="1"/>
  <c r="H2908" i="2"/>
  <c r="I2908" i="2" s="1"/>
  <c r="H2909" i="2"/>
  <c r="I2909" i="2" s="1"/>
  <c r="H2910" i="2"/>
  <c r="I2910" i="2" s="1"/>
  <c r="H2911" i="2"/>
  <c r="I2911" i="2" s="1"/>
  <c r="H2912" i="2"/>
  <c r="I2912" i="2" s="1"/>
  <c r="H2913" i="2"/>
  <c r="I2913" i="2" s="1"/>
  <c r="H2914" i="2"/>
  <c r="I2914" i="2" s="1"/>
  <c r="H2915" i="2"/>
  <c r="I2915" i="2" s="1"/>
  <c r="H2916" i="2"/>
  <c r="I2916" i="2" s="1"/>
  <c r="H2917" i="2"/>
  <c r="I2917" i="2" s="1"/>
  <c r="H2918" i="2"/>
  <c r="I2918" i="2" s="1"/>
  <c r="H2919" i="2"/>
  <c r="I2919" i="2" s="1"/>
  <c r="H2920" i="2"/>
  <c r="I2920" i="2" s="1"/>
  <c r="H2921" i="2"/>
  <c r="I2921" i="2" s="1"/>
  <c r="H2922" i="2"/>
  <c r="I2922" i="2" s="1"/>
  <c r="H2923" i="2"/>
  <c r="I2923" i="2" s="1"/>
  <c r="H2924" i="2"/>
  <c r="I2924" i="2" s="1"/>
  <c r="H2925" i="2"/>
  <c r="I2925" i="2" s="1"/>
  <c r="H2926" i="2"/>
  <c r="I2926" i="2" s="1"/>
  <c r="H2927" i="2"/>
  <c r="I2927" i="2" s="1"/>
  <c r="H2928" i="2"/>
  <c r="I2928" i="2" s="1"/>
  <c r="H2929" i="2"/>
  <c r="I2929" i="2" s="1"/>
  <c r="H2930" i="2"/>
  <c r="I2930" i="2" s="1"/>
  <c r="H2931" i="2"/>
  <c r="I2931" i="2" s="1"/>
  <c r="H2932" i="2"/>
  <c r="I2932" i="2" s="1"/>
  <c r="H2933" i="2"/>
  <c r="I2933" i="2" s="1"/>
  <c r="H2934" i="2"/>
  <c r="I2934" i="2" s="1"/>
  <c r="H2935" i="2"/>
  <c r="I2935" i="2" s="1"/>
  <c r="H2936" i="2"/>
  <c r="I2936" i="2" s="1"/>
  <c r="H2937" i="2"/>
  <c r="I2937" i="2" s="1"/>
  <c r="H2938" i="2"/>
  <c r="I2938" i="2" s="1"/>
  <c r="H2939" i="2"/>
  <c r="I2939" i="2" s="1"/>
  <c r="H2940" i="2"/>
  <c r="I2940" i="2" s="1"/>
  <c r="H2941" i="2"/>
  <c r="I2941" i="2" s="1"/>
  <c r="H2942" i="2"/>
  <c r="I2942" i="2" s="1"/>
  <c r="H2943" i="2"/>
  <c r="I2943" i="2" s="1"/>
  <c r="H2944" i="2"/>
  <c r="I2944" i="2" s="1"/>
  <c r="H2945" i="2"/>
  <c r="I2945" i="2" s="1"/>
  <c r="H2946" i="2"/>
  <c r="I2946" i="2" s="1"/>
  <c r="H2947" i="2"/>
  <c r="I2947" i="2" s="1"/>
  <c r="H2948" i="2"/>
  <c r="I2948" i="2" s="1"/>
  <c r="H2949" i="2"/>
  <c r="I2949" i="2" s="1"/>
  <c r="H2950" i="2"/>
  <c r="I2950" i="2" s="1"/>
  <c r="H2951" i="2"/>
  <c r="I2951" i="2" s="1"/>
  <c r="H2952" i="2"/>
  <c r="I2952" i="2" s="1"/>
  <c r="H2953" i="2"/>
  <c r="I2953" i="2" s="1"/>
  <c r="H2954" i="2"/>
  <c r="I2954" i="2" s="1"/>
  <c r="H2955" i="2"/>
  <c r="I2955" i="2" s="1"/>
  <c r="H2956" i="2"/>
  <c r="I2956" i="2" s="1"/>
  <c r="H2957" i="2"/>
  <c r="I2957" i="2" s="1"/>
  <c r="H2958" i="2"/>
  <c r="I2958" i="2" s="1"/>
  <c r="H2959" i="2"/>
  <c r="I2959" i="2" s="1"/>
  <c r="H2960" i="2"/>
  <c r="I2960" i="2" s="1"/>
  <c r="H2961" i="2"/>
  <c r="I2961" i="2" s="1"/>
  <c r="H2962" i="2"/>
  <c r="I2962" i="2" s="1"/>
  <c r="H2963" i="2"/>
  <c r="I2963" i="2" s="1"/>
  <c r="H2964" i="2"/>
  <c r="I2964" i="2" s="1"/>
  <c r="H2965" i="2"/>
  <c r="I2965" i="2" s="1"/>
  <c r="H2966" i="2"/>
  <c r="I2966" i="2" s="1"/>
  <c r="H2967" i="2"/>
  <c r="I2967" i="2" s="1"/>
  <c r="H2968" i="2"/>
  <c r="I2968" i="2" s="1"/>
  <c r="H2969" i="2"/>
  <c r="I2969" i="2" s="1"/>
  <c r="H2970" i="2"/>
  <c r="I2970" i="2" s="1"/>
  <c r="H2971" i="2"/>
  <c r="I2971" i="2" s="1"/>
  <c r="H2972" i="2"/>
  <c r="I2972" i="2" s="1"/>
  <c r="H2973" i="2"/>
  <c r="I2973" i="2" s="1"/>
  <c r="H2974" i="2"/>
  <c r="I2974" i="2" s="1"/>
  <c r="H2975" i="2"/>
  <c r="I2975" i="2" s="1"/>
  <c r="H2976" i="2"/>
  <c r="I2976" i="2" s="1"/>
  <c r="H2977" i="2"/>
  <c r="I2977" i="2" s="1"/>
  <c r="H2978" i="2"/>
  <c r="I2978" i="2" s="1"/>
  <c r="H2979" i="2"/>
  <c r="I2979" i="2" s="1"/>
  <c r="H2980" i="2"/>
  <c r="I2980" i="2" s="1"/>
  <c r="H2981" i="2"/>
  <c r="I2981" i="2" s="1"/>
  <c r="H2982" i="2"/>
  <c r="I2982" i="2" s="1"/>
  <c r="H2983" i="2"/>
  <c r="I2983" i="2" s="1"/>
  <c r="H2984" i="2"/>
  <c r="I2984" i="2" s="1"/>
  <c r="H2985" i="2"/>
  <c r="I2985" i="2" s="1"/>
  <c r="H2986" i="2"/>
  <c r="I2986" i="2" s="1"/>
  <c r="H2987" i="2"/>
  <c r="I2987" i="2" s="1"/>
  <c r="H2988" i="2"/>
  <c r="I2988" i="2" s="1"/>
  <c r="H2989" i="2"/>
  <c r="I2989" i="2" s="1"/>
  <c r="H2990" i="2"/>
  <c r="I2990" i="2" s="1"/>
  <c r="H2991" i="2"/>
  <c r="I2991" i="2" s="1"/>
  <c r="H2992" i="2"/>
  <c r="I2992" i="2" s="1"/>
  <c r="H2993" i="2"/>
  <c r="I2993" i="2" s="1"/>
  <c r="H2994" i="2"/>
  <c r="I2994" i="2" s="1"/>
  <c r="H2995" i="2"/>
  <c r="I2995" i="2" s="1"/>
  <c r="H2996" i="2"/>
  <c r="I2996" i="2" s="1"/>
  <c r="H2997" i="2"/>
  <c r="I2997" i="2" s="1"/>
  <c r="H2998" i="2"/>
  <c r="I2998" i="2" s="1"/>
  <c r="H2999" i="2"/>
  <c r="I2999" i="2" s="1"/>
  <c r="H3000" i="2"/>
  <c r="I3000" i="2" s="1"/>
  <c r="H3001" i="2"/>
  <c r="I3001" i="2" s="1"/>
  <c r="H3002" i="2"/>
  <c r="I3002" i="2" s="1"/>
  <c r="H3003" i="2"/>
  <c r="I3003" i="2" s="1"/>
  <c r="H3004" i="2"/>
  <c r="I3004" i="2" s="1"/>
  <c r="H3005" i="2"/>
  <c r="I3005" i="2" s="1"/>
  <c r="H3006" i="2"/>
  <c r="I3006" i="2" s="1"/>
  <c r="H3007" i="2"/>
  <c r="I3007" i="2" s="1"/>
  <c r="H3008" i="2"/>
  <c r="I3008" i="2" s="1"/>
  <c r="H3009" i="2"/>
  <c r="I3009" i="2" s="1"/>
  <c r="H3010" i="2"/>
  <c r="I3010" i="2" s="1"/>
  <c r="H3011" i="2"/>
  <c r="I3011" i="2" s="1"/>
  <c r="H3012" i="2"/>
  <c r="I3012" i="2" s="1"/>
  <c r="H3013" i="2"/>
  <c r="I3013" i="2" s="1"/>
  <c r="H3014" i="2"/>
  <c r="I3014" i="2" s="1"/>
  <c r="H3015" i="2"/>
  <c r="I3015" i="2" s="1"/>
  <c r="H3016" i="2"/>
  <c r="I3016" i="2" s="1"/>
  <c r="H3017" i="2"/>
  <c r="I3017" i="2" s="1"/>
  <c r="H3018" i="2"/>
  <c r="I3018" i="2" s="1"/>
  <c r="H3019" i="2"/>
  <c r="I3019" i="2" s="1"/>
  <c r="H3020" i="2"/>
  <c r="I3020" i="2" s="1"/>
  <c r="H3021" i="2"/>
  <c r="I3021" i="2" s="1"/>
  <c r="H3022" i="2"/>
  <c r="I3022" i="2" s="1"/>
  <c r="H3023" i="2"/>
  <c r="I3023" i="2" s="1"/>
  <c r="H3024" i="2"/>
  <c r="I3024" i="2" s="1"/>
  <c r="H3025" i="2"/>
  <c r="I3025" i="2" s="1"/>
  <c r="H3026" i="2"/>
  <c r="I3026" i="2" s="1"/>
  <c r="H3027" i="2"/>
  <c r="I3027" i="2" s="1"/>
  <c r="H3028" i="2"/>
  <c r="I3028" i="2" s="1"/>
  <c r="H3029" i="2"/>
  <c r="I3029" i="2" s="1"/>
  <c r="H3030" i="2"/>
  <c r="I3030" i="2" s="1"/>
  <c r="H3031" i="2"/>
  <c r="I3031" i="2" s="1"/>
  <c r="H3032" i="2"/>
  <c r="I3032" i="2" s="1"/>
  <c r="H3033" i="2"/>
  <c r="I3033" i="2" s="1"/>
  <c r="H3034" i="2"/>
  <c r="I3034" i="2" s="1"/>
  <c r="H3035" i="2"/>
  <c r="I3035" i="2" s="1"/>
  <c r="H3036" i="2"/>
  <c r="I3036" i="2" s="1"/>
  <c r="H3037" i="2"/>
  <c r="I3037" i="2" s="1"/>
  <c r="H3038" i="2"/>
  <c r="I3038" i="2" s="1"/>
  <c r="H3039" i="2"/>
  <c r="I3039" i="2" s="1"/>
  <c r="H3040" i="2"/>
  <c r="I3040" i="2" s="1"/>
  <c r="H3041" i="2"/>
  <c r="I3041" i="2" s="1"/>
  <c r="H3042" i="2"/>
  <c r="I3042" i="2" s="1"/>
  <c r="H3043" i="2"/>
  <c r="I3043" i="2" s="1"/>
  <c r="H3044" i="2"/>
  <c r="I3044" i="2" s="1"/>
  <c r="H3045" i="2"/>
  <c r="I3045" i="2" s="1"/>
  <c r="H3046" i="2"/>
  <c r="I3046" i="2" s="1"/>
  <c r="H3047" i="2"/>
  <c r="I3047" i="2" s="1"/>
  <c r="H3048" i="2"/>
  <c r="I3048" i="2" s="1"/>
  <c r="H3049" i="2"/>
  <c r="I3049" i="2" s="1"/>
  <c r="H3050" i="2"/>
  <c r="I3050" i="2" s="1"/>
  <c r="H3051" i="2"/>
  <c r="I3051" i="2" s="1"/>
  <c r="H3052" i="2"/>
  <c r="I3052" i="2" s="1"/>
  <c r="H3053" i="2"/>
  <c r="I3053" i="2" s="1"/>
  <c r="H3054" i="2"/>
  <c r="I3054" i="2" s="1"/>
  <c r="H3055" i="2"/>
  <c r="I3055" i="2" s="1"/>
  <c r="H3056" i="2"/>
  <c r="I3056" i="2" s="1"/>
  <c r="H3057" i="2"/>
  <c r="I3057" i="2" s="1"/>
  <c r="H3058" i="2"/>
  <c r="I3058" i="2" s="1"/>
  <c r="H3059" i="2"/>
  <c r="I3059" i="2" s="1"/>
  <c r="H3060" i="2"/>
  <c r="I3060" i="2" s="1"/>
  <c r="H3061" i="2"/>
  <c r="I3061" i="2" s="1"/>
  <c r="H3062" i="2"/>
  <c r="I3062" i="2" s="1"/>
  <c r="H3063" i="2"/>
  <c r="I3063" i="2" s="1"/>
  <c r="H3064" i="2"/>
  <c r="I3064" i="2" s="1"/>
  <c r="H3065" i="2"/>
  <c r="I3065" i="2" s="1"/>
  <c r="H3066" i="2"/>
  <c r="I3066" i="2" s="1"/>
  <c r="H3067" i="2"/>
  <c r="I3067" i="2" s="1"/>
  <c r="H3068" i="2"/>
  <c r="I3068" i="2" s="1"/>
  <c r="H3069" i="2"/>
  <c r="I3069" i="2" s="1"/>
  <c r="H3070" i="2"/>
  <c r="I3070" i="2" s="1"/>
  <c r="H3071" i="2"/>
  <c r="I3071" i="2" s="1"/>
  <c r="H3072" i="2"/>
  <c r="I3072" i="2" s="1"/>
  <c r="H3073" i="2"/>
  <c r="I3073" i="2" s="1"/>
  <c r="H3074" i="2"/>
  <c r="I3074" i="2" s="1"/>
  <c r="H3075" i="2"/>
  <c r="I3075" i="2" s="1"/>
  <c r="H3076" i="2"/>
  <c r="I3076" i="2" s="1"/>
  <c r="H3077" i="2"/>
  <c r="I3077" i="2" s="1"/>
  <c r="H3078" i="2"/>
  <c r="I3078" i="2" s="1"/>
  <c r="H3079" i="2"/>
  <c r="I3079" i="2" s="1"/>
  <c r="H3080" i="2"/>
  <c r="I3080" i="2" s="1"/>
  <c r="H3081" i="2"/>
  <c r="I3081" i="2" s="1"/>
  <c r="H3082" i="2"/>
  <c r="I3082" i="2" s="1"/>
  <c r="H3083" i="2"/>
  <c r="I3083" i="2" s="1"/>
  <c r="H3084" i="2"/>
  <c r="I3084" i="2" s="1"/>
  <c r="H3085" i="2"/>
  <c r="I3085" i="2" s="1"/>
  <c r="H3086" i="2"/>
  <c r="I3086" i="2" s="1"/>
  <c r="H3087" i="2"/>
  <c r="I3087" i="2" s="1"/>
  <c r="H3088" i="2"/>
  <c r="I3088" i="2" s="1"/>
  <c r="H3089" i="2"/>
  <c r="I3089" i="2" s="1"/>
  <c r="H3090" i="2"/>
  <c r="I3090" i="2" s="1"/>
  <c r="H3091" i="2"/>
  <c r="I3091" i="2" s="1"/>
  <c r="H3092" i="2"/>
  <c r="I3092" i="2" s="1"/>
  <c r="H3093" i="2"/>
  <c r="I3093" i="2" s="1"/>
  <c r="H3094" i="2"/>
  <c r="I3094" i="2" s="1"/>
  <c r="H3095" i="2"/>
  <c r="I3095" i="2" s="1"/>
  <c r="H3096" i="2"/>
  <c r="I3096" i="2" s="1"/>
  <c r="H3097" i="2"/>
  <c r="I3097" i="2" s="1"/>
  <c r="H3098" i="2"/>
  <c r="I3098" i="2" s="1"/>
  <c r="H3099" i="2"/>
  <c r="I3099" i="2" s="1"/>
  <c r="H3100" i="2"/>
  <c r="I3100" i="2" s="1"/>
  <c r="H3101" i="2"/>
  <c r="I3101" i="2" s="1"/>
  <c r="H3102" i="2"/>
  <c r="I3102" i="2" s="1"/>
  <c r="H3103" i="2"/>
  <c r="I3103" i="2" s="1"/>
  <c r="H3104" i="2"/>
  <c r="I3104" i="2" s="1"/>
  <c r="H3105" i="2"/>
  <c r="I3105" i="2" s="1"/>
  <c r="H3106" i="2"/>
  <c r="I3106" i="2" s="1"/>
  <c r="H3107" i="2"/>
  <c r="I3107" i="2" s="1"/>
  <c r="H3108" i="2"/>
  <c r="I3108" i="2" s="1"/>
  <c r="H3109" i="2"/>
  <c r="I3109" i="2" s="1"/>
  <c r="H3110" i="2"/>
  <c r="I3110" i="2" s="1"/>
  <c r="H3111" i="2"/>
  <c r="I3111" i="2" s="1"/>
  <c r="H3112" i="2"/>
  <c r="I3112" i="2" s="1"/>
  <c r="H3113" i="2"/>
  <c r="I3113" i="2" s="1"/>
  <c r="H3114" i="2"/>
  <c r="I3114" i="2" s="1"/>
  <c r="H3115" i="2"/>
  <c r="I3115" i="2" s="1"/>
  <c r="H3116" i="2"/>
  <c r="I3116" i="2" s="1"/>
  <c r="H3117" i="2"/>
  <c r="I3117" i="2" s="1"/>
  <c r="H3118" i="2"/>
  <c r="I3118" i="2" s="1"/>
  <c r="H3119" i="2"/>
  <c r="I3119" i="2" s="1"/>
  <c r="H3120" i="2"/>
  <c r="I3120" i="2" s="1"/>
  <c r="H3121" i="2"/>
  <c r="I3121" i="2" s="1"/>
  <c r="H3122" i="2"/>
  <c r="I3122" i="2" s="1"/>
  <c r="H3123" i="2"/>
  <c r="I3123" i="2" s="1"/>
  <c r="H3124" i="2"/>
  <c r="I3124" i="2" s="1"/>
  <c r="H3125" i="2"/>
  <c r="I3125" i="2" s="1"/>
  <c r="H3126" i="2"/>
  <c r="I3126" i="2" s="1"/>
  <c r="H3127" i="2"/>
  <c r="I3127" i="2" s="1"/>
  <c r="H3128" i="2"/>
  <c r="I3128" i="2" s="1"/>
  <c r="H3129" i="2"/>
  <c r="I3129" i="2" s="1"/>
  <c r="H3130" i="2"/>
  <c r="I3130" i="2" s="1"/>
  <c r="H3131" i="2"/>
  <c r="I3131" i="2" s="1"/>
  <c r="H3132" i="2"/>
  <c r="I3132" i="2" s="1"/>
  <c r="H3133" i="2"/>
  <c r="I3133" i="2" s="1"/>
  <c r="H3134" i="2"/>
  <c r="I3134" i="2" s="1"/>
  <c r="H3135" i="2"/>
  <c r="I3135" i="2" s="1"/>
  <c r="H3136" i="2"/>
  <c r="I3136" i="2" s="1"/>
  <c r="H3137" i="2"/>
  <c r="I3137" i="2" s="1"/>
  <c r="H3138" i="2"/>
  <c r="I3138" i="2" s="1"/>
  <c r="H3139" i="2"/>
  <c r="I3139" i="2" s="1"/>
  <c r="H3140" i="2"/>
  <c r="I3140" i="2" s="1"/>
  <c r="H3141" i="2"/>
  <c r="I3141" i="2" s="1"/>
  <c r="H3142" i="2"/>
  <c r="I3142" i="2" s="1"/>
  <c r="H3143" i="2"/>
  <c r="I3143" i="2" s="1"/>
  <c r="H3144" i="2"/>
  <c r="I3144" i="2" s="1"/>
  <c r="H3145" i="2"/>
  <c r="I3145" i="2" s="1"/>
  <c r="H3146" i="2"/>
  <c r="I3146" i="2" s="1"/>
  <c r="H3147" i="2"/>
  <c r="I3147" i="2" s="1"/>
  <c r="H3148" i="2"/>
  <c r="I3148" i="2" s="1"/>
  <c r="H3149" i="2"/>
  <c r="I3149" i="2" s="1"/>
  <c r="H3150" i="2"/>
  <c r="I3150" i="2" s="1"/>
  <c r="H3151" i="2"/>
  <c r="I3151" i="2" s="1"/>
  <c r="H3152" i="2"/>
  <c r="I3152" i="2" s="1"/>
  <c r="H3153" i="2"/>
  <c r="I3153" i="2" s="1"/>
  <c r="H3154" i="2"/>
  <c r="I3154" i="2" s="1"/>
  <c r="H3155" i="2"/>
  <c r="I3155" i="2" s="1"/>
  <c r="H3156" i="2"/>
  <c r="I3156" i="2" s="1"/>
  <c r="H3157" i="2"/>
  <c r="I3157" i="2" s="1"/>
  <c r="H3158" i="2"/>
  <c r="I3158" i="2" s="1"/>
  <c r="H3159" i="2"/>
  <c r="I3159" i="2" s="1"/>
  <c r="H3160" i="2"/>
  <c r="I3160" i="2" s="1"/>
  <c r="H3161" i="2"/>
  <c r="I3161" i="2" s="1"/>
  <c r="H3162" i="2"/>
  <c r="I3162" i="2" s="1"/>
  <c r="H3163" i="2"/>
  <c r="I3163" i="2" s="1"/>
  <c r="H3164" i="2"/>
  <c r="I3164" i="2" s="1"/>
  <c r="H3165" i="2"/>
  <c r="I3165" i="2" s="1"/>
  <c r="H3166" i="2"/>
  <c r="I3166" i="2" s="1"/>
  <c r="H3167" i="2"/>
  <c r="I3167" i="2" s="1"/>
  <c r="H3168" i="2"/>
  <c r="I3168" i="2" s="1"/>
  <c r="H3169" i="2"/>
  <c r="I3169" i="2" s="1"/>
  <c r="H3170" i="2"/>
  <c r="I3170" i="2" s="1"/>
  <c r="H3171" i="2"/>
  <c r="I3171" i="2" s="1"/>
  <c r="H3172" i="2"/>
  <c r="I3172" i="2" s="1"/>
  <c r="H3173" i="2"/>
  <c r="I3173" i="2" s="1"/>
  <c r="H3174" i="2"/>
  <c r="I3174" i="2" s="1"/>
  <c r="H3175" i="2"/>
  <c r="I3175" i="2" s="1"/>
  <c r="H3176" i="2"/>
  <c r="I3176" i="2" s="1"/>
  <c r="H3177" i="2"/>
  <c r="I3177" i="2" s="1"/>
  <c r="H3178" i="2"/>
  <c r="I3178" i="2" s="1"/>
  <c r="H3179" i="2"/>
  <c r="I3179" i="2" s="1"/>
  <c r="H3180" i="2"/>
  <c r="I3180" i="2" s="1"/>
  <c r="H3181" i="2"/>
  <c r="I3181" i="2" s="1"/>
  <c r="H3182" i="2"/>
  <c r="I3182" i="2" s="1"/>
  <c r="H3183" i="2"/>
  <c r="I3183" i="2" s="1"/>
  <c r="H3184" i="2"/>
  <c r="I3184" i="2" s="1"/>
  <c r="H3185" i="2"/>
  <c r="I3185" i="2" s="1"/>
  <c r="H3186" i="2"/>
  <c r="I3186" i="2" s="1"/>
  <c r="H3187" i="2"/>
  <c r="I3187" i="2" s="1"/>
  <c r="H3188" i="2"/>
  <c r="I3188" i="2" s="1"/>
  <c r="H3189" i="2"/>
  <c r="I3189" i="2" s="1"/>
  <c r="H3190" i="2"/>
  <c r="I3190" i="2" s="1"/>
  <c r="H3191" i="2"/>
  <c r="I3191" i="2" s="1"/>
  <c r="H3192" i="2"/>
  <c r="I3192" i="2" s="1"/>
  <c r="H3193" i="2"/>
  <c r="I3193" i="2" s="1"/>
  <c r="H3194" i="2"/>
  <c r="I3194" i="2" s="1"/>
  <c r="H3195" i="2"/>
  <c r="I3195" i="2" s="1"/>
  <c r="H3196" i="2"/>
  <c r="I3196" i="2" s="1"/>
  <c r="H3197" i="2"/>
  <c r="I3197" i="2" s="1"/>
  <c r="H3198" i="2"/>
  <c r="I3198" i="2" s="1"/>
  <c r="H3199" i="2"/>
  <c r="I3199" i="2" s="1"/>
  <c r="H3200" i="2"/>
  <c r="I3200" i="2" s="1"/>
  <c r="H3201" i="2"/>
  <c r="I3201" i="2" s="1"/>
  <c r="H3202" i="2"/>
  <c r="I3202" i="2" s="1"/>
  <c r="H3203" i="2"/>
  <c r="I3203" i="2" s="1"/>
  <c r="H3204" i="2"/>
  <c r="I3204" i="2" s="1"/>
  <c r="H3205" i="2"/>
  <c r="I3205" i="2" s="1"/>
  <c r="H3206" i="2"/>
  <c r="I3206" i="2" s="1"/>
  <c r="H3207" i="2"/>
  <c r="I3207" i="2" s="1"/>
  <c r="H3208" i="2"/>
  <c r="I3208" i="2" s="1"/>
  <c r="H3209" i="2"/>
  <c r="I3209" i="2" s="1"/>
  <c r="H3210" i="2"/>
  <c r="I3210" i="2" s="1"/>
  <c r="H3211" i="2"/>
  <c r="I3211" i="2" s="1"/>
  <c r="H3212" i="2"/>
  <c r="I3212" i="2" s="1"/>
  <c r="H3213" i="2"/>
  <c r="I3213" i="2" s="1"/>
  <c r="H3214" i="2"/>
  <c r="I3214" i="2" s="1"/>
  <c r="H3215" i="2"/>
  <c r="I3215" i="2" s="1"/>
  <c r="H3216" i="2"/>
  <c r="I3216" i="2" s="1"/>
  <c r="H3217" i="2"/>
  <c r="I3217" i="2" s="1"/>
  <c r="H3218" i="2"/>
  <c r="I3218" i="2" s="1"/>
  <c r="H3219" i="2"/>
  <c r="I3219" i="2" s="1"/>
  <c r="H3220" i="2"/>
  <c r="I3220" i="2" s="1"/>
  <c r="H3221" i="2"/>
  <c r="I3221" i="2" s="1"/>
  <c r="H3222" i="2"/>
  <c r="I3222" i="2" s="1"/>
  <c r="H3223" i="2"/>
  <c r="I3223" i="2" s="1"/>
  <c r="H3224" i="2"/>
  <c r="I3224" i="2" s="1"/>
  <c r="H3225" i="2"/>
  <c r="I3225" i="2" s="1"/>
  <c r="H3226" i="2"/>
  <c r="I3226" i="2" s="1"/>
  <c r="H3227" i="2"/>
  <c r="I3227" i="2" s="1"/>
  <c r="H3228" i="2"/>
  <c r="I3228" i="2" s="1"/>
  <c r="H3229" i="2"/>
  <c r="I3229" i="2" s="1"/>
  <c r="H3230" i="2"/>
  <c r="I3230" i="2" s="1"/>
  <c r="H3231" i="2"/>
  <c r="I3231" i="2" s="1"/>
  <c r="H3232" i="2"/>
  <c r="I3232" i="2" s="1"/>
  <c r="H3233" i="2"/>
  <c r="I3233" i="2" s="1"/>
  <c r="H3234" i="2"/>
  <c r="I3234" i="2" s="1"/>
  <c r="H3235" i="2"/>
  <c r="I3235" i="2" s="1"/>
  <c r="H3236" i="2"/>
  <c r="I3236" i="2" s="1"/>
  <c r="H3237" i="2"/>
  <c r="I3237" i="2" s="1"/>
  <c r="H3238" i="2"/>
  <c r="I3238" i="2" s="1"/>
  <c r="H3239" i="2"/>
  <c r="I3239" i="2" s="1"/>
  <c r="H3240" i="2"/>
  <c r="I3240" i="2" s="1"/>
  <c r="H3241" i="2"/>
  <c r="I3241" i="2" s="1"/>
  <c r="H3242" i="2"/>
  <c r="I3242" i="2" s="1"/>
  <c r="H3243" i="2"/>
  <c r="I3243" i="2" s="1"/>
  <c r="H3244" i="2"/>
  <c r="I3244" i="2" s="1"/>
  <c r="H3245" i="2"/>
  <c r="I3245" i="2" s="1"/>
  <c r="H3246" i="2"/>
  <c r="I3246" i="2" s="1"/>
  <c r="H3247" i="2"/>
  <c r="I3247" i="2" s="1"/>
  <c r="H3248" i="2"/>
  <c r="I3248" i="2" s="1"/>
  <c r="H3249" i="2"/>
  <c r="I3249" i="2" s="1"/>
  <c r="H3250" i="2"/>
  <c r="I3250" i="2" s="1"/>
  <c r="H3251" i="2"/>
  <c r="I3251" i="2" s="1"/>
  <c r="H3252" i="2"/>
  <c r="I3252" i="2" s="1"/>
  <c r="H3253" i="2"/>
  <c r="I3253" i="2" s="1"/>
  <c r="H3254" i="2"/>
  <c r="I3254" i="2" s="1"/>
  <c r="H3255" i="2"/>
  <c r="I3255" i="2" s="1"/>
  <c r="H3256" i="2"/>
  <c r="I3256" i="2" s="1"/>
  <c r="H3257" i="2"/>
  <c r="I3257" i="2" s="1"/>
  <c r="H3258" i="2"/>
  <c r="I3258" i="2" s="1"/>
  <c r="H3259" i="2"/>
  <c r="I3259" i="2" s="1"/>
  <c r="H3260" i="2"/>
  <c r="I3260" i="2" s="1"/>
  <c r="H3261" i="2"/>
  <c r="I3261" i="2" s="1"/>
  <c r="H3262" i="2"/>
  <c r="I3262" i="2" s="1"/>
  <c r="H3263" i="2"/>
  <c r="I3263" i="2" s="1"/>
  <c r="H3264" i="2"/>
  <c r="I3264" i="2" s="1"/>
  <c r="H3265" i="2"/>
  <c r="I3265" i="2" s="1"/>
  <c r="H3266" i="2"/>
  <c r="I3266" i="2" s="1"/>
  <c r="H3267" i="2"/>
  <c r="I3267" i="2" s="1"/>
  <c r="H3268" i="2"/>
  <c r="I3268" i="2" s="1"/>
  <c r="H3269" i="2"/>
  <c r="I3269" i="2" s="1"/>
  <c r="H3270" i="2"/>
  <c r="I3270" i="2" s="1"/>
  <c r="H3271" i="2"/>
  <c r="I3271" i="2" s="1"/>
  <c r="H3272" i="2"/>
  <c r="I3272" i="2" s="1"/>
  <c r="H3273" i="2"/>
  <c r="I3273" i="2" s="1"/>
  <c r="H3274" i="2"/>
  <c r="I3274" i="2" s="1"/>
  <c r="H3275" i="2"/>
  <c r="I3275" i="2" s="1"/>
  <c r="H3276" i="2"/>
  <c r="I3276" i="2" s="1"/>
  <c r="H3277" i="2"/>
  <c r="I3277" i="2" s="1"/>
  <c r="H3278" i="2"/>
  <c r="I3278" i="2" s="1"/>
  <c r="H3279" i="2"/>
  <c r="I3279" i="2" s="1"/>
  <c r="H3280" i="2"/>
  <c r="I3280" i="2" s="1"/>
  <c r="H3281" i="2"/>
  <c r="I3281" i="2" s="1"/>
  <c r="H3282" i="2"/>
  <c r="I3282" i="2" s="1"/>
  <c r="H3283" i="2"/>
  <c r="I3283" i="2" s="1"/>
  <c r="H3284" i="2"/>
  <c r="I3284" i="2" s="1"/>
  <c r="H3285" i="2"/>
  <c r="I3285" i="2" s="1"/>
  <c r="H3286" i="2"/>
  <c r="I3286" i="2" s="1"/>
  <c r="H3287" i="2"/>
  <c r="I3287" i="2" s="1"/>
  <c r="H3288" i="2"/>
  <c r="I3288" i="2" s="1"/>
  <c r="H3289" i="2"/>
  <c r="I3289" i="2" s="1"/>
  <c r="H3290" i="2"/>
  <c r="I3290" i="2" s="1"/>
  <c r="H3291" i="2"/>
  <c r="I3291" i="2" s="1"/>
  <c r="H3292" i="2"/>
  <c r="I3292" i="2" s="1"/>
  <c r="H3293" i="2"/>
  <c r="I3293" i="2" s="1"/>
  <c r="H3294" i="2"/>
  <c r="I3294" i="2" s="1"/>
  <c r="H3295" i="2"/>
  <c r="I3295" i="2" s="1"/>
  <c r="H3296" i="2"/>
  <c r="I3296" i="2" s="1"/>
  <c r="H3297" i="2"/>
  <c r="I3297" i="2" s="1"/>
  <c r="H3298" i="2"/>
  <c r="I3298" i="2" s="1"/>
  <c r="H3299" i="2"/>
  <c r="I3299" i="2" s="1"/>
  <c r="H3300" i="2"/>
  <c r="I3300" i="2" s="1"/>
  <c r="H3301" i="2"/>
  <c r="I3301" i="2" s="1"/>
  <c r="H3302" i="2"/>
  <c r="I3302" i="2" s="1"/>
  <c r="H3303" i="2"/>
  <c r="I3303" i="2" s="1"/>
  <c r="H3304" i="2"/>
  <c r="I3304" i="2" s="1"/>
  <c r="H3305" i="2"/>
  <c r="I3305" i="2" s="1"/>
  <c r="H3306" i="2"/>
  <c r="I3306" i="2" s="1"/>
  <c r="H3307" i="2"/>
  <c r="I3307" i="2" s="1"/>
  <c r="H3308" i="2"/>
  <c r="I3308" i="2" s="1"/>
  <c r="H3309" i="2"/>
  <c r="I3309" i="2" s="1"/>
  <c r="H3310" i="2"/>
  <c r="I3310" i="2" s="1"/>
  <c r="H3311" i="2"/>
  <c r="I3311" i="2" s="1"/>
  <c r="H3312" i="2"/>
  <c r="I3312" i="2" s="1"/>
  <c r="H3313" i="2"/>
  <c r="I3313" i="2" s="1"/>
  <c r="H3314" i="2"/>
  <c r="I3314" i="2" s="1"/>
  <c r="H3315" i="2"/>
  <c r="I3315" i="2" s="1"/>
  <c r="H3316" i="2"/>
  <c r="I3316" i="2" s="1"/>
  <c r="H3317" i="2"/>
  <c r="I3317" i="2" s="1"/>
  <c r="H3318" i="2"/>
  <c r="I3318" i="2" s="1"/>
  <c r="H3319" i="2"/>
  <c r="I3319" i="2" s="1"/>
  <c r="H3320" i="2"/>
  <c r="I3320" i="2" s="1"/>
  <c r="H3321" i="2"/>
  <c r="I3321" i="2" s="1"/>
  <c r="H3322" i="2"/>
  <c r="I3322" i="2" s="1"/>
  <c r="H3323" i="2"/>
  <c r="I3323" i="2" s="1"/>
  <c r="H3324" i="2"/>
  <c r="I3324" i="2" s="1"/>
  <c r="H3325" i="2"/>
  <c r="I3325" i="2" s="1"/>
  <c r="H3326" i="2"/>
  <c r="I3326" i="2" s="1"/>
  <c r="H3327" i="2"/>
  <c r="I3327" i="2" s="1"/>
  <c r="H3328" i="2"/>
  <c r="I3328" i="2" s="1"/>
  <c r="H3329" i="2"/>
  <c r="I3329" i="2" s="1"/>
  <c r="H3330" i="2"/>
  <c r="I3330" i="2" s="1"/>
  <c r="H3331" i="2"/>
  <c r="I3331" i="2" s="1"/>
  <c r="H3332" i="2"/>
  <c r="I3332" i="2" s="1"/>
  <c r="H3333" i="2"/>
  <c r="I3333" i="2" s="1"/>
  <c r="H3334" i="2"/>
  <c r="I3334" i="2" s="1"/>
  <c r="H3335" i="2"/>
  <c r="I3335" i="2" s="1"/>
  <c r="H3336" i="2"/>
  <c r="I3336" i="2" s="1"/>
  <c r="H3337" i="2"/>
  <c r="I3337" i="2" s="1"/>
  <c r="H3338" i="2"/>
  <c r="I3338" i="2" s="1"/>
  <c r="H3339" i="2"/>
  <c r="I3339" i="2" s="1"/>
  <c r="H3340" i="2"/>
  <c r="I3340" i="2" s="1"/>
  <c r="H3341" i="2"/>
  <c r="I3341" i="2" s="1"/>
  <c r="H3342" i="2"/>
  <c r="I3342" i="2" s="1"/>
  <c r="H3343" i="2"/>
  <c r="I3343" i="2" s="1"/>
  <c r="H3344" i="2"/>
  <c r="I3344" i="2" s="1"/>
  <c r="H3345" i="2"/>
  <c r="I3345" i="2" s="1"/>
  <c r="H3346" i="2"/>
  <c r="I3346" i="2" s="1"/>
  <c r="H3347" i="2"/>
  <c r="I3347" i="2" s="1"/>
  <c r="H3348" i="2"/>
  <c r="I3348" i="2" s="1"/>
  <c r="H3349" i="2"/>
  <c r="I3349" i="2" s="1"/>
  <c r="H3350" i="2"/>
  <c r="I3350" i="2" s="1"/>
  <c r="H3351" i="2"/>
  <c r="I3351" i="2" s="1"/>
  <c r="H3352" i="2"/>
  <c r="I3352" i="2" s="1"/>
  <c r="H3353" i="2"/>
  <c r="I3353" i="2" s="1"/>
  <c r="H3354" i="2"/>
  <c r="I3354" i="2" s="1"/>
  <c r="H3355" i="2"/>
  <c r="I3355" i="2" s="1"/>
  <c r="H3356" i="2"/>
  <c r="I3356" i="2" s="1"/>
  <c r="H3357" i="2"/>
  <c r="I3357" i="2" s="1"/>
  <c r="H3358" i="2"/>
  <c r="I3358" i="2" s="1"/>
  <c r="H3359" i="2"/>
  <c r="I3359" i="2" s="1"/>
  <c r="H3360" i="2"/>
  <c r="I3360" i="2" s="1"/>
  <c r="H3361" i="2"/>
  <c r="I3361" i="2" s="1"/>
  <c r="H3362" i="2"/>
  <c r="I3362" i="2" s="1"/>
  <c r="H3363" i="2"/>
  <c r="I3363" i="2" s="1"/>
  <c r="H3364" i="2"/>
  <c r="I3364" i="2" s="1"/>
  <c r="H3365" i="2"/>
  <c r="I3365" i="2" s="1"/>
  <c r="H3366" i="2"/>
  <c r="I3366" i="2" s="1"/>
  <c r="H3367" i="2"/>
  <c r="I3367" i="2" s="1"/>
  <c r="H3368" i="2"/>
  <c r="I3368" i="2" s="1"/>
  <c r="H3369" i="2"/>
  <c r="I3369" i="2" s="1"/>
  <c r="H3370" i="2"/>
  <c r="I3370" i="2" s="1"/>
  <c r="H3371" i="2"/>
  <c r="I3371" i="2" s="1"/>
  <c r="H3372" i="2"/>
  <c r="I3372" i="2" s="1"/>
  <c r="H3373" i="2"/>
  <c r="I3373" i="2" s="1"/>
  <c r="H3374" i="2"/>
  <c r="I3374" i="2" s="1"/>
  <c r="H3375" i="2"/>
  <c r="I3375" i="2" s="1"/>
  <c r="H3376" i="2"/>
  <c r="I3376" i="2" s="1"/>
  <c r="H3377" i="2"/>
  <c r="I3377" i="2" s="1"/>
  <c r="H3378" i="2"/>
  <c r="I3378" i="2" s="1"/>
  <c r="H3379" i="2"/>
  <c r="I3379" i="2" s="1"/>
  <c r="H3380" i="2"/>
  <c r="I3380" i="2" s="1"/>
  <c r="H3381" i="2"/>
  <c r="I3381" i="2" s="1"/>
  <c r="H3382" i="2"/>
  <c r="I3382" i="2" s="1"/>
  <c r="H3383" i="2"/>
  <c r="I3383" i="2" s="1"/>
  <c r="H3384" i="2"/>
  <c r="I3384" i="2" s="1"/>
  <c r="H3385" i="2"/>
  <c r="I3385" i="2" s="1"/>
  <c r="H3386" i="2"/>
  <c r="I3386" i="2" s="1"/>
  <c r="H3387" i="2"/>
  <c r="I3387" i="2" s="1"/>
  <c r="H3388" i="2"/>
  <c r="I3388" i="2" s="1"/>
  <c r="H3389" i="2"/>
  <c r="I3389" i="2" s="1"/>
  <c r="H3390" i="2"/>
  <c r="I3390" i="2" s="1"/>
  <c r="H3391" i="2"/>
  <c r="I3391" i="2" s="1"/>
  <c r="H3392" i="2"/>
  <c r="I3392" i="2" s="1"/>
  <c r="H3393" i="2"/>
  <c r="I3393" i="2" s="1"/>
  <c r="H3394" i="2"/>
  <c r="I3394" i="2" s="1"/>
  <c r="H3395" i="2"/>
  <c r="I3395" i="2" s="1"/>
  <c r="H3396" i="2"/>
  <c r="I3396" i="2" s="1"/>
  <c r="H3397" i="2"/>
  <c r="I3397" i="2" s="1"/>
  <c r="H3398" i="2"/>
  <c r="I3398" i="2" s="1"/>
  <c r="H3399" i="2"/>
  <c r="I3399" i="2" s="1"/>
  <c r="H3400" i="2"/>
  <c r="I3400" i="2" s="1"/>
  <c r="H3401" i="2"/>
  <c r="I3401" i="2" s="1"/>
  <c r="H3402" i="2"/>
  <c r="I3402" i="2" s="1"/>
  <c r="H3403" i="2"/>
  <c r="I3403" i="2" s="1"/>
  <c r="H3404" i="2"/>
  <c r="I3404" i="2" s="1"/>
  <c r="H3405" i="2"/>
  <c r="I3405" i="2" s="1"/>
  <c r="H3406" i="2"/>
  <c r="I3406" i="2" s="1"/>
  <c r="H3407" i="2"/>
  <c r="I3407" i="2" s="1"/>
  <c r="H3408" i="2"/>
  <c r="I3408" i="2" s="1"/>
  <c r="H3409" i="2"/>
  <c r="I3409" i="2" s="1"/>
  <c r="H3410" i="2"/>
  <c r="I3410" i="2" s="1"/>
  <c r="H3411" i="2"/>
  <c r="I3411" i="2" s="1"/>
  <c r="H3412" i="2"/>
  <c r="I3412" i="2" s="1"/>
  <c r="H3413" i="2"/>
  <c r="I3413" i="2" s="1"/>
  <c r="H3414" i="2"/>
  <c r="I3414" i="2" s="1"/>
  <c r="H3415" i="2"/>
  <c r="I3415" i="2" s="1"/>
  <c r="H3416" i="2"/>
  <c r="I3416" i="2" s="1"/>
  <c r="H3417" i="2"/>
  <c r="I3417" i="2" s="1"/>
  <c r="H3418" i="2"/>
  <c r="I3418" i="2" s="1"/>
  <c r="H3419" i="2"/>
  <c r="I3419" i="2" s="1"/>
  <c r="H3420" i="2"/>
  <c r="I3420" i="2" s="1"/>
  <c r="H3421" i="2"/>
  <c r="I3421" i="2" s="1"/>
  <c r="H3422" i="2"/>
  <c r="I3422" i="2" s="1"/>
  <c r="H3423" i="2"/>
  <c r="I3423" i="2" s="1"/>
  <c r="H3424" i="2"/>
  <c r="I3424" i="2" s="1"/>
  <c r="H3425" i="2"/>
  <c r="I3425" i="2" s="1"/>
  <c r="H3426" i="2"/>
  <c r="I3426" i="2" s="1"/>
  <c r="H3427" i="2"/>
  <c r="I3427" i="2" s="1"/>
  <c r="H3428" i="2"/>
  <c r="I3428" i="2" s="1"/>
  <c r="H3429" i="2"/>
  <c r="I3429" i="2" s="1"/>
  <c r="H3430" i="2"/>
  <c r="I3430" i="2" s="1"/>
  <c r="H3431" i="2"/>
  <c r="I3431" i="2" s="1"/>
  <c r="H3432" i="2"/>
  <c r="I3432" i="2" s="1"/>
  <c r="H3433" i="2"/>
  <c r="I3433" i="2" s="1"/>
  <c r="H3434" i="2"/>
  <c r="I3434" i="2" s="1"/>
  <c r="H3435" i="2"/>
  <c r="I3435" i="2" s="1"/>
  <c r="H3436" i="2"/>
  <c r="I3436" i="2" s="1"/>
  <c r="H3437" i="2"/>
  <c r="I3437" i="2" s="1"/>
  <c r="H3438" i="2"/>
  <c r="I3438" i="2" s="1"/>
  <c r="H3439" i="2"/>
  <c r="I3439" i="2" s="1"/>
  <c r="H3440" i="2"/>
  <c r="I3440" i="2" s="1"/>
  <c r="H3441" i="2"/>
  <c r="I3441" i="2" s="1"/>
  <c r="H3442" i="2"/>
  <c r="I3442" i="2" s="1"/>
  <c r="H3443" i="2"/>
  <c r="I3443" i="2" s="1"/>
  <c r="H3444" i="2"/>
  <c r="I3444" i="2" s="1"/>
  <c r="H3445" i="2"/>
  <c r="I3445" i="2" s="1"/>
  <c r="H3446" i="2"/>
  <c r="I3446" i="2" s="1"/>
  <c r="H3447" i="2"/>
  <c r="I3447" i="2" s="1"/>
  <c r="H3448" i="2"/>
  <c r="I3448" i="2" s="1"/>
  <c r="H3449" i="2"/>
  <c r="I3449" i="2" s="1"/>
  <c r="H3450" i="2"/>
  <c r="I3450" i="2" s="1"/>
  <c r="H3451" i="2"/>
  <c r="I3451" i="2" s="1"/>
  <c r="H3452" i="2"/>
  <c r="I3452" i="2" s="1"/>
  <c r="H3453" i="2"/>
  <c r="I3453" i="2" s="1"/>
  <c r="H3454" i="2"/>
  <c r="I3454" i="2" s="1"/>
  <c r="H3455" i="2"/>
  <c r="I3455" i="2" s="1"/>
  <c r="H3456" i="2"/>
  <c r="I3456" i="2" s="1"/>
  <c r="H3457" i="2"/>
  <c r="I3457" i="2" s="1"/>
  <c r="H3458" i="2"/>
  <c r="I3458" i="2" s="1"/>
  <c r="H3459" i="2"/>
  <c r="I3459" i="2" s="1"/>
  <c r="H3460" i="2"/>
  <c r="I3460" i="2" s="1"/>
  <c r="H3461" i="2"/>
  <c r="I3461" i="2" s="1"/>
  <c r="H3462" i="2"/>
  <c r="I3462" i="2" s="1"/>
  <c r="H3463" i="2"/>
  <c r="I3463" i="2" s="1"/>
  <c r="H3464" i="2"/>
  <c r="I3464" i="2" s="1"/>
  <c r="H3465" i="2"/>
  <c r="I3465" i="2" s="1"/>
  <c r="H3466" i="2"/>
  <c r="I3466" i="2" s="1"/>
  <c r="H3467" i="2"/>
  <c r="I3467" i="2" s="1"/>
  <c r="H3468" i="2"/>
  <c r="I3468" i="2" s="1"/>
  <c r="H3469" i="2"/>
  <c r="I3469" i="2" s="1"/>
  <c r="H3470" i="2"/>
  <c r="I3470" i="2" s="1"/>
  <c r="H3471" i="2"/>
  <c r="I3471" i="2" s="1"/>
  <c r="H3472" i="2"/>
  <c r="I3472" i="2" s="1"/>
  <c r="H3473" i="2"/>
  <c r="I3473" i="2" s="1"/>
  <c r="H3474" i="2"/>
  <c r="I3474" i="2" s="1"/>
  <c r="H3475" i="2"/>
  <c r="I3475" i="2" s="1"/>
  <c r="H3476" i="2"/>
  <c r="I3476" i="2" s="1"/>
  <c r="H3477" i="2"/>
  <c r="I3477" i="2" s="1"/>
  <c r="H3478" i="2"/>
  <c r="I3478" i="2" s="1"/>
  <c r="H3479" i="2"/>
  <c r="I3479" i="2" s="1"/>
  <c r="H3480" i="2"/>
  <c r="I3480" i="2" s="1"/>
  <c r="H3481" i="2"/>
  <c r="I3481" i="2" s="1"/>
  <c r="H3482" i="2"/>
  <c r="I3482" i="2" s="1"/>
  <c r="H3483" i="2"/>
  <c r="I3483" i="2" s="1"/>
  <c r="H3484" i="2"/>
  <c r="I3484" i="2" s="1"/>
  <c r="H3485" i="2"/>
  <c r="I3485" i="2" s="1"/>
  <c r="H3486" i="2"/>
  <c r="I3486" i="2" s="1"/>
  <c r="H3487" i="2"/>
  <c r="I3487" i="2" s="1"/>
  <c r="H3488" i="2"/>
  <c r="I3488" i="2" s="1"/>
  <c r="H3489" i="2"/>
  <c r="I3489" i="2" s="1"/>
  <c r="H3490" i="2"/>
  <c r="I3490" i="2" s="1"/>
  <c r="H3491" i="2"/>
  <c r="I3491" i="2" s="1"/>
  <c r="H3492" i="2"/>
  <c r="I3492" i="2" s="1"/>
  <c r="H3493" i="2"/>
  <c r="I3493" i="2" s="1"/>
  <c r="H3494" i="2"/>
  <c r="I3494" i="2" s="1"/>
  <c r="H3495" i="2"/>
  <c r="I3495" i="2" s="1"/>
  <c r="H3496" i="2"/>
  <c r="I3496" i="2" s="1"/>
  <c r="H3497" i="2"/>
  <c r="I3497" i="2" s="1"/>
  <c r="H3498" i="2"/>
  <c r="I3498" i="2" s="1"/>
  <c r="H3499" i="2"/>
  <c r="I3499" i="2" s="1"/>
  <c r="H3500" i="2"/>
  <c r="I3500" i="2" s="1"/>
  <c r="H3501" i="2"/>
  <c r="I3501" i="2" s="1"/>
  <c r="H3502" i="2"/>
  <c r="I3502" i="2" s="1"/>
  <c r="H3503" i="2"/>
  <c r="I3503" i="2" s="1"/>
  <c r="H3504" i="2"/>
  <c r="I3504" i="2" s="1"/>
  <c r="H3505" i="2"/>
  <c r="I3505" i="2" s="1"/>
  <c r="H3506" i="2"/>
  <c r="I3506" i="2" s="1"/>
  <c r="H3507" i="2"/>
  <c r="I3507" i="2" s="1"/>
  <c r="H3508" i="2"/>
  <c r="I3508" i="2" s="1"/>
  <c r="H3509" i="2"/>
  <c r="I3509" i="2" s="1"/>
  <c r="H3510" i="2"/>
  <c r="I3510" i="2" s="1"/>
  <c r="H3511" i="2"/>
  <c r="I3511" i="2" s="1"/>
  <c r="H3512" i="2"/>
  <c r="I3512" i="2" s="1"/>
  <c r="H3513" i="2"/>
  <c r="I3513" i="2" s="1"/>
  <c r="H3514" i="2"/>
  <c r="I3514" i="2" s="1"/>
  <c r="H3515" i="2"/>
  <c r="I3515" i="2" s="1"/>
  <c r="H3516" i="2"/>
  <c r="I3516" i="2" s="1"/>
  <c r="H3517" i="2"/>
  <c r="I3517" i="2" s="1"/>
  <c r="H3518" i="2"/>
  <c r="I3518" i="2" s="1"/>
  <c r="H3519" i="2"/>
  <c r="I3519" i="2" s="1"/>
  <c r="H3520" i="2"/>
  <c r="I3520" i="2" s="1"/>
  <c r="H3521" i="2"/>
  <c r="I3521" i="2" s="1"/>
  <c r="H3522" i="2"/>
  <c r="I3522" i="2" s="1"/>
  <c r="H3523" i="2"/>
  <c r="I3523" i="2" s="1"/>
  <c r="H3524" i="2"/>
  <c r="I3524" i="2" s="1"/>
  <c r="H3525" i="2"/>
  <c r="I3525" i="2" s="1"/>
  <c r="H3526" i="2"/>
  <c r="I3526" i="2" s="1"/>
  <c r="H3527" i="2"/>
  <c r="I3527" i="2" s="1"/>
  <c r="H3528" i="2"/>
  <c r="I3528" i="2" s="1"/>
  <c r="H3529" i="2"/>
  <c r="I3529" i="2" s="1"/>
  <c r="H3530" i="2"/>
  <c r="I3530" i="2" s="1"/>
  <c r="H3531" i="2"/>
  <c r="I3531" i="2" s="1"/>
  <c r="H3532" i="2"/>
  <c r="I3532" i="2" s="1"/>
  <c r="H3533" i="2"/>
  <c r="I3533" i="2" s="1"/>
  <c r="H3534" i="2"/>
  <c r="I3534" i="2" s="1"/>
  <c r="H3535" i="2"/>
  <c r="I3535" i="2" s="1"/>
  <c r="H3536" i="2"/>
  <c r="I3536" i="2" s="1"/>
  <c r="H3537" i="2"/>
  <c r="I3537" i="2" s="1"/>
  <c r="H3538" i="2"/>
  <c r="I3538" i="2" s="1"/>
  <c r="H3539" i="2"/>
  <c r="I3539" i="2" s="1"/>
  <c r="H3540" i="2"/>
  <c r="I3540" i="2" s="1"/>
  <c r="H3541" i="2"/>
  <c r="I3541" i="2" s="1"/>
  <c r="H3542" i="2"/>
  <c r="I3542" i="2" s="1"/>
  <c r="H3543" i="2"/>
  <c r="I3543" i="2" s="1"/>
  <c r="H3544" i="2"/>
  <c r="I3544" i="2" s="1"/>
  <c r="H3545" i="2"/>
  <c r="I3545" i="2" s="1"/>
  <c r="H3546" i="2"/>
  <c r="I3546" i="2" s="1"/>
  <c r="H3547" i="2"/>
  <c r="I3547" i="2" s="1"/>
  <c r="H3548" i="2"/>
  <c r="I3548" i="2" s="1"/>
  <c r="H3549" i="2"/>
  <c r="I3549" i="2" s="1"/>
  <c r="H3550" i="2"/>
  <c r="I3550" i="2" s="1"/>
  <c r="H3551" i="2"/>
  <c r="I3551" i="2" s="1"/>
  <c r="H3552" i="2"/>
  <c r="I3552" i="2" s="1"/>
  <c r="H3553" i="2"/>
  <c r="I3553" i="2" s="1"/>
  <c r="H3554" i="2"/>
  <c r="I3554" i="2" s="1"/>
  <c r="H3555" i="2"/>
  <c r="I3555" i="2" s="1"/>
  <c r="H3556" i="2"/>
  <c r="I3556" i="2" s="1"/>
  <c r="H3557" i="2"/>
  <c r="I3557" i="2" s="1"/>
  <c r="H3558" i="2"/>
  <c r="I3558" i="2" s="1"/>
  <c r="H3559" i="2"/>
  <c r="I3559" i="2" s="1"/>
  <c r="H3560" i="2"/>
  <c r="I3560" i="2" s="1"/>
  <c r="H3561" i="2"/>
  <c r="I3561" i="2" s="1"/>
  <c r="H3562" i="2"/>
  <c r="I3562" i="2" s="1"/>
  <c r="H3563" i="2"/>
  <c r="I3563" i="2" s="1"/>
  <c r="H3564" i="2"/>
  <c r="I3564" i="2" s="1"/>
  <c r="H3565" i="2"/>
  <c r="I3565" i="2" s="1"/>
  <c r="H3566" i="2"/>
  <c r="I3566" i="2" s="1"/>
  <c r="H3567" i="2"/>
  <c r="I3567" i="2" s="1"/>
  <c r="H3568" i="2"/>
  <c r="I3568" i="2" s="1"/>
  <c r="H3569" i="2"/>
  <c r="I3569" i="2" s="1"/>
  <c r="H3570" i="2"/>
  <c r="I3570" i="2" s="1"/>
  <c r="H3571" i="2"/>
  <c r="I3571" i="2" s="1"/>
  <c r="H3572" i="2"/>
  <c r="I3572" i="2" s="1"/>
  <c r="H3573" i="2"/>
  <c r="I3573" i="2" s="1"/>
  <c r="H3574" i="2"/>
  <c r="I3574" i="2" s="1"/>
  <c r="H3575" i="2"/>
  <c r="I3575" i="2" s="1"/>
  <c r="H3576" i="2"/>
  <c r="I3576" i="2" s="1"/>
  <c r="H3577" i="2"/>
  <c r="I3577" i="2" s="1"/>
  <c r="H3578" i="2"/>
  <c r="I3578" i="2" s="1"/>
  <c r="H3579" i="2"/>
  <c r="I3579" i="2" s="1"/>
  <c r="H3580" i="2"/>
  <c r="I3580" i="2" s="1"/>
  <c r="H3581" i="2"/>
  <c r="I3581" i="2" s="1"/>
  <c r="H3582" i="2"/>
  <c r="I3582" i="2" s="1"/>
  <c r="H3583" i="2"/>
  <c r="I3583" i="2" s="1"/>
  <c r="H3584" i="2"/>
  <c r="I3584" i="2" s="1"/>
  <c r="H3585" i="2"/>
  <c r="I3585" i="2" s="1"/>
  <c r="H3586" i="2"/>
  <c r="I3586" i="2" s="1"/>
  <c r="H3587" i="2"/>
  <c r="I3587" i="2" s="1"/>
  <c r="H3588" i="2"/>
  <c r="I3588" i="2" s="1"/>
  <c r="H3589" i="2"/>
  <c r="I3589" i="2" s="1"/>
  <c r="H3590" i="2"/>
  <c r="I3590" i="2" s="1"/>
  <c r="H3591" i="2"/>
  <c r="I3591" i="2" s="1"/>
  <c r="H3592" i="2"/>
  <c r="I3592" i="2" s="1"/>
  <c r="H3593" i="2"/>
  <c r="I3593" i="2" s="1"/>
  <c r="H3594" i="2"/>
  <c r="I3594" i="2" s="1"/>
  <c r="H3595" i="2"/>
  <c r="I3595" i="2" s="1"/>
  <c r="H3596" i="2"/>
  <c r="I3596" i="2" s="1"/>
  <c r="H3597" i="2"/>
  <c r="I3597" i="2" s="1"/>
  <c r="H3598" i="2"/>
  <c r="I3598" i="2" s="1"/>
  <c r="H3599" i="2"/>
  <c r="I3599" i="2" s="1"/>
  <c r="H3600" i="2"/>
  <c r="I3600" i="2" s="1"/>
  <c r="H3601" i="2"/>
  <c r="I3601" i="2" s="1"/>
  <c r="H3602" i="2"/>
  <c r="I3602" i="2" s="1"/>
  <c r="H3603" i="2"/>
  <c r="I3603" i="2" s="1"/>
  <c r="H3604" i="2"/>
  <c r="I3604" i="2" s="1"/>
  <c r="H3605" i="2"/>
  <c r="I3605" i="2" s="1"/>
  <c r="H3606" i="2"/>
  <c r="I3606" i="2" s="1"/>
  <c r="H3607" i="2"/>
  <c r="I3607" i="2" s="1"/>
  <c r="H3608" i="2"/>
  <c r="I3608" i="2" s="1"/>
  <c r="H3609" i="2"/>
  <c r="I3609" i="2" s="1"/>
  <c r="H3610" i="2"/>
  <c r="I3610" i="2" s="1"/>
  <c r="H3611" i="2"/>
  <c r="I3611" i="2" s="1"/>
  <c r="H3612" i="2"/>
  <c r="I3612" i="2" s="1"/>
  <c r="H3613" i="2"/>
  <c r="I3613" i="2" s="1"/>
  <c r="H3614" i="2"/>
  <c r="I3614" i="2" s="1"/>
  <c r="H3615" i="2"/>
  <c r="I3615" i="2" s="1"/>
  <c r="H3616" i="2"/>
  <c r="I3616" i="2" s="1"/>
  <c r="H3617" i="2"/>
  <c r="I3617" i="2" s="1"/>
  <c r="H3618" i="2"/>
  <c r="I3618" i="2" s="1"/>
  <c r="H3619" i="2"/>
  <c r="I3619" i="2" s="1"/>
  <c r="H3620" i="2"/>
  <c r="I3620" i="2" s="1"/>
  <c r="H3621" i="2"/>
  <c r="I3621" i="2" s="1"/>
  <c r="H3622" i="2"/>
  <c r="I3622" i="2" s="1"/>
  <c r="H3623" i="2"/>
  <c r="I3623" i="2" s="1"/>
  <c r="H3624" i="2"/>
  <c r="I3624" i="2" s="1"/>
  <c r="H3625" i="2"/>
  <c r="I3625" i="2" s="1"/>
  <c r="H3626" i="2"/>
  <c r="I3626" i="2" s="1"/>
  <c r="H3627" i="2"/>
  <c r="I3627" i="2" s="1"/>
  <c r="H3628" i="2"/>
  <c r="I3628" i="2" s="1"/>
  <c r="H3629" i="2"/>
  <c r="I3629" i="2" s="1"/>
  <c r="H3630" i="2"/>
  <c r="I3630" i="2" s="1"/>
  <c r="H3631" i="2"/>
  <c r="I3631" i="2" s="1"/>
  <c r="H3632" i="2"/>
  <c r="I3632" i="2" s="1"/>
  <c r="H3633" i="2"/>
  <c r="I3633" i="2" s="1"/>
  <c r="H3634" i="2"/>
  <c r="I3634" i="2" s="1"/>
  <c r="H3635" i="2"/>
  <c r="I3635" i="2" s="1"/>
  <c r="H3636" i="2"/>
  <c r="I3636" i="2" s="1"/>
  <c r="H3637" i="2"/>
  <c r="I3637" i="2" s="1"/>
  <c r="H3638" i="2"/>
  <c r="I3638" i="2" s="1"/>
  <c r="H3639" i="2"/>
  <c r="I3639" i="2" s="1"/>
  <c r="H3640" i="2"/>
  <c r="I3640" i="2" s="1"/>
  <c r="H3641" i="2"/>
  <c r="I3641" i="2" s="1"/>
  <c r="H3642" i="2"/>
  <c r="I3642" i="2" s="1"/>
  <c r="H3643" i="2"/>
  <c r="I3643" i="2" s="1"/>
  <c r="H3644" i="2"/>
  <c r="I3644" i="2" s="1"/>
  <c r="H3645" i="2"/>
  <c r="I3645" i="2" s="1"/>
  <c r="H3646" i="2"/>
  <c r="I3646" i="2" s="1"/>
  <c r="H3647" i="2"/>
  <c r="I3647" i="2" s="1"/>
  <c r="H3648" i="2"/>
  <c r="I3648" i="2" s="1"/>
  <c r="H3649" i="2"/>
  <c r="I3649" i="2" s="1"/>
  <c r="H3650" i="2"/>
  <c r="I3650" i="2" s="1"/>
  <c r="H3651" i="2"/>
  <c r="I3651" i="2" s="1"/>
  <c r="H3652" i="2"/>
  <c r="I3652" i="2" s="1"/>
  <c r="H3653" i="2"/>
  <c r="I3653" i="2" s="1"/>
  <c r="H3654" i="2"/>
  <c r="I3654" i="2" s="1"/>
  <c r="H3655" i="2"/>
  <c r="I3655" i="2" s="1"/>
  <c r="H3656" i="2"/>
  <c r="I3656" i="2" s="1"/>
  <c r="H3657" i="2"/>
  <c r="I3657" i="2" s="1"/>
  <c r="H3658" i="2"/>
  <c r="I3658" i="2" s="1"/>
  <c r="H3659" i="2"/>
  <c r="I3659" i="2" s="1"/>
  <c r="H3660" i="2"/>
  <c r="I3660" i="2" s="1"/>
  <c r="H3661" i="2"/>
  <c r="I3661" i="2" s="1"/>
  <c r="H3662" i="2"/>
  <c r="I3662" i="2" s="1"/>
  <c r="H3663" i="2"/>
  <c r="I3663" i="2" s="1"/>
  <c r="H3664" i="2"/>
  <c r="I3664" i="2" s="1"/>
  <c r="H3665" i="2"/>
  <c r="I3665" i="2" s="1"/>
  <c r="H3666" i="2"/>
  <c r="I3666" i="2" s="1"/>
  <c r="H3667" i="2"/>
  <c r="I3667" i="2" s="1"/>
  <c r="H3668" i="2"/>
  <c r="I3668" i="2" s="1"/>
  <c r="H3669" i="2"/>
  <c r="I3669" i="2" s="1"/>
  <c r="H3670" i="2"/>
  <c r="I3670" i="2" s="1"/>
  <c r="H3671" i="2"/>
  <c r="I3671" i="2" s="1"/>
  <c r="H3672" i="2"/>
  <c r="I3672" i="2" s="1"/>
  <c r="H3673" i="2"/>
  <c r="I3673" i="2" s="1"/>
  <c r="H3674" i="2"/>
  <c r="I3674" i="2" s="1"/>
  <c r="H3675" i="2"/>
  <c r="I3675" i="2" s="1"/>
  <c r="H3676" i="2"/>
  <c r="I3676" i="2" s="1"/>
  <c r="H3677" i="2"/>
  <c r="I3677" i="2" s="1"/>
  <c r="H3678" i="2"/>
  <c r="I3678" i="2" s="1"/>
  <c r="H3679" i="2"/>
  <c r="I3679" i="2" s="1"/>
  <c r="H3680" i="2"/>
  <c r="I3680" i="2" s="1"/>
  <c r="H3681" i="2"/>
  <c r="I3681" i="2" s="1"/>
  <c r="H3682" i="2"/>
  <c r="I3682" i="2" s="1"/>
  <c r="H3683" i="2"/>
  <c r="I3683" i="2" s="1"/>
  <c r="H3684" i="2"/>
  <c r="I3684" i="2" s="1"/>
  <c r="H3685" i="2"/>
  <c r="I3685" i="2" s="1"/>
  <c r="H3686" i="2"/>
  <c r="I3686" i="2" s="1"/>
  <c r="H3687" i="2"/>
  <c r="I3687" i="2" s="1"/>
  <c r="H3688" i="2"/>
  <c r="I3688" i="2" s="1"/>
  <c r="H3689" i="2"/>
  <c r="I3689" i="2" s="1"/>
  <c r="H3690" i="2"/>
  <c r="I3690" i="2" s="1"/>
  <c r="H3691" i="2"/>
  <c r="I3691" i="2" s="1"/>
  <c r="H3692" i="2"/>
  <c r="I3692" i="2" s="1"/>
  <c r="H3693" i="2"/>
  <c r="I3693" i="2" s="1"/>
  <c r="H3694" i="2"/>
  <c r="I3694" i="2" s="1"/>
  <c r="H3695" i="2"/>
  <c r="I3695" i="2" s="1"/>
  <c r="H3696" i="2"/>
  <c r="I3696" i="2" s="1"/>
  <c r="H3697" i="2"/>
  <c r="I3697" i="2" s="1"/>
  <c r="H3698" i="2"/>
  <c r="I3698" i="2" s="1"/>
  <c r="H3699" i="2"/>
  <c r="I3699" i="2" s="1"/>
  <c r="H3700" i="2"/>
  <c r="I3700" i="2" s="1"/>
  <c r="H3701" i="2"/>
  <c r="I3701" i="2" s="1"/>
  <c r="H3702" i="2"/>
  <c r="I3702" i="2" s="1"/>
  <c r="H3703" i="2"/>
  <c r="I3703" i="2" s="1"/>
  <c r="H3704" i="2"/>
  <c r="I3704" i="2" s="1"/>
  <c r="H3705" i="2"/>
  <c r="I3705" i="2" s="1"/>
  <c r="H3706" i="2"/>
  <c r="I3706" i="2" s="1"/>
  <c r="H3707" i="2"/>
  <c r="I3707" i="2" s="1"/>
  <c r="H3708" i="2"/>
  <c r="I3708" i="2" s="1"/>
  <c r="H3709" i="2"/>
  <c r="I3709" i="2" s="1"/>
  <c r="H3710" i="2"/>
  <c r="I3710" i="2" s="1"/>
  <c r="H3711" i="2"/>
  <c r="I3711" i="2" s="1"/>
  <c r="H3712" i="2"/>
  <c r="I3712" i="2" s="1"/>
  <c r="H3713" i="2"/>
  <c r="I3713" i="2" s="1"/>
  <c r="H3714" i="2"/>
  <c r="I3714" i="2" s="1"/>
  <c r="H3715" i="2"/>
  <c r="I3715" i="2" s="1"/>
  <c r="H3716" i="2"/>
  <c r="I3716" i="2" s="1"/>
  <c r="H3717" i="2"/>
  <c r="I3717" i="2" s="1"/>
  <c r="H3718" i="2"/>
  <c r="I3718" i="2" s="1"/>
  <c r="H3719" i="2"/>
  <c r="I3719" i="2" s="1"/>
  <c r="H3720" i="2"/>
  <c r="I3720" i="2" s="1"/>
  <c r="H3721" i="2"/>
  <c r="I3721" i="2" s="1"/>
  <c r="H3722" i="2"/>
  <c r="I3722" i="2" s="1"/>
  <c r="H3723" i="2"/>
  <c r="I3723" i="2" s="1"/>
  <c r="H3724" i="2"/>
  <c r="I3724" i="2" s="1"/>
  <c r="H3725" i="2"/>
  <c r="I3725" i="2" s="1"/>
  <c r="H3726" i="2"/>
  <c r="I3726" i="2" s="1"/>
  <c r="H3727" i="2"/>
  <c r="I3727" i="2" s="1"/>
  <c r="H3728" i="2"/>
  <c r="I3728" i="2" s="1"/>
  <c r="H3729" i="2"/>
  <c r="I3729" i="2" s="1"/>
  <c r="H3730" i="2"/>
  <c r="I3730" i="2" s="1"/>
  <c r="H3731" i="2"/>
  <c r="I3731" i="2" s="1"/>
  <c r="H3732" i="2"/>
  <c r="I3732" i="2" s="1"/>
  <c r="H3733" i="2"/>
  <c r="I3733" i="2" s="1"/>
  <c r="H3734" i="2"/>
  <c r="I3734" i="2" s="1"/>
  <c r="H3735" i="2"/>
  <c r="I3735" i="2" s="1"/>
  <c r="H3736" i="2"/>
  <c r="I3736" i="2" s="1"/>
  <c r="H3737" i="2"/>
  <c r="I3737" i="2" s="1"/>
  <c r="H3738" i="2"/>
  <c r="I3738" i="2" s="1"/>
  <c r="H3739" i="2"/>
  <c r="I3739" i="2" s="1"/>
  <c r="H3740" i="2"/>
  <c r="I3740" i="2" s="1"/>
  <c r="H3741" i="2"/>
  <c r="I3741" i="2" s="1"/>
  <c r="H3742" i="2"/>
  <c r="I3742" i="2" s="1"/>
  <c r="H3743" i="2"/>
  <c r="I3743" i="2" s="1"/>
  <c r="H3744" i="2"/>
  <c r="I3744" i="2" s="1"/>
  <c r="H3745" i="2"/>
  <c r="I3745" i="2" s="1"/>
  <c r="H3746" i="2"/>
  <c r="I3746" i="2" s="1"/>
  <c r="H3747" i="2"/>
  <c r="I3747" i="2" s="1"/>
  <c r="H3748" i="2"/>
  <c r="I3748" i="2" s="1"/>
  <c r="H3749" i="2"/>
  <c r="I3749" i="2" s="1"/>
  <c r="H3750" i="2"/>
  <c r="I3750" i="2" s="1"/>
  <c r="H3751" i="2"/>
  <c r="I3751" i="2" s="1"/>
  <c r="H3752" i="2"/>
  <c r="I3752" i="2" s="1"/>
  <c r="H3753" i="2"/>
  <c r="I3753" i="2" s="1"/>
  <c r="H3754" i="2"/>
  <c r="I3754" i="2" s="1"/>
  <c r="H3755" i="2"/>
  <c r="I3755" i="2" s="1"/>
  <c r="H3756" i="2"/>
  <c r="I3756" i="2" s="1"/>
  <c r="H3757" i="2"/>
  <c r="I3757" i="2" s="1"/>
  <c r="H3758" i="2"/>
  <c r="I3758" i="2" s="1"/>
  <c r="H3759" i="2"/>
  <c r="I3759" i="2" s="1"/>
  <c r="H3760" i="2"/>
  <c r="I3760" i="2" s="1"/>
  <c r="H3761" i="2"/>
  <c r="I3761" i="2" s="1"/>
  <c r="H3762" i="2"/>
  <c r="I3762" i="2" s="1"/>
  <c r="H3763" i="2"/>
  <c r="I3763" i="2" s="1"/>
  <c r="H3764" i="2"/>
  <c r="I3764" i="2" s="1"/>
  <c r="H3765" i="2"/>
  <c r="I3765" i="2" s="1"/>
  <c r="H3766" i="2"/>
  <c r="I3766" i="2" s="1"/>
  <c r="H3767" i="2"/>
  <c r="I3767" i="2" s="1"/>
  <c r="H3768" i="2"/>
  <c r="I3768" i="2" s="1"/>
  <c r="H3769" i="2"/>
  <c r="I3769" i="2" s="1"/>
  <c r="H3770" i="2"/>
  <c r="I3770" i="2" s="1"/>
  <c r="H3771" i="2"/>
  <c r="I3771" i="2" s="1"/>
  <c r="H3772" i="2"/>
  <c r="I3772" i="2" s="1"/>
  <c r="H3773" i="2"/>
  <c r="I3773" i="2" s="1"/>
  <c r="H3774" i="2"/>
  <c r="I3774" i="2" s="1"/>
  <c r="H3775" i="2"/>
  <c r="I3775" i="2" s="1"/>
  <c r="H3776" i="2"/>
  <c r="I3776" i="2" s="1"/>
  <c r="H3777" i="2"/>
  <c r="I3777" i="2" s="1"/>
  <c r="H3778" i="2"/>
  <c r="I3778" i="2" s="1"/>
  <c r="H3779" i="2"/>
  <c r="I3779" i="2" s="1"/>
  <c r="H3780" i="2"/>
  <c r="I3780" i="2" s="1"/>
  <c r="H3781" i="2"/>
  <c r="I3781" i="2" s="1"/>
  <c r="H3782" i="2"/>
  <c r="I3782" i="2" s="1"/>
  <c r="H3783" i="2"/>
  <c r="I3783" i="2" s="1"/>
  <c r="H3784" i="2"/>
  <c r="I3784" i="2" s="1"/>
  <c r="H3785" i="2"/>
  <c r="I3785" i="2" s="1"/>
  <c r="H3786" i="2"/>
  <c r="I3786" i="2" s="1"/>
  <c r="H3787" i="2"/>
  <c r="I3787" i="2" s="1"/>
  <c r="H3788" i="2"/>
  <c r="I3788" i="2" s="1"/>
  <c r="H3789" i="2"/>
  <c r="I3789" i="2" s="1"/>
  <c r="H3790" i="2"/>
  <c r="I3790" i="2" s="1"/>
  <c r="H3791" i="2"/>
  <c r="I3791" i="2" s="1"/>
  <c r="H3792" i="2"/>
  <c r="I3792" i="2" s="1"/>
  <c r="H3793" i="2"/>
  <c r="I3793" i="2" s="1"/>
  <c r="H3794" i="2"/>
  <c r="I3794" i="2" s="1"/>
  <c r="H3795" i="2"/>
  <c r="I3795" i="2" s="1"/>
  <c r="H3796" i="2"/>
  <c r="I3796" i="2" s="1"/>
  <c r="H3797" i="2"/>
  <c r="I3797" i="2" s="1"/>
  <c r="H3798" i="2"/>
  <c r="I3798" i="2" s="1"/>
  <c r="H3799" i="2"/>
  <c r="I3799" i="2" s="1"/>
  <c r="H3800" i="2"/>
  <c r="I3800" i="2" s="1"/>
  <c r="H3801" i="2"/>
  <c r="I3801" i="2" s="1"/>
  <c r="H3802" i="2"/>
  <c r="I3802" i="2" s="1"/>
  <c r="H3803" i="2"/>
  <c r="I3803" i="2" s="1"/>
  <c r="H3804" i="2"/>
  <c r="I3804" i="2" s="1"/>
  <c r="H3805" i="2"/>
  <c r="I3805" i="2" s="1"/>
  <c r="H3806" i="2"/>
  <c r="I3806" i="2" s="1"/>
  <c r="H3807" i="2"/>
  <c r="I3807" i="2" s="1"/>
  <c r="H3808" i="2"/>
  <c r="I3808" i="2" s="1"/>
  <c r="H3809" i="2"/>
  <c r="I3809" i="2" s="1"/>
  <c r="H3810" i="2"/>
  <c r="I3810" i="2" s="1"/>
  <c r="H3811" i="2"/>
  <c r="I3811" i="2" s="1"/>
  <c r="H3812" i="2"/>
  <c r="I3812" i="2" s="1"/>
  <c r="H3813" i="2"/>
  <c r="I3813" i="2" s="1"/>
  <c r="H3814" i="2"/>
  <c r="I3814" i="2" s="1"/>
  <c r="H3815" i="2"/>
  <c r="I3815" i="2" s="1"/>
  <c r="H3816" i="2"/>
  <c r="I3816" i="2" s="1"/>
  <c r="H3817" i="2"/>
  <c r="I3817" i="2" s="1"/>
  <c r="H3818" i="2"/>
  <c r="I3818" i="2" s="1"/>
  <c r="H3819" i="2"/>
  <c r="I3819" i="2" s="1"/>
  <c r="H3820" i="2"/>
  <c r="I3820" i="2" s="1"/>
  <c r="H3821" i="2"/>
  <c r="I3821" i="2" s="1"/>
  <c r="H3822" i="2"/>
  <c r="I3822" i="2" s="1"/>
  <c r="H3823" i="2"/>
  <c r="I3823" i="2" s="1"/>
  <c r="H3824" i="2"/>
  <c r="I3824" i="2" s="1"/>
  <c r="H3825" i="2"/>
  <c r="I3825" i="2" s="1"/>
  <c r="H3826" i="2"/>
  <c r="I3826" i="2" s="1"/>
  <c r="H3827" i="2"/>
  <c r="I3827" i="2" s="1"/>
  <c r="H3828" i="2"/>
  <c r="I3828" i="2" s="1"/>
  <c r="H3829" i="2"/>
  <c r="I3829" i="2" s="1"/>
  <c r="H3830" i="2"/>
  <c r="I3830" i="2" s="1"/>
  <c r="H3831" i="2"/>
  <c r="I3831" i="2" s="1"/>
  <c r="H3832" i="2"/>
  <c r="I3832" i="2" s="1"/>
  <c r="H3833" i="2"/>
  <c r="I3833" i="2" s="1"/>
  <c r="H3834" i="2"/>
  <c r="I3834" i="2" s="1"/>
  <c r="H3835" i="2"/>
  <c r="I3835" i="2" s="1"/>
  <c r="H3836" i="2"/>
  <c r="I3836" i="2" s="1"/>
  <c r="H3837" i="2"/>
  <c r="I3837" i="2" s="1"/>
  <c r="H3838" i="2"/>
  <c r="I3838" i="2" s="1"/>
  <c r="H3839" i="2"/>
  <c r="I3839" i="2" s="1"/>
  <c r="H3840" i="2"/>
  <c r="I3840" i="2" s="1"/>
  <c r="H3841" i="2"/>
  <c r="I3841" i="2" s="1"/>
  <c r="H3842" i="2"/>
  <c r="I3842" i="2" s="1"/>
  <c r="H3843" i="2"/>
  <c r="I3843" i="2" s="1"/>
  <c r="H3844" i="2"/>
  <c r="I3844" i="2" s="1"/>
  <c r="H3845" i="2"/>
  <c r="I3845" i="2" s="1"/>
  <c r="H3846" i="2"/>
  <c r="I3846" i="2" s="1"/>
  <c r="H3847" i="2"/>
  <c r="I3847" i="2" s="1"/>
  <c r="H3848" i="2"/>
  <c r="I3848" i="2" s="1"/>
  <c r="H3849" i="2"/>
  <c r="I3849" i="2" s="1"/>
  <c r="H3850" i="2"/>
  <c r="I3850" i="2" s="1"/>
  <c r="H3851" i="2"/>
  <c r="I3851" i="2" s="1"/>
  <c r="H3852" i="2"/>
  <c r="I3852" i="2" s="1"/>
  <c r="H3853" i="2"/>
  <c r="I3853" i="2" s="1"/>
  <c r="H3854" i="2"/>
  <c r="I3854" i="2" s="1"/>
  <c r="H3855" i="2"/>
  <c r="I3855" i="2" s="1"/>
  <c r="H3856" i="2"/>
  <c r="I3856" i="2" s="1"/>
  <c r="H3857" i="2"/>
  <c r="I3857" i="2" s="1"/>
  <c r="H3858" i="2"/>
  <c r="I3858" i="2" s="1"/>
  <c r="H3859" i="2"/>
  <c r="I3859" i="2" s="1"/>
  <c r="H3860" i="2"/>
  <c r="I3860" i="2" s="1"/>
  <c r="H3861" i="2"/>
  <c r="I3861" i="2" s="1"/>
  <c r="H3862" i="2"/>
  <c r="I3862" i="2" s="1"/>
  <c r="H3863" i="2"/>
  <c r="I3863" i="2" s="1"/>
  <c r="H3864" i="2"/>
  <c r="I3864" i="2" s="1"/>
  <c r="H3865" i="2"/>
  <c r="I3865" i="2" s="1"/>
  <c r="H3866" i="2"/>
  <c r="I3866" i="2" s="1"/>
  <c r="H3867" i="2"/>
  <c r="I3867" i="2" s="1"/>
  <c r="H3868" i="2"/>
  <c r="I3868" i="2" s="1"/>
  <c r="H3869" i="2"/>
  <c r="I3869" i="2" s="1"/>
  <c r="H3870" i="2"/>
  <c r="I3870" i="2" s="1"/>
  <c r="H3871" i="2"/>
  <c r="I3871" i="2" s="1"/>
  <c r="H3872" i="2"/>
  <c r="I3872" i="2" s="1"/>
  <c r="H3873" i="2"/>
  <c r="I3873" i="2" s="1"/>
  <c r="H3874" i="2"/>
  <c r="I3874" i="2" s="1"/>
  <c r="H3875" i="2"/>
  <c r="I3875" i="2" s="1"/>
  <c r="H3876" i="2"/>
  <c r="I3876" i="2" s="1"/>
  <c r="H3877" i="2"/>
  <c r="I3877" i="2" s="1"/>
  <c r="H3878" i="2"/>
  <c r="I3878" i="2" s="1"/>
  <c r="H3879" i="2"/>
  <c r="I3879" i="2" s="1"/>
  <c r="H3880" i="2"/>
  <c r="I3880" i="2" s="1"/>
  <c r="H3881" i="2"/>
  <c r="I3881" i="2" s="1"/>
  <c r="H3882" i="2"/>
  <c r="I3882" i="2" s="1"/>
  <c r="H3883" i="2"/>
  <c r="I3883" i="2" s="1"/>
  <c r="H3884" i="2"/>
  <c r="I3884" i="2" s="1"/>
  <c r="H3885" i="2"/>
  <c r="I3885" i="2" s="1"/>
  <c r="H3886" i="2"/>
  <c r="I3886" i="2" s="1"/>
  <c r="H3887" i="2"/>
  <c r="I3887" i="2" s="1"/>
  <c r="H3888" i="2"/>
  <c r="I3888" i="2" s="1"/>
  <c r="H3889" i="2"/>
  <c r="I3889" i="2" s="1"/>
  <c r="H3890" i="2"/>
  <c r="I3890" i="2" s="1"/>
  <c r="H3891" i="2"/>
  <c r="I3891" i="2" s="1"/>
  <c r="H3892" i="2"/>
  <c r="I3892" i="2" s="1"/>
  <c r="H3893" i="2"/>
  <c r="I3893" i="2" s="1"/>
  <c r="H3894" i="2"/>
  <c r="I3894" i="2" s="1"/>
  <c r="H3895" i="2"/>
  <c r="I3895" i="2" s="1"/>
  <c r="H3896" i="2"/>
  <c r="I3896" i="2" s="1"/>
  <c r="H3897" i="2"/>
  <c r="I3897" i="2" s="1"/>
  <c r="H3898" i="2"/>
  <c r="I3898" i="2" s="1"/>
  <c r="H3899" i="2"/>
  <c r="I3899" i="2" s="1"/>
  <c r="H3900" i="2"/>
  <c r="I3900" i="2" s="1"/>
  <c r="H3901" i="2"/>
  <c r="I3901" i="2" s="1"/>
  <c r="H3902" i="2"/>
  <c r="I3902" i="2" s="1"/>
  <c r="H3903" i="2"/>
  <c r="I3903" i="2" s="1"/>
  <c r="H3904" i="2"/>
  <c r="I3904" i="2" s="1"/>
  <c r="H3905" i="2"/>
  <c r="I3905" i="2" s="1"/>
  <c r="H3906" i="2"/>
  <c r="I3906" i="2" s="1"/>
  <c r="H3907" i="2"/>
  <c r="I3907" i="2" s="1"/>
  <c r="H3908" i="2"/>
  <c r="I3908" i="2" s="1"/>
  <c r="H3909" i="2"/>
  <c r="I3909" i="2" s="1"/>
  <c r="H3910" i="2"/>
  <c r="I3910" i="2" s="1"/>
  <c r="H3911" i="2"/>
  <c r="I3911" i="2" s="1"/>
  <c r="H3912" i="2"/>
  <c r="I3912" i="2" s="1"/>
  <c r="H3913" i="2"/>
  <c r="I3913" i="2" s="1"/>
  <c r="H3914" i="2"/>
  <c r="I3914" i="2" s="1"/>
  <c r="H3915" i="2"/>
  <c r="I3915" i="2" s="1"/>
  <c r="H3916" i="2"/>
  <c r="I3916" i="2" s="1"/>
  <c r="H3917" i="2"/>
  <c r="I3917" i="2" s="1"/>
  <c r="H3918" i="2"/>
  <c r="I3918" i="2" s="1"/>
  <c r="H3919" i="2"/>
  <c r="I3919" i="2" s="1"/>
  <c r="H3920" i="2"/>
  <c r="I3920" i="2" s="1"/>
  <c r="H3921" i="2"/>
  <c r="I3921" i="2" s="1"/>
  <c r="H3922" i="2"/>
  <c r="I3922" i="2" s="1"/>
  <c r="H3923" i="2"/>
  <c r="I3923" i="2" s="1"/>
  <c r="H3924" i="2"/>
  <c r="I3924" i="2" s="1"/>
  <c r="H3925" i="2"/>
  <c r="I3925" i="2" s="1"/>
  <c r="H3926" i="2"/>
  <c r="I3926" i="2" s="1"/>
  <c r="H3927" i="2"/>
  <c r="I3927" i="2" s="1"/>
  <c r="H3928" i="2"/>
  <c r="I3928" i="2" s="1"/>
  <c r="H3929" i="2"/>
  <c r="I3929" i="2" s="1"/>
  <c r="H3930" i="2"/>
  <c r="I3930" i="2" s="1"/>
  <c r="H3931" i="2"/>
  <c r="I3931" i="2" s="1"/>
  <c r="H3932" i="2"/>
  <c r="I3932" i="2" s="1"/>
  <c r="H3933" i="2"/>
  <c r="I3933" i="2" s="1"/>
  <c r="H3934" i="2"/>
  <c r="I3934" i="2" s="1"/>
  <c r="H3935" i="2"/>
  <c r="I3935" i="2" s="1"/>
  <c r="H3936" i="2"/>
  <c r="I3936" i="2" s="1"/>
  <c r="H3937" i="2"/>
  <c r="I3937" i="2" s="1"/>
  <c r="H3938" i="2"/>
  <c r="I3938" i="2" s="1"/>
  <c r="H3939" i="2"/>
  <c r="I3939" i="2" s="1"/>
  <c r="H3940" i="2"/>
  <c r="I3940" i="2" s="1"/>
  <c r="H3941" i="2"/>
  <c r="I3941" i="2" s="1"/>
  <c r="H3942" i="2"/>
  <c r="I3942" i="2" s="1"/>
  <c r="H3943" i="2"/>
  <c r="I3943" i="2" s="1"/>
  <c r="H3944" i="2"/>
  <c r="I3944" i="2" s="1"/>
  <c r="H3945" i="2"/>
  <c r="I3945" i="2" s="1"/>
  <c r="H3946" i="2"/>
  <c r="I3946" i="2" s="1"/>
  <c r="H3947" i="2"/>
  <c r="I3947" i="2" s="1"/>
  <c r="H3948" i="2"/>
  <c r="I3948" i="2" s="1"/>
  <c r="H3949" i="2"/>
  <c r="I3949" i="2" s="1"/>
  <c r="H3950" i="2"/>
  <c r="I3950" i="2" s="1"/>
  <c r="H3951" i="2"/>
  <c r="I3951" i="2" s="1"/>
  <c r="H3952" i="2"/>
  <c r="I3952" i="2" s="1"/>
  <c r="H3953" i="2"/>
  <c r="I3953" i="2" s="1"/>
  <c r="H3954" i="2"/>
  <c r="I3954" i="2" s="1"/>
  <c r="H3955" i="2"/>
  <c r="I3955" i="2" s="1"/>
  <c r="H3956" i="2"/>
  <c r="I3956" i="2" s="1"/>
  <c r="H3957" i="2"/>
  <c r="I3957" i="2" s="1"/>
  <c r="H3958" i="2"/>
  <c r="I3958" i="2" s="1"/>
  <c r="H3959" i="2"/>
  <c r="I3959" i="2" s="1"/>
  <c r="H3960" i="2"/>
  <c r="I3960" i="2" s="1"/>
  <c r="H3961" i="2"/>
  <c r="I3961" i="2" s="1"/>
  <c r="H3962" i="2"/>
  <c r="I3962" i="2" s="1"/>
  <c r="H3963" i="2"/>
  <c r="I3963" i="2" s="1"/>
  <c r="H3964" i="2"/>
  <c r="I3964" i="2" s="1"/>
  <c r="H3965" i="2"/>
  <c r="I3965" i="2" s="1"/>
  <c r="H3966" i="2"/>
  <c r="I3966" i="2" s="1"/>
  <c r="H3967" i="2"/>
  <c r="I3967" i="2" s="1"/>
  <c r="H3968" i="2"/>
  <c r="I3968" i="2" s="1"/>
  <c r="H3969" i="2"/>
  <c r="I3969" i="2" s="1"/>
  <c r="H3970" i="2"/>
  <c r="I3970" i="2" s="1"/>
  <c r="H3971" i="2"/>
  <c r="I3971" i="2" s="1"/>
  <c r="H3972" i="2"/>
  <c r="I3972" i="2" s="1"/>
  <c r="H3973" i="2"/>
  <c r="I3973" i="2" s="1"/>
  <c r="H3974" i="2"/>
  <c r="I3974" i="2" s="1"/>
  <c r="H3975" i="2"/>
  <c r="I3975" i="2" s="1"/>
  <c r="H3976" i="2"/>
  <c r="I3976" i="2" s="1"/>
  <c r="H3977" i="2"/>
  <c r="I3977" i="2" s="1"/>
  <c r="H3978" i="2"/>
  <c r="I3978" i="2" s="1"/>
  <c r="H3979" i="2"/>
  <c r="I3979" i="2" s="1"/>
  <c r="H3980" i="2"/>
  <c r="I3980" i="2" s="1"/>
  <c r="H3981" i="2"/>
  <c r="I3981" i="2" s="1"/>
  <c r="H3982" i="2"/>
  <c r="I3982" i="2" s="1"/>
  <c r="H3983" i="2"/>
  <c r="I3983" i="2" s="1"/>
  <c r="H3984" i="2"/>
  <c r="I3984" i="2" s="1"/>
  <c r="H3985" i="2"/>
  <c r="I3985" i="2" s="1"/>
  <c r="H3986" i="2"/>
  <c r="I3986" i="2" s="1"/>
  <c r="H3987" i="2"/>
  <c r="I3987" i="2" s="1"/>
  <c r="H3988" i="2"/>
  <c r="I3988" i="2" s="1"/>
  <c r="H3989" i="2"/>
  <c r="I3989" i="2" s="1"/>
  <c r="H3990" i="2"/>
  <c r="I3990" i="2" s="1"/>
  <c r="H3991" i="2"/>
  <c r="I3991" i="2" s="1"/>
  <c r="H3992" i="2"/>
  <c r="I3992" i="2" s="1"/>
  <c r="H3993" i="2"/>
  <c r="I3993" i="2" s="1"/>
  <c r="H3994" i="2"/>
  <c r="I3994" i="2" s="1"/>
  <c r="H3995" i="2"/>
  <c r="I3995" i="2" s="1"/>
  <c r="H3996" i="2"/>
  <c r="I3996" i="2" s="1"/>
  <c r="H3997" i="2"/>
  <c r="I3997" i="2" s="1"/>
  <c r="H3998" i="2"/>
  <c r="I3998" i="2" s="1"/>
  <c r="H3999" i="2"/>
  <c r="I3999" i="2" s="1"/>
  <c r="H4000" i="2"/>
  <c r="I4000" i="2" s="1"/>
  <c r="H4001" i="2"/>
  <c r="I4001" i="2" s="1"/>
  <c r="H4002" i="2"/>
  <c r="I4002" i="2" s="1"/>
  <c r="H4003" i="2"/>
  <c r="I4003" i="2" s="1"/>
  <c r="H4004" i="2"/>
  <c r="I4004" i="2" s="1"/>
  <c r="H4005" i="2"/>
  <c r="I4005" i="2" s="1"/>
  <c r="H4006" i="2"/>
  <c r="I4006" i="2" s="1"/>
  <c r="H4007" i="2"/>
  <c r="I4007" i="2" s="1"/>
  <c r="H4008" i="2"/>
  <c r="I4008" i="2" s="1"/>
  <c r="H4009" i="2"/>
  <c r="I4009" i="2" s="1"/>
  <c r="H4010" i="2"/>
  <c r="I4010" i="2" s="1"/>
  <c r="H4011" i="2"/>
  <c r="I4011" i="2" s="1"/>
  <c r="H4012" i="2"/>
  <c r="I4012" i="2" s="1"/>
  <c r="H4013" i="2"/>
  <c r="I4013" i="2" s="1"/>
  <c r="H4014" i="2"/>
  <c r="I4014" i="2" s="1"/>
  <c r="H4015" i="2"/>
  <c r="I4015" i="2" s="1"/>
  <c r="H4016" i="2"/>
  <c r="I4016" i="2" s="1"/>
  <c r="H4017" i="2"/>
  <c r="I4017" i="2" s="1"/>
  <c r="H4018" i="2"/>
  <c r="I4018" i="2" s="1"/>
  <c r="H4019" i="2"/>
  <c r="I4019" i="2" s="1"/>
  <c r="H4020" i="2"/>
  <c r="I4020" i="2" s="1"/>
  <c r="H4021" i="2"/>
  <c r="I4021" i="2" s="1"/>
  <c r="H4022" i="2"/>
  <c r="I4022" i="2" s="1"/>
  <c r="H4023" i="2"/>
  <c r="I4023" i="2" s="1"/>
  <c r="H4024" i="2"/>
  <c r="I4024" i="2" s="1"/>
  <c r="H4025" i="2"/>
  <c r="I4025" i="2" s="1"/>
  <c r="H4026" i="2"/>
  <c r="I4026" i="2" s="1"/>
  <c r="H4027" i="2"/>
  <c r="I4027" i="2" s="1"/>
  <c r="H4028" i="2"/>
  <c r="I4028" i="2" s="1"/>
  <c r="H4029" i="2"/>
  <c r="I4029" i="2" s="1"/>
  <c r="H4030" i="2"/>
  <c r="I4030" i="2" s="1"/>
  <c r="H4031" i="2"/>
  <c r="I4031" i="2" s="1"/>
  <c r="H4032" i="2"/>
  <c r="I4032" i="2" s="1"/>
  <c r="H4033" i="2"/>
  <c r="I4033" i="2" s="1"/>
  <c r="H4034" i="2"/>
  <c r="I4034" i="2" s="1"/>
  <c r="H4035" i="2"/>
  <c r="I4035" i="2" s="1"/>
  <c r="H4036" i="2"/>
  <c r="I4036" i="2" s="1"/>
  <c r="H4037" i="2"/>
  <c r="I4037" i="2" s="1"/>
  <c r="H4038" i="2"/>
  <c r="I4038" i="2" s="1"/>
  <c r="H4039" i="2"/>
  <c r="I4039" i="2" s="1"/>
  <c r="H4040" i="2"/>
  <c r="I4040" i="2" s="1"/>
  <c r="H4041" i="2"/>
  <c r="I4041" i="2" s="1"/>
  <c r="H4042" i="2"/>
  <c r="I4042" i="2" s="1"/>
  <c r="H4043" i="2"/>
  <c r="I4043" i="2" s="1"/>
  <c r="H4044" i="2"/>
  <c r="I4044" i="2" s="1"/>
  <c r="H4045" i="2"/>
  <c r="I4045" i="2" s="1"/>
  <c r="H4046" i="2"/>
  <c r="I4046" i="2" s="1"/>
  <c r="H4047" i="2"/>
  <c r="I4047" i="2" s="1"/>
  <c r="H4048" i="2"/>
  <c r="I4048" i="2" s="1"/>
  <c r="H4049" i="2"/>
  <c r="I4049" i="2" s="1"/>
  <c r="H4050" i="2"/>
  <c r="I4050" i="2" s="1"/>
  <c r="H4051" i="2"/>
  <c r="I4051" i="2" s="1"/>
  <c r="H4052" i="2"/>
  <c r="I4052" i="2" s="1"/>
  <c r="H4053" i="2"/>
  <c r="I4053" i="2" s="1"/>
  <c r="H4054" i="2"/>
  <c r="I4054" i="2" s="1"/>
  <c r="H4055" i="2"/>
  <c r="I4055" i="2" s="1"/>
  <c r="H4056" i="2"/>
  <c r="I4056" i="2" s="1"/>
  <c r="H4057" i="2"/>
  <c r="I4057" i="2" s="1"/>
  <c r="H4058" i="2"/>
  <c r="I4058" i="2" s="1"/>
  <c r="H4059" i="2"/>
  <c r="I4059" i="2" s="1"/>
  <c r="H4060" i="2"/>
  <c r="I4060" i="2" s="1"/>
  <c r="H4061" i="2"/>
  <c r="I4061" i="2" s="1"/>
  <c r="H4062" i="2"/>
  <c r="I4062" i="2" s="1"/>
  <c r="H4063" i="2"/>
  <c r="I4063" i="2" s="1"/>
  <c r="H4064" i="2"/>
  <c r="I4064" i="2" s="1"/>
  <c r="H4065" i="2"/>
  <c r="I4065" i="2" s="1"/>
  <c r="H4066" i="2"/>
  <c r="I4066" i="2" s="1"/>
  <c r="H4067" i="2"/>
  <c r="I4067" i="2" s="1"/>
  <c r="H4068" i="2"/>
  <c r="I4068" i="2" s="1"/>
  <c r="H4069" i="2"/>
  <c r="I4069" i="2" s="1"/>
  <c r="H4070" i="2"/>
  <c r="I4070" i="2" s="1"/>
  <c r="H4071" i="2"/>
  <c r="I4071" i="2" s="1"/>
  <c r="H4072" i="2"/>
  <c r="I4072" i="2" s="1"/>
  <c r="H4073" i="2"/>
  <c r="I4073" i="2" s="1"/>
  <c r="H4074" i="2"/>
  <c r="I4074" i="2" s="1"/>
  <c r="H4075" i="2"/>
  <c r="I4075" i="2" s="1"/>
  <c r="H4076" i="2"/>
  <c r="I4076" i="2" s="1"/>
  <c r="H4077" i="2"/>
  <c r="I4077" i="2" s="1"/>
  <c r="H4078" i="2"/>
  <c r="I4078" i="2" s="1"/>
  <c r="H4079" i="2"/>
  <c r="I4079" i="2" s="1"/>
  <c r="H4080" i="2"/>
  <c r="I4080" i="2" s="1"/>
  <c r="H4081" i="2"/>
  <c r="I4081" i="2" s="1"/>
  <c r="H4082" i="2"/>
  <c r="I4082" i="2" s="1"/>
  <c r="H4083" i="2"/>
  <c r="I4083" i="2" s="1"/>
  <c r="H4084" i="2"/>
  <c r="I4084" i="2" s="1"/>
  <c r="H4085" i="2"/>
  <c r="I4085" i="2" s="1"/>
  <c r="H4086" i="2"/>
  <c r="I4086" i="2" s="1"/>
  <c r="H4087" i="2"/>
  <c r="I4087" i="2" s="1"/>
  <c r="H4088" i="2"/>
  <c r="I4088" i="2" s="1"/>
  <c r="H4089" i="2"/>
  <c r="I4089" i="2" s="1"/>
  <c r="H4090" i="2"/>
  <c r="I4090" i="2" s="1"/>
  <c r="H4091" i="2"/>
  <c r="I4091" i="2" s="1"/>
  <c r="H4092" i="2"/>
  <c r="I4092" i="2" s="1"/>
  <c r="H4093" i="2"/>
  <c r="I4093" i="2" s="1"/>
  <c r="H4094" i="2"/>
  <c r="I4094" i="2" s="1"/>
  <c r="H4095" i="2"/>
  <c r="I4095" i="2" s="1"/>
  <c r="H4096" i="2"/>
  <c r="I4096" i="2" s="1"/>
  <c r="H4097" i="2"/>
  <c r="I4097" i="2" s="1"/>
  <c r="H4098" i="2"/>
  <c r="I4098" i="2" s="1"/>
  <c r="H4099" i="2"/>
  <c r="I4099" i="2" s="1"/>
  <c r="H4100" i="2"/>
  <c r="I4100" i="2" s="1"/>
  <c r="H4101" i="2"/>
  <c r="I4101" i="2" s="1"/>
  <c r="H4102" i="2"/>
  <c r="I4102" i="2" s="1"/>
  <c r="H4103" i="2"/>
  <c r="I4103" i="2" s="1"/>
  <c r="H4104" i="2"/>
  <c r="I4104" i="2" s="1"/>
  <c r="H4105" i="2"/>
  <c r="I4105" i="2" s="1"/>
  <c r="H4106" i="2"/>
  <c r="I4106" i="2" s="1"/>
  <c r="H4107" i="2"/>
  <c r="I4107" i="2" s="1"/>
  <c r="H4108" i="2"/>
  <c r="I4108" i="2" s="1"/>
  <c r="H4109" i="2"/>
  <c r="I4109" i="2" s="1"/>
  <c r="H4110" i="2"/>
  <c r="I4110" i="2" s="1"/>
  <c r="H4111" i="2"/>
  <c r="I4111" i="2" s="1"/>
  <c r="H4112" i="2"/>
  <c r="I4112" i="2" s="1"/>
  <c r="H4113" i="2"/>
  <c r="I4113" i="2" s="1"/>
  <c r="H4114" i="2"/>
  <c r="I4114" i="2" s="1"/>
  <c r="H4115" i="2"/>
  <c r="I4115" i="2" s="1"/>
  <c r="H4116" i="2"/>
  <c r="I4116" i="2" s="1"/>
  <c r="H4117" i="2"/>
  <c r="I4117" i="2" s="1"/>
  <c r="H4118" i="2"/>
  <c r="I4118" i="2" s="1"/>
  <c r="H4119" i="2"/>
  <c r="I4119" i="2" s="1"/>
  <c r="H4120" i="2"/>
  <c r="I4120" i="2" s="1"/>
  <c r="H4121" i="2"/>
  <c r="I4121" i="2" s="1"/>
  <c r="H4122" i="2"/>
  <c r="I4122" i="2" s="1"/>
  <c r="H4123" i="2"/>
  <c r="I4123" i="2" s="1"/>
  <c r="H4124" i="2"/>
  <c r="I4124" i="2" s="1"/>
  <c r="H4125" i="2"/>
  <c r="I4125" i="2" s="1"/>
  <c r="H4126" i="2"/>
  <c r="I4126" i="2" s="1"/>
  <c r="H4127" i="2"/>
  <c r="I4127" i="2" s="1"/>
  <c r="H4128" i="2"/>
  <c r="I4128" i="2" s="1"/>
  <c r="H4129" i="2"/>
  <c r="I4129" i="2" s="1"/>
  <c r="H4130" i="2"/>
  <c r="I4130" i="2" s="1"/>
  <c r="H4131" i="2"/>
  <c r="I4131" i="2" s="1"/>
  <c r="H4132" i="2"/>
  <c r="I4132" i="2" s="1"/>
  <c r="H4133" i="2"/>
  <c r="I4133" i="2" s="1"/>
  <c r="H4134" i="2"/>
  <c r="I4134" i="2" s="1"/>
  <c r="H4135" i="2"/>
  <c r="I4135" i="2" s="1"/>
  <c r="H4136" i="2"/>
  <c r="I4136" i="2" s="1"/>
  <c r="H4137" i="2"/>
  <c r="I4137" i="2" s="1"/>
  <c r="H4138" i="2"/>
  <c r="I4138" i="2" s="1"/>
  <c r="H4139" i="2"/>
  <c r="I4139" i="2" s="1"/>
  <c r="H4140" i="2"/>
  <c r="I4140" i="2" s="1"/>
  <c r="H4141" i="2"/>
  <c r="I4141" i="2" s="1"/>
  <c r="H4142" i="2"/>
  <c r="I4142" i="2" s="1"/>
  <c r="H4143" i="2"/>
  <c r="I4143" i="2" s="1"/>
  <c r="H4144" i="2"/>
  <c r="I4144" i="2" s="1"/>
  <c r="H4145" i="2"/>
  <c r="I4145" i="2" s="1"/>
  <c r="H4146" i="2"/>
  <c r="I4146" i="2" s="1"/>
  <c r="H4147" i="2"/>
  <c r="I4147" i="2" s="1"/>
  <c r="H4148" i="2"/>
  <c r="I4148" i="2" s="1"/>
  <c r="H4149" i="2"/>
  <c r="I4149" i="2" s="1"/>
  <c r="H4150" i="2"/>
  <c r="I4150" i="2" s="1"/>
  <c r="H4151" i="2"/>
  <c r="I4151" i="2" s="1"/>
  <c r="H4152" i="2"/>
  <c r="I4152" i="2" s="1"/>
  <c r="H4153" i="2"/>
  <c r="I4153" i="2" s="1"/>
  <c r="H4154" i="2"/>
  <c r="I4154" i="2" s="1"/>
  <c r="H4155" i="2"/>
  <c r="I4155" i="2" s="1"/>
  <c r="H4156" i="2"/>
  <c r="I4156" i="2" s="1"/>
  <c r="H4157" i="2"/>
  <c r="I4157" i="2" s="1"/>
  <c r="H4158" i="2"/>
  <c r="I4158" i="2" s="1"/>
  <c r="H4159" i="2"/>
  <c r="I4159" i="2" s="1"/>
  <c r="H4160" i="2"/>
  <c r="I4160" i="2" s="1"/>
  <c r="H4161" i="2"/>
  <c r="I4161" i="2" s="1"/>
  <c r="H4162" i="2"/>
  <c r="I4162" i="2" s="1"/>
  <c r="H4163" i="2"/>
  <c r="I4163" i="2" s="1"/>
  <c r="H4164" i="2"/>
  <c r="I4164" i="2" s="1"/>
  <c r="H4165" i="2"/>
  <c r="I4165" i="2" s="1"/>
  <c r="H4166" i="2"/>
  <c r="I4166" i="2" s="1"/>
  <c r="H4167" i="2"/>
  <c r="I4167" i="2" s="1"/>
  <c r="H4168" i="2"/>
  <c r="I4168" i="2" s="1"/>
  <c r="H4169" i="2"/>
  <c r="I4169" i="2" s="1"/>
  <c r="H4170" i="2"/>
  <c r="I4170" i="2" s="1"/>
  <c r="H4171" i="2"/>
  <c r="I4171" i="2" s="1"/>
  <c r="H4172" i="2"/>
  <c r="I4172" i="2" s="1"/>
  <c r="H4173" i="2"/>
  <c r="I4173" i="2" s="1"/>
  <c r="H4174" i="2"/>
  <c r="I4174" i="2" s="1"/>
  <c r="H4175" i="2"/>
  <c r="I4175" i="2" s="1"/>
  <c r="H4176" i="2"/>
  <c r="I4176" i="2" s="1"/>
  <c r="H4177" i="2"/>
  <c r="I4177" i="2" s="1"/>
  <c r="H4178" i="2"/>
  <c r="I4178" i="2" s="1"/>
  <c r="H4179" i="2"/>
  <c r="I4179" i="2" s="1"/>
  <c r="H4180" i="2"/>
  <c r="I4180" i="2" s="1"/>
  <c r="H4181" i="2"/>
  <c r="I4181" i="2" s="1"/>
  <c r="H4182" i="2"/>
  <c r="I4182" i="2" s="1"/>
  <c r="H4183" i="2"/>
  <c r="I4183" i="2" s="1"/>
  <c r="H4184" i="2"/>
  <c r="I4184" i="2" s="1"/>
  <c r="H4185" i="2"/>
  <c r="I4185" i="2" s="1"/>
  <c r="H4186" i="2"/>
  <c r="I4186" i="2" s="1"/>
  <c r="H4187" i="2"/>
  <c r="I4187" i="2" s="1"/>
  <c r="H4188" i="2"/>
  <c r="I4188" i="2" s="1"/>
  <c r="H4189" i="2"/>
  <c r="I4189" i="2" s="1"/>
  <c r="H4190" i="2"/>
  <c r="I4190" i="2" s="1"/>
  <c r="H4191" i="2"/>
  <c r="I4191" i="2" s="1"/>
  <c r="H4192" i="2"/>
  <c r="I4192" i="2" s="1"/>
  <c r="H4193" i="2"/>
  <c r="I4193" i="2" s="1"/>
  <c r="H4194" i="2"/>
  <c r="I4194" i="2" s="1"/>
  <c r="H4195" i="2"/>
  <c r="I4195" i="2" s="1"/>
  <c r="H4196" i="2"/>
  <c r="I4196" i="2" s="1"/>
  <c r="H4197" i="2"/>
  <c r="I4197" i="2" s="1"/>
  <c r="H4198" i="2"/>
  <c r="I4198" i="2" s="1"/>
  <c r="H4199" i="2"/>
  <c r="I4199" i="2" s="1"/>
  <c r="H4200" i="2"/>
  <c r="I4200" i="2" s="1"/>
  <c r="H4201" i="2"/>
  <c r="I4201" i="2" s="1"/>
  <c r="H4202" i="2"/>
  <c r="I4202" i="2" s="1"/>
  <c r="H4203" i="2"/>
  <c r="I4203" i="2" s="1"/>
  <c r="H4204" i="2"/>
  <c r="I4204" i="2" s="1"/>
  <c r="H4205" i="2"/>
  <c r="I4205" i="2" s="1"/>
  <c r="H4206" i="2"/>
  <c r="I4206" i="2" s="1"/>
  <c r="H4207" i="2"/>
  <c r="I4207" i="2" s="1"/>
  <c r="H4208" i="2"/>
  <c r="I4208" i="2" s="1"/>
  <c r="H4209" i="2"/>
  <c r="I4209" i="2" s="1"/>
  <c r="H4210" i="2"/>
  <c r="I4210" i="2" s="1"/>
  <c r="H4211" i="2"/>
  <c r="I4211" i="2" s="1"/>
  <c r="H4212" i="2"/>
  <c r="I4212" i="2" s="1"/>
  <c r="H4213" i="2"/>
  <c r="I4213" i="2" s="1"/>
  <c r="H4214" i="2"/>
  <c r="I4214" i="2" s="1"/>
  <c r="H4215" i="2"/>
  <c r="I4215" i="2" s="1"/>
  <c r="H4216" i="2"/>
  <c r="I4216" i="2" s="1"/>
  <c r="H4217" i="2"/>
  <c r="I4217" i="2" s="1"/>
  <c r="H4218" i="2"/>
  <c r="I4218" i="2" s="1"/>
  <c r="H4219" i="2"/>
  <c r="I4219" i="2" s="1"/>
  <c r="H4220" i="2"/>
  <c r="I4220" i="2" s="1"/>
  <c r="H4221" i="2"/>
  <c r="I4221" i="2" s="1"/>
  <c r="H4222" i="2"/>
  <c r="I4222" i="2" s="1"/>
  <c r="H4223" i="2"/>
  <c r="I4223" i="2" s="1"/>
  <c r="H4224" i="2"/>
  <c r="I4224" i="2" s="1"/>
  <c r="H4225" i="2"/>
  <c r="I4225" i="2" s="1"/>
  <c r="H4226" i="2"/>
  <c r="I4226" i="2" s="1"/>
  <c r="H4227" i="2"/>
  <c r="I4227" i="2" s="1"/>
  <c r="H4228" i="2"/>
  <c r="I4228" i="2" s="1"/>
  <c r="H4229" i="2"/>
  <c r="I4229" i="2" s="1"/>
  <c r="H4230" i="2"/>
  <c r="I4230" i="2" s="1"/>
  <c r="H4231" i="2"/>
  <c r="I4231" i="2" s="1"/>
  <c r="H4232" i="2"/>
  <c r="I4232" i="2" s="1"/>
  <c r="H4233" i="2"/>
  <c r="I4233" i="2" s="1"/>
  <c r="H4234" i="2"/>
  <c r="I4234" i="2" s="1"/>
  <c r="H4235" i="2"/>
  <c r="I4235" i="2" s="1"/>
  <c r="H4236" i="2"/>
  <c r="I4236" i="2" s="1"/>
  <c r="H4237" i="2"/>
  <c r="I4237" i="2" s="1"/>
  <c r="H4238" i="2"/>
  <c r="I4238" i="2" s="1"/>
  <c r="H4239" i="2"/>
  <c r="I4239" i="2" s="1"/>
  <c r="H4240" i="2"/>
  <c r="I4240" i="2" s="1"/>
  <c r="H4241" i="2"/>
  <c r="I4241" i="2" s="1"/>
  <c r="H4242" i="2"/>
  <c r="I4242" i="2" s="1"/>
  <c r="H4243" i="2"/>
  <c r="I4243" i="2" s="1"/>
  <c r="H4244" i="2"/>
  <c r="I4244" i="2" s="1"/>
  <c r="H4245" i="2"/>
  <c r="I4245" i="2" s="1"/>
  <c r="H4246" i="2"/>
  <c r="I4246" i="2" s="1"/>
  <c r="H4247" i="2"/>
  <c r="I4247" i="2" s="1"/>
  <c r="H4248" i="2"/>
  <c r="I4248" i="2" s="1"/>
  <c r="H4249" i="2"/>
  <c r="I4249" i="2" s="1"/>
  <c r="H4250" i="2"/>
  <c r="I4250" i="2" s="1"/>
  <c r="H4251" i="2"/>
  <c r="I4251" i="2" s="1"/>
  <c r="H4252" i="2"/>
  <c r="I4252" i="2" s="1"/>
  <c r="H4253" i="2"/>
  <c r="I4253" i="2" s="1"/>
  <c r="H4254" i="2"/>
  <c r="I4254" i="2" s="1"/>
  <c r="H4255" i="2"/>
  <c r="I4255" i="2" s="1"/>
  <c r="H4256" i="2"/>
  <c r="I4256" i="2" s="1"/>
  <c r="H4257" i="2"/>
  <c r="I4257" i="2" s="1"/>
  <c r="H4258" i="2"/>
  <c r="I4258" i="2" s="1"/>
  <c r="H4259" i="2"/>
  <c r="I4259" i="2" s="1"/>
  <c r="H4260" i="2"/>
  <c r="I4260" i="2" s="1"/>
  <c r="H4261" i="2"/>
  <c r="I4261" i="2" s="1"/>
  <c r="H4262" i="2"/>
  <c r="I4262" i="2" s="1"/>
  <c r="H4263" i="2"/>
  <c r="I4263" i="2" s="1"/>
  <c r="H4264" i="2"/>
  <c r="I4264" i="2" s="1"/>
  <c r="H4265" i="2"/>
  <c r="I4265" i="2" s="1"/>
  <c r="H4266" i="2"/>
  <c r="I4266" i="2" s="1"/>
  <c r="H4267" i="2"/>
  <c r="I4267" i="2" s="1"/>
  <c r="H4268" i="2"/>
  <c r="I4268" i="2" s="1"/>
  <c r="H4269" i="2"/>
  <c r="I4269" i="2" s="1"/>
  <c r="H4270" i="2"/>
  <c r="I4270" i="2" s="1"/>
  <c r="H4271" i="2"/>
  <c r="I4271" i="2" s="1"/>
  <c r="H4272" i="2"/>
  <c r="I4272" i="2" s="1"/>
  <c r="H4273" i="2"/>
  <c r="I4273" i="2" s="1"/>
  <c r="H4274" i="2"/>
  <c r="I4274" i="2" s="1"/>
  <c r="H4275" i="2"/>
  <c r="I4275" i="2" s="1"/>
  <c r="H4276" i="2"/>
  <c r="I4276" i="2" s="1"/>
  <c r="H4277" i="2"/>
  <c r="I4277" i="2" s="1"/>
  <c r="H4278" i="2"/>
  <c r="I4278" i="2" s="1"/>
  <c r="H4279" i="2"/>
  <c r="I4279" i="2" s="1"/>
  <c r="H4280" i="2"/>
  <c r="I4280" i="2" s="1"/>
  <c r="H4281" i="2"/>
  <c r="I4281" i="2" s="1"/>
  <c r="H4282" i="2"/>
  <c r="I4282" i="2" s="1"/>
  <c r="H4283" i="2"/>
  <c r="I4283" i="2" s="1"/>
  <c r="H4284" i="2"/>
  <c r="I4284" i="2" s="1"/>
  <c r="H4285" i="2"/>
  <c r="I4285" i="2" s="1"/>
  <c r="H4286" i="2"/>
  <c r="I4286" i="2" s="1"/>
  <c r="H4287" i="2"/>
  <c r="I4287" i="2" s="1"/>
  <c r="H4288" i="2"/>
  <c r="I4288" i="2" s="1"/>
  <c r="H4289" i="2"/>
  <c r="I4289" i="2" s="1"/>
  <c r="H4290" i="2"/>
  <c r="I4290" i="2" s="1"/>
  <c r="H4291" i="2"/>
  <c r="I4291" i="2" s="1"/>
  <c r="H4292" i="2"/>
  <c r="I4292" i="2" s="1"/>
  <c r="H4293" i="2"/>
  <c r="I4293" i="2" s="1"/>
  <c r="H4294" i="2"/>
  <c r="I4294" i="2" s="1"/>
  <c r="H4295" i="2"/>
  <c r="I4295" i="2" s="1"/>
  <c r="H4296" i="2"/>
  <c r="I4296" i="2" s="1"/>
  <c r="H4297" i="2"/>
  <c r="I4297" i="2" s="1"/>
  <c r="H4298" i="2"/>
  <c r="I4298" i="2" s="1"/>
  <c r="H4299" i="2"/>
  <c r="I4299" i="2" s="1"/>
  <c r="H4300" i="2"/>
  <c r="I4300" i="2" s="1"/>
  <c r="H4301" i="2"/>
  <c r="I4301" i="2" s="1"/>
  <c r="H4302" i="2"/>
  <c r="I4302" i="2" s="1"/>
  <c r="H4303" i="2"/>
  <c r="I4303" i="2" s="1"/>
  <c r="H4304" i="2"/>
  <c r="I4304" i="2" s="1"/>
  <c r="H4305" i="2"/>
  <c r="I4305" i="2" s="1"/>
  <c r="H4306" i="2"/>
  <c r="I4306" i="2" s="1"/>
  <c r="H4307" i="2"/>
  <c r="I4307" i="2" s="1"/>
  <c r="H4308" i="2"/>
  <c r="I4308" i="2" s="1"/>
  <c r="H4309" i="2"/>
  <c r="I4309" i="2" s="1"/>
  <c r="H4310" i="2"/>
  <c r="I4310" i="2" s="1"/>
  <c r="H4311" i="2"/>
  <c r="I4311" i="2" s="1"/>
  <c r="H4312" i="2"/>
  <c r="I4312" i="2" s="1"/>
  <c r="H4313" i="2"/>
  <c r="I4313" i="2" s="1"/>
  <c r="H4314" i="2"/>
  <c r="I4314" i="2" s="1"/>
  <c r="H4315" i="2"/>
  <c r="I4315" i="2" s="1"/>
  <c r="H4316" i="2"/>
  <c r="I4316" i="2" s="1"/>
  <c r="H4317" i="2"/>
  <c r="I4317" i="2" s="1"/>
  <c r="H4318" i="2"/>
  <c r="I4318" i="2" s="1"/>
  <c r="H4319" i="2"/>
  <c r="I4319" i="2" s="1"/>
  <c r="H4320" i="2"/>
  <c r="I4320" i="2" s="1"/>
  <c r="H4321" i="2"/>
  <c r="I4321" i="2" s="1"/>
  <c r="H4322" i="2"/>
  <c r="I4322" i="2" s="1"/>
  <c r="H4323" i="2"/>
  <c r="I4323" i="2" s="1"/>
  <c r="H4324" i="2"/>
  <c r="I4324" i="2" s="1"/>
  <c r="H4325" i="2"/>
  <c r="I4325" i="2" s="1"/>
  <c r="H4326" i="2"/>
  <c r="I4326" i="2" s="1"/>
  <c r="H4327" i="2"/>
  <c r="I4327" i="2" s="1"/>
  <c r="H4328" i="2"/>
  <c r="I4328" i="2" s="1"/>
  <c r="H4329" i="2"/>
  <c r="I4329" i="2" s="1"/>
  <c r="H4330" i="2"/>
  <c r="I4330" i="2" s="1"/>
  <c r="H4331" i="2"/>
  <c r="I4331" i="2" s="1"/>
  <c r="H4332" i="2"/>
  <c r="I4332" i="2" s="1"/>
  <c r="H4333" i="2"/>
  <c r="I4333" i="2" s="1"/>
  <c r="H4334" i="2"/>
  <c r="I4334" i="2" s="1"/>
  <c r="H4335" i="2"/>
  <c r="I4335" i="2" s="1"/>
  <c r="H4336" i="2"/>
  <c r="I4336" i="2" s="1"/>
  <c r="H4337" i="2"/>
  <c r="I4337" i="2" s="1"/>
  <c r="H4338" i="2"/>
  <c r="I4338" i="2" s="1"/>
  <c r="H4339" i="2"/>
  <c r="I4339" i="2" s="1"/>
  <c r="H4340" i="2"/>
  <c r="I4340" i="2" s="1"/>
  <c r="H4341" i="2"/>
  <c r="I4341" i="2" s="1"/>
  <c r="H4342" i="2"/>
  <c r="I4342" i="2" s="1"/>
  <c r="H4343" i="2"/>
  <c r="I4343" i="2" s="1"/>
  <c r="H4344" i="2"/>
  <c r="I4344" i="2" s="1"/>
  <c r="H4345" i="2"/>
  <c r="I4345" i="2" s="1"/>
  <c r="H4346" i="2"/>
  <c r="I4346" i="2" s="1"/>
  <c r="H4347" i="2"/>
  <c r="I4347" i="2" s="1"/>
  <c r="H4348" i="2"/>
  <c r="I4348" i="2" s="1"/>
  <c r="H4349" i="2"/>
  <c r="I4349" i="2" s="1"/>
  <c r="H4350" i="2"/>
  <c r="I4350" i="2" s="1"/>
  <c r="H4351" i="2"/>
  <c r="I4351" i="2" s="1"/>
  <c r="H4352" i="2"/>
  <c r="I4352" i="2" s="1"/>
  <c r="H4353" i="2"/>
  <c r="I4353" i="2" s="1"/>
  <c r="H4354" i="2"/>
  <c r="I4354" i="2" s="1"/>
  <c r="H4355" i="2"/>
  <c r="I4355" i="2" s="1"/>
  <c r="H4356" i="2"/>
  <c r="I4356" i="2" s="1"/>
  <c r="H4357" i="2"/>
  <c r="I4357" i="2" s="1"/>
  <c r="H4358" i="2"/>
  <c r="I4358" i="2" s="1"/>
  <c r="H4359" i="2"/>
  <c r="I4359" i="2" s="1"/>
  <c r="H4360" i="2"/>
  <c r="I4360" i="2" s="1"/>
  <c r="H4361" i="2"/>
  <c r="I4361" i="2" s="1"/>
  <c r="H4362" i="2"/>
  <c r="I4362" i="2" s="1"/>
  <c r="H4363" i="2"/>
  <c r="I4363" i="2" s="1"/>
  <c r="H4364" i="2"/>
  <c r="I4364" i="2" s="1"/>
  <c r="H4365" i="2"/>
  <c r="I4365" i="2" s="1"/>
  <c r="H4366" i="2"/>
  <c r="I4366" i="2" s="1"/>
  <c r="H4367" i="2"/>
  <c r="I4367" i="2" s="1"/>
  <c r="H4368" i="2"/>
  <c r="I4368" i="2" s="1"/>
  <c r="H4369" i="2"/>
  <c r="I4369" i="2" s="1"/>
  <c r="H4370" i="2"/>
  <c r="I4370" i="2" s="1"/>
  <c r="H4371" i="2"/>
  <c r="I4371" i="2" s="1"/>
  <c r="H4372" i="2"/>
  <c r="I4372" i="2" s="1"/>
  <c r="H4373" i="2"/>
  <c r="I4373" i="2" s="1"/>
  <c r="H4374" i="2"/>
  <c r="I4374" i="2" s="1"/>
  <c r="H4375" i="2"/>
  <c r="I4375" i="2" s="1"/>
  <c r="H4376" i="2"/>
  <c r="I4376" i="2" s="1"/>
  <c r="H4377" i="2"/>
  <c r="I4377" i="2" s="1"/>
  <c r="H4378" i="2"/>
  <c r="I4378" i="2" s="1"/>
  <c r="H4379" i="2"/>
  <c r="I4379" i="2" s="1"/>
  <c r="H4380" i="2"/>
  <c r="I4380" i="2" s="1"/>
  <c r="H4381" i="2"/>
  <c r="I4381" i="2" s="1"/>
  <c r="H4382" i="2"/>
  <c r="I4382" i="2" s="1"/>
  <c r="H4383" i="2"/>
  <c r="I4383" i="2" s="1"/>
  <c r="H4384" i="2"/>
  <c r="I4384" i="2" s="1"/>
  <c r="H4385" i="2"/>
  <c r="I4385" i="2" s="1"/>
  <c r="H4386" i="2"/>
  <c r="I4386" i="2" s="1"/>
  <c r="H4387" i="2"/>
  <c r="I4387" i="2" s="1"/>
  <c r="H4388" i="2"/>
  <c r="I4388" i="2" s="1"/>
  <c r="H4389" i="2"/>
  <c r="I4389" i="2" s="1"/>
  <c r="H4390" i="2"/>
  <c r="I4390" i="2" s="1"/>
  <c r="H4391" i="2"/>
  <c r="I4391" i="2" s="1"/>
  <c r="H4392" i="2"/>
  <c r="I4392" i="2" s="1"/>
  <c r="H4393" i="2"/>
  <c r="I4393" i="2" s="1"/>
  <c r="H4394" i="2"/>
  <c r="I4394" i="2" s="1"/>
  <c r="H4395" i="2"/>
  <c r="I4395" i="2" s="1"/>
  <c r="H4396" i="2"/>
  <c r="I4396" i="2" s="1"/>
  <c r="H4397" i="2"/>
  <c r="I4397" i="2" s="1"/>
  <c r="H4398" i="2"/>
  <c r="I4398" i="2" s="1"/>
  <c r="H4399" i="2"/>
  <c r="I4399" i="2" s="1"/>
  <c r="H4400" i="2"/>
  <c r="I4400" i="2" s="1"/>
  <c r="H4401" i="2"/>
  <c r="I4401" i="2" s="1"/>
  <c r="H4402" i="2"/>
  <c r="I4402" i="2" s="1"/>
  <c r="H4403" i="2"/>
  <c r="I4403" i="2" s="1"/>
  <c r="H4404" i="2"/>
  <c r="I4404" i="2" s="1"/>
  <c r="H4405" i="2"/>
  <c r="I4405" i="2" s="1"/>
  <c r="H4406" i="2"/>
  <c r="I4406" i="2" s="1"/>
  <c r="H4407" i="2"/>
  <c r="I4407" i="2" s="1"/>
  <c r="H4408" i="2"/>
  <c r="I4408" i="2" s="1"/>
  <c r="H4409" i="2"/>
  <c r="I4409" i="2" s="1"/>
  <c r="H4410" i="2"/>
  <c r="I4410" i="2" s="1"/>
  <c r="H4411" i="2"/>
  <c r="I4411" i="2" s="1"/>
  <c r="H4412" i="2"/>
  <c r="I4412" i="2" s="1"/>
  <c r="H4413" i="2"/>
  <c r="I4413" i="2" s="1"/>
  <c r="H4414" i="2"/>
  <c r="I4414" i="2" s="1"/>
  <c r="H4415" i="2"/>
  <c r="I4415" i="2" s="1"/>
  <c r="H4416" i="2"/>
  <c r="I4416" i="2" s="1"/>
  <c r="H4417" i="2"/>
  <c r="I4417" i="2" s="1"/>
  <c r="H4418" i="2"/>
  <c r="I4418" i="2" s="1"/>
  <c r="H4419" i="2"/>
  <c r="I4419" i="2" s="1"/>
  <c r="H4420" i="2"/>
  <c r="I4420" i="2" s="1"/>
  <c r="H4421" i="2"/>
  <c r="I4421" i="2" s="1"/>
  <c r="H4422" i="2"/>
  <c r="I4422" i="2" s="1"/>
  <c r="H4423" i="2"/>
  <c r="I4423" i="2" s="1"/>
  <c r="H4424" i="2"/>
  <c r="I4424" i="2" s="1"/>
  <c r="H4425" i="2"/>
  <c r="I4425" i="2" s="1"/>
  <c r="H4426" i="2"/>
  <c r="I4426" i="2" s="1"/>
  <c r="H4427" i="2"/>
  <c r="I4427" i="2" s="1"/>
  <c r="H4428" i="2"/>
  <c r="I4428" i="2" s="1"/>
  <c r="H4429" i="2"/>
  <c r="I4429" i="2" s="1"/>
  <c r="H4430" i="2"/>
  <c r="I4430" i="2" s="1"/>
  <c r="H4431" i="2"/>
  <c r="I4431" i="2" s="1"/>
  <c r="H4432" i="2"/>
  <c r="I4432" i="2" s="1"/>
  <c r="H4433" i="2"/>
  <c r="I4433" i="2" s="1"/>
  <c r="H4434" i="2"/>
  <c r="I4434" i="2" s="1"/>
  <c r="H4435" i="2"/>
  <c r="I4435" i="2" s="1"/>
  <c r="H4436" i="2"/>
  <c r="I4436" i="2" s="1"/>
  <c r="H4437" i="2"/>
  <c r="I4437" i="2" s="1"/>
  <c r="H4438" i="2"/>
  <c r="I4438" i="2" s="1"/>
  <c r="H4439" i="2"/>
  <c r="I4439" i="2" s="1"/>
  <c r="H4440" i="2"/>
  <c r="I4440" i="2" s="1"/>
  <c r="H4441" i="2"/>
  <c r="I4441" i="2" s="1"/>
  <c r="H4442" i="2"/>
  <c r="I4442" i="2" s="1"/>
  <c r="H4443" i="2"/>
  <c r="I4443" i="2" s="1"/>
  <c r="H4444" i="2"/>
  <c r="I4444" i="2" s="1"/>
  <c r="H4445" i="2"/>
  <c r="I4445" i="2" s="1"/>
  <c r="H4446" i="2"/>
  <c r="I4446" i="2" s="1"/>
  <c r="H4447" i="2"/>
  <c r="I4447" i="2" s="1"/>
  <c r="H4448" i="2"/>
  <c r="I4448" i="2" s="1"/>
  <c r="H4449" i="2"/>
  <c r="I4449" i="2" s="1"/>
  <c r="H4450" i="2"/>
  <c r="I4450" i="2" s="1"/>
  <c r="H4451" i="2"/>
  <c r="I4451" i="2" s="1"/>
  <c r="H4452" i="2"/>
  <c r="I4452" i="2" s="1"/>
  <c r="H4453" i="2"/>
  <c r="I4453" i="2" s="1"/>
  <c r="H4454" i="2"/>
  <c r="I4454" i="2" s="1"/>
  <c r="H4455" i="2"/>
  <c r="I4455" i="2" s="1"/>
  <c r="H4456" i="2"/>
  <c r="I4456" i="2" s="1"/>
  <c r="H4457" i="2"/>
  <c r="I4457" i="2" s="1"/>
  <c r="H4458" i="2"/>
  <c r="I4458" i="2" s="1"/>
  <c r="H4459" i="2"/>
  <c r="I4459" i="2" s="1"/>
  <c r="H4460" i="2"/>
  <c r="I4460" i="2" s="1"/>
  <c r="H4461" i="2"/>
  <c r="I4461" i="2" s="1"/>
  <c r="H4462" i="2"/>
  <c r="I4462" i="2" s="1"/>
  <c r="H4463" i="2"/>
  <c r="I4463" i="2" s="1"/>
  <c r="H4464" i="2"/>
  <c r="I4464" i="2" s="1"/>
  <c r="H4465" i="2"/>
  <c r="I4465" i="2" s="1"/>
  <c r="H4466" i="2"/>
  <c r="I4466" i="2" s="1"/>
  <c r="H4467" i="2"/>
  <c r="I4467" i="2" s="1"/>
  <c r="H4468" i="2"/>
  <c r="I4468" i="2" s="1"/>
  <c r="H4469" i="2"/>
  <c r="I4469" i="2" s="1"/>
  <c r="H4470" i="2"/>
  <c r="I4470" i="2" s="1"/>
  <c r="H4471" i="2"/>
  <c r="I4471" i="2" s="1"/>
  <c r="H4472" i="2"/>
  <c r="I4472" i="2" s="1"/>
  <c r="H4473" i="2"/>
  <c r="I4473" i="2" s="1"/>
  <c r="H4474" i="2"/>
  <c r="I4474" i="2" s="1"/>
  <c r="H4475" i="2"/>
  <c r="I4475" i="2" s="1"/>
  <c r="H4476" i="2"/>
  <c r="I4476" i="2" s="1"/>
  <c r="H4477" i="2"/>
  <c r="I4477" i="2" s="1"/>
  <c r="H4478" i="2"/>
  <c r="I4478" i="2" s="1"/>
  <c r="H4479" i="2"/>
  <c r="I4479" i="2" s="1"/>
  <c r="H4480" i="2"/>
  <c r="I4480" i="2" s="1"/>
  <c r="H4481" i="2"/>
  <c r="I4481" i="2" s="1"/>
  <c r="H4482" i="2"/>
  <c r="I4482" i="2" s="1"/>
  <c r="H4483" i="2"/>
  <c r="I4483" i="2" s="1"/>
  <c r="H4484" i="2"/>
  <c r="I4484" i="2" s="1"/>
  <c r="H4485" i="2"/>
  <c r="I4485" i="2" s="1"/>
  <c r="H4486" i="2"/>
  <c r="I4486" i="2" s="1"/>
  <c r="H4487" i="2"/>
  <c r="I4487" i="2" s="1"/>
  <c r="H4488" i="2"/>
  <c r="I4488" i="2" s="1"/>
  <c r="H4489" i="2"/>
  <c r="I4489" i="2" s="1"/>
  <c r="H4490" i="2"/>
  <c r="I4490" i="2" s="1"/>
  <c r="H4491" i="2"/>
  <c r="I4491" i="2" s="1"/>
  <c r="H4492" i="2"/>
  <c r="I4492" i="2" s="1"/>
  <c r="H4493" i="2"/>
  <c r="I4493" i="2" s="1"/>
  <c r="H4494" i="2"/>
  <c r="I4494" i="2" s="1"/>
  <c r="H4495" i="2"/>
  <c r="I4495" i="2" s="1"/>
  <c r="H4496" i="2"/>
  <c r="I4496" i="2" s="1"/>
  <c r="H4497" i="2"/>
  <c r="I4497" i="2" s="1"/>
  <c r="H4498" i="2"/>
  <c r="I4498" i="2" s="1"/>
  <c r="H4499" i="2"/>
  <c r="I4499" i="2" s="1"/>
  <c r="H4500" i="2"/>
  <c r="I4500" i="2" s="1"/>
  <c r="H4501" i="2"/>
  <c r="I4501" i="2" s="1"/>
  <c r="H4502" i="2"/>
  <c r="I4502" i="2" s="1"/>
  <c r="H4503" i="2"/>
  <c r="I4503" i="2" s="1"/>
  <c r="H4504" i="2"/>
  <c r="I4504" i="2" s="1"/>
  <c r="H4505" i="2"/>
  <c r="I4505" i="2" s="1"/>
  <c r="H4506" i="2"/>
  <c r="I4506" i="2" s="1"/>
  <c r="H4507" i="2"/>
  <c r="I4507" i="2" s="1"/>
  <c r="H4508" i="2"/>
  <c r="I4508" i="2" s="1"/>
  <c r="H4509" i="2"/>
  <c r="I4509" i="2" s="1"/>
  <c r="H4510" i="2"/>
  <c r="I4510" i="2" s="1"/>
  <c r="H4511" i="2"/>
  <c r="I4511" i="2" s="1"/>
  <c r="H4512" i="2"/>
  <c r="I4512" i="2" s="1"/>
  <c r="H4513" i="2"/>
  <c r="I4513" i="2" s="1"/>
  <c r="H4514" i="2"/>
  <c r="I4514" i="2" s="1"/>
  <c r="H4515" i="2"/>
  <c r="I4515" i="2" s="1"/>
  <c r="H4516" i="2"/>
  <c r="I4516" i="2" s="1"/>
  <c r="H4517" i="2"/>
  <c r="I4517" i="2" s="1"/>
  <c r="H4518" i="2"/>
  <c r="I4518" i="2" s="1"/>
  <c r="H4519" i="2"/>
  <c r="I4519" i="2" s="1"/>
  <c r="H4520" i="2"/>
  <c r="I4520" i="2" s="1"/>
  <c r="H4521" i="2"/>
  <c r="I4521" i="2" s="1"/>
  <c r="H4522" i="2"/>
  <c r="I4522" i="2" s="1"/>
  <c r="H4523" i="2"/>
  <c r="I4523" i="2" s="1"/>
  <c r="H4524" i="2"/>
  <c r="I4524" i="2" s="1"/>
  <c r="H4525" i="2"/>
  <c r="I4525" i="2" s="1"/>
  <c r="H4526" i="2"/>
  <c r="I4526" i="2" s="1"/>
  <c r="H4527" i="2"/>
  <c r="I4527" i="2" s="1"/>
  <c r="H4528" i="2"/>
  <c r="I4528" i="2" s="1"/>
  <c r="H4529" i="2"/>
  <c r="I4529" i="2" s="1"/>
  <c r="H4530" i="2"/>
  <c r="I4530" i="2" s="1"/>
  <c r="H4531" i="2"/>
  <c r="I4531" i="2" s="1"/>
  <c r="H4532" i="2"/>
  <c r="I4532" i="2" s="1"/>
  <c r="H4533" i="2"/>
  <c r="I4533" i="2" s="1"/>
  <c r="H4534" i="2"/>
  <c r="I4534" i="2" s="1"/>
  <c r="H4535" i="2"/>
  <c r="I4535" i="2" s="1"/>
  <c r="H4536" i="2"/>
  <c r="I4536" i="2" s="1"/>
  <c r="H4537" i="2"/>
  <c r="I4537" i="2" s="1"/>
  <c r="H4538" i="2"/>
  <c r="I4538" i="2" s="1"/>
  <c r="H4539" i="2"/>
  <c r="I4539" i="2" s="1"/>
  <c r="H4540" i="2"/>
  <c r="I4540" i="2" s="1"/>
  <c r="H4541" i="2"/>
  <c r="I4541" i="2" s="1"/>
  <c r="H4542" i="2"/>
  <c r="I4542" i="2" s="1"/>
  <c r="H4543" i="2"/>
  <c r="I4543" i="2" s="1"/>
  <c r="H4544" i="2"/>
  <c r="I4544" i="2" s="1"/>
  <c r="H4545" i="2"/>
  <c r="I4545" i="2" s="1"/>
  <c r="H4546" i="2"/>
  <c r="I4546" i="2" s="1"/>
  <c r="H4547" i="2"/>
  <c r="I4547" i="2" s="1"/>
  <c r="H4548" i="2"/>
  <c r="I4548" i="2" s="1"/>
  <c r="H4549" i="2"/>
  <c r="I4549" i="2" s="1"/>
  <c r="H4550" i="2"/>
  <c r="I4550" i="2" s="1"/>
  <c r="H4551" i="2"/>
  <c r="I4551" i="2" s="1"/>
  <c r="H4552" i="2"/>
  <c r="I4552" i="2" s="1"/>
  <c r="H4553" i="2"/>
  <c r="I4553" i="2" s="1"/>
  <c r="H4554" i="2"/>
  <c r="I4554" i="2" s="1"/>
  <c r="H4555" i="2"/>
  <c r="I4555" i="2" s="1"/>
  <c r="H4556" i="2"/>
  <c r="I4556" i="2" s="1"/>
  <c r="H4557" i="2"/>
  <c r="I4557" i="2" s="1"/>
  <c r="H4558" i="2"/>
  <c r="I4558" i="2" s="1"/>
  <c r="H4559" i="2"/>
  <c r="I4559" i="2" s="1"/>
  <c r="H4560" i="2"/>
  <c r="I4560" i="2" s="1"/>
  <c r="H4561" i="2"/>
  <c r="I4561" i="2" s="1"/>
  <c r="H4562" i="2"/>
  <c r="I4562" i="2" s="1"/>
  <c r="H4563" i="2"/>
  <c r="I4563" i="2" s="1"/>
  <c r="H4564" i="2"/>
  <c r="I4564" i="2" s="1"/>
  <c r="H4565" i="2"/>
  <c r="I4565" i="2" s="1"/>
  <c r="H4566" i="2"/>
  <c r="I4566" i="2" s="1"/>
  <c r="H4567" i="2"/>
  <c r="I4567" i="2" s="1"/>
  <c r="H4568" i="2"/>
  <c r="I4568" i="2" s="1"/>
  <c r="H4569" i="2"/>
  <c r="I4569" i="2" s="1"/>
  <c r="H4570" i="2"/>
  <c r="I4570" i="2" s="1"/>
  <c r="H4571" i="2"/>
  <c r="I4571" i="2" s="1"/>
  <c r="H4572" i="2"/>
  <c r="I4572" i="2" s="1"/>
  <c r="H4573" i="2"/>
  <c r="I4573" i="2" s="1"/>
  <c r="H4574" i="2"/>
  <c r="I4574" i="2" s="1"/>
  <c r="H4575" i="2"/>
  <c r="I4575" i="2" s="1"/>
  <c r="H4576" i="2"/>
  <c r="I4576" i="2" s="1"/>
  <c r="H4577" i="2"/>
  <c r="I4577" i="2" s="1"/>
  <c r="H4578" i="2"/>
  <c r="I4578" i="2" s="1"/>
  <c r="H4579" i="2"/>
  <c r="I4579" i="2" s="1"/>
  <c r="H4580" i="2"/>
  <c r="I4580" i="2" s="1"/>
  <c r="H4581" i="2"/>
  <c r="I4581" i="2" s="1"/>
  <c r="H4582" i="2"/>
  <c r="I4582" i="2" s="1"/>
  <c r="H4583" i="2"/>
  <c r="I4583" i="2" s="1"/>
  <c r="H4584" i="2"/>
  <c r="I4584" i="2" s="1"/>
  <c r="H4585" i="2"/>
  <c r="I4585" i="2" s="1"/>
  <c r="H4586" i="2"/>
  <c r="I4586" i="2" s="1"/>
  <c r="H4587" i="2"/>
  <c r="I4587" i="2" s="1"/>
  <c r="H4588" i="2"/>
  <c r="I4588" i="2" s="1"/>
  <c r="H4589" i="2"/>
  <c r="I4589" i="2" s="1"/>
  <c r="H4590" i="2"/>
  <c r="I4590" i="2" s="1"/>
  <c r="H4591" i="2"/>
  <c r="I4591" i="2" s="1"/>
  <c r="H4592" i="2"/>
  <c r="I4592" i="2" s="1"/>
  <c r="H4593" i="2"/>
  <c r="I4593" i="2" s="1"/>
  <c r="H4594" i="2"/>
  <c r="I4594" i="2" s="1"/>
  <c r="H4595" i="2"/>
  <c r="I4595" i="2" s="1"/>
  <c r="H4596" i="2"/>
  <c r="I4596" i="2" s="1"/>
  <c r="H4597" i="2"/>
  <c r="I4597" i="2" s="1"/>
  <c r="H4598" i="2"/>
  <c r="I4598" i="2" s="1"/>
  <c r="H4599" i="2"/>
  <c r="I4599" i="2" s="1"/>
  <c r="H4600" i="2"/>
  <c r="I4600" i="2" s="1"/>
  <c r="H4601" i="2"/>
  <c r="I4601" i="2" s="1"/>
  <c r="H4602" i="2"/>
  <c r="I4602" i="2" s="1"/>
  <c r="H4603" i="2"/>
  <c r="I4603" i="2" s="1"/>
  <c r="H4604" i="2"/>
  <c r="I4604" i="2" s="1"/>
  <c r="H4605" i="2"/>
  <c r="I4605" i="2" s="1"/>
  <c r="H4606" i="2"/>
  <c r="I4606" i="2" s="1"/>
  <c r="H4607" i="2"/>
  <c r="I4607" i="2" s="1"/>
  <c r="H4608" i="2"/>
  <c r="I4608" i="2" s="1"/>
  <c r="H4609" i="2"/>
  <c r="I4609" i="2" s="1"/>
  <c r="H4610" i="2"/>
  <c r="I4610" i="2" s="1"/>
  <c r="H4611" i="2"/>
  <c r="I4611" i="2" s="1"/>
  <c r="H4612" i="2"/>
  <c r="I4612" i="2" s="1"/>
  <c r="H4613" i="2"/>
  <c r="I4613" i="2" s="1"/>
  <c r="H4614" i="2"/>
  <c r="I4614" i="2" s="1"/>
  <c r="H4615" i="2"/>
  <c r="I4615" i="2" s="1"/>
  <c r="H4616" i="2"/>
  <c r="I4616" i="2" s="1"/>
  <c r="H4617" i="2"/>
  <c r="I4617" i="2" s="1"/>
  <c r="H4618" i="2"/>
  <c r="I4618" i="2" s="1"/>
  <c r="H4619" i="2"/>
  <c r="I4619" i="2" s="1"/>
  <c r="H4620" i="2"/>
  <c r="I4620" i="2" s="1"/>
  <c r="H4621" i="2"/>
  <c r="I4621" i="2" s="1"/>
  <c r="H4622" i="2"/>
  <c r="I4622" i="2" s="1"/>
  <c r="H4623" i="2"/>
  <c r="I4623" i="2" s="1"/>
  <c r="H4624" i="2"/>
  <c r="I4624" i="2" s="1"/>
  <c r="H4625" i="2"/>
  <c r="I4625" i="2" s="1"/>
  <c r="H4626" i="2"/>
  <c r="I4626" i="2" s="1"/>
  <c r="H4627" i="2"/>
  <c r="I4627" i="2" s="1"/>
  <c r="H4628" i="2"/>
  <c r="I4628" i="2" s="1"/>
  <c r="H4629" i="2"/>
  <c r="I4629" i="2" s="1"/>
  <c r="H4630" i="2"/>
  <c r="I4630" i="2" s="1"/>
  <c r="H4631" i="2"/>
  <c r="I4631" i="2" s="1"/>
  <c r="H4632" i="2"/>
  <c r="I4632" i="2" s="1"/>
  <c r="H4633" i="2"/>
  <c r="I4633" i="2" s="1"/>
  <c r="H4634" i="2"/>
  <c r="I4634" i="2" s="1"/>
  <c r="H4635" i="2"/>
  <c r="I4635" i="2" s="1"/>
  <c r="H4636" i="2"/>
  <c r="I4636" i="2" s="1"/>
  <c r="H4637" i="2"/>
  <c r="I4637" i="2" s="1"/>
  <c r="H4638" i="2"/>
  <c r="I4638" i="2" s="1"/>
  <c r="H4639" i="2"/>
  <c r="I4639" i="2" s="1"/>
  <c r="H4640" i="2"/>
  <c r="I4640" i="2" s="1"/>
  <c r="H4641" i="2"/>
  <c r="I4641" i="2" s="1"/>
  <c r="H4642" i="2"/>
  <c r="I4642" i="2" s="1"/>
  <c r="H4643" i="2"/>
  <c r="I4643" i="2" s="1"/>
  <c r="H4644" i="2"/>
  <c r="I4644" i="2" s="1"/>
  <c r="H4645" i="2"/>
  <c r="I4645" i="2" s="1"/>
  <c r="H4646" i="2"/>
  <c r="I4646" i="2" s="1"/>
  <c r="H4647" i="2"/>
  <c r="I4647" i="2" s="1"/>
  <c r="H4648" i="2"/>
  <c r="I4648" i="2" s="1"/>
  <c r="H4649" i="2"/>
  <c r="I4649" i="2" s="1"/>
  <c r="H4650" i="2"/>
  <c r="I4650" i="2" s="1"/>
  <c r="H4651" i="2"/>
  <c r="I4651" i="2" s="1"/>
  <c r="H4652" i="2"/>
  <c r="I4652" i="2" s="1"/>
  <c r="H4653" i="2"/>
  <c r="I4653" i="2" s="1"/>
  <c r="H4654" i="2"/>
  <c r="I4654" i="2" s="1"/>
  <c r="H4655" i="2"/>
  <c r="I4655" i="2" s="1"/>
  <c r="H4656" i="2"/>
  <c r="I4656" i="2" s="1"/>
  <c r="H4657" i="2"/>
  <c r="I4657" i="2" s="1"/>
  <c r="H4658" i="2"/>
  <c r="I4658" i="2" s="1"/>
  <c r="H4659" i="2"/>
  <c r="I4659" i="2" s="1"/>
  <c r="H4660" i="2"/>
  <c r="I4660" i="2" s="1"/>
  <c r="H4661" i="2"/>
  <c r="I4661" i="2" s="1"/>
  <c r="H4662" i="2"/>
  <c r="I4662" i="2" s="1"/>
  <c r="H4663" i="2"/>
  <c r="I4663" i="2" s="1"/>
  <c r="H4664" i="2"/>
  <c r="I4664" i="2" s="1"/>
  <c r="H4665" i="2"/>
  <c r="I4665" i="2" s="1"/>
  <c r="H4666" i="2"/>
  <c r="I4666" i="2" s="1"/>
  <c r="H4667" i="2"/>
  <c r="I4667" i="2" s="1"/>
  <c r="H4668" i="2"/>
  <c r="I4668" i="2" s="1"/>
  <c r="H4669" i="2"/>
  <c r="I4669" i="2" s="1"/>
  <c r="H4670" i="2"/>
  <c r="I4670" i="2" s="1"/>
  <c r="H4671" i="2"/>
  <c r="I4671" i="2" s="1"/>
  <c r="H4672" i="2"/>
  <c r="I4672" i="2" s="1"/>
  <c r="H4673" i="2"/>
  <c r="I4673" i="2" s="1"/>
  <c r="H4674" i="2"/>
  <c r="I4674" i="2" s="1"/>
  <c r="H4675" i="2"/>
  <c r="I4675" i="2" s="1"/>
  <c r="H4676" i="2"/>
  <c r="I4676" i="2" s="1"/>
  <c r="H4677" i="2"/>
  <c r="I4677" i="2" s="1"/>
  <c r="H4678" i="2"/>
  <c r="I4678" i="2" s="1"/>
  <c r="H4679" i="2"/>
  <c r="I4679" i="2" s="1"/>
  <c r="H4680" i="2"/>
  <c r="I4680" i="2" s="1"/>
  <c r="H4681" i="2"/>
  <c r="I4681" i="2" s="1"/>
  <c r="H4682" i="2"/>
  <c r="I4682" i="2" s="1"/>
  <c r="H4683" i="2"/>
  <c r="I4683" i="2" s="1"/>
  <c r="H4684" i="2"/>
  <c r="I4684" i="2" s="1"/>
  <c r="H4685" i="2"/>
  <c r="I4685" i="2" s="1"/>
  <c r="H4686" i="2"/>
  <c r="I4686" i="2" s="1"/>
  <c r="H4687" i="2"/>
  <c r="I4687" i="2" s="1"/>
  <c r="H4688" i="2"/>
  <c r="I4688" i="2" s="1"/>
  <c r="H4689" i="2"/>
  <c r="I4689" i="2" s="1"/>
  <c r="H4690" i="2"/>
  <c r="I4690" i="2" s="1"/>
  <c r="H4691" i="2"/>
  <c r="I4691" i="2" s="1"/>
  <c r="H4692" i="2"/>
  <c r="I4692" i="2" s="1"/>
  <c r="H4693" i="2"/>
  <c r="I4693" i="2" s="1"/>
  <c r="H4694" i="2"/>
  <c r="I4694" i="2" s="1"/>
  <c r="H4695" i="2"/>
  <c r="I4695" i="2" s="1"/>
  <c r="H4696" i="2"/>
  <c r="I4696" i="2" s="1"/>
  <c r="H4697" i="2"/>
  <c r="I4697" i="2" s="1"/>
  <c r="H4698" i="2"/>
  <c r="I4698" i="2" s="1"/>
  <c r="H4699" i="2"/>
  <c r="I4699" i="2" s="1"/>
  <c r="H4700" i="2"/>
  <c r="I4700" i="2" s="1"/>
  <c r="H4701" i="2"/>
  <c r="I4701" i="2" s="1"/>
  <c r="H4702" i="2"/>
  <c r="I4702" i="2" s="1"/>
  <c r="H4703" i="2"/>
  <c r="I4703" i="2" s="1"/>
  <c r="H4704" i="2"/>
  <c r="I4704" i="2" s="1"/>
  <c r="H4705" i="2"/>
  <c r="I4705" i="2" s="1"/>
  <c r="H4706" i="2"/>
  <c r="I4706" i="2" s="1"/>
  <c r="H4707" i="2"/>
  <c r="I4707" i="2" s="1"/>
  <c r="H4708" i="2"/>
  <c r="I4708" i="2" s="1"/>
  <c r="H4709" i="2"/>
  <c r="I4709" i="2" s="1"/>
  <c r="H4710" i="2"/>
  <c r="I4710" i="2" s="1"/>
  <c r="H4711" i="2"/>
  <c r="I4711" i="2" s="1"/>
  <c r="H4712" i="2"/>
  <c r="I4712" i="2" s="1"/>
  <c r="H4713" i="2"/>
  <c r="I4713" i="2" s="1"/>
  <c r="H4714" i="2"/>
  <c r="I4714" i="2" s="1"/>
  <c r="H4715" i="2"/>
  <c r="I4715" i="2" s="1"/>
  <c r="H4716" i="2"/>
  <c r="I4716" i="2" s="1"/>
  <c r="H4717" i="2"/>
  <c r="I4717" i="2" s="1"/>
  <c r="H4718" i="2"/>
  <c r="I4718" i="2" s="1"/>
  <c r="H4719" i="2"/>
  <c r="I4719" i="2" s="1"/>
  <c r="H4720" i="2"/>
  <c r="I4720" i="2" s="1"/>
  <c r="H4721" i="2"/>
  <c r="I4721" i="2" s="1"/>
  <c r="H4722" i="2"/>
  <c r="I4722" i="2" s="1"/>
  <c r="H4723" i="2"/>
  <c r="I4723" i="2" s="1"/>
  <c r="H4724" i="2"/>
  <c r="I4724" i="2" s="1"/>
  <c r="H4725" i="2"/>
  <c r="I4725" i="2" s="1"/>
  <c r="H4726" i="2"/>
  <c r="I4726" i="2" s="1"/>
  <c r="H4727" i="2"/>
  <c r="I4727" i="2" s="1"/>
  <c r="H4728" i="2"/>
  <c r="I4728" i="2" s="1"/>
  <c r="H4729" i="2"/>
  <c r="I4729" i="2" s="1"/>
  <c r="H4730" i="2"/>
  <c r="I4730" i="2" s="1"/>
  <c r="H4731" i="2"/>
  <c r="I4731" i="2" s="1"/>
  <c r="H4732" i="2"/>
  <c r="I4732" i="2" s="1"/>
  <c r="H4733" i="2"/>
  <c r="I4733" i="2" s="1"/>
  <c r="H4734" i="2"/>
  <c r="I4734" i="2" s="1"/>
  <c r="H4735" i="2"/>
  <c r="I4735" i="2" s="1"/>
  <c r="H4736" i="2"/>
  <c r="I4736" i="2" s="1"/>
  <c r="H4737" i="2"/>
  <c r="I4737" i="2" s="1"/>
  <c r="H4738" i="2"/>
  <c r="I4738" i="2" s="1"/>
  <c r="H4739" i="2"/>
  <c r="I4739" i="2" s="1"/>
  <c r="H4740" i="2"/>
  <c r="I4740" i="2" s="1"/>
  <c r="H4741" i="2"/>
  <c r="I4741" i="2" s="1"/>
  <c r="H4742" i="2"/>
  <c r="I4742" i="2" s="1"/>
  <c r="H4743" i="2"/>
  <c r="I4743" i="2" s="1"/>
  <c r="H4744" i="2"/>
  <c r="I4744" i="2" s="1"/>
  <c r="H4745" i="2"/>
  <c r="I4745" i="2" s="1"/>
  <c r="H4746" i="2"/>
  <c r="I4746" i="2" s="1"/>
  <c r="H4747" i="2"/>
  <c r="I4747" i="2" s="1"/>
  <c r="H4748" i="2"/>
  <c r="I4748" i="2" s="1"/>
  <c r="H4749" i="2"/>
  <c r="I4749" i="2" s="1"/>
  <c r="H4750" i="2"/>
  <c r="I4750" i="2" s="1"/>
  <c r="H4751" i="2"/>
  <c r="I4751" i="2" s="1"/>
  <c r="H4752" i="2"/>
  <c r="I4752" i="2" s="1"/>
  <c r="H4753" i="2"/>
  <c r="I4753" i="2" s="1"/>
  <c r="H4754" i="2"/>
  <c r="I4754" i="2" s="1"/>
  <c r="H4755" i="2"/>
  <c r="I4755" i="2" s="1"/>
  <c r="H4756" i="2"/>
  <c r="I4756" i="2" s="1"/>
  <c r="H4757" i="2"/>
  <c r="I4757" i="2" s="1"/>
  <c r="H4758" i="2"/>
  <c r="I4758" i="2" s="1"/>
  <c r="H4759" i="2"/>
  <c r="I4759" i="2" s="1"/>
  <c r="H4760" i="2"/>
  <c r="I4760" i="2" s="1"/>
  <c r="H4761" i="2"/>
  <c r="I4761" i="2" s="1"/>
  <c r="H4762" i="2"/>
  <c r="I4762" i="2" s="1"/>
  <c r="H4763" i="2"/>
  <c r="I4763" i="2" s="1"/>
  <c r="H4764" i="2"/>
  <c r="I4764" i="2" s="1"/>
  <c r="H4765" i="2"/>
  <c r="I4765" i="2" s="1"/>
  <c r="H4766" i="2"/>
  <c r="I4766" i="2" s="1"/>
  <c r="H4767" i="2"/>
  <c r="I4767" i="2" s="1"/>
  <c r="H4768" i="2"/>
  <c r="I4768" i="2" s="1"/>
  <c r="H4769" i="2"/>
  <c r="I4769" i="2" s="1"/>
  <c r="H4770" i="2"/>
  <c r="I4770" i="2" s="1"/>
  <c r="H4771" i="2"/>
  <c r="I4771" i="2" s="1"/>
  <c r="H4772" i="2"/>
  <c r="I4772" i="2" s="1"/>
  <c r="H4773" i="2"/>
  <c r="I4773" i="2" s="1"/>
  <c r="H4774" i="2"/>
  <c r="I4774" i="2" s="1"/>
  <c r="H4775" i="2"/>
  <c r="I4775" i="2" s="1"/>
  <c r="H4776" i="2"/>
  <c r="I4776" i="2" s="1"/>
  <c r="H4777" i="2"/>
  <c r="I4777" i="2" s="1"/>
  <c r="H4778" i="2"/>
  <c r="I4778" i="2" s="1"/>
  <c r="H4779" i="2"/>
  <c r="I4779" i="2" s="1"/>
  <c r="H4780" i="2"/>
  <c r="I4780" i="2" s="1"/>
  <c r="H4781" i="2"/>
  <c r="I4781" i="2" s="1"/>
  <c r="H4782" i="2"/>
  <c r="I4782" i="2" s="1"/>
  <c r="H4783" i="2"/>
  <c r="I4783" i="2" s="1"/>
  <c r="H4784" i="2"/>
  <c r="I4784" i="2" s="1"/>
  <c r="H4785" i="2"/>
  <c r="I4785" i="2" s="1"/>
  <c r="H4786" i="2"/>
  <c r="I4786" i="2" s="1"/>
  <c r="H4787" i="2"/>
  <c r="I4787" i="2" s="1"/>
  <c r="H4788" i="2"/>
  <c r="I4788" i="2" s="1"/>
  <c r="H4789" i="2"/>
  <c r="I4789" i="2" s="1"/>
  <c r="H4790" i="2"/>
  <c r="I4790" i="2" s="1"/>
  <c r="H4791" i="2"/>
  <c r="I4791" i="2" s="1"/>
  <c r="H4792" i="2"/>
  <c r="I4792" i="2" s="1"/>
  <c r="H4793" i="2"/>
  <c r="I4793" i="2" s="1"/>
  <c r="H4794" i="2"/>
  <c r="I4794" i="2" s="1"/>
  <c r="H4795" i="2"/>
  <c r="I4795" i="2" s="1"/>
  <c r="H4796" i="2"/>
  <c r="I4796" i="2" s="1"/>
  <c r="H4797" i="2"/>
  <c r="I4797" i="2" s="1"/>
  <c r="H4798" i="2"/>
  <c r="I4798" i="2" s="1"/>
  <c r="H4799" i="2"/>
  <c r="I4799" i="2" s="1"/>
  <c r="H4800" i="2"/>
  <c r="I4800" i="2" s="1"/>
  <c r="H4801" i="2"/>
  <c r="I4801" i="2" s="1"/>
  <c r="H4802" i="2"/>
  <c r="I4802" i="2" s="1"/>
  <c r="H4803" i="2"/>
  <c r="I4803" i="2" s="1"/>
  <c r="H4804" i="2"/>
  <c r="I4804" i="2" s="1"/>
  <c r="H4805" i="2"/>
  <c r="I4805" i="2" s="1"/>
  <c r="H4806" i="2"/>
  <c r="I4806" i="2" s="1"/>
  <c r="H4807" i="2"/>
  <c r="I4807" i="2" s="1"/>
  <c r="H4808" i="2"/>
  <c r="I4808" i="2" s="1"/>
  <c r="H4809" i="2"/>
  <c r="I4809" i="2" s="1"/>
  <c r="H4810" i="2"/>
  <c r="I4810" i="2" s="1"/>
  <c r="H4811" i="2"/>
  <c r="I4811" i="2" s="1"/>
  <c r="H4812" i="2"/>
  <c r="I4812" i="2" s="1"/>
  <c r="H4813" i="2"/>
  <c r="I4813" i="2" s="1"/>
  <c r="H4814" i="2"/>
  <c r="I4814" i="2" s="1"/>
  <c r="H4815" i="2"/>
  <c r="I4815" i="2" s="1"/>
  <c r="H4816" i="2"/>
  <c r="I4816" i="2" s="1"/>
  <c r="H4817" i="2"/>
  <c r="I4817" i="2" s="1"/>
  <c r="H4818" i="2"/>
  <c r="I4818" i="2" s="1"/>
  <c r="H4819" i="2"/>
  <c r="I4819" i="2" s="1"/>
  <c r="H4820" i="2"/>
  <c r="I4820" i="2" s="1"/>
  <c r="H4821" i="2"/>
  <c r="I4821" i="2" s="1"/>
  <c r="H4822" i="2"/>
  <c r="I4822" i="2" s="1"/>
  <c r="H4823" i="2"/>
  <c r="I4823" i="2" s="1"/>
  <c r="H4824" i="2"/>
  <c r="I4824" i="2" s="1"/>
  <c r="H4825" i="2"/>
  <c r="I4825" i="2" s="1"/>
  <c r="H4826" i="2"/>
  <c r="I4826" i="2" s="1"/>
  <c r="H4827" i="2"/>
  <c r="I4827" i="2" s="1"/>
  <c r="H4828" i="2"/>
  <c r="I4828" i="2" s="1"/>
  <c r="H4829" i="2"/>
  <c r="I4829" i="2" s="1"/>
  <c r="H4830" i="2"/>
  <c r="I4830" i="2" s="1"/>
  <c r="H4831" i="2"/>
  <c r="I4831" i="2" s="1"/>
  <c r="H4832" i="2"/>
  <c r="I4832" i="2" s="1"/>
  <c r="H4833" i="2"/>
  <c r="I4833" i="2" s="1"/>
  <c r="H4834" i="2"/>
  <c r="I4834" i="2" s="1"/>
  <c r="H4835" i="2"/>
  <c r="I4835" i="2" s="1"/>
  <c r="H4836" i="2"/>
  <c r="I4836" i="2" s="1"/>
  <c r="H4837" i="2"/>
  <c r="I4837" i="2" s="1"/>
  <c r="H4838" i="2"/>
  <c r="I4838" i="2" s="1"/>
  <c r="H4839" i="2"/>
  <c r="I4839" i="2" s="1"/>
  <c r="H4840" i="2"/>
  <c r="I4840" i="2" s="1"/>
  <c r="H4841" i="2"/>
  <c r="I4841" i="2" s="1"/>
  <c r="H4842" i="2"/>
  <c r="I4842" i="2" s="1"/>
  <c r="H4843" i="2"/>
  <c r="I4843" i="2" s="1"/>
  <c r="H4844" i="2"/>
  <c r="I4844" i="2" s="1"/>
  <c r="H4845" i="2"/>
  <c r="I4845" i="2" s="1"/>
  <c r="H4846" i="2"/>
  <c r="I4846" i="2" s="1"/>
  <c r="H4847" i="2"/>
  <c r="I4847" i="2" s="1"/>
  <c r="H4848" i="2"/>
  <c r="I4848" i="2" s="1"/>
  <c r="H4849" i="2"/>
  <c r="I4849" i="2" s="1"/>
  <c r="H4850" i="2"/>
  <c r="I4850" i="2" s="1"/>
  <c r="H4851" i="2"/>
  <c r="I4851" i="2" s="1"/>
  <c r="H4852" i="2"/>
  <c r="I4852" i="2" s="1"/>
  <c r="H4853" i="2"/>
  <c r="I4853" i="2" s="1"/>
  <c r="H4854" i="2"/>
  <c r="I4854" i="2" s="1"/>
  <c r="H4855" i="2"/>
  <c r="I4855" i="2" s="1"/>
  <c r="H4856" i="2"/>
  <c r="I4856" i="2" s="1"/>
  <c r="H4857" i="2"/>
  <c r="I4857" i="2" s="1"/>
  <c r="H4858" i="2"/>
  <c r="I4858" i="2" s="1"/>
  <c r="H4859" i="2"/>
  <c r="I4859" i="2" s="1"/>
  <c r="H4860" i="2"/>
  <c r="I4860" i="2" s="1"/>
  <c r="H4861" i="2"/>
  <c r="I4861" i="2" s="1"/>
  <c r="H4862" i="2"/>
  <c r="I4862" i="2" s="1"/>
  <c r="H4863" i="2"/>
  <c r="I4863" i="2" s="1"/>
  <c r="H4864" i="2"/>
  <c r="I4864" i="2" s="1"/>
  <c r="H4865" i="2"/>
  <c r="I4865" i="2" s="1"/>
  <c r="H4866" i="2"/>
  <c r="I4866" i="2" s="1"/>
  <c r="H4867" i="2"/>
  <c r="I4867" i="2" s="1"/>
  <c r="H4868" i="2"/>
  <c r="I4868" i="2" s="1"/>
  <c r="H4869" i="2"/>
  <c r="I4869" i="2" s="1"/>
  <c r="H4870" i="2"/>
  <c r="I4870" i="2" s="1"/>
  <c r="H4871" i="2"/>
  <c r="I4871" i="2" s="1"/>
  <c r="H4872" i="2"/>
  <c r="I4872" i="2" s="1"/>
  <c r="H4873" i="2"/>
  <c r="I4873" i="2" s="1"/>
  <c r="H4874" i="2"/>
  <c r="I4874" i="2" s="1"/>
  <c r="H4875" i="2"/>
  <c r="I4875" i="2" s="1"/>
  <c r="H4876" i="2"/>
  <c r="I4876" i="2" s="1"/>
  <c r="H4877" i="2"/>
  <c r="I4877" i="2" s="1"/>
  <c r="H4878" i="2"/>
  <c r="I4878" i="2" s="1"/>
  <c r="H4879" i="2"/>
  <c r="I4879" i="2" s="1"/>
  <c r="H4880" i="2"/>
  <c r="I4880" i="2" s="1"/>
  <c r="H4881" i="2"/>
  <c r="I4881" i="2" s="1"/>
  <c r="H4882" i="2"/>
  <c r="I4882" i="2" s="1"/>
  <c r="H4883" i="2"/>
  <c r="I4883" i="2" s="1"/>
  <c r="H4884" i="2"/>
  <c r="I4884" i="2" s="1"/>
  <c r="H4885" i="2"/>
  <c r="I4885" i="2" s="1"/>
  <c r="H4886" i="2"/>
  <c r="I4886" i="2" s="1"/>
  <c r="H4887" i="2"/>
  <c r="I4887" i="2" s="1"/>
  <c r="H4888" i="2"/>
  <c r="I4888" i="2" s="1"/>
  <c r="H4889" i="2"/>
  <c r="I4889" i="2" s="1"/>
  <c r="H4890" i="2"/>
  <c r="I4890" i="2" s="1"/>
  <c r="H4891" i="2"/>
  <c r="I4891" i="2" s="1"/>
  <c r="H4892" i="2"/>
  <c r="I4892" i="2" s="1"/>
  <c r="H4893" i="2"/>
  <c r="I4893" i="2" s="1"/>
  <c r="H4894" i="2"/>
  <c r="I4894" i="2" s="1"/>
  <c r="H4895" i="2"/>
  <c r="I4895" i="2" s="1"/>
  <c r="H4896" i="2"/>
  <c r="I4896" i="2" s="1"/>
  <c r="H4897" i="2"/>
  <c r="I4897" i="2" s="1"/>
  <c r="H4898" i="2"/>
  <c r="I4898" i="2" s="1"/>
  <c r="H4899" i="2"/>
  <c r="I4899" i="2" s="1"/>
  <c r="H4900" i="2"/>
  <c r="I4900" i="2" s="1"/>
  <c r="H4901" i="2"/>
  <c r="I4901" i="2" s="1"/>
  <c r="H4902" i="2"/>
  <c r="I4902" i="2" s="1"/>
  <c r="H4903" i="2"/>
  <c r="I4903" i="2" s="1"/>
  <c r="H4904" i="2"/>
  <c r="I4904" i="2" s="1"/>
  <c r="H4905" i="2"/>
  <c r="I4905" i="2" s="1"/>
  <c r="H4906" i="2"/>
  <c r="I4906" i="2" s="1"/>
  <c r="H4907" i="2"/>
  <c r="I4907" i="2" s="1"/>
  <c r="H4908" i="2"/>
  <c r="I4908" i="2" s="1"/>
  <c r="H4909" i="2"/>
  <c r="I4909" i="2" s="1"/>
  <c r="H4910" i="2"/>
  <c r="I4910" i="2" s="1"/>
  <c r="H4911" i="2"/>
  <c r="I4911" i="2" s="1"/>
  <c r="H4912" i="2"/>
  <c r="I4912" i="2" s="1"/>
  <c r="H4913" i="2"/>
  <c r="I4913" i="2" s="1"/>
  <c r="H4914" i="2"/>
  <c r="I4914" i="2" s="1"/>
  <c r="H4915" i="2"/>
  <c r="I4915" i="2" s="1"/>
  <c r="H4916" i="2"/>
  <c r="I4916" i="2" s="1"/>
  <c r="H4917" i="2"/>
  <c r="I4917" i="2" s="1"/>
  <c r="H4918" i="2"/>
  <c r="I4918" i="2" s="1"/>
  <c r="H4919" i="2"/>
  <c r="I4919" i="2" s="1"/>
  <c r="H4920" i="2"/>
  <c r="I4920" i="2" s="1"/>
  <c r="H4921" i="2"/>
  <c r="I4921" i="2" s="1"/>
  <c r="H4922" i="2"/>
  <c r="I4922" i="2" s="1"/>
  <c r="H4923" i="2"/>
  <c r="I4923" i="2" s="1"/>
  <c r="H4924" i="2"/>
  <c r="I4924" i="2" s="1"/>
  <c r="H4925" i="2"/>
  <c r="I4925" i="2" s="1"/>
  <c r="H4926" i="2"/>
  <c r="I4926" i="2" s="1"/>
  <c r="H4927" i="2"/>
  <c r="I4927" i="2" s="1"/>
  <c r="H4928" i="2"/>
  <c r="I4928" i="2" s="1"/>
  <c r="H4929" i="2"/>
  <c r="I4929" i="2" s="1"/>
  <c r="H4930" i="2"/>
  <c r="I4930" i="2" s="1"/>
  <c r="H4931" i="2"/>
  <c r="I4931" i="2" s="1"/>
  <c r="H4932" i="2"/>
  <c r="I4932" i="2" s="1"/>
  <c r="H4933" i="2"/>
  <c r="I4933" i="2" s="1"/>
  <c r="H4934" i="2"/>
  <c r="I4934" i="2" s="1"/>
  <c r="H4935" i="2"/>
  <c r="I4935" i="2" s="1"/>
  <c r="H4936" i="2"/>
  <c r="I4936" i="2" s="1"/>
  <c r="H4937" i="2"/>
  <c r="I4937" i="2" s="1"/>
  <c r="H4938" i="2"/>
  <c r="I4938" i="2" s="1"/>
  <c r="H4939" i="2"/>
  <c r="I4939" i="2" s="1"/>
  <c r="H4940" i="2"/>
  <c r="I4940" i="2" s="1"/>
  <c r="H4941" i="2"/>
  <c r="I4941" i="2" s="1"/>
  <c r="H4942" i="2"/>
  <c r="I4942" i="2" s="1"/>
  <c r="H4943" i="2"/>
  <c r="I4943" i="2" s="1"/>
  <c r="H4944" i="2"/>
  <c r="I4944" i="2" s="1"/>
  <c r="H4945" i="2"/>
  <c r="I4945" i="2" s="1"/>
  <c r="H4946" i="2"/>
  <c r="I4946" i="2" s="1"/>
  <c r="H4947" i="2"/>
  <c r="I4947" i="2" s="1"/>
  <c r="H4948" i="2"/>
  <c r="I4948" i="2" s="1"/>
  <c r="H4949" i="2"/>
  <c r="I4949" i="2" s="1"/>
  <c r="H4950" i="2"/>
  <c r="I4950" i="2" s="1"/>
  <c r="H4951" i="2"/>
  <c r="I4951" i="2" s="1"/>
  <c r="H4952" i="2"/>
  <c r="I4952" i="2" s="1"/>
  <c r="H4953" i="2"/>
  <c r="I4953" i="2" s="1"/>
  <c r="H4954" i="2"/>
  <c r="I4954" i="2" s="1"/>
  <c r="H4955" i="2"/>
  <c r="I4955" i="2" s="1"/>
  <c r="H4956" i="2"/>
  <c r="I4956" i="2" s="1"/>
  <c r="H4957" i="2"/>
  <c r="I4957" i="2" s="1"/>
  <c r="H4958" i="2"/>
  <c r="I4958" i="2" s="1"/>
  <c r="H4959" i="2"/>
  <c r="I4959" i="2" s="1"/>
  <c r="H4960" i="2"/>
  <c r="I4960" i="2" s="1"/>
  <c r="H4961" i="2"/>
  <c r="I4961" i="2" s="1"/>
  <c r="H4962" i="2"/>
  <c r="I4962" i="2" s="1"/>
  <c r="H4963" i="2"/>
  <c r="I4963" i="2" s="1"/>
  <c r="H4964" i="2"/>
  <c r="I4964" i="2" s="1"/>
  <c r="H4965" i="2"/>
  <c r="I4965" i="2" s="1"/>
  <c r="H4966" i="2"/>
  <c r="I4966" i="2" s="1"/>
  <c r="H4967" i="2"/>
  <c r="I4967" i="2" s="1"/>
  <c r="H4968" i="2"/>
  <c r="I4968" i="2" s="1"/>
  <c r="H4969" i="2"/>
  <c r="I4969" i="2" s="1"/>
  <c r="H4970" i="2"/>
  <c r="I4970" i="2" s="1"/>
  <c r="H4971" i="2"/>
  <c r="I4971" i="2" s="1"/>
  <c r="H4972" i="2"/>
  <c r="I4972" i="2" s="1"/>
  <c r="H4973" i="2"/>
  <c r="I4973" i="2" s="1"/>
  <c r="H4974" i="2"/>
  <c r="I4974" i="2" s="1"/>
  <c r="H4975" i="2"/>
  <c r="I4975" i="2" s="1"/>
  <c r="H4976" i="2"/>
  <c r="I4976" i="2" s="1"/>
  <c r="H4977" i="2"/>
  <c r="I4977" i="2" s="1"/>
  <c r="H4978" i="2"/>
  <c r="I4978" i="2" s="1"/>
  <c r="H4979" i="2"/>
  <c r="I4979" i="2" s="1"/>
  <c r="H4980" i="2"/>
  <c r="I4980" i="2" s="1"/>
  <c r="H4981" i="2"/>
  <c r="I4981" i="2" s="1"/>
  <c r="H4982" i="2"/>
  <c r="I4982" i="2" s="1"/>
  <c r="H4983" i="2"/>
  <c r="I4983" i="2" s="1"/>
  <c r="H4984" i="2"/>
  <c r="I4984" i="2" s="1"/>
  <c r="H4985" i="2"/>
  <c r="I4985" i="2" s="1"/>
  <c r="H4986" i="2"/>
  <c r="I4986" i="2" s="1"/>
  <c r="H4987" i="2"/>
  <c r="I4987" i="2" s="1"/>
  <c r="H4988" i="2"/>
  <c r="I4988" i="2" s="1"/>
  <c r="H4989" i="2"/>
  <c r="I4989" i="2" s="1"/>
  <c r="H4990" i="2"/>
  <c r="I4990" i="2" s="1"/>
  <c r="H4991" i="2"/>
  <c r="I4991" i="2" s="1"/>
  <c r="H4992" i="2"/>
  <c r="I4992" i="2" s="1"/>
  <c r="H4993" i="2"/>
  <c r="I4993" i="2" s="1"/>
  <c r="H4994" i="2"/>
  <c r="I4994" i="2" s="1"/>
  <c r="H4995" i="2"/>
  <c r="I4995" i="2" s="1"/>
  <c r="H4996" i="2"/>
  <c r="I4996" i="2" s="1"/>
  <c r="H4997" i="2"/>
  <c r="I4997" i="2" s="1"/>
  <c r="H4998" i="2"/>
  <c r="I4998" i="2" s="1"/>
  <c r="H4999" i="2"/>
  <c r="I4999" i="2" s="1"/>
  <c r="H5000" i="2"/>
  <c r="I5000" i="2" s="1"/>
  <c r="H5001" i="2"/>
  <c r="I5001" i="2" s="1"/>
  <c r="H5002" i="2"/>
  <c r="I5002" i="2" s="1"/>
  <c r="H5003" i="2"/>
  <c r="I5003" i="2" s="1"/>
  <c r="H5004" i="2"/>
  <c r="I5004" i="2" s="1"/>
  <c r="H5005" i="2"/>
  <c r="I5005" i="2" s="1"/>
  <c r="H5006" i="2"/>
  <c r="I5006" i="2" s="1"/>
  <c r="H5007" i="2"/>
  <c r="I5007" i="2" s="1"/>
  <c r="H5008" i="2"/>
  <c r="I5008" i="2" s="1"/>
  <c r="H5009" i="2"/>
  <c r="I5009" i="2" s="1"/>
  <c r="H5010" i="2"/>
  <c r="I5010" i="2" s="1"/>
  <c r="H5011" i="2"/>
  <c r="I5011" i="2" s="1"/>
  <c r="H5012" i="2"/>
  <c r="I5012" i="2" s="1"/>
  <c r="H5013" i="2"/>
  <c r="I5013" i="2" s="1"/>
  <c r="H5014" i="2"/>
  <c r="I5014" i="2" s="1"/>
  <c r="H5015" i="2"/>
  <c r="I5015" i="2" s="1"/>
  <c r="H5016" i="2"/>
  <c r="I5016" i="2" s="1"/>
  <c r="H5017" i="2"/>
  <c r="I5017" i="2" s="1"/>
  <c r="H5018" i="2"/>
  <c r="I5018" i="2" s="1"/>
  <c r="H5019" i="2"/>
  <c r="I5019" i="2" s="1"/>
  <c r="H5020" i="2"/>
  <c r="I5020" i="2" s="1"/>
  <c r="H5021" i="2"/>
  <c r="I5021" i="2" s="1"/>
  <c r="H5022" i="2"/>
  <c r="I5022" i="2" s="1"/>
  <c r="H5023" i="2"/>
  <c r="I5023" i="2" s="1"/>
  <c r="H5024" i="2"/>
  <c r="I5024" i="2" s="1"/>
  <c r="H5025" i="2"/>
  <c r="I5025" i="2" s="1"/>
  <c r="H5026" i="2"/>
  <c r="I5026" i="2" s="1"/>
  <c r="H5027" i="2"/>
  <c r="I5027" i="2" s="1"/>
  <c r="H5028" i="2"/>
  <c r="I5028" i="2" s="1"/>
  <c r="H5029" i="2"/>
  <c r="I5029" i="2" s="1"/>
  <c r="H5030" i="2"/>
  <c r="I5030" i="2" s="1"/>
  <c r="H5031" i="2"/>
  <c r="I5031" i="2" s="1"/>
  <c r="H5032" i="2"/>
  <c r="I5032" i="2" s="1"/>
  <c r="H5033" i="2"/>
  <c r="I5033" i="2" s="1"/>
  <c r="H5034" i="2"/>
  <c r="I5034" i="2" s="1"/>
  <c r="H5035" i="2"/>
  <c r="I5035" i="2" s="1"/>
  <c r="H5036" i="2"/>
  <c r="I5036" i="2" s="1"/>
  <c r="H5037" i="2"/>
  <c r="I5037" i="2" s="1"/>
  <c r="H5038" i="2"/>
  <c r="I5038" i="2" s="1"/>
  <c r="H5039" i="2"/>
  <c r="I5039" i="2" s="1"/>
  <c r="H5040" i="2"/>
  <c r="I5040" i="2" s="1"/>
  <c r="H5041" i="2"/>
  <c r="I5041" i="2" s="1"/>
  <c r="H5042" i="2"/>
  <c r="I5042" i="2" s="1"/>
  <c r="H5043" i="2"/>
  <c r="I5043" i="2" s="1"/>
  <c r="H5044" i="2"/>
  <c r="I5044" i="2" s="1"/>
  <c r="H5045" i="2"/>
  <c r="I5045" i="2" s="1"/>
  <c r="H5046" i="2"/>
  <c r="I5046" i="2" s="1"/>
  <c r="H5047" i="2"/>
  <c r="I5047" i="2" s="1"/>
  <c r="H5048" i="2"/>
  <c r="I5048" i="2" s="1"/>
  <c r="H5049" i="2"/>
  <c r="I5049" i="2" s="1"/>
  <c r="H5050" i="2"/>
  <c r="I5050" i="2" s="1"/>
  <c r="H5051" i="2"/>
  <c r="I5051" i="2" s="1"/>
  <c r="H5052" i="2"/>
  <c r="I5052" i="2" s="1"/>
  <c r="H5053" i="2"/>
  <c r="I5053" i="2" s="1"/>
  <c r="H5054" i="2"/>
  <c r="I5054" i="2" s="1"/>
  <c r="H5055" i="2"/>
  <c r="I5055" i="2" s="1"/>
  <c r="H5056" i="2"/>
  <c r="I5056" i="2" s="1"/>
  <c r="H5057" i="2"/>
  <c r="I5057" i="2" s="1"/>
  <c r="H5058" i="2"/>
  <c r="I5058" i="2" s="1"/>
  <c r="H5059" i="2"/>
  <c r="I5059" i="2" s="1"/>
  <c r="H5060" i="2"/>
  <c r="I5060" i="2" s="1"/>
  <c r="H5061" i="2"/>
  <c r="I5061" i="2" s="1"/>
  <c r="H5062" i="2"/>
  <c r="I5062" i="2" s="1"/>
  <c r="H5063" i="2"/>
  <c r="I5063" i="2" s="1"/>
  <c r="H5064" i="2"/>
  <c r="I5064" i="2" s="1"/>
  <c r="H5065" i="2"/>
  <c r="I5065" i="2" s="1"/>
  <c r="H5066" i="2"/>
  <c r="I5066" i="2" s="1"/>
  <c r="H5067" i="2"/>
  <c r="I5067" i="2" s="1"/>
  <c r="H5068" i="2"/>
  <c r="I5068" i="2" s="1"/>
  <c r="H5069" i="2"/>
  <c r="I5069" i="2" s="1"/>
  <c r="H5070" i="2"/>
  <c r="I5070" i="2" s="1"/>
  <c r="H5071" i="2"/>
  <c r="I5071" i="2" s="1"/>
  <c r="H5072" i="2"/>
  <c r="I5072" i="2" s="1"/>
  <c r="H5073" i="2"/>
  <c r="I5073" i="2" s="1"/>
  <c r="H5074" i="2"/>
  <c r="I5074" i="2" s="1"/>
  <c r="H5075" i="2"/>
  <c r="I5075" i="2" s="1"/>
  <c r="H5076" i="2"/>
  <c r="I5076" i="2" s="1"/>
  <c r="H5077" i="2"/>
  <c r="I5077" i="2" s="1"/>
  <c r="H5078" i="2"/>
  <c r="I5078" i="2" s="1"/>
  <c r="H5079" i="2"/>
  <c r="I5079" i="2" s="1"/>
  <c r="H5080" i="2"/>
  <c r="I5080" i="2" s="1"/>
  <c r="H5081" i="2"/>
  <c r="I5081" i="2" s="1"/>
  <c r="H5082" i="2"/>
  <c r="I5082" i="2" s="1"/>
  <c r="H5083" i="2"/>
  <c r="I5083" i="2" s="1"/>
  <c r="H5084" i="2"/>
  <c r="I5084" i="2" s="1"/>
  <c r="H5085" i="2"/>
  <c r="I5085" i="2" s="1"/>
  <c r="H5086" i="2"/>
  <c r="I5086" i="2" s="1"/>
  <c r="H5087" i="2"/>
  <c r="I5087" i="2" s="1"/>
  <c r="H5088" i="2"/>
  <c r="I5088" i="2" s="1"/>
  <c r="H5089" i="2"/>
  <c r="I5089" i="2" s="1"/>
  <c r="H5090" i="2"/>
  <c r="I5090" i="2" s="1"/>
  <c r="H5091" i="2"/>
  <c r="I5091" i="2" s="1"/>
  <c r="H5092" i="2"/>
  <c r="I5092" i="2" s="1"/>
  <c r="H5093" i="2"/>
  <c r="I5093" i="2" s="1"/>
  <c r="H5094" i="2"/>
  <c r="I5094" i="2" s="1"/>
  <c r="H5095" i="2"/>
  <c r="I5095" i="2" s="1"/>
  <c r="H5096" i="2"/>
  <c r="I5096" i="2" s="1"/>
  <c r="H5097" i="2"/>
  <c r="I5097" i="2" s="1"/>
  <c r="H5098" i="2"/>
  <c r="I5098" i="2" s="1"/>
  <c r="H5099" i="2"/>
  <c r="I5099" i="2" s="1"/>
  <c r="H5100" i="2"/>
  <c r="I5100" i="2" s="1"/>
  <c r="H5101" i="2"/>
  <c r="I5101" i="2" s="1"/>
  <c r="H5102" i="2"/>
  <c r="I5102" i="2" s="1"/>
  <c r="H5103" i="2"/>
  <c r="I5103" i="2" s="1"/>
  <c r="H5104" i="2"/>
  <c r="I5104" i="2" s="1"/>
  <c r="H5105" i="2"/>
  <c r="I5105" i="2" s="1"/>
  <c r="H5106" i="2"/>
  <c r="I5106" i="2" s="1"/>
  <c r="H5107" i="2"/>
  <c r="I5107" i="2" s="1"/>
  <c r="H5108" i="2"/>
  <c r="I5108" i="2" s="1"/>
  <c r="H5109" i="2"/>
  <c r="I5109" i="2" s="1"/>
  <c r="H5110" i="2"/>
  <c r="I5110" i="2" s="1"/>
  <c r="H5111" i="2"/>
  <c r="I5111" i="2" s="1"/>
  <c r="H5112" i="2"/>
  <c r="I5112" i="2" s="1"/>
  <c r="H5113" i="2"/>
  <c r="I5113" i="2" s="1"/>
  <c r="H5114" i="2"/>
  <c r="I5114" i="2" s="1"/>
  <c r="H5115" i="2"/>
  <c r="I5115" i="2" s="1"/>
  <c r="H5116" i="2"/>
  <c r="I5116" i="2" s="1"/>
  <c r="H5117" i="2"/>
  <c r="I5117" i="2" s="1"/>
  <c r="H5118" i="2"/>
  <c r="I5118" i="2" s="1"/>
  <c r="H5119" i="2"/>
  <c r="I5119" i="2" s="1"/>
  <c r="H5120" i="2"/>
  <c r="I5120" i="2" s="1"/>
  <c r="H5121" i="2"/>
  <c r="I5121" i="2" s="1"/>
  <c r="H5122" i="2"/>
  <c r="I5122" i="2" s="1"/>
  <c r="H5123" i="2"/>
  <c r="I5123" i="2" s="1"/>
  <c r="H5124" i="2"/>
  <c r="I5124" i="2" s="1"/>
  <c r="H5125" i="2"/>
  <c r="I5125" i="2" s="1"/>
  <c r="H5126" i="2"/>
  <c r="I5126" i="2" s="1"/>
  <c r="H5127" i="2"/>
  <c r="I5127" i="2" s="1"/>
  <c r="H5128" i="2"/>
  <c r="I5128" i="2" s="1"/>
  <c r="H5129" i="2"/>
  <c r="I5129" i="2" s="1"/>
  <c r="H5130" i="2"/>
  <c r="I5130" i="2" s="1"/>
  <c r="H5131" i="2"/>
  <c r="I5131" i="2" s="1"/>
  <c r="H5132" i="2"/>
  <c r="I5132" i="2" s="1"/>
  <c r="H5133" i="2"/>
  <c r="I5133" i="2" s="1"/>
  <c r="H5134" i="2"/>
  <c r="I5134" i="2" s="1"/>
  <c r="H5135" i="2"/>
  <c r="I5135" i="2" s="1"/>
  <c r="H5136" i="2"/>
  <c r="I5136" i="2" s="1"/>
  <c r="H5137" i="2"/>
  <c r="I5137" i="2" s="1"/>
  <c r="H5138" i="2"/>
  <c r="I5138" i="2" s="1"/>
  <c r="H5139" i="2"/>
  <c r="I5139" i="2" s="1"/>
  <c r="H5140" i="2"/>
  <c r="I5140" i="2" s="1"/>
  <c r="H5141" i="2"/>
  <c r="I5141" i="2" s="1"/>
  <c r="H5142" i="2"/>
  <c r="I5142" i="2" s="1"/>
  <c r="H5143" i="2"/>
  <c r="I5143" i="2" s="1"/>
  <c r="H5144" i="2"/>
  <c r="I5144" i="2" s="1"/>
  <c r="H5145" i="2"/>
  <c r="I5145" i="2" s="1"/>
  <c r="H5146" i="2"/>
  <c r="I5146" i="2" s="1"/>
  <c r="H5147" i="2"/>
  <c r="I5147" i="2" s="1"/>
  <c r="H5148" i="2"/>
  <c r="I5148" i="2" s="1"/>
  <c r="H5149" i="2"/>
  <c r="I5149" i="2" s="1"/>
  <c r="H5150" i="2"/>
  <c r="I5150" i="2" s="1"/>
  <c r="H5151" i="2"/>
  <c r="I5151" i="2" s="1"/>
  <c r="H5152" i="2"/>
  <c r="I5152" i="2" s="1"/>
  <c r="H5153" i="2"/>
  <c r="I5153" i="2" s="1"/>
  <c r="H5154" i="2"/>
  <c r="I5154" i="2" s="1"/>
  <c r="H5155" i="2"/>
  <c r="I5155" i="2" s="1"/>
  <c r="H5156" i="2"/>
  <c r="I5156" i="2" s="1"/>
  <c r="H5157" i="2"/>
  <c r="I5157" i="2" s="1"/>
  <c r="H5158" i="2"/>
  <c r="I5158" i="2" s="1"/>
  <c r="H5159" i="2"/>
  <c r="I5159" i="2" s="1"/>
  <c r="H5160" i="2"/>
  <c r="I5160" i="2" s="1"/>
  <c r="H5161" i="2"/>
  <c r="I5161" i="2" s="1"/>
  <c r="H5162" i="2"/>
  <c r="I5162" i="2" s="1"/>
  <c r="H5163" i="2"/>
  <c r="I5163" i="2" s="1"/>
  <c r="H5164" i="2"/>
  <c r="I5164" i="2" s="1"/>
  <c r="H5165" i="2"/>
  <c r="I5165" i="2" s="1"/>
  <c r="H5166" i="2"/>
  <c r="I5166" i="2" s="1"/>
  <c r="H5167" i="2"/>
  <c r="I5167" i="2" s="1"/>
  <c r="H5168" i="2"/>
  <c r="I5168" i="2" s="1"/>
  <c r="H5169" i="2"/>
  <c r="I5169" i="2" s="1"/>
  <c r="H5170" i="2"/>
  <c r="I5170" i="2" s="1"/>
  <c r="H5171" i="2"/>
  <c r="I5171" i="2" s="1"/>
  <c r="H5172" i="2"/>
  <c r="I5172" i="2" s="1"/>
  <c r="H5173" i="2"/>
  <c r="I5173" i="2" s="1"/>
  <c r="H5174" i="2"/>
  <c r="I5174" i="2" s="1"/>
  <c r="H5175" i="2"/>
  <c r="I5175" i="2" s="1"/>
  <c r="H5176" i="2"/>
  <c r="I5176" i="2" s="1"/>
  <c r="H5177" i="2"/>
  <c r="I5177" i="2" s="1"/>
  <c r="H5178" i="2"/>
  <c r="I5178" i="2" s="1"/>
  <c r="H5179" i="2"/>
  <c r="I5179" i="2" s="1"/>
  <c r="H5180" i="2"/>
  <c r="I5180" i="2" s="1"/>
  <c r="H5181" i="2"/>
  <c r="I5181" i="2" s="1"/>
  <c r="H5182" i="2"/>
  <c r="I5182" i="2" s="1"/>
  <c r="H5183" i="2"/>
  <c r="I5183" i="2" s="1"/>
  <c r="H5184" i="2"/>
  <c r="I5184" i="2" s="1"/>
  <c r="H5185" i="2"/>
  <c r="I5185" i="2" s="1"/>
  <c r="H5186" i="2"/>
  <c r="I5186" i="2" s="1"/>
  <c r="H5187" i="2"/>
  <c r="I5187" i="2" s="1"/>
  <c r="H5188" i="2"/>
  <c r="I5188" i="2" s="1"/>
  <c r="H5189" i="2"/>
  <c r="I5189" i="2" s="1"/>
  <c r="H5190" i="2"/>
  <c r="I5190" i="2" s="1"/>
  <c r="H5191" i="2"/>
  <c r="I5191" i="2" s="1"/>
  <c r="H5192" i="2"/>
  <c r="I5192" i="2" s="1"/>
  <c r="H5193" i="2"/>
  <c r="I5193" i="2" s="1"/>
  <c r="H5194" i="2"/>
  <c r="I5194" i="2" s="1"/>
  <c r="H5195" i="2"/>
  <c r="I5195" i="2" s="1"/>
  <c r="H5196" i="2"/>
  <c r="I5196" i="2" s="1"/>
  <c r="H5197" i="2"/>
  <c r="I5197" i="2" s="1"/>
  <c r="H5198" i="2"/>
  <c r="I5198" i="2" s="1"/>
  <c r="H5199" i="2"/>
  <c r="I5199" i="2" s="1"/>
  <c r="H5200" i="2"/>
  <c r="I5200" i="2" s="1"/>
  <c r="H5201" i="2"/>
  <c r="I5201" i="2" s="1"/>
  <c r="H5202" i="2"/>
  <c r="I5202" i="2" s="1"/>
  <c r="H5203" i="2"/>
  <c r="I5203" i="2" s="1"/>
  <c r="H5204" i="2"/>
  <c r="I5204" i="2" s="1"/>
  <c r="H5205" i="2"/>
  <c r="I5205" i="2" s="1"/>
  <c r="H5206" i="2"/>
  <c r="I5206" i="2" s="1"/>
  <c r="H5207" i="2"/>
  <c r="I5207" i="2" s="1"/>
  <c r="H5208" i="2"/>
  <c r="I5208" i="2" s="1"/>
  <c r="H5209" i="2"/>
  <c r="I5209" i="2" s="1"/>
  <c r="H5210" i="2"/>
  <c r="I5210" i="2" s="1"/>
  <c r="H5211" i="2"/>
  <c r="I5211" i="2" s="1"/>
  <c r="H5212" i="2"/>
  <c r="I5212" i="2" s="1"/>
  <c r="H5213" i="2"/>
  <c r="I5213" i="2" s="1"/>
  <c r="H5214" i="2"/>
  <c r="I5214" i="2" s="1"/>
  <c r="H5215" i="2"/>
  <c r="I5215" i="2" s="1"/>
  <c r="H5216" i="2"/>
  <c r="I5216" i="2" s="1"/>
  <c r="H5217" i="2"/>
  <c r="I5217" i="2" s="1"/>
  <c r="H5218" i="2"/>
  <c r="I5218" i="2" s="1"/>
  <c r="H5219" i="2"/>
  <c r="I5219" i="2" s="1"/>
  <c r="H5220" i="2"/>
  <c r="I5220" i="2" s="1"/>
  <c r="H5221" i="2"/>
  <c r="I5221" i="2" s="1"/>
  <c r="H5222" i="2"/>
  <c r="I5222" i="2" s="1"/>
  <c r="H5223" i="2"/>
  <c r="I5223" i="2" s="1"/>
  <c r="H5224" i="2"/>
  <c r="I5224" i="2" s="1"/>
  <c r="H5225" i="2"/>
  <c r="I5225" i="2" s="1"/>
  <c r="H5226" i="2"/>
  <c r="I5226" i="2" s="1"/>
  <c r="H5227" i="2"/>
  <c r="I5227" i="2" s="1"/>
  <c r="H5228" i="2"/>
  <c r="I5228" i="2" s="1"/>
  <c r="H5229" i="2"/>
  <c r="I5229" i="2" s="1"/>
  <c r="H5230" i="2"/>
  <c r="I5230" i="2" s="1"/>
  <c r="H5231" i="2"/>
  <c r="I5231" i="2" s="1"/>
  <c r="H5232" i="2"/>
  <c r="I5232" i="2" s="1"/>
  <c r="H5233" i="2"/>
  <c r="I5233" i="2" s="1"/>
  <c r="H5234" i="2"/>
  <c r="I5234" i="2" s="1"/>
  <c r="H5235" i="2"/>
  <c r="I5235" i="2" s="1"/>
  <c r="H5236" i="2"/>
  <c r="I5236" i="2" s="1"/>
  <c r="H5237" i="2"/>
  <c r="I5237" i="2" s="1"/>
  <c r="H5238" i="2"/>
  <c r="I5238" i="2" s="1"/>
  <c r="H5239" i="2"/>
  <c r="I5239" i="2" s="1"/>
  <c r="H5240" i="2"/>
  <c r="I5240" i="2" s="1"/>
  <c r="H5241" i="2"/>
  <c r="I5241" i="2" s="1"/>
  <c r="H5242" i="2"/>
  <c r="I5242" i="2" s="1"/>
  <c r="H5243" i="2"/>
  <c r="I5243" i="2" s="1"/>
  <c r="H5244" i="2"/>
  <c r="I5244" i="2" s="1"/>
  <c r="H5245" i="2"/>
  <c r="I5245" i="2" s="1"/>
  <c r="H5246" i="2"/>
  <c r="I5246" i="2" s="1"/>
  <c r="H5247" i="2"/>
  <c r="I5247" i="2" s="1"/>
  <c r="H5248" i="2"/>
  <c r="I5248" i="2" s="1"/>
  <c r="H5249" i="2"/>
  <c r="I5249" i="2" s="1"/>
  <c r="H5250" i="2"/>
  <c r="I5250" i="2" s="1"/>
  <c r="H5251" i="2"/>
  <c r="I5251" i="2" s="1"/>
  <c r="H5252" i="2"/>
  <c r="I5252" i="2" s="1"/>
  <c r="H5253" i="2"/>
  <c r="I5253" i="2" s="1"/>
  <c r="H5254" i="2"/>
  <c r="I5254" i="2" s="1"/>
  <c r="H5255" i="2"/>
  <c r="I5255" i="2" s="1"/>
  <c r="H5256" i="2"/>
  <c r="I5256" i="2" s="1"/>
  <c r="H5257" i="2"/>
  <c r="I5257" i="2" s="1"/>
  <c r="H5258" i="2"/>
  <c r="I5258" i="2" s="1"/>
  <c r="H5259" i="2"/>
  <c r="I5259" i="2" s="1"/>
  <c r="H5260" i="2"/>
  <c r="I5260" i="2" s="1"/>
  <c r="H5261" i="2"/>
  <c r="I5261" i="2" s="1"/>
  <c r="H5262" i="2"/>
  <c r="I5262" i="2" s="1"/>
  <c r="H5263" i="2"/>
  <c r="I5263" i="2" s="1"/>
  <c r="H5264" i="2"/>
  <c r="I5264" i="2" s="1"/>
  <c r="H5265" i="2"/>
  <c r="I5265" i="2" s="1"/>
  <c r="H5266" i="2"/>
  <c r="I5266" i="2" s="1"/>
  <c r="H5267" i="2"/>
  <c r="I5267" i="2" s="1"/>
  <c r="H5268" i="2"/>
  <c r="I5268" i="2" s="1"/>
  <c r="H5269" i="2"/>
  <c r="I5269" i="2" s="1"/>
  <c r="H5270" i="2"/>
  <c r="I5270" i="2" s="1"/>
  <c r="H5271" i="2"/>
  <c r="I5271" i="2" s="1"/>
  <c r="H5272" i="2"/>
  <c r="I5272" i="2" s="1"/>
  <c r="H5273" i="2"/>
  <c r="I5273" i="2" s="1"/>
  <c r="H5274" i="2"/>
  <c r="I5274" i="2" s="1"/>
  <c r="H5275" i="2"/>
  <c r="I5275" i="2" s="1"/>
  <c r="H5276" i="2"/>
  <c r="I5276" i="2" s="1"/>
  <c r="H5277" i="2"/>
  <c r="I5277" i="2" s="1"/>
  <c r="H5278" i="2"/>
  <c r="I5278" i="2" s="1"/>
  <c r="H5279" i="2"/>
  <c r="I5279" i="2" s="1"/>
  <c r="H5280" i="2"/>
  <c r="I5280" i="2" s="1"/>
  <c r="H5281" i="2"/>
  <c r="I5281" i="2" s="1"/>
  <c r="H5282" i="2"/>
  <c r="I5282" i="2" s="1"/>
  <c r="H5283" i="2"/>
  <c r="I5283" i="2" s="1"/>
  <c r="H5284" i="2"/>
  <c r="I5284" i="2" s="1"/>
  <c r="H5285" i="2"/>
  <c r="I5285" i="2" s="1"/>
  <c r="H5286" i="2"/>
  <c r="I5286" i="2" s="1"/>
  <c r="H5287" i="2"/>
  <c r="I5287" i="2" s="1"/>
  <c r="H5288" i="2"/>
  <c r="I5288" i="2" s="1"/>
  <c r="H5289" i="2"/>
  <c r="I5289" i="2" s="1"/>
  <c r="H5290" i="2"/>
  <c r="I5290" i="2" s="1"/>
  <c r="H5291" i="2"/>
  <c r="I5291" i="2" s="1"/>
  <c r="H5292" i="2"/>
  <c r="I5292" i="2" s="1"/>
  <c r="H5293" i="2"/>
  <c r="I5293" i="2" s="1"/>
  <c r="H5294" i="2"/>
  <c r="I5294" i="2" s="1"/>
  <c r="H5295" i="2"/>
  <c r="I5295" i="2" s="1"/>
  <c r="H5296" i="2"/>
  <c r="I5296" i="2" s="1"/>
  <c r="H5297" i="2"/>
  <c r="I5297" i="2" s="1"/>
  <c r="H5298" i="2"/>
  <c r="I5298" i="2" s="1"/>
  <c r="H5299" i="2"/>
  <c r="I5299" i="2" s="1"/>
  <c r="H5300" i="2"/>
  <c r="I5300" i="2" s="1"/>
  <c r="H5301" i="2"/>
  <c r="I5301" i="2" s="1"/>
  <c r="H5302" i="2"/>
  <c r="I5302" i="2" s="1"/>
  <c r="H5303" i="2"/>
  <c r="I5303" i="2" s="1"/>
  <c r="H5304" i="2"/>
  <c r="I5304" i="2" s="1"/>
  <c r="H5305" i="2"/>
  <c r="I5305" i="2" s="1"/>
  <c r="H5306" i="2"/>
  <c r="I5306" i="2" s="1"/>
  <c r="H5307" i="2"/>
  <c r="I5307" i="2" s="1"/>
  <c r="H5308" i="2"/>
  <c r="I5308" i="2" s="1"/>
  <c r="H5309" i="2"/>
  <c r="I5309" i="2" s="1"/>
  <c r="H5310" i="2"/>
  <c r="I5310" i="2" s="1"/>
  <c r="H5311" i="2"/>
  <c r="I5311" i="2" s="1"/>
  <c r="H5312" i="2"/>
  <c r="I5312" i="2" s="1"/>
  <c r="H5313" i="2"/>
  <c r="I5313" i="2" s="1"/>
  <c r="H5314" i="2"/>
  <c r="I5314" i="2" s="1"/>
  <c r="H5315" i="2"/>
  <c r="I5315" i="2" s="1"/>
  <c r="H5316" i="2"/>
  <c r="I5316" i="2" s="1"/>
  <c r="H5317" i="2"/>
  <c r="I5317" i="2" s="1"/>
  <c r="H5318" i="2"/>
  <c r="I5318" i="2" s="1"/>
  <c r="H5319" i="2"/>
  <c r="I5319" i="2" s="1"/>
  <c r="H5320" i="2"/>
  <c r="I5320" i="2" s="1"/>
  <c r="H5321" i="2"/>
  <c r="I5321" i="2" s="1"/>
  <c r="H5322" i="2"/>
  <c r="I5322" i="2" s="1"/>
  <c r="H5323" i="2"/>
  <c r="I5323" i="2" s="1"/>
  <c r="H5324" i="2"/>
  <c r="I5324" i="2" s="1"/>
  <c r="H5325" i="2"/>
  <c r="I5325" i="2" s="1"/>
  <c r="H5326" i="2"/>
  <c r="I5326" i="2" s="1"/>
  <c r="H5327" i="2"/>
  <c r="I5327" i="2" s="1"/>
  <c r="H5328" i="2"/>
  <c r="I5328" i="2" s="1"/>
  <c r="H5329" i="2"/>
  <c r="I5329" i="2" s="1"/>
  <c r="H5330" i="2"/>
  <c r="I5330" i="2" s="1"/>
  <c r="H5331" i="2"/>
  <c r="I5331" i="2" s="1"/>
  <c r="H5332" i="2"/>
  <c r="I5332" i="2" s="1"/>
  <c r="H5333" i="2"/>
  <c r="I5333" i="2" s="1"/>
  <c r="H5334" i="2"/>
  <c r="I5334" i="2" s="1"/>
  <c r="H5335" i="2"/>
  <c r="I5335" i="2" s="1"/>
  <c r="H5336" i="2"/>
  <c r="I5336" i="2" s="1"/>
  <c r="H5337" i="2"/>
  <c r="I5337" i="2" s="1"/>
  <c r="H5338" i="2"/>
  <c r="I5338" i="2" s="1"/>
  <c r="H5339" i="2"/>
  <c r="I5339" i="2" s="1"/>
  <c r="H5340" i="2"/>
  <c r="I5340" i="2" s="1"/>
  <c r="H5341" i="2"/>
  <c r="I5341" i="2" s="1"/>
  <c r="H5342" i="2"/>
  <c r="I5342" i="2" s="1"/>
  <c r="H5343" i="2"/>
  <c r="I5343" i="2" s="1"/>
  <c r="H5344" i="2"/>
  <c r="I5344" i="2" s="1"/>
  <c r="H5345" i="2"/>
  <c r="I5345" i="2" s="1"/>
  <c r="H5346" i="2"/>
  <c r="I5346" i="2" s="1"/>
  <c r="H5347" i="2"/>
  <c r="I5347" i="2" s="1"/>
  <c r="H5348" i="2"/>
  <c r="I5348" i="2" s="1"/>
  <c r="H5349" i="2"/>
  <c r="I5349" i="2" s="1"/>
  <c r="H5350" i="2"/>
  <c r="I5350" i="2" s="1"/>
  <c r="H5351" i="2"/>
  <c r="I5351" i="2" s="1"/>
  <c r="H5352" i="2"/>
  <c r="I5352" i="2" s="1"/>
  <c r="H5353" i="2"/>
  <c r="I5353" i="2" s="1"/>
  <c r="H5354" i="2"/>
  <c r="I5354" i="2" s="1"/>
  <c r="H5355" i="2"/>
  <c r="I5355" i="2" s="1"/>
  <c r="H5356" i="2"/>
  <c r="I5356" i="2" s="1"/>
  <c r="H5357" i="2"/>
  <c r="I5357" i="2" s="1"/>
  <c r="H5358" i="2"/>
  <c r="I5358" i="2" s="1"/>
  <c r="H5359" i="2"/>
  <c r="I5359" i="2" s="1"/>
  <c r="H5360" i="2"/>
  <c r="I5360" i="2" s="1"/>
  <c r="H5361" i="2"/>
  <c r="I5361" i="2" s="1"/>
  <c r="H5362" i="2"/>
  <c r="I5362" i="2" s="1"/>
  <c r="H5363" i="2"/>
  <c r="I5363" i="2" s="1"/>
  <c r="H5364" i="2"/>
  <c r="I5364" i="2" s="1"/>
  <c r="H5365" i="2"/>
  <c r="I5365" i="2" s="1"/>
  <c r="H5366" i="2"/>
  <c r="I5366" i="2" s="1"/>
  <c r="H5367" i="2"/>
  <c r="I5367" i="2" s="1"/>
  <c r="H5368" i="2"/>
  <c r="I5368" i="2" s="1"/>
  <c r="H5369" i="2"/>
  <c r="I5369" i="2" s="1"/>
  <c r="H5370" i="2"/>
  <c r="I5370" i="2" s="1"/>
  <c r="H5371" i="2"/>
  <c r="I5371" i="2" s="1"/>
  <c r="H5372" i="2"/>
  <c r="I5372" i="2" s="1"/>
  <c r="H5373" i="2"/>
  <c r="I5373" i="2" s="1"/>
  <c r="H5374" i="2"/>
  <c r="I5374" i="2" s="1"/>
  <c r="H5375" i="2"/>
  <c r="I5375" i="2" s="1"/>
  <c r="H5376" i="2"/>
  <c r="I5376" i="2" s="1"/>
  <c r="H5377" i="2"/>
  <c r="I5377" i="2" s="1"/>
  <c r="H5378" i="2"/>
  <c r="I5378" i="2" s="1"/>
  <c r="H5379" i="2"/>
  <c r="I5379" i="2" s="1"/>
  <c r="H5380" i="2"/>
  <c r="I5380" i="2" s="1"/>
  <c r="H5381" i="2"/>
  <c r="I5381" i="2" s="1"/>
  <c r="H5382" i="2"/>
  <c r="I5382" i="2" s="1"/>
  <c r="H5383" i="2"/>
  <c r="I5383" i="2" s="1"/>
  <c r="H5384" i="2"/>
  <c r="I5384" i="2" s="1"/>
  <c r="H5385" i="2"/>
  <c r="I5385" i="2" s="1"/>
  <c r="H5386" i="2"/>
  <c r="I5386" i="2" s="1"/>
  <c r="H5387" i="2"/>
  <c r="I5387" i="2" s="1"/>
  <c r="H5388" i="2"/>
  <c r="I5388" i="2" s="1"/>
  <c r="H5389" i="2"/>
  <c r="I5389" i="2" s="1"/>
  <c r="H5390" i="2"/>
  <c r="I5390" i="2" s="1"/>
  <c r="H5391" i="2"/>
  <c r="I5391" i="2" s="1"/>
  <c r="H5392" i="2"/>
  <c r="I5392" i="2" s="1"/>
  <c r="H5393" i="2"/>
  <c r="I5393" i="2" s="1"/>
  <c r="H5394" i="2"/>
  <c r="I5394" i="2" s="1"/>
  <c r="H5395" i="2"/>
  <c r="I5395" i="2" s="1"/>
  <c r="H5396" i="2"/>
  <c r="I5396" i="2" s="1"/>
  <c r="H5397" i="2"/>
  <c r="I5397" i="2" s="1"/>
  <c r="H5398" i="2"/>
  <c r="I5398" i="2" s="1"/>
  <c r="H5399" i="2"/>
  <c r="I5399" i="2" s="1"/>
  <c r="H5400" i="2"/>
  <c r="I5400" i="2" s="1"/>
  <c r="H5401" i="2"/>
  <c r="I5401" i="2" s="1"/>
  <c r="H5402" i="2"/>
  <c r="I5402" i="2" s="1"/>
  <c r="H5403" i="2"/>
  <c r="I5403" i="2" s="1"/>
  <c r="H5404" i="2"/>
  <c r="I5404" i="2" s="1"/>
  <c r="H5405" i="2"/>
  <c r="I5405" i="2" s="1"/>
  <c r="H5406" i="2"/>
  <c r="I5406" i="2" s="1"/>
  <c r="H5407" i="2"/>
  <c r="I5407" i="2" s="1"/>
  <c r="H5408" i="2"/>
  <c r="I5408" i="2" s="1"/>
  <c r="H5409" i="2"/>
  <c r="I5409" i="2" s="1"/>
  <c r="H5410" i="2"/>
  <c r="I5410" i="2" s="1"/>
  <c r="H5411" i="2"/>
  <c r="I5411" i="2" s="1"/>
  <c r="H5412" i="2"/>
  <c r="I5412" i="2" s="1"/>
  <c r="H5413" i="2"/>
  <c r="I5413" i="2" s="1"/>
  <c r="H5414" i="2"/>
  <c r="I5414" i="2" s="1"/>
  <c r="H5415" i="2"/>
  <c r="I5415" i="2" s="1"/>
  <c r="H5416" i="2"/>
  <c r="I5416" i="2" s="1"/>
  <c r="H5417" i="2"/>
  <c r="I5417" i="2" s="1"/>
  <c r="H5418" i="2"/>
  <c r="I5418" i="2" s="1"/>
  <c r="H5419" i="2"/>
  <c r="I5419" i="2" s="1"/>
  <c r="H5420" i="2"/>
  <c r="I5420" i="2" s="1"/>
  <c r="H5421" i="2"/>
  <c r="I5421" i="2" s="1"/>
  <c r="H5422" i="2"/>
  <c r="I5422" i="2" s="1"/>
  <c r="H5423" i="2"/>
  <c r="I5423" i="2" s="1"/>
  <c r="H5424" i="2"/>
  <c r="I5424" i="2" s="1"/>
  <c r="H5425" i="2"/>
  <c r="I5425" i="2" s="1"/>
  <c r="H5426" i="2"/>
  <c r="I5426" i="2" s="1"/>
  <c r="H5427" i="2"/>
  <c r="I5427" i="2" s="1"/>
  <c r="H5428" i="2"/>
  <c r="I5428" i="2" s="1"/>
  <c r="H5429" i="2"/>
  <c r="I5429" i="2" s="1"/>
  <c r="H5430" i="2"/>
  <c r="I5430" i="2" s="1"/>
  <c r="H5431" i="2"/>
  <c r="I5431" i="2" s="1"/>
  <c r="H5432" i="2"/>
  <c r="I5432" i="2" s="1"/>
  <c r="H5433" i="2"/>
  <c r="I5433" i="2" s="1"/>
  <c r="H5434" i="2"/>
  <c r="I5434" i="2" s="1"/>
  <c r="H5435" i="2"/>
  <c r="I5435" i="2" s="1"/>
  <c r="H5436" i="2"/>
  <c r="I5436" i="2" s="1"/>
  <c r="H5437" i="2"/>
  <c r="I5437" i="2" s="1"/>
  <c r="H5438" i="2"/>
  <c r="I5438" i="2" s="1"/>
  <c r="H5439" i="2"/>
  <c r="I5439" i="2" s="1"/>
  <c r="H5440" i="2"/>
  <c r="I5440" i="2" s="1"/>
  <c r="H5441" i="2"/>
  <c r="I5441" i="2" s="1"/>
  <c r="H5442" i="2"/>
  <c r="I5442" i="2" s="1"/>
  <c r="H5443" i="2"/>
  <c r="I5443" i="2" s="1"/>
  <c r="H5444" i="2"/>
  <c r="I5444" i="2" s="1"/>
  <c r="H5445" i="2"/>
  <c r="I5445" i="2" s="1"/>
  <c r="H5446" i="2"/>
  <c r="I5446" i="2" s="1"/>
  <c r="H5447" i="2"/>
  <c r="I5447" i="2" s="1"/>
  <c r="H5448" i="2"/>
  <c r="I5448" i="2" s="1"/>
  <c r="H5449" i="2"/>
  <c r="I5449" i="2" s="1"/>
  <c r="H5450" i="2"/>
  <c r="I5450" i="2" s="1"/>
  <c r="H5451" i="2"/>
  <c r="I5451" i="2" s="1"/>
  <c r="H5452" i="2"/>
  <c r="I5452" i="2" s="1"/>
  <c r="H5453" i="2"/>
  <c r="I5453" i="2" s="1"/>
  <c r="H5454" i="2"/>
  <c r="I5454" i="2" s="1"/>
  <c r="H5455" i="2"/>
  <c r="I5455" i="2" s="1"/>
  <c r="H5456" i="2"/>
  <c r="I5456" i="2" s="1"/>
  <c r="H5457" i="2"/>
  <c r="I5457" i="2" s="1"/>
  <c r="H5458" i="2"/>
  <c r="I5458" i="2" s="1"/>
  <c r="H5459" i="2"/>
  <c r="I5459" i="2" s="1"/>
  <c r="H5460" i="2"/>
  <c r="I5460" i="2" s="1"/>
  <c r="H5461" i="2"/>
  <c r="I5461" i="2" s="1"/>
  <c r="H5462" i="2"/>
  <c r="I5462" i="2" s="1"/>
  <c r="H5463" i="2"/>
  <c r="I5463" i="2" s="1"/>
  <c r="H5464" i="2"/>
  <c r="I5464" i="2" s="1"/>
  <c r="H5465" i="2"/>
  <c r="I5465" i="2" s="1"/>
  <c r="H5466" i="2"/>
  <c r="I5466" i="2" s="1"/>
  <c r="H5467" i="2"/>
  <c r="I5467" i="2" s="1"/>
  <c r="H5468" i="2"/>
  <c r="I5468" i="2" s="1"/>
  <c r="H5469" i="2"/>
  <c r="I5469" i="2" s="1"/>
  <c r="H5470" i="2"/>
  <c r="I5470" i="2" s="1"/>
  <c r="H5471" i="2"/>
  <c r="I5471" i="2" s="1"/>
  <c r="H5472" i="2"/>
  <c r="I5472" i="2" s="1"/>
  <c r="H5473" i="2"/>
  <c r="I5473" i="2" s="1"/>
  <c r="H5474" i="2"/>
  <c r="I5474" i="2" s="1"/>
  <c r="H5475" i="2"/>
  <c r="I5475" i="2" s="1"/>
  <c r="H5476" i="2"/>
  <c r="I5476" i="2" s="1"/>
  <c r="H5477" i="2"/>
  <c r="I5477" i="2" s="1"/>
  <c r="H5478" i="2"/>
  <c r="I5478" i="2" s="1"/>
  <c r="H5479" i="2"/>
  <c r="I5479" i="2" s="1"/>
  <c r="H5480" i="2"/>
  <c r="I5480" i="2" s="1"/>
  <c r="H5481" i="2"/>
  <c r="I5481" i="2" s="1"/>
  <c r="H5482" i="2"/>
  <c r="I5482" i="2" s="1"/>
  <c r="H5483" i="2"/>
  <c r="I5483" i="2" s="1"/>
  <c r="H5484" i="2"/>
  <c r="I5484" i="2" s="1"/>
  <c r="H5485" i="2"/>
  <c r="I5485" i="2" s="1"/>
  <c r="H5486" i="2"/>
  <c r="I5486" i="2" s="1"/>
  <c r="H5487" i="2"/>
  <c r="I5487" i="2" s="1"/>
  <c r="H5488" i="2"/>
  <c r="I5488" i="2" s="1"/>
  <c r="H5489" i="2"/>
  <c r="I5489" i="2" s="1"/>
  <c r="H5490" i="2"/>
  <c r="I5490" i="2" s="1"/>
  <c r="H5491" i="2"/>
  <c r="I5491" i="2" s="1"/>
  <c r="H5492" i="2"/>
  <c r="I5492" i="2" s="1"/>
  <c r="H5493" i="2"/>
  <c r="I5493" i="2" s="1"/>
  <c r="H5494" i="2"/>
  <c r="I5494" i="2" s="1"/>
  <c r="H5495" i="2"/>
  <c r="I5495" i="2" s="1"/>
  <c r="H5496" i="2"/>
  <c r="I5496" i="2" s="1"/>
  <c r="H5497" i="2"/>
  <c r="I5497" i="2" s="1"/>
  <c r="H5498" i="2"/>
  <c r="I5498" i="2" s="1"/>
  <c r="H5499" i="2"/>
  <c r="I5499" i="2" s="1"/>
  <c r="H5500" i="2"/>
  <c r="I5500" i="2" s="1"/>
  <c r="H5501" i="2"/>
  <c r="I5501" i="2" s="1"/>
  <c r="H5502" i="2"/>
  <c r="I5502" i="2" s="1"/>
  <c r="H5503" i="2"/>
  <c r="I5503" i="2" s="1"/>
  <c r="H5504" i="2"/>
  <c r="I5504" i="2" s="1"/>
  <c r="H5505" i="2"/>
  <c r="I5505" i="2" s="1"/>
  <c r="H5506" i="2"/>
  <c r="I5506" i="2" s="1"/>
  <c r="H5507" i="2"/>
  <c r="I5507" i="2" s="1"/>
  <c r="H5508" i="2"/>
  <c r="I5508" i="2" s="1"/>
  <c r="H5509" i="2"/>
  <c r="I5509" i="2" s="1"/>
  <c r="H5510" i="2"/>
  <c r="I5510" i="2" s="1"/>
  <c r="H5511" i="2"/>
  <c r="I5511" i="2" s="1"/>
  <c r="H5512" i="2"/>
  <c r="I5512" i="2" s="1"/>
  <c r="H5513" i="2"/>
  <c r="I5513" i="2" s="1"/>
  <c r="H5514" i="2"/>
  <c r="I5514" i="2" s="1"/>
  <c r="H5515" i="2"/>
  <c r="I5515" i="2" s="1"/>
  <c r="H5516" i="2"/>
  <c r="I5516" i="2" s="1"/>
  <c r="H5517" i="2"/>
  <c r="I5517" i="2" s="1"/>
  <c r="H5518" i="2"/>
  <c r="I5518" i="2" s="1"/>
  <c r="H5519" i="2"/>
  <c r="I5519" i="2" s="1"/>
  <c r="H5520" i="2"/>
  <c r="I5520" i="2" s="1"/>
  <c r="H5521" i="2"/>
  <c r="I5521" i="2" s="1"/>
  <c r="H5522" i="2"/>
  <c r="I5522" i="2" s="1"/>
  <c r="H5523" i="2"/>
  <c r="I5523" i="2" s="1"/>
  <c r="H5524" i="2"/>
  <c r="I5524" i="2" s="1"/>
  <c r="H5525" i="2"/>
  <c r="I5525" i="2" s="1"/>
  <c r="H5526" i="2"/>
  <c r="I5526" i="2" s="1"/>
  <c r="H5527" i="2"/>
  <c r="I5527" i="2" s="1"/>
  <c r="H5528" i="2"/>
  <c r="I5528" i="2" s="1"/>
  <c r="H5529" i="2"/>
  <c r="I5529" i="2" s="1"/>
  <c r="H5530" i="2"/>
  <c r="I5530" i="2" s="1"/>
  <c r="H5531" i="2"/>
  <c r="I5531" i="2" s="1"/>
  <c r="H5532" i="2"/>
  <c r="I5532" i="2" s="1"/>
  <c r="H5533" i="2"/>
  <c r="I5533" i="2" s="1"/>
  <c r="H5534" i="2"/>
  <c r="I5534" i="2" s="1"/>
  <c r="H5535" i="2"/>
  <c r="I5535" i="2" s="1"/>
  <c r="H5536" i="2"/>
  <c r="I5536" i="2" s="1"/>
  <c r="H5537" i="2"/>
  <c r="I5537" i="2" s="1"/>
  <c r="H5538" i="2"/>
  <c r="I5538" i="2" s="1"/>
  <c r="H5539" i="2"/>
  <c r="I5539" i="2" s="1"/>
  <c r="H5540" i="2"/>
  <c r="I5540" i="2" s="1"/>
  <c r="H5541" i="2"/>
  <c r="I5541" i="2" s="1"/>
  <c r="H5542" i="2"/>
  <c r="I5542" i="2" s="1"/>
  <c r="H5543" i="2"/>
  <c r="I5543" i="2" s="1"/>
  <c r="H5544" i="2"/>
  <c r="I5544" i="2" s="1"/>
  <c r="H5545" i="2"/>
  <c r="I5545" i="2" s="1"/>
  <c r="H5546" i="2"/>
  <c r="I5546" i="2" s="1"/>
  <c r="H5547" i="2"/>
  <c r="I5547" i="2" s="1"/>
  <c r="H5548" i="2"/>
  <c r="I5548" i="2" s="1"/>
  <c r="H5549" i="2"/>
  <c r="I5549" i="2" s="1"/>
  <c r="H5550" i="2"/>
  <c r="I5550" i="2" s="1"/>
  <c r="H5551" i="2"/>
  <c r="I5551" i="2" s="1"/>
  <c r="H5552" i="2"/>
  <c r="I5552" i="2" s="1"/>
  <c r="H5553" i="2"/>
  <c r="I5553" i="2" s="1"/>
  <c r="H5554" i="2"/>
  <c r="I5554" i="2" s="1"/>
  <c r="H5555" i="2"/>
  <c r="I5555" i="2" s="1"/>
  <c r="H5556" i="2"/>
  <c r="I5556" i="2" s="1"/>
  <c r="H5557" i="2"/>
  <c r="I5557" i="2" s="1"/>
  <c r="H5558" i="2"/>
  <c r="I5558" i="2" s="1"/>
  <c r="H5559" i="2"/>
  <c r="I5559" i="2" s="1"/>
  <c r="H5560" i="2"/>
  <c r="I5560" i="2" s="1"/>
  <c r="H5561" i="2"/>
  <c r="I5561" i="2" s="1"/>
  <c r="H5562" i="2"/>
  <c r="I5562" i="2" s="1"/>
  <c r="H5563" i="2"/>
  <c r="I5563" i="2" s="1"/>
  <c r="H5564" i="2"/>
  <c r="I5564" i="2" s="1"/>
  <c r="H5565" i="2"/>
  <c r="I5565" i="2" s="1"/>
  <c r="H5566" i="2"/>
  <c r="I5566" i="2" s="1"/>
  <c r="H5567" i="2"/>
  <c r="I5567" i="2" s="1"/>
  <c r="H5568" i="2"/>
  <c r="I5568" i="2" s="1"/>
  <c r="H5569" i="2"/>
  <c r="I5569" i="2" s="1"/>
  <c r="H5570" i="2"/>
  <c r="I5570" i="2" s="1"/>
  <c r="H5571" i="2"/>
  <c r="I5571" i="2" s="1"/>
  <c r="H5572" i="2"/>
  <c r="I5572" i="2" s="1"/>
  <c r="H5573" i="2"/>
  <c r="I5573" i="2" s="1"/>
  <c r="H5574" i="2"/>
  <c r="I5574" i="2" s="1"/>
  <c r="H5575" i="2"/>
  <c r="I5575" i="2" s="1"/>
  <c r="H5576" i="2"/>
  <c r="I5576" i="2" s="1"/>
  <c r="H5577" i="2"/>
  <c r="I5577" i="2" s="1"/>
  <c r="H5578" i="2"/>
  <c r="I5578" i="2" s="1"/>
  <c r="H5579" i="2"/>
  <c r="I5579" i="2" s="1"/>
  <c r="H5580" i="2"/>
  <c r="I5580" i="2" s="1"/>
  <c r="H5581" i="2"/>
  <c r="I5581" i="2" s="1"/>
  <c r="H5582" i="2"/>
  <c r="I5582" i="2" s="1"/>
  <c r="H5583" i="2"/>
  <c r="I5583" i="2" s="1"/>
  <c r="H5584" i="2"/>
  <c r="I5584" i="2" s="1"/>
  <c r="H5585" i="2"/>
  <c r="I5585" i="2" s="1"/>
  <c r="H5586" i="2"/>
  <c r="I5586" i="2" s="1"/>
  <c r="H5587" i="2"/>
  <c r="I5587" i="2" s="1"/>
  <c r="H5588" i="2"/>
  <c r="I5588" i="2" s="1"/>
  <c r="H5589" i="2"/>
  <c r="I5589" i="2" s="1"/>
  <c r="H5590" i="2"/>
  <c r="I5590" i="2" s="1"/>
  <c r="H5591" i="2"/>
  <c r="I5591" i="2" s="1"/>
  <c r="H5592" i="2"/>
  <c r="I5592" i="2" s="1"/>
  <c r="H5593" i="2"/>
  <c r="I5593" i="2" s="1"/>
  <c r="H5594" i="2"/>
  <c r="I5594" i="2" s="1"/>
  <c r="H5595" i="2"/>
  <c r="I5595" i="2" s="1"/>
  <c r="H5596" i="2"/>
  <c r="I5596" i="2" s="1"/>
  <c r="H5597" i="2"/>
  <c r="I5597" i="2" s="1"/>
  <c r="H5598" i="2"/>
  <c r="I5598" i="2" s="1"/>
  <c r="H5599" i="2"/>
  <c r="I5599" i="2" s="1"/>
  <c r="H5600" i="2"/>
  <c r="I5600" i="2" s="1"/>
  <c r="H5601" i="2"/>
  <c r="I5601" i="2" s="1"/>
  <c r="H5602" i="2"/>
  <c r="I5602" i="2" s="1"/>
  <c r="H5603" i="2"/>
  <c r="I5603" i="2" s="1"/>
  <c r="H5604" i="2"/>
  <c r="I5604" i="2" s="1"/>
  <c r="H5605" i="2"/>
  <c r="I5605" i="2" s="1"/>
  <c r="H5606" i="2"/>
  <c r="I5606" i="2" s="1"/>
  <c r="H5607" i="2"/>
  <c r="I5607" i="2" s="1"/>
  <c r="H5608" i="2"/>
  <c r="I5608" i="2" s="1"/>
  <c r="H5609" i="2"/>
  <c r="I5609" i="2" s="1"/>
  <c r="H5610" i="2"/>
  <c r="I5610" i="2" s="1"/>
  <c r="H5611" i="2"/>
  <c r="I5611" i="2" s="1"/>
  <c r="H5612" i="2"/>
  <c r="I5612" i="2" s="1"/>
  <c r="H5613" i="2"/>
  <c r="I5613" i="2" s="1"/>
  <c r="H5614" i="2"/>
  <c r="I5614" i="2" s="1"/>
  <c r="H5615" i="2"/>
  <c r="I5615" i="2" s="1"/>
  <c r="H5616" i="2"/>
  <c r="I5616" i="2" s="1"/>
  <c r="H5617" i="2"/>
  <c r="I5617" i="2" s="1"/>
  <c r="H5618" i="2"/>
  <c r="I5618" i="2" s="1"/>
  <c r="H5619" i="2"/>
  <c r="I5619" i="2" s="1"/>
  <c r="H5620" i="2"/>
  <c r="I5620" i="2" s="1"/>
  <c r="H5621" i="2"/>
  <c r="I5621" i="2" s="1"/>
  <c r="H5622" i="2"/>
  <c r="I5622" i="2" s="1"/>
  <c r="H5623" i="2"/>
  <c r="I5623" i="2" s="1"/>
  <c r="H5624" i="2"/>
  <c r="I5624" i="2" s="1"/>
  <c r="H5625" i="2"/>
  <c r="I5625" i="2" s="1"/>
  <c r="H5626" i="2"/>
  <c r="I5626" i="2" s="1"/>
  <c r="H5627" i="2"/>
  <c r="I5627" i="2" s="1"/>
  <c r="H5628" i="2"/>
  <c r="I5628" i="2" s="1"/>
  <c r="H5629" i="2"/>
  <c r="I5629" i="2" s="1"/>
  <c r="H5630" i="2"/>
  <c r="I5630" i="2" s="1"/>
  <c r="H5631" i="2"/>
  <c r="I5631" i="2" s="1"/>
  <c r="H5632" i="2"/>
  <c r="I5632" i="2" s="1"/>
  <c r="H5633" i="2"/>
  <c r="I5633" i="2" s="1"/>
  <c r="H5634" i="2"/>
  <c r="I5634" i="2" s="1"/>
  <c r="H5635" i="2"/>
  <c r="I5635" i="2" s="1"/>
  <c r="H5636" i="2"/>
  <c r="I5636" i="2" s="1"/>
  <c r="H5637" i="2"/>
  <c r="I5637" i="2" s="1"/>
  <c r="H5638" i="2"/>
  <c r="I5638" i="2" s="1"/>
  <c r="H5639" i="2"/>
  <c r="I5639" i="2" s="1"/>
  <c r="H5640" i="2"/>
  <c r="I5640" i="2" s="1"/>
  <c r="H5641" i="2"/>
  <c r="I5641" i="2" s="1"/>
  <c r="H5642" i="2"/>
  <c r="I5642" i="2" s="1"/>
  <c r="H5643" i="2"/>
  <c r="I5643" i="2" s="1"/>
  <c r="H5644" i="2"/>
  <c r="I5644" i="2" s="1"/>
  <c r="H5645" i="2"/>
  <c r="I5645" i="2" s="1"/>
  <c r="H5646" i="2"/>
  <c r="I5646" i="2" s="1"/>
  <c r="H5647" i="2"/>
  <c r="I5647" i="2" s="1"/>
  <c r="H5648" i="2"/>
  <c r="I5648" i="2" s="1"/>
  <c r="H5649" i="2"/>
  <c r="I5649" i="2" s="1"/>
  <c r="H5650" i="2"/>
  <c r="I5650" i="2" s="1"/>
  <c r="H5651" i="2"/>
  <c r="I5651" i="2" s="1"/>
  <c r="H5652" i="2"/>
  <c r="I5652" i="2" s="1"/>
  <c r="H5653" i="2"/>
  <c r="I5653" i="2" s="1"/>
  <c r="H5654" i="2"/>
  <c r="I5654" i="2" s="1"/>
  <c r="H5655" i="2"/>
  <c r="I5655" i="2" s="1"/>
  <c r="H5656" i="2"/>
  <c r="I5656" i="2" s="1"/>
  <c r="H5657" i="2"/>
  <c r="I5657" i="2" s="1"/>
  <c r="H5658" i="2"/>
  <c r="I5658" i="2" s="1"/>
  <c r="H5659" i="2"/>
  <c r="I5659" i="2" s="1"/>
  <c r="H5660" i="2"/>
  <c r="I5660" i="2" s="1"/>
  <c r="H5661" i="2"/>
  <c r="I5661" i="2" s="1"/>
  <c r="H5662" i="2"/>
  <c r="I5662" i="2" s="1"/>
  <c r="H5663" i="2"/>
  <c r="I5663" i="2" s="1"/>
  <c r="H5664" i="2"/>
  <c r="I5664" i="2" s="1"/>
  <c r="H5665" i="2"/>
  <c r="I5665" i="2" s="1"/>
  <c r="H5666" i="2"/>
  <c r="I5666" i="2" s="1"/>
  <c r="H5667" i="2"/>
  <c r="I5667" i="2" s="1"/>
  <c r="H5668" i="2"/>
  <c r="I5668" i="2" s="1"/>
  <c r="H5669" i="2"/>
  <c r="I5669" i="2" s="1"/>
  <c r="H5670" i="2"/>
  <c r="I5670" i="2" s="1"/>
  <c r="H5671" i="2"/>
  <c r="I5671" i="2" s="1"/>
  <c r="H5672" i="2"/>
  <c r="I5672" i="2" s="1"/>
  <c r="H5673" i="2"/>
  <c r="I5673" i="2" s="1"/>
  <c r="H5674" i="2"/>
  <c r="I5674" i="2" s="1"/>
  <c r="H5675" i="2"/>
  <c r="I5675" i="2" s="1"/>
  <c r="H5676" i="2"/>
  <c r="I5676" i="2" s="1"/>
  <c r="H5677" i="2"/>
  <c r="I5677" i="2" s="1"/>
  <c r="H5678" i="2"/>
  <c r="I5678" i="2" s="1"/>
  <c r="H5679" i="2"/>
  <c r="I5679" i="2" s="1"/>
  <c r="H5680" i="2"/>
  <c r="I5680" i="2" s="1"/>
  <c r="H5681" i="2"/>
  <c r="I5681" i="2" s="1"/>
  <c r="H5682" i="2"/>
  <c r="I5682" i="2" s="1"/>
  <c r="H5683" i="2"/>
  <c r="I5683" i="2" s="1"/>
  <c r="H5684" i="2"/>
  <c r="I5684" i="2" s="1"/>
  <c r="H5685" i="2"/>
  <c r="I5685" i="2" s="1"/>
  <c r="H5686" i="2"/>
  <c r="I5686" i="2" s="1"/>
  <c r="H5687" i="2"/>
  <c r="I5687" i="2" s="1"/>
  <c r="H5688" i="2"/>
  <c r="I5688" i="2" s="1"/>
  <c r="H5689" i="2"/>
  <c r="I5689" i="2" s="1"/>
  <c r="H5690" i="2"/>
  <c r="I5690" i="2" s="1"/>
  <c r="H5691" i="2"/>
  <c r="I5691" i="2" s="1"/>
  <c r="H5692" i="2"/>
  <c r="I5692" i="2" s="1"/>
  <c r="H5693" i="2"/>
  <c r="I5693" i="2" s="1"/>
  <c r="H5694" i="2"/>
  <c r="I5694" i="2" s="1"/>
  <c r="H5695" i="2"/>
  <c r="I5695" i="2" s="1"/>
  <c r="H5696" i="2"/>
  <c r="I5696" i="2" s="1"/>
  <c r="H5697" i="2"/>
  <c r="I5697" i="2" s="1"/>
  <c r="H5698" i="2"/>
  <c r="I5698" i="2" s="1"/>
  <c r="H5699" i="2"/>
  <c r="I5699" i="2" s="1"/>
  <c r="H5700" i="2"/>
  <c r="I5700" i="2" s="1"/>
  <c r="H5701" i="2"/>
  <c r="I5701" i="2" s="1"/>
  <c r="H5702" i="2"/>
  <c r="I5702" i="2" s="1"/>
  <c r="H5703" i="2"/>
  <c r="I5703" i="2" s="1"/>
  <c r="H5704" i="2"/>
  <c r="I5704" i="2" s="1"/>
  <c r="H5705" i="2"/>
  <c r="I5705" i="2" s="1"/>
  <c r="H5706" i="2"/>
  <c r="I5706" i="2" s="1"/>
  <c r="H5707" i="2"/>
  <c r="I5707" i="2" s="1"/>
  <c r="H5708" i="2"/>
  <c r="I5708" i="2" s="1"/>
  <c r="H5709" i="2"/>
  <c r="I5709" i="2" s="1"/>
  <c r="H5710" i="2"/>
  <c r="I5710" i="2" s="1"/>
  <c r="H5711" i="2"/>
  <c r="I5711" i="2" s="1"/>
  <c r="H5712" i="2"/>
  <c r="I5712" i="2" s="1"/>
  <c r="H5713" i="2"/>
  <c r="I5713" i="2" s="1"/>
  <c r="H5714" i="2"/>
  <c r="I5714" i="2" s="1"/>
  <c r="H5715" i="2"/>
  <c r="I5715" i="2" s="1"/>
  <c r="H5716" i="2"/>
  <c r="I5716" i="2" s="1"/>
  <c r="H5717" i="2"/>
  <c r="I5717" i="2" s="1"/>
  <c r="H5718" i="2"/>
  <c r="I5718" i="2" s="1"/>
  <c r="H5719" i="2"/>
  <c r="I5719" i="2" s="1"/>
  <c r="H5720" i="2"/>
  <c r="I5720" i="2" s="1"/>
  <c r="H5721" i="2"/>
  <c r="I5721" i="2" s="1"/>
  <c r="H5722" i="2"/>
  <c r="I5722" i="2" s="1"/>
  <c r="H5723" i="2"/>
  <c r="I5723" i="2" s="1"/>
  <c r="H5724" i="2"/>
  <c r="I5724" i="2" s="1"/>
  <c r="H5725" i="2"/>
  <c r="I5725" i="2" s="1"/>
  <c r="H5726" i="2"/>
  <c r="I5726" i="2" s="1"/>
  <c r="H5727" i="2"/>
  <c r="I5727" i="2" s="1"/>
  <c r="H5728" i="2"/>
  <c r="I5728" i="2" s="1"/>
  <c r="H5729" i="2"/>
  <c r="I5729" i="2" s="1"/>
  <c r="H5730" i="2"/>
  <c r="I5730" i="2" s="1"/>
  <c r="H5731" i="2"/>
  <c r="I5731" i="2" s="1"/>
  <c r="H5732" i="2"/>
  <c r="I5732" i="2" s="1"/>
  <c r="H5733" i="2"/>
  <c r="I5733" i="2" s="1"/>
  <c r="H5734" i="2"/>
  <c r="I5734" i="2" s="1"/>
  <c r="H5735" i="2"/>
  <c r="I5735" i="2" s="1"/>
  <c r="H5736" i="2"/>
  <c r="I5736" i="2" s="1"/>
  <c r="H5737" i="2"/>
  <c r="I5737" i="2" s="1"/>
  <c r="H5738" i="2"/>
  <c r="I5738" i="2" s="1"/>
  <c r="H5739" i="2"/>
  <c r="I5739" i="2" s="1"/>
  <c r="H5740" i="2"/>
  <c r="I5740" i="2" s="1"/>
  <c r="H5741" i="2"/>
  <c r="I5741" i="2" s="1"/>
  <c r="H5742" i="2"/>
  <c r="I5742" i="2" s="1"/>
  <c r="H5743" i="2"/>
  <c r="I5743" i="2" s="1"/>
  <c r="H5744" i="2"/>
  <c r="I5744" i="2" s="1"/>
  <c r="H5745" i="2"/>
  <c r="I5745" i="2" s="1"/>
  <c r="H5746" i="2"/>
  <c r="I5746" i="2" s="1"/>
  <c r="H5747" i="2"/>
  <c r="I5747" i="2" s="1"/>
  <c r="H5748" i="2"/>
  <c r="I5748" i="2" s="1"/>
  <c r="H5749" i="2"/>
  <c r="I5749" i="2" s="1"/>
  <c r="H5750" i="2"/>
  <c r="I5750" i="2" s="1"/>
  <c r="H5751" i="2"/>
  <c r="I5751" i="2" s="1"/>
  <c r="H5752" i="2"/>
  <c r="I5752" i="2" s="1"/>
  <c r="H5753" i="2"/>
  <c r="I5753" i="2" s="1"/>
  <c r="H5754" i="2"/>
  <c r="I5754" i="2" s="1"/>
  <c r="H5755" i="2"/>
  <c r="I5755" i="2" s="1"/>
  <c r="H5756" i="2"/>
  <c r="I5756" i="2" s="1"/>
  <c r="H5757" i="2"/>
  <c r="I5757" i="2" s="1"/>
  <c r="H5758" i="2"/>
  <c r="I5758" i="2" s="1"/>
  <c r="H5759" i="2"/>
  <c r="I5759" i="2" s="1"/>
  <c r="H5760" i="2"/>
  <c r="I5760" i="2" s="1"/>
  <c r="H5761" i="2"/>
  <c r="I5761" i="2" s="1"/>
  <c r="H5762" i="2"/>
  <c r="I5762" i="2" s="1"/>
  <c r="H5763" i="2"/>
  <c r="I5763" i="2" s="1"/>
  <c r="H5764" i="2"/>
  <c r="I5764" i="2" s="1"/>
  <c r="H5765" i="2"/>
  <c r="I5765" i="2" s="1"/>
  <c r="H5766" i="2"/>
  <c r="I5766" i="2" s="1"/>
  <c r="H5767" i="2"/>
  <c r="I5767" i="2" s="1"/>
  <c r="H5768" i="2"/>
  <c r="I5768" i="2" s="1"/>
  <c r="H5769" i="2"/>
  <c r="I5769" i="2" s="1"/>
  <c r="H5770" i="2"/>
  <c r="I5770" i="2" s="1"/>
  <c r="H5771" i="2"/>
  <c r="I5771" i="2" s="1"/>
  <c r="H5772" i="2"/>
  <c r="I5772" i="2" s="1"/>
  <c r="H5773" i="2"/>
  <c r="I5773" i="2" s="1"/>
  <c r="H5774" i="2"/>
  <c r="I5774" i="2" s="1"/>
  <c r="H5775" i="2"/>
  <c r="I5775" i="2" s="1"/>
  <c r="H5776" i="2"/>
  <c r="I5776" i="2" s="1"/>
  <c r="H5777" i="2"/>
  <c r="I5777" i="2" s="1"/>
  <c r="H5778" i="2"/>
  <c r="I5778" i="2" s="1"/>
  <c r="H5779" i="2"/>
  <c r="I5779" i="2" s="1"/>
  <c r="H5780" i="2"/>
  <c r="I5780" i="2" s="1"/>
  <c r="H5781" i="2"/>
  <c r="I5781" i="2" s="1"/>
  <c r="H5782" i="2"/>
  <c r="I5782" i="2" s="1"/>
  <c r="H5783" i="2"/>
  <c r="I5783" i="2" s="1"/>
  <c r="H5784" i="2"/>
  <c r="I5784" i="2" s="1"/>
  <c r="H5785" i="2"/>
  <c r="I5785" i="2" s="1"/>
  <c r="H5786" i="2"/>
  <c r="I5786" i="2" s="1"/>
  <c r="H5787" i="2"/>
  <c r="I5787" i="2" s="1"/>
  <c r="H5788" i="2"/>
  <c r="I5788" i="2" s="1"/>
  <c r="H5789" i="2"/>
  <c r="I5789" i="2" s="1"/>
  <c r="H5790" i="2"/>
  <c r="I5790" i="2" s="1"/>
  <c r="H5791" i="2"/>
  <c r="I5791" i="2" s="1"/>
  <c r="H5792" i="2"/>
  <c r="I5792" i="2" s="1"/>
  <c r="H5793" i="2"/>
  <c r="I5793" i="2" s="1"/>
  <c r="H5794" i="2"/>
  <c r="I5794" i="2" s="1"/>
  <c r="H5795" i="2"/>
  <c r="I5795" i="2" s="1"/>
  <c r="H5796" i="2"/>
  <c r="I5796" i="2" s="1"/>
  <c r="H5797" i="2"/>
  <c r="I5797" i="2" s="1"/>
  <c r="H5798" i="2"/>
  <c r="I5798" i="2" s="1"/>
  <c r="H5799" i="2"/>
  <c r="I5799" i="2" s="1"/>
  <c r="H5800" i="2"/>
  <c r="I5800" i="2" s="1"/>
  <c r="H5801" i="2"/>
  <c r="I5801" i="2" s="1"/>
  <c r="H5802" i="2"/>
  <c r="I5802" i="2" s="1"/>
  <c r="H5803" i="2"/>
  <c r="I5803" i="2" s="1"/>
  <c r="H5804" i="2"/>
  <c r="I5804" i="2" s="1"/>
  <c r="H5805" i="2"/>
  <c r="I5805" i="2" s="1"/>
  <c r="H5806" i="2"/>
  <c r="I5806" i="2" s="1"/>
  <c r="H5807" i="2"/>
  <c r="I5807" i="2" s="1"/>
  <c r="H5808" i="2"/>
  <c r="I5808" i="2" s="1"/>
  <c r="H5809" i="2"/>
  <c r="I5809" i="2" s="1"/>
  <c r="H5810" i="2"/>
  <c r="I5810" i="2" s="1"/>
  <c r="H5811" i="2"/>
  <c r="I5811" i="2" s="1"/>
  <c r="H5812" i="2"/>
  <c r="I5812" i="2" s="1"/>
  <c r="H5813" i="2"/>
  <c r="I5813" i="2" s="1"/>
  <c r="H5814" i="2"/>
  <c r="I5814" i="2" s="1"/>
  <c r="H5815" i="2"/>
  <c r="I5815" i="2" s="1"/>
  <c r="H5816" i="2"/>
  <c r="I5816" i="2" s="1"/>
  <c r="H5817" i="2"/>
  <c r="I5817" i="2" s="1"/>
  <c r="H5818" i="2"/>
  <c r="I5818" i="2" s="1"/>
  <c r="H5819" i="2"/>
  <c r="I5819" i="2" s="1"/>
  <c r="H5820" i="2"/>
  <c r="I5820" i="2" s="1"/>
  <c r="H5821" i="2"/>
  <c r="I5821" i="2" s="1"/>
  <c r="H5822" i="2"/>
  <c r="I5822" i="2" s="1"/>
  <c r="H5823" i="2"/>
  <c r="I5823" i="2" s="1"/>
  <c r="H5824" i="2"/>
  <c r="I5824" i="2" s="1"/>
  <c r="H5825" i="2"/>
  <c r="I5825" i="2" s="1"/>
  <c r="H5826" i="2"/>
  <c r="I5826" i="2" s="1"/>
  <c r="H5827" i="2"/>
  <c r="I5827" i="2" s="1"/>
  <c r="H5828" i="2"/>
  <c r="I5828" i="2" s="1"/>
  <c r="H5829" i="2"/>
  <c r="I5829" i="2" s="1"/>
  <c r="H5830" i="2"/>
  <c r="I5830" i="2" s="1"/>
  <c r="H5831" i="2"/>
  <c r="I5831" i="2" s="1"/>
  <c r="H5832" i="2"/>
  <c r="I5832" i="2" s="1"/>
  <c r="H5833" i="2"/>
  <c r="I5833" i="2" s="1"/>
  <c r="H5834" i="2"/>
  <c r="I5834" i="2" s="1"/>
  <c r="H5835" i="2"/>
  <c r="I5835" i="2" s="1"/>
  <c r="H5836" i="2"/>
  <c r="I5836" i="2" s="1"/>
  <c r="H5837" i="2"/>
  <c r="I5837" i="2" s="1"/>
  <c r="H5838" i="2"/>
  <c r="I5838" i="2" s="1"/>
  <c r="H5839" i="2"/>
  <c r="I5839" i="2" s="1"/>
  <c r="H5840" i="2"/>
  <c r="I5840" i="2" s="1"/>
  <c r="H5841" i="2"/>
  <c r="I5841" i="2" s="1"/>
  <c r="H5842" i="2"/>
  <c r="I5842" i="2" s="1"/>
  <c r="H5843" i="2"/>
  <c r="I5843" i="2" s="1"/>
  <c r="H5844" i="2"/>
  <c r="I5844" i="2" s="1"/>
  <c r="H5845" i="2"/>
  <c r="I5845" i="2" s="1"/>
  <c r="H5846" i="2"/>
  <c r="I5846" i="2" s="1"/>
  <c r="H5847" i="2"/>
  <c r="I5847" i="2" s="1"/>
  <c r="H5848" i="2"/>
  <c r="I5848" i="2" s="1"/>
  <c r="H5849" i="2"/>
  <c r="I5849" i="2" s="1"/>
  <c r="H5850" i="2"/>
  <c r="I5850" i="2" s="1"/>
  <c r="H5851" i="2"/>
  <c r="I5851" i="2" s="1"/>
  <c r="H5852" i="2"/>
  <c r="I5852" i="2" s="1"/>
  <c r="H5853" i="2"/>
  <c r="I5853" i="2" s="1"/>
  <c r="H5854" i="2"/>
  <c r="I5854" i="2" s="1"/>
  <c r="H5855" i="2"/>
  <c r="I5855" i="2" s="1"/>
  <c r="H5856" i="2"/>
  <c r="I5856" i="2" s="1"/>
  <c r="H5857" i="2"/>
  <c r="I5857" i="2" s="1"/>
  <c r="H5858" i="2"/>
  <c r="I5858" i="2" s="1"/>
  <c r="H5859" i="2"/>
  <c r="I5859" i="2" s="1"/>
  <c r="H5860" i="2"/>
  <c r="I5860" i="2" s="1"/>
  <c r="H5861" i="2"/>
  <c r="I5861" i="2" s="1"/>
  <c r="H5862" i="2"/>
  <c r="I5862" i="2" s="1"/>
  <c r="H5863" i="2"/>
  <c r="I5863" i="2" s="1"/>
  <c r="H5864" i="2"/>
  <c r="I5864" i="2" s="1"/>
  <c r="H5865" i="2"/>
  <c r="I5865" i="2" s="1"/>
  <c r="H5866" i="2"/>
  <c r="I5866" i="2" s="1"/>
  <c r="H5867" i="2"/>
  <c r="I5867" i="2" s="1"/>
  <c r="H5868" i="2"/>
  <c r="I5868" i="2" s="1"/>
  <c r="H5869" i="2"/>
  <c r="I5869" i="2" s="1"/>
  <c r="H5870" i="2"/>
  <c r="I5870" i="2" s="1"/>
  <c r="H5871" i="2"/>
  <c r="I5871" i="2" s="1"/>
  <c r="H5872" i="2"/>
  <c r="I5872" i="2" s="1"/>
  <c r="H5873" i="2"/>
  <c r="I5873" i="2" s="1"/>
  <c r="H5874" i="2"/>
  <c r="I5874" i="2" s="1"/>
  <c r="H5875" i="2"/>
  <c r="I5875" i="2" s="1"/>
  <c r="H5876" i="2"/>
  <c r="I5876" i="2" s="1"/>
  <c r="H5877" i="2"/>
  <c r="I5877" i="2" s="1"/>
  <c r="H5878" i="2"/>
  <c r="I5878" i="2" s="1"/>
  <c r="H5879" i="2"/>
  <c r="I5879" i="2" s="1"/>
  <c r="H5880" i="2"/>
  <c r="I5880" i="2" s="1"/>
  <c r="H5881" i="2"/>
  <c r="I5881" i="2" s="1"/>
  <c r="H5882" i="2"/>
  <c r="I5882" i="2" s="1"/>
  <c r="H5883" i="2"/>
  <c r="I5883" i="2" s="1"/>
  <c r="H5884" i="2"/>
  <c r="I5884" i="2" s="1"/>
  <c r="H5885" i="2"/>
  <c r="I5885" i="2" s="1"/>
  <c r="H5886" i="2"/>
  <c r="I5886" i="2" s="1"/>
  <c r="H5887" i="2"/>
  <c r="I5887" i="2" s="1"/>
  <c r="H5888" i="2"/>
  <c r="I5888" i="2" s="1"/>
  <c r="H5889" i="2"/>
  <c r="I5889" i="2" s="1"/>
  <c r="H5890" i="2"/>
  <c r="I5890" i="2" s="1"/>
  <c r="H5891" i="2"/>
  <c r="I5891" i="2" s="1"/>
  <c r="H5892" i="2"/>
  <c r="I5892" i="2" s="1"/>
  <c r="H5893" i="2"/>
  <c r="I5893" i="2" s="1"/>
  <c r="H5894" i="2"/>
  <c r="I5894" i="2" s="1"/>
  <c r="H5895" i="2"/>
  <c r="I5895" i="2" s="1"/>
  <c r="H5896" i="2"/>
  <c r="I5896" i="2" s="1"/>
  <c r="H5897" i="2"/>
  <c r="I5897" i="2" s="1"/>
  <c r="H5898" i="2"/>
  <c r="I5898" i="2" s="1"/>
  <c r="H5899" i="2"/>
  <c r="I5899" i="2" s="1"/>
  <c r="H5900" i="2"/>
  <c r="I5900" i="2" s="1"/>
  <c r="H5901" i="2"/>
  <c r="I5901" i="2" s="1"/>
  <c r="H5902" i="2"/>
  <c r="I5902" i="2" s="1"/>
  <c r="H5903" i="2"/>
  <c r="I5903" i="2" s="1"/>
  <c r="H5904" i="2"/>
  <c r="I5904" i="2" s="1"/>
  <c r="H5905" i="2"/>
  <c r="I5905" i="2" s="1"/>
  <c r="H5906" i="2"/>
  <c r="I5906" i="2" s="1"/>
  <c r="H5907" i="2"/>
  <c r="I5907" i="2" s="1"/>
  <c r="H5908" i="2"/>
  <c r="I5908" i="2" s="1"/>
  <c r="H5909" i="2"/>
  <c r="I5909" i="2" s="1"/>
  <c r="H5910" i="2"/>
  <c r="I5910" i="2" s="1"/>
  <c r="H5911" i="2"/>
  <c r="I5911" i="2" s="1"/>
  <c r="H5912" i="2"/>
  <c r="I5912" i="2" s="1"/>
  <c r="H5913" i="2"/>
  <c r="I5913" i="2" s="1"/>
  <c r="H5914" i="2"/>
  <c r="I5914" i="2" s="1"/>
  <c r="H5915" i="2"/>
  <c r="I5915" i="2" s="1"/>
  <c r="H5916" i="2"/>
  <c r="I5916" i="2" s="1"/>
  <c r="H5917" i="2"/>
  <c r="I5917" i="2" s="1"/>
  <c r="H5918" i="2"/>
  <c r="I5918" i="2" s="1"/>
  <c r="H5919" i="2"/>
  <c r="I5919" i="2" s="1"/>
  <c r="H5920" i="2"/>
  <c r="I5920" i="2" s="1"/>
  <c r="H5921" i="2"/>
  <c r="I5921" i="2" s="1"/>
  <c r="H5922" i="2"/>
  <c r="I5922" i="2" s="1"/>
  <c r="H5923" i="2"/>
  <c r="I5923" i="2" s="1"/>
  <c r="H5924" i="2"/>
  <c r="I5924" i="2" s="1"/>
  <c r="H5925" i="2"/>
  <c r="I5925" i="2" s="1"/>
  <c r="H5926" i="2"/>
  <c r="I5926" i="2" s="1"/>
  <c r="H5927" i="2"/>
  <c r="I5927" i="2" s="1"/>
  <c r="H5928" i="2"/>
  <c r="I5928" i="2" s="1"/>
  <c r="H5929" i="2"/>
  <c r="I5929" i="2" s="1"/>
  <c r="H5930" i="2"/>
  <c r="I5930" i="2" s="1"/>
  <c r="H5931" i="2"/>
  <c r="I5931" i="2" s="1"/>
  <c r="H5932" i="2"/>
  <c r="I5932" i="2" s="1"/>
  <c r="H5933" i="2"/>
  <c r="I5933" i="2" s="1"/>
  <c r="H5934" i="2"/>
  <c r="I5934" i="2" s="1"/>
  <c r="H5935" i="2"/>
  <c r="I5935" i="2" s="1"/>
  <c r="H5936" i="2"/>
  <c r="I5936" i="2" s="1"/>
  <c r="H5937" i="2"/>
  <c r="I5937" i="2" s="1"/>
  <c r="H5938" i="2"/>
  <c r="I5938" i="2" s="1"/>
  <c r="H5939" i="2"/>
  <c r="I5939" i="2" s="1"/>
  <c r="H5940" i="2"/>
  <c r="I5940" i="2" s="1"/>
  <c r="H5941" i="2"/>
  <c r="I5941" i="2" s="1"/>
  <c r="H5942" i="2"/>
  <c r="I5942" i="2" s="1"/>
  <c r="H5943" i="2"/>
  <c r="I5943" i="2" s="1"/>
  <c r="H5944" i="2"/>
  <c r="I5944" i="2" s="1"/>
  <c r="H5945" i="2"/>
  <c r="I5945" i="2" s="1"/>
  <c r="H5946" i="2"/>
  <c r="I5946" i="2" s="1"/>
  <c r="H5947" i="2"/>
  <c r="I5947" i="2" s="1"/>
  <c r="H5948" i="2"/>
  <c r="I5948" i="2" s="1"/>
  <c r="H5949" i="2"/>
  <c r="I5949" i="2" s="1"/>
  <c r="H5950" i="2"/>
  <c r="I5950" i="2" s="1"/>
  <c r="H5951" i="2"/>
  <c r="I5951" i="2" s="1"/>
  <c r="H5952" i="2"/>
  <c r="I5952" i="2" s="1"/>
  <c r="H5953" i="2"/>
  <c r="I5953" i="2" s="1"/>
  <c r="H5954" i="2"/>
  <c r="I5954" i="2" s="1"/>
  <c r="H5955" i="2"/>
  <c r="I5955" i="2" s="1"/>
  <c r="H5956" i="2"/>
  <c r="I5956" i="2" s="1"/>
  <c r="H5957" i="2"/>
  <c r="I5957" i="2" s="1"/>
  <c r="H5958" i="2"/>
  <c r="I5958" i="2" s="1"/>
  <c r="H5959" i="2"/>
  <c r="I5959" i="2" s="1"/>
  <c r="H5960" i="2"/>
  <c r="I5960" i="2" s="1"/>
  <c r="H5961" i="2"/>
  <c r="I5961" i="2" s="1"/>
  <c r="H5962" i="2"/>
  <c r="I5962" i="2" s="1"/>
  <c r="H5963" i="2"/>
  <c r="I5963" i="2" s="1"/>
  <c r="H5964" i="2"/>
  <c r="I5964" i="2" s="1"/>
  <c r="H5965" i="2"/>
  <c r="I5965" i="2" s="1"/>
  <c r="H5966" i="2"/>
  <c r="I5966" i="2" s="1"/>
  <c r="H5967" i="2"/>
  <c r="I5967" i="2" s="1"/>
  <c r="H5968" i="2"/>
  <c r="I5968" i="2" s="1"/>
  <c r="H5969" i="2"/>
  <c r="I5969" i="2" s="1"/>
  <c r="H5970" i="2"/>
  <c r="I5970" i="2" s="1"/>
  <c r="H5971" i="2"/>
  <c r="I5971" i="2" s="1"/>
  <c r="H5972" i="2"/>
  <c r="I5972" i="2" s="1"/>
  <c r="H5973" i="2"/>
  <c r="I5973" i="2" s="1"/>
  <c r="H5974" i="2"/>
  <c r="I5974" i="2" s="1"/>
  <c r="H5975" i="2"/>
  <c r="I5975" i="2" s="1"/>
  <c r="H5976" i="2"/>
  <c r="I5976" i="2" s="1"/>
  <c r="H5977" i="2"/>
  <c r="I5977" i="2" s="1"/>
  <c r="H5978" i="2"/>
  <c r="I5978" i="2" s="1"/>
  <c r="H5979" i="2"/>
  <c r="I5979" i="2" s="1"/>
  <c r="H5980" i="2"/>
  <c r="I5980" i="2" s="1"/>
  <c r="H5981" i="2"/>
  <c r="I5981" i="2" s="1"/>
  <c r="H5982" i="2"/>
  <c r="I5982" i="2" s="1"/>
  <c r="H5983" i="2"/>
  <c r="I5983" i="2" s="1"/>
  <c r="H5984" i="2"/>
  <c r="I5984" i="2" s="1"/>
  <c r="H5985" i="2"/>
  <c r="I5985" i="2" s="1"/>
  <c r="H5986" i="2"/>
  <c r="I5986" i="2" s="1"/>
  <c r="H5987" i="2"/>
  <c r="I5987" i="2" s="1"/>
  <c r="H5988" i="2"/>
  <c r="I5988" i="2" s="1"/>
  <c r="H5989" i="2"/>
  <c r="I5989" i="2" s="1"/>
  <c r="H5990" i="2"/>
  <c r="I5990" i="2" s="1"/>
  <c r="H5991" i="2"/>
  <c r="I5991" i="2" s="1"/>
  <c r="H5992" i="2"/>
  <c r="I5992" i="2" s="1"/>
  <c r="H5993" i="2"/>
  <c r="I5993" i="2" s="1"/>
  <c r="H5994" i="2"/>
  <c r="I5994" i="2" s="1"/>
  <c r="H5995" i="2"/>
  <c r="I5995" i="2" s="1"/>
  <c r="H5996" i="2"/>
  <c r="I5996" i="2" s="1"/>
  <c r="H5997" i="2"/>
  <c r="I5997" i="2" s="1"/>
  <c r="H5998" i="2"/>
  <c r="I5998" i="2" s="1"/>
  <c r="H5999" i="2"/>
  <c r="I5999" i="2" s="1"/>
  <c r="H6000" i="2"/>
  <c r="I6000" i="2" s="1"/>
  <c r="H6001" i="2"/>
  <c r="I6001" i="2" s="1"/>
  <c r="H6002" i="2"/>
  <c r="I6002" i="2" s="1"/>
  <c r="H6003" i="2"/>
  <c r="I6003" i="2" s="1"/>
  <c r="H6004" i="2"/>
  <c r="I6004" i="2" s="1"/>
  <c r="H6005" i="2"/>
  <c r="I6005" i="2" s="1"/>
  <c r="H6006" i="2"/>
  <c r="I6006" i="2" s="1"/>
  <c r="H6007" i="2"/>
  <c r="I6007" i="2" s="1"/>
  <c r="H6008" i="2"/>
  <c r="I6008" i="2" s="1"/>
  <c r="H6009" i="2"/>
  <c r="I6009" i="2" s="1"/>
  <c r="H6010" i="2"/>
  <c r="I6010" i="2" s="1"/>
  <c r="H6011" i="2"/>
  <c r="I6011" i="2" s="1"/>
  <c r="H6012" i="2"/>
  <c r="I6012" i="2" s="1"/>
  <c r="H6013" i="2"/>
  <c r="I6013" i="2" s="1"/>
  <c r="H6014" i="2"/>
  <c r="I6014" i="2" s="1"/>
  <c r="H6015" i="2"/>
  <c r="I6015" i="2" s="1"/>
  <c r="H6016" i="2"/>
  <c r="I6016" i="2" s="1"/>
  <c r="H6017" i="2"/>
  <c r="I6017" i="2" s="1"/>
  <c r="H6018" i="2"/>
  <c r="I6018" i="2" s="1"/>
  <c r="H6019" i="2"/>
  <c r="I6019" i="2" s="1"/>
  <c r="H6020" i="2"/>
  <c r="I6020" i="2" s="1"/>
  <c r="H6021" i="2"/>
  <c r="I6021" i="2" s="1"/>
  <c r="H6022" i="2"/>
  <c r="I6022" i="2" s="1"/>
  <c r="H6023" i="2"/>
  <c r="I6023" i="2" s="1"/>
  <c r="H6024" i="2"/>
  <c r="I6024" i="2" s="1"/>
  <c r="H6025" i="2"/>
  <c r="I6025" i="2" s="1"/>
  <c r="H6026" i="2"/>
  <c r="I6026" i="2" s="1"/>
  <c r="H6027" i="2"/>
  <c r="I6027" i="2" s="1"/>
  <c r="H6028" i="2"/>
  <c r="I6028" i="2" s="1"/>
  <c r="H6029" i="2"/>
  <c r="I6029" i="2" s="1"/>
  <c r="H6030" i="2"/>
  <c r="I6030" i="2" s="1"/>
  <c r="H6031" i="2"/>
  <c r="I6031" i="2" s="1"/>
  <c r="H6032" i="2"/>
  <c r="I6032" i="2" s="1"/>
  <c r="H6033" i="2"/>
  <c r="I6033" i="2" s="1"/>
  <c r="H6034" i="2"/>
  <c r="I6034" i="2" s="1"/>
  <c r="H6035" i="2"/>
  <c r="I6035" i="2" s="1"/>
  <c r="H6036" i="2"/>
  <c r="I6036" i="2" s="1"/>
  <c r="H6037" i="2"/>
  <c r="I6037" i="2" s="1"/>
  <c r="H6038" i="2"/>
  <c r="I6038" i="2" s="1"/>
  <c r="H6039" i="2"/>
  <c r="I6039" i="2" s="1"/>
  <c r="H6040" i="2"/>
  <c r="I6040" i="2" s="1"/>
  <c r="H6041" i="2"/>
  <c r="I6041" i="2" s="1"/>
  <c r="H6042" i="2"/>
  <c r="I6042" i="2" s="1"/>
  <c r="H6043" i="2"/>
  <c r="I6043" i="2" s="1"/>
  <c r="H6044" i="2"/>
  <c r="I6044" i="2" s="1"/>
  <c r="H6045" i="2"/>
  <c r="I6045" i="2" s="1"/>
  <c r="H6046" i="2"/>
  <c r="I6046" i="2" s="1"/>
  <c r="H6047" i="2"/>
  <c r="I6047" i="2" s="1"/>
  <c r="H6048" i="2"/>
  <c r="I6048" i="2" s="1"/>
  <c r="H6049" i="2"/>
  <c r="I6049" i="2" s="1"/>
  <c r="H6050" i="2"/>
  <c r="I6050" i="2" s="1"/>
  <c r="H6051" i="2"/>
  <c r="I6051" i="2" s="1"/>
  <c r="H6052" i="2"/>
  <c r="I6052" i="2" s="1"/>
  <c r="H6053" i="2"/>
  <c r="I6053" i="2" s="1"/>
  <c r="H6054" i="2"/>
  <c r="I6054" i="2" s="1"/>
  <c r="H6055" i="2"/>
  <c r="I6055" i="2" s="1"/>
  <c r="H6056" i="2"/>
  <c r="I6056" i="2" s="1"/>
  <c r="H6057" i="2"/>
  <c r="I6057" i="2" s="1"/>
  <c r="H6058" i="2"/>
  <c r="I6058" i="2" s="1"/>
  <c r="H6059" i="2"/>
  <c r="I6059" i="2" s="1"/>
  <c r="H6060" i="2"/>
  <c r="I6060" i="2" s="1"/>
  <c r="H6061" i="2"/>
  <c r="I6061" i="2" s="1"/>
  <c r="H6062" i="2"/>
  <c r="I6062" i="2" s="1"/>
  <c r="H6063" i="2"/>
  <c r="I6063" i="2" s="1"/>
  <c r="H6064" i="2"/>
  <c r="I6064" i="2" s="1"/>
  <c r="H6065" i="2"/>
  <c r="I6065" i="2" s="1"/>
  <c r="H6066" i="2"/>
  <c r="I6066" i="2" s="1"/>
  <c r="H6067" i="2"/>
  <c r="I6067" i="2" s="1"/>
  <c r="H6068" i="2"/>
  <c r="I6068" i="2" s="1"/>
  <c r="H6069" i="2"/>
  <c r="I6069" i="2" s="1"/>
  <c r="H6070" i="2"/>
  <c r="I6070" i="2" s="1"/>
  <c r="H6071" i="2"/>
  <c r="I6071" i="2" s="1"/>
  <c r="H6072" i="2"/>
  <c r="I6072" i="2" s="1"/>
  <c r="H6073" i="2"/>
  <c r="I6073" i="2" s="1"/>
  <c r="H6074" i="2"/>
  <c r="I6074" i="2" s="1"/>
  <c r="H6075" i="2"/>
  <c r="I6075" i="2" s="1"/>
  <c r="H6076" i="2"/>
  <c r="I6076" i="2" s="1"/>
  <c r="H6077" i="2"/>
  <c r="I6077" i="2" s="1"/>
  <c r="H6078" i="2"/>
  <c r="I6078" i="2" s="1"/>
  <c r="H6079" i="2"/>
  <c r="I6079" i="2" s="1"/>
  <c r="H6080" i="2"/>
  <c r="I6080" i="2" s="1"/>
  <c r="H6081" i="2"/>
  <c r="I6081" i="2" s="1"/>
  <c r="H6082" i="2"/>
  <c r="I6082" i="2" s="1"/>
  <c r="H6083" i="2"/>
  <c r="I6083" i="2" s="1"/>
  <c r="H6084" i="2"/>
  <c r="I6084" i="2" s="1"/>
  <c r="H6085" i="2"/>
  <c r="I6085" i="2" s="1"/>
  <c r="H6086" i="2"/>
  <c r="I6086" i="2" s="1"/>
  <c r="H6087" i="2"/>
  <c r="I6087" i="2" s="1"/>
  <c r="H6088" i="2"/>
  <c r="I6088" i="2" s="1"/>
  <c r="H6089" i="2"/>
  <c r="I6089" i="2" s="1"/>
  <c r="H6090" i="2"/>
  <c r="I6090" i="2" s="1"/>
  <c r="H6091" i="2"/>
  <c r="I6091" i="2" s="1"/>
  <c r="H6092" i="2"/>
  <c r="I6092" i="2" s="1"/>
  <c r="H6093" i="2"/>
  <c r="I6093" i="2" s="1"/>
  <c r="H6094" i="2"/>
  <c r="I6094" i="2" s="1"/>
  <c r="H6095" i="2"/>
  <c r="I6095" i="2" s="1"/>
  <c r="H6096" i="2"/>
  <c r="I6096" i="2" s="1"/>
  <c r="H6097" i="2"/>
  <c r="I6097" i="2" s="1"/>
  <c r="H6098" i="2"/>
  <c r="I6098" i="2" s="1"/>
  <c r="H6099" i="2"/>
  <c r="I6099" i="2" s="1"/>
  <c r="H6100" i="2"/>
  <c r="I6100" i="2" s="1"/>
  <c r="H6101" i="2"/>
  <c r="I6101" i="2" s="1"/>
  <c r="H6102" i="2"/>
  <c r="I6102" i="2" s="1"/>
  <c r="H6103" i="2"/>
  <c r="I6103" i="2" s="1"/>
  <c r="H6104" i="2"/>
  <c r="I6104" i="2" s="1"/>
  <c r="H6105" i="2"/>
  <c r="I6105" i="2" s="1"/>
  <c r="H6106" i="2"/>
  <c r="I6106" i="2" s="1"/>
  <c r="H6107" i="2"/>
  <c r="I6107" i="2" s="1"/>
  <c r="H6108" i="2"/>
  <c r="I6108" i="2" s="1"/>
  <c r="H6109" i="2"/>
  <c r="I6109" i="2" s="1"/>
  <c r="H6110" i="2"/>
  <c r="I6110" i="2" s="1"/>
  <c r="H6111" i="2"/>
  <c r="I6111" i="2" s="1"/>
  <c r="H6112" i="2"/>
  <c r="I6112" i="2" s="1"/>
  <c r="H6113" i="2"/>
  <c r="I6113" i="2" s="1"/>
  <c r="H6114" i="2"/>
  <c r="I6114" i="2" s="1"/>
  <c r="H6115" i="2"/>
  <c r="I6115" i="2" s="1"/>
  <c r="H6116" i="2"/>
  <c r="I6116" i="2" s="1"/>
  <c r="H6117" i="2"/>
  <c r="I6117" i="2" s="1"/>
  <c r="H6118" i="2"/>
  <c r="I6118" i="2" s="1"/>
  <c r="H6119" i="2"/>
  <c r="I6119" i="2" s="1"/>
  <c r="H6120" i="2"/>
  <c r="I6120" i="2" s="1"/>
  <c r="H6121" i="2"/>
  <c r="I6121" i="2" s="1"/>
  <c r="H6122" i="2"/>
  <c r="I6122" i="2" s="1"/>
  <c r="H6123" i="2"/>
  <c r="I6123" i="2" s="1"/>
  <c r="H6124" i="2"/>
  <c r="I6124" i="2" s="1"/>
  <c r="H6125" i="2"/>
  <c r="I6125" i="2" s="1"/>
  <c r="H6126" i="2"/>
  <c r="I6126" i="2" s="1"/>
  <c r="H6127" i="2"/>
  <c r="I6127" i="2" s="1"/>
  <c r="H6128" i="2"/>
  <c r="I6128" i="2" s="1"/>
  <c r="H6129" i="2"/>
  <c r="I6129" i="2" s="1"/>
  <c r="H6130" i="2"/>
  <c r="I6130" i="2" s="1"/>
  <c r="H6131" i="2"/>
  <c r="I6131" i="2" s="1"/>
  <c r="H6132" i="2"/>
  <c r="I6132" i="2" s="1"/>
  <c r="H6133" i="2"/>
  <c r="I6133" i="2" s="1"/>
  <c r="H6134" i="2"/>
  <c r="I6134" i="2" s="1"/>
  <c r="H6135" i="2"/>
  <c r="I6135" i="2" s="1"/>
  <c r="H6136" i="2"/>
  <c r="I6136" i="2" s="1"/>
  <c r="H6137" i="2"/>
  <c r="I6137" i="2" s="1"/>
  <c r="H6138" i="2"/>
  <c r="I6138" i="2" s="1"/>
  <c r="H6139" i="2"/>
  <c r="I6139" i="2" s="1"/>
  <c r="H6140" i="2"/>
  <c r="I6140" i="2" s="1"/>
  <c r="H6141" i="2"/>
  <c r="I6141" i="2" s="1"/>
  <c r="H6142" i="2"/>
  <c r="I6142" i="2" s="1"/>
  <c r="H6143" i="2"/>
  <c r="I6143" i="2" s="1"/>
  <c r="H6144" i="2"/>
  <c r="I6144" i="2" s="1"/>
  <c r="H6145" i="2"/>
  <c r="I6145" i="2" s="1"/>
  <c r="H6146" i="2"/>
  <c r="I6146" i="2" s="1"/>
  <c r="H6147" i="2"/>
  <c r="I6147" i="2" s="1"/>
  <c r="H6148" i="2"/>
  <c r="I6148" i="2" s="1"/>
  <c r="H6149" i="2"/>
  <c r="I6149" i="2" s="1"/>
  <c r="H6150" i="2"/>
  <c r="I6150" i="2" s="1"/>
  <c r="H6151" i="2"/>
  <c r="I6151" i="2" s="1"/>
  <c r="H6152" i="2"/>
  <c r="I6152" i="2" s="1"/>
  <c r="H6153" i="2"/>
  <c r="I6153" i="2" s="1"/>
  <c r="H6154" i="2"/>
  <c r="I6154" i="2" s="1"/>
  <c r="H6155" i="2"/>
  <c r="I6155" i="2" s="1"/>
  <c r="H6156" i="2"/>
  <c r="I6156" i="2" s="1"/>
  <c r="H6157" i="2"/>
  <c r="I6157" i="2" s="1"/>
  <c r="H6158" i="2"/>
  <c r="I6158" i="2" s="1"/>
  <c r="H6159" i="2"/>
  <c r="I6159" i="2" s="1"/>
  <c r="H6160" i="2"/>
  <c r="I6160" i="2" s="1"/>
  <c r="H6161" i="2"/>
  <c r="I6161" i="2" s="1"/>
  <c r="H6162" i="2"/>
  <c r="I6162" i="2" s="1"/>
  <c r="H6163" i="2"/>
  <c r="I6163" i="2" s="1"/>
  <c r="H6164" i="2"/>
  <c r="I6164" i="2" s="1"/>
  <c r="H6165" i="2"/>
  <c r="I6165" i="2" s="1"/>
  <c r="H6166" i="2"/>
  <c r="I6166" i="2" s="1"/>
  <c r="H6167" i="2"/>
  <c r="I6167" i="2" s="1"/>
  <c r="H6168" i="2"/>
  <c r="I6168" i="2" s="1"/>
  <c r="H6169" i="2"/>
  <c r="I6169" i="2" s="1"/>
  <c r="H6170" i="2"/>
  <c r="I6170" i="2" s="1"/>
  <c r="H6171" i="2"/>
  <c r="I6171" i="2" s="1"/>
  <c r="H6172" i="2"/>
  <c r="I6172" i="2" s="1"/>
  <c r="H6173" i="2"/>
  <c r="I6173" i="2" s="1"/>
  <c r="H6174" i="2"/>
  <c r="I6174" i="2" s="1"/>
  <c r="H6175" i="2"/>
  <c r="I6175" i="2" s="1"/>
  <c r="H6176" i="2"/>
  <c r="I6176" i="2" s="1"/>
  <c r="H6177" i="2"/>
  <c r="I6177" i="2" s="1"/>
  <c r="H6178" i="2"/>
  <c r="I6178" i="2" s="1"/>
  <c r="H6179" i="2"/>
  <c r="I6179" i="2" s="1"/>
  <c r="H6180" i="2"/>
  <c r="I6180" i="2" s="1"/>
  <c r="H6181" i="2"/>
  <c r="I6181" i="2" s="1"/>
  <c r="H6182" i="2"/>
  <c r="I6182" i="2" s="1"/>
  <c r="H6183" i="2"/>
  <c r="I6183" i="2" s="1"/>
  <c r="H6184" i="2"/>
  <c r="I6184" i="2" s="1"/>
  <c r="H6185" i="2"/>
  <c r="I6185" i="2" s="1"/>
  <c r="H6186" i="2"/>
  <c r="I6186" i="2" s="1"/>
  <c r="H6187" i="2"/>
  <c r="I6187" i="2" s="1"/>
  <c r="H6188" i="2"/>
  <c r="I6188" i="2" s="1"/>
  <c r="H6189" i="2"/>
  <c r="I6189" i="2" s="1"/>
  <c r="H6190" i="2"/>
  <c r="I6190" i="2" s="1"/>
  <c r="H6191" i="2"/>
  <c r="I6191" i="2" s="1"/>
  <c r="H6192" i="2"/>
  <c r="I6192" i="2" s="1"/>
  <c r="H6193" i="2"/>
  <c r="I6193" i="2" s="1"/>
  <c r="H6194" i="2"/>
  <c r="I6194" i="2" s="1"/>
  <c r="H6195" i="2"/>
  <c r="I6195" i="2" s="1"/>
  <c r="H6196" i="2"/>
  <c r="I6196" i="2" s="1"/>
  <c r="H6197" i="2"/>
  <c r="I6197" i="2" s="1"/>
  <c r="H6198" i="2"/>
  <c r="I6198" i="2" s="1"/>
  <c r="H6199" i="2"/>
  <c r="I6199" i="2" s="1"/>
  <c r="H6200" i="2"/>
  <c r="I6200" i="2" s="1"/>
  <c r="H6201" i="2"/>
  <c r="I6201" i="2" s="1"/>
  <c r="H6202" i="2"/>
  <c r="I6202" i="2" s="1"/>
  <c r="H6203" i="2"/>
  <c r="I6203" i="2" s="1"/>
  <c r="H6204" i="2"/>
  <c r="I6204" i="2" s="1"/>
  <c r="H6205" i="2"/>
  <c r="I6205" i="2" s="1"/>
  <c r="H6206" i="2"/>
  <c r="I6206" i="2" s="1"/>
  <c r="H6207" i="2"/>
  <c r="I6207" i="2" s="1"/>
  <c r="H6208" i="2"/>
  <c r="I6208" i="2" s="1"/>
  <c r="H6209" i="2"/>
  <c r="I6209" i="2" s="1"/>
  <c r="H6210" i="2"/>
  <c r="I6210" i="2" s="1"/>
  <c r="H6211" i="2"/>
  <c r="I6211" i="2" s="1"/>
  <c r="H6212" i="2"/>
  <c r="I6212" i="2" s="1"/>
  <c r="H6213" i="2"/>
  <c r="I6213" i="2" s="1"/>
  <c r="H6214" i="2"/>
  <c r="I6214" i="2" s="1"/>
  <c r="H6215" i="2"/>
  <c r="I6215" i="2" s="1"/>
  <c r="H6216" i="2"/>
  <c r="I6216" i="2" s="1"/>
  <c r="H6217" i="2"/>
  <c r="I6217" i="2" s="1"/>
  <c r="H6218" i="2"/>
  <c r="I6218" i="2" s="1"/>
  <c r="H6219" i="2"/>
  <c r="I6219" i="2" s="1"/>
  <c r="H6220" i="2"/>
  <c r="I6220" i="2" s="1"/>
  <c r="H6221" i="2"/>
  <c r="I6221" i="2" s="1"/>
  <c r="H6222" i="2"/>
  <c r="I6222" i="2" s="1"/>
  <c r="H6223" i="2"/>
  <c r="I6223" i="2" s="1"/>
  <c r="H6224" i="2"/>
  <c r="I6224" i="2" s="1"/>
  <c r="H6225" i="2"/>
  <c r="I6225" i="2" s="1"/>
  <c r="H6226" i="2"/>
  <c r="I6226" i="2" s="1"/>
  <c r="H6227" i="2"/>
  <c r="I6227" i="2" s="1"/>
  <c r="H6228" i="2"/>
  <c r="I6228" i="2" s="1"/>
  <c r="H6229" i="2"/>
  <c r="I6229" i="2" s="1"/>
  <c r="H6230" i="2"/>
  <c r="I6230" i="2" s="1"/>
  <c r="H6231" i="2"/>
  <c r="I6231" i="2" s="1"/>
  <c r="H6232" i="2"/>
  <c r="I6232" i="2" s="1"/>
  <c r="H6233" i="2"/>
  <c r="I6233" i="2" s="1"/>
  <c r="H6234" i="2"/>
  <c r="I6234" i="2" s="1"/>
  <c r="H6235" i="2"/>
  <c r="I6235" i="2" s="1"/>
  <c r="H6236" i="2"/>
  <c r="I6236" i="2" s="1"/>
  <c r="H6237" i="2"/>
  <c r="I6237" i="2" s="1"/>
  <c r="H6238" i="2"/>
  <c r="I6238" i="2" s="1"/>
  <c r="H6239" i="2"/>
  <c r="I6239" i="2" s="1"/>
  <c r="H6240" i="2"/>
  <c r="I6240" i="2" s="1"/>
  <c r="H6241" i="2"/>
  <c r="I6241" i="2" s="1"/>
  <c r="H6242" i="2"/>
  <c r="I6242" i="2" s="1"/>
  <c r="H6243" i="2"/>
  <c r="I6243" i="2" s="1"/>
  <c r="H6244" i="2"/>
  <c r="I6244" i="2" s="1"/>
  <c r="H6245" i="2"/>
  <c r="I6245" i="2" s="1"/>
  <c r="H6246" i="2"/>
  <c r="I6246" i="2" s="1"/>
  <c r="H6247" i="2"/>
  <c r="I6247" i="2" s="1"/>
  <c r="H6248" i="2"/>
  <c r="I6248" i="2" s="1"/>
  <c r="H6249" i="2"/>
  <c r="I6249" i="2" s="1"/>
  <c r="H6250" i="2"/>
  <c r="I6250" i="2" s="1"/>
  <c r="H6251" i="2"/>
  <c r="I6251" i="2" s="1"/>
  <c r="H6252" i="2"/>
  <c r="I6252" i="2" s="1"/>
  <c r="H6253" i="2"/>
  <c r="I6253" i="2" s="1"/>
  <c r="H6254" i="2"/>
  <c r="I6254" i="2" s="1"/>
  <c r="H6255" i="2"/>
  <c r="I6255" i="2" s="1"/>
  <c r="H6256" i="2"/>
  <c r="I6256" i="2" s="1"/>
  <c r="H6257" i="2"/>
  <c r="I6257" i="2" s="1"/>
  <c r="H6258" i="2"/>
  <c r="I6258" i="2" s="1"/>
  <c r="H6259" i="2"/>
  <c r="I6259" i="2" s="1"/>
  <c r="H6260" i="2"/>
  <c r="I6260" i="2" s="1"/>
  <c r="H6261" i="2"/>
  <c r="I6261" i="2" s="1"/>
  <c r="H6262" i="2"/>
  <c r="I6262" i="2" s="1"/>
  <c r="H6263" i="2"/>
  <c r="I6263" i="2" s="1"/>
  <c r="H6264" i="2"/>
  <c r="I6264" i="2" s="1"/>
  <c r="H6265" i="2"/>
  <c r="I6265" i="2" s="1"/>
  <c r="H6266" i="2"/>
  <c r="I6266" i="2" s="1"/>
  <c r="H6267" i="2"/>
  <c r="I6267" i="2" s="1"/>
  <c r="H6268" i="2"/>
  <c r="I6268" i="2" s="1"/>
  <c r="H6269" i="2"/>
  <c r="I6269" i="2" s="1"/>
  <c r="H6270" i="2"/>
  <c r="I6270" i="2" s="1"/>
  <c r="H6271" i="2"/>
  <c r="I6271" i="2" s="1"/>
  <c r="H6272" i="2"/>
  <c r="I6272" i="2" s="1"/>
  <c r="H6273" i="2"/>
  <c r="I6273" i="2" s="1"/>
  <c r="H6274" i="2"/>
  <c r="I6274" i="2" s="1"/>
  <c r="H6275" i="2"/>
  <c r="I6275" i="2" s="1"/>
  <c r="H6276" i="2"/>
  <c r="I6276" i="2" s="1"/>
  <c r="H6277" i="2"/>
  <c r="I6277" i="2" s="1"/>
  <c r="H6278" i="2"/>
  <c r="I6278" i="2" s="1"/>
  <c r="H6279" i="2"/>
  <c r="I6279" i="2" s="1"/>
  <c r="H6280" i="2"/>
  <c r="I6280" i="2" s="1"/>
  <c r="H6281" i="2"/>
  <c r="I6281" i="2" s="1"/>
  <c r="H6282" i="2"/>
  <c r="I6282" i="2" s="1"/>
  <c r="H6283" i="2"/>
  <c r="I6283" i="2" s="1"/>
  <c r="H6284" i="2"/>
  <c r="I6284" i="2" s="1"/>
  <c r="H6285" i="2"/>
  <c r="I6285" i="2" s="1"/>
  <c r="H6286" i="2"/>
  <c r="I6286" i="2" s="1"/>
  <c r="H6287" i="2"/>
  <c r="I6287" i="2" s="1"/>
  <c r="H6288" i="2"/>
  <c r="I6288" i="2" s="1"/>
  <c r="H6289" i="2"/>
  <c r="I6289" i="2" s="1"/>
  <c r="H6290" i="2"/>
  <c r="I6290" i="2" s="1"/>
  <c r="H6291" i="2"/>
  <c r="I6291" i="2" s="1"/>
  <c r="H6292" i="2"/>
  <c r="I6292" i="2" s="1"/>
  <c r="H6293" i="2"/>
  <c r="I6293" i="2" s="1"/>
  <c r="H6294" i="2"/>
  <c r="I6294" i="2" s="1"/>
  <c r="H6295" i="2"/>
  <c r="I6295" i="2" s="1"/>
  <c r="H6296" i="2"/>
  <c r="I6296" i="2" s="1"/>
  <c r="H6297" i="2"/>
  <c r="I6297" i="2" s="1"/>
  <c r="H6298" i="2"/>
  <c r="I6298" i="2" s="1"/>
  <c r="H6299" i="2"/>
  <c r="I6299" i="2" s="1"/>
  <c r="H6300" i="2"/>
  <c r="I6300" i="2" s="1"/>
  <c r="H6301" i="2"/>
  <c r="I6301" i="2" s="1"/>
  <c r="H6302" i="2"/>
  <c r="I6302" i="2" s="1"/>
  <c r="H6303" i="2"/>
  <c r="I6303" i="2" s="1"/>
  <c r="H6304" i="2"/>
  <c r="I6304" i="2" s="1"/>
  <c r="H6305" i="2"/>
  <c r="I6305" i="2" s="1"/>
  <c r="H6306" i="2"/>
  <c r="I6306" i="2" s="1"/>
  <c r="H6307" i="2"/>
  <c r="I6307" i="2" s="1"/>
  <c r="H6308" i="2"/>
  <c r="I6308" i="2" s="1"/>
  <c r="H6309" i="2"/>
  <c r="I6309" i="2" s="1"/>
  <c r="H6310" i="2"/>
  <c r="I6310" i="2" s="1"/>
  <c r="H6311" i="2"/>
  <c r="I6311" i="2" s="1"/>
  <c r="H6312" i="2"/>
  <c r="I6312" i="2" s="1"/>
  <c r="H6313" i="2"/>
  <c r="I6313" i="2" s="1"/>
  <c r="H6314" i="2"/>
  <c r="I6314" i="2" s="1"/>
  <c r="H6315" i="2"/>
  <c r="I6315" i="2" s="1"/>
  <c r="H6316" i="2"/>
  <c r="I6316" i="2" s="1"/>
  <c r="H6317" i="2"/>
  <c r="I6317" i="2" s="1"/>
  <c r="H6318" i="2"/>
  <c r="I6318" i="2" s="1"/>
  <c r="H6319" i="2"/>
  <c r="I6319" i="2" s="1"/>
  <c r="H6320" i="2"/>
  <c r="I6320" i="2" s="1"/>
  <c r="H6321" i="2"/>
  <c r="I6321" i="2" s="1"/>
  <c r="H6322" i="2"/>
  <c r="I6322" i="2" s="1"/>
  <c r="H6323" i="2"/>
  <c r="I6323" i="2" s="1"/>
  <c r="H6324" i="2"/>
  <c r="I6324" i="2" s="1"/>
  <c r="H6325" i="2"/>
  <c r="I6325" i="2" s="1"/>
  <c r="H6326" i="2"/>
  <c r="I6326" i="2" s="1"/>
  <c r="H6327" i="2"/>
  <c r="I6327" i="2" s="1"/>
  <c r="H6328" i="2"/>
  <c r="I6328" i="2" s="1"/>
  <c r="H6329" i="2"/>
  <c r="I6329" i="2" s="1"/>
  <c r="H6330" i="2"/>
  <c r="I6330" i="2" s="1"/>
  <c r="H6331" i="2"/>
  <c r="I6331" i="2" s="1"/>
  <c r="H6332" i="2"/>
  <c r="I6332" i="2" s="1"/>
  <c r="H6333" i="2"/>
  <c r="I6333" i="2" s="1"/>
  <c r="H6334" i="2"/>
  <c r="I6334" i="2" s="1"/>
  <c r="H6335" i="2"/>
  <c r="I6335" i="2" s="1"/>
  <c r="H6336" i="2"/>
  <c r="I6336" i="2" s="1"/>
  <c r="H6337" i="2"/>
  <c r="I6337" i="2" s="1"/>
  <c r="H6338" i="2"/>
  <c r="I6338" i="2" s="1"/>
  <c r="H6339" i="2"/>
  <c r="I6339" i="2" s="1"/>
  <c r="H6340" i="2"/>
  <c r="I6340" i="2" s="1"/>
  <c r="H6341" i="2"/>
  <c r="I6341" i="2" s="1"/>
  <c r="H6342" i="2"/>
  <c r="I6342" i="2" s="1"/>
  <c r="H6343" i="2"/>
  <c r="I6343" i="2" s="1"/>
  <c r="H6344" i="2"/>
  <c r="I6344" i="2" s="1"/>
  <c r="H6345" i="2"/>
  <c r="I6345" i="2" s="1"/>
  <c r="H6346" i="2"/>
  <c r="I6346" i="2" s="1"/>
  <c r="H6347" i="2"/>
  <c r="I6347" i="2" s="1"/>
  <c r="H6348" i="2"/>
  <c r="I6348" i="2" s="1"/>
  <c r="H6349" i="2"/>
  <c r="I6349" i="2" s="1"/>
  <c r="H6350" i="2"/>
  <c r="I6350" i="2" s="1"/>
  <c r="H6351" i="2"/>
  <c r="I6351" i="2" s="1"/>
  <c r="H6352" i="2"/>
  <c r="I6352" i="2" s="1"/>
  <c r="H6353" i="2"/>
  <c r="I6353" i="2" s="1"/>
  <c r="H6354" i="2"/>
  <c r="I6354" i="2" s="1"/>
  <c r="H6355" i="2"/>
  <c r="I6355" i="2" s="1"/>
  <c r="H6356" i="2"/>
  <c r="I6356" i="2" s="1"/>
  <c r="H6357" i="2"/>
  <c r="I6357" i="2" s="1"/>
  <c r="H6358" i="2"/>
  <c r="I6358" i="2" s="1"/>
  <c r="H6359" i="2"/>
  <c r="I6359" i="2" s="1"/>
  <c r="H6360" i="2"/>
  <c r="I6360" i="2" s="1"/>
  <c r="H6361" i="2"/>
  <c r="I6361" i="2" s="1"/>
  <c r="H6362" i="2"/>
  <c r="I6362" i="2" s="1"/>
  <c r="H6363" i="2"/>
  <c r="I6363" i="2" s="1"/>
  <c r="H6364" i="2"/>
  <c r="I6364" i="2" s="1"/>
  <c r="H6365" i="2"/>
  <c r="I6365" i="2" s="1"/>
  <c r="H6366" i="2"/>
  <c r="I6366" i="2" s="1"/>
  <c r="H6367" i="2"/>
  <c r="I6367" i="2" s="1"/>
  <c r="H6368" i="2"/>
  <c r="I6368" i="2" s="1"/>
  <c r="H6369" i="2"/>
  <c r="I6369" i="2" s="1"/>
  <c r="H6370" i="2"/>
  <c r="I6370" i="2" s="1"/>
  <c r="H6371" i="2"/>
  <c r="I6371" i="2" s="1"/>
  <c r="H6372" i="2"/>
  <c r="I6372" i="2" s="1"/>
  <c r="H6373" i="2"/>
  <c r="I6373" i="2" s="1"/>
  <c r="H6374" i="2"/>
  <c r="I6374" i="2" s="1"/>
  <c r="H6375" i="2"/>
  <c r="I6375" i="2" s="1"/>
  <c r="H6376" i="2"/>
  <c r="I6376" i="2" s="1"/>
  <c r="H6377" i="2"/>
  <c r="I6377" i="2" s="1"/>
  <c r="H6378" i="2"/>
  <c r="I6378" i="2" s="1"/>
  <c r="H6379" i="2"/>
  <c r="I6379" i="2" s="1"/>
  <c r="H6380" i="2"/>
  <c r="I6380" i="2" s="1"/>
  <c r="H6381" i="2"/>
  <c r="I6381" i="2" s="1"/>
  <c r="H6382" i="2"/>
  <c r="I6382" i="2" s="1"/>
  <c r="H6383" i="2"/>
  <c r="I6383" i="2" s="1"/>
  <c r="H6384" i="2"/>
  <c r="I6384" i="2" s="1"/>
  <c r="H6385" i="2"/>
  <c r="I6385" i="2" s="1"/>
  <c r="H6386" i="2"/>
  <c r="I6386" i="2" s="1"/>
  <c r="H6387" i="2"/>
  <c r="I6387" i="2" s="1"/>
  <c r="H6388" i="2"/>
  <c r="I6388" i="2" s="1"/>
  <c r="H6389" i="2"/>
  <c r="I6389" i="2" s="1"/>
  <c r="H6390" i="2"/>
  <c r="I6390" i="2" s="1"/>
  <c r="H6391" i="2"/>
  <c r="I6391" i="2" s="1"/>
  <c r="H6392" i="2"/>
  <c r="I6392" i="2" s="1"/>
  <c r="H6393" i="2"/>
  <c r="I6393" i="2" s="1"/>
  <c r="H6394" i="2"/>
  <c r="I6394" i="2" s="1"/>
  <c r="H6395" i="2"/>
  <c r="I6395" i="2" s="1"/>
  <c r="H6396" i="2"/>
  <c r="I6396" i="2" s="1"/>
  <c r="H6397" i="2"/>
  <c r="I6397" i="2" s="1"/>
  <c r="H6398" i="2"/>
  <c r="I6398" i="2" s="1"/>
  <c r="H6399" i="2"/>
  <c r="I6399" i="2" s="1"/>
  <c r="H6400" i="2"/>
  <c r="I6400" i="2" s="1"/>
  <c r="H6401" i="2"/>
  <c r="I6401" i="2" s="1"/>
  <c r="H6402" i="2"/>
  <c r="I6402" i="2" s="1"/>
  <c r="H6403" i="2"/>
  <c r="I6403" i="2" s="1"/>
  <c r="H6404" i="2"/>
  <c r="I6404" i="2" s="1"/>
  <c r="H6405" i="2"/>
  <c r="I6405" i="2" s="1"/>
  <c r="H6406" i="2"/>
  <c r="I6406" i="2" s="1"/>
  <c r="H6407" i="2"/>
  <c r="I6407" i="2" s="1"/>
  <c r="H6408" i="2"/>
  <c r="I6408" i="2" s="1"/>
  <c r="H6409" i="2"/>
  <c r="I6409" i="2" s="1"/>
  <c r="H6410" i="2"/>
  <c r="I6410" i="2" s="1"/>
  <c r="H6411" i="2"/>
  <c r="I6411" i="2" s="1"/>
  <c r="H6412" i="2"/>
  <c r="I6412" i="2" s="1"/>
  <c r="H6413" i="2"/>
  <c r="I6413" i="2" s="1"/>
  <c r="H6414" i="2"/>
  <c r="I6414" i="2" s="1"/>
  <c r="H6415" i="2"/>
  <c r="I6415" i="2" s="1"/>
  <c r="H6416" i="2"/>
  <c r="I6416" i="2" s="1"/>
  <c r="H6417" i="2"/>
  <c r="I6417" i="2" s="1"/>
  <c r="H6418" i="2"/>
  <c r="I6418" i="2" s="1"/>
  <c r="H6419" i="2"/>
  <c r="I6419" i="2" s="1"/>
  <c r="H6420" i="2"/>
  <c r="I6420" i="2" s="1"/>
  <c r="H6421" i="2"/>
  <c r="I6421" i="2" s="1"/>
  <c r="H6422" i="2"/>
  <c r="I6422" i="2" s="1"/>
  <c r="H6423" i="2"/>
  <c r="I6423" i="2" s="1"/>
  <c r="H6424" i="2"/>
  <c r="I6424" i="2" s="1"/>
  <c r="H6425" i="2"/>
  <c r="I6425" i="2" s="1"/>
  <c r="H6426" i="2"/>
  <c r="I6426" i="2" s="1"/>
  <c r="H6427" i="2"/>
  <c r="I6427" i="2" s="1"/>
  <c r="H6428" i="2"/>
  <c r="I6428" i="2" s="1"/>
  <c r="H6429" i="2"/>
  <c r="I6429" i="2" s="1"/>
  <c r="H6430" i="2"/>
  <c r="I6430" i="2" s="1"/>
  <c r="H6431" i="2"/>
  <c r="I6431" i="2" s="1"/>
  <c r="H6432" i="2"/>
  <c r="I6432" i="2" s="1"/>
  <c r="H6433" i="2"/>
  <c r="I6433" i="2" s="1"/>
  <c r="H6434" i="2"/>
  <c r="I6434" i="2" s="1"/>
  <c r="H6435" i="2"/>
  <c r="I6435" i="2" s="1"/>
  <c r="H6436" i="2"/>
  <c r="I6436" i="2" s="1"/>
  <c r="H6437" i="2"/>
  <c r="I6437" i="2" s="1"/>
  <c r="H6438" i="2"/>
  <c r="I6438" i="2" s="1"/>
  <c r="H6439" i="2"/>
  <c r="I6439" i="2" s="1"/>
  <c r="H6440" i="2"/>
  <c r="I6440" i="2" s="1"/>
  <c r="H6441" i="2"/>
  <c r="I6441" i="2" s="1"/>
  <c r="H6442" i="2"/>
  <c r="I6442" i="2" s="1"/>
  <c r="H6443" i="2"/>
  <c r="I6443" i="2" s="1"/>
  <c r="H6444" i="2"/>
  <c r="I6444" i="2" s="1"/>
  <c r="H6445" i="2"/>
  <c r="I6445" i="2" s="1"/>
  <c r="H6446" i="2"/>
  <c r="I6446" i="2" s="1"/>
  <c r="H6447" i="2"/>
  <c r="I6447" i="2" s="1"/>
  <c r="H6448" i="2"/>
  <c r="I6448" i="2" s="1"/>
  <c r="H6449" i="2"/>
  <c r="I6449" i="2" s="1"/>
  <c r="H6450" i="2"/>
  <c r="I6450" i="2" s="1"/>
  <c r="H6451" i="2"/>
  <c r="I6451" i="2" s="1"/>
  <c r="H6452" i="2"/>
  <c r="I6452" i="2" s="1"/>
  <c r="H6453" i="2"/>
  <c r="I6453" i="2" s="1"/>
  <c r="H6454" i="2"/>
  <c r="I6454" i="2" s="1"/>
  <c r="H6455" i="2"/>
  <c r="I6455" i="2" s="1"/>
  <c r="H6456" i="2"/>
  <c r="I6456" i="2" s="1"/>
  <c r="H6457" i="2"/>
  <c r="I6457" i="2" s="1"/>
  <c r="H6458" i="2"/>
  <c r="I6458" i="2" s="1"/>
  <c r="H6459" i="2"/>
  <c r="I6459" i="2" s="1"/>
  <c r="H6460" i="2"/>
  <c r="I6460" i="2" s="1"/>
  <c r="H6461" i="2"/>
  <c r="I6461" i="2" s="1"/>
  <c r="H6462" i="2"/>
  <c r="I6462" i="2" s="1"/>
  <c r="H6463" i="2"/>
  <c r="I6463" i="2" s="1"/>
  <c r="H6464" i="2"/>
  <c r="I6464" i="2" s="1"/>
  <c r="H6465" i="2"/>
  <c r="I6465" i="2" s="1"/>
  <c r="H6466" i="2"/>
  <c r="I6466" i="2" s="1"/>
  <c r="H6467" i="2"/>
  <c r="I6467" i="2" s="1"/>
  <c r="H6468" i="2"/>
  <c r="I6468" i="2" s="1"/>
  <c r="H6469" i="2"/>
  <c r="I6469" i="2" s="1"/>
  <c r="H6470" i="2"/>
  <c r="I6470" i="2" s="1"/>
  <c r="H6471" i="2"/>
  <c r="I6471" i="2" s="1"/>
  <c r="H6472" i="2"/>
  <c r="I6472" i="2" s="1"/>
  <c r="H6473" i="2"/>
  <c r="I6473" i="2" s="1"/>
  <c r="H6474" i="2"/>
  <c r="I6474" i="2" s="1"/>
  <c r="H6475" i="2"/>
  <c r="I6475" i="2" s="1"/>
  <c r="H6476" i="2"/>
  <c r="I6476" i="2" s="1"/>
  <c r="H6477" i="2"/>
  <c r="I6477" i="2" s="1"/>
  <c r="H6478" i="2"/>
  <c r="I6478" i="2" s="1"/>
  <c r="H6479" i="2"/>
  <c r="I6479" i="2" s="1"/>
  <c r="H6480" i="2"/>
  <c r="I6480" i="2" s="1"/>
  <c r="H6481" i="2"/>
  <c r="I6481" i="2" s="1"/>
  <c r="H6482" i="2"/>
  <c r="I6482" i="2" s="1"/>
  <c r="H6483" i="2"/>
  <c r="I6483" i="2" s="1"/>
  <c r="H6484" i="2"/>
  <c r="I6484" i="2" s="1"/>
  <c r="H6485" i="2"/>
  <c r="I6485" i="2" s="1"/>
  <c r="H6486" i="2"/>
  <c r="I6486" i="2" s="1"/>
  <c r="H6487" i="2"/>
  <c r="I6487" i="2" s="1"/>
  <c r="H6488" i="2"/>
  <c r="I6488" i="2" s="1"/>
  <c r="H6489" i="2"/>
  <c r="I6489" i="2" s="1"/>
  <c r="H6490" i="2"/>
  <c r="I6490" i="2" s="1"/>
  <c r="H6491" i="2"/>
  <c r="I6491" i="2" s="1"/>
  <c r="H6492" i="2"/>
  <c r="I6492" i="2" s="1"/>
  <c r="H6493" i="2"/>
  <c r="I6493" i="2" s="1"/>
  <c r="H6494" i="2"/>
  <c r="I6494" i="2" s="1"/>
  <c r="H6495" i="2"/>
  <c r="I6495" i="2" s="1"/>
  <c r="H6496" i="2"/>
  <c r="I6496" i="2" s="1"/>
  <c r="H6497" i="2"/>
  <c r="I6497" i="2" s="1"/>
  <c r="H6498" i="2"/>
  <c r="I6498" i="2" s="1"/>
  <c r="H6499" i="2"/>
  <c r="I6499" i="2" s="1"/>
  <c r="H6500" i="2"/>
  <c r="I6500" i="2" s="1"/>
  <c r="H6501" i="2"/>
  <c r="I6501" i="2" s="1"/>
  <c r="H6502" i="2"/>
  <c r="I6502" i="2" s="1"/>
  <c r="H6503" i="2"/>
  <c r="I6503" i="2" s="1"/>
  <c r="H6504" i="2"/>
  <c r="I6504" i="2" s="1"/>
  <c r="H6505" i="2"/>
  <c r="I6505" i="2" s="1"/>
  <c r="H6506" i="2"/>
  <c r="I6506" i="2" s="1"/>
  <c r="H6507" i="2"/>
  <c r="I6507" i="2" s="1"/>
  <c r="H6508" i="2"/>
  <c r="I6508" i="2" s="1"/>
  <c r="H6509" i="2"/>
  <c r="I6509" i="2" s="1"/>
  <c r="H6510" i="2"/>
  <c r="I6510" i="2" s="1"/>
  <c r="H6511" i="2"/>
  <c r="I6511" i="2" s="1"/>
  <c r="H6512" i="2"/>
  <c r="I6512" i="2" s="1"/>
  <c r="H6513" i="2"/>
  <c r="I6513" i="2" s="1"/>
  <c r="H6514" i="2"/>
  <c r="I6514" i="2" s="1"/>
  <c r="H6515" i="2"/>
  <c r="I6515" i="2" s="1"/>
  <c r="H6516" i="2"/>
  <c r="I6516" i="2" s="1"/>
  <c r="H6517" i="2"/>
  <c r="I6517" i="2" s="1"/>
  <c r="H6518" i="2"/>
  <c r="I6518" i="2" s="1"/>
  <c r="H6519" i="2"/>
  <c r="I6519" i="2" s="1"/>
  <c r="H6520" i="2"/>
  <c r="I6520" i="2" s="1"/>
  <c r="H6521" i="2"/>
  <c r="I6521" i="2" s="1"/>
  <c r="H6522" i="2"/>
  <c r="I6522" i="2" s="1"/>
  <c r="H6523" i="2"/>
  <c r="I6523" i="2" s="1"/>
  <c r="H6524" i="2"/>
  <c r="I6524" i="2" s="1"/>
  <c r="H6525" i="2"/>
  <c r="I6525" i="2" s="1"/>
  <c r="H6526" i="2"/>
  <c r="I6526" i="2" s="1"/>
  <c r="H6527" i="2"/>
  <c r="I6527" i="2" s="1"/>
  <c r="H6528" i="2"/>
  <c r="I6528" i="2" s="1"/>
  <c r="H6529" i="2"/>
  <c r="I6529" i="2" s="1"/>
  <c r="H6530" i="2"/>
  <c r="I6530" i="2" s="1"/>
  <c r="H6531" i="2"/>
  <c r="I6531" i="2" s="1"/>
  <c r="H6532" i="2"/>
  <c r="I6532" i="2" s="1"/>
  <c r="H6533" i="2"/>
  <c r="I6533" i="2" s="1"/>
  <c r="H6534" i="2"/>
  <c r="I6534" i="2" s="1"/>
  <c r="H6535" i="2"/>
  <c r="I6535" i="2" s="1"/>
  <c r="H6536" i="2"/>
  <c r="I6536" i="2" s="1"/>
  <c r="H6537" i="2"/>
  <c r="I6537" i="2" s="1"/>
  <c r="H6538" i="2"/>
  <c r="I6538" i="2" s="1"/>
  <c r="H6539" i="2"/>
  <c r="I6539" i="2" s="1"/>
  <c r="H6540" i="2"/>
  <c r="I6540" i="2" s="1"/>
  <c r="H6541" i="2"/>
  <c r="I6541" i="2" s="1"/>
  <c r="H6542" i="2"/>
  <c r="I6542" i="2" s="1"/>
  <c r="H6543" i="2"/>
  <c r="I6543" i="2" s="1"/>
  <c r="H6544" i="2"/>
  <c r="I6544" i="2" s="1"/>
  <c r="H6545" i="2"/>
  <c r="I6545" i="2" s="1"/>
  <c r="H6546" i="2"/>
  <c r="I6546" i="2" s="1"/>
  <c r="H6547" i="2"/>
  <c r="I6547" i="2" s="1"/>
  <c r="H6548" i="2"/>
  <c r="I6548" i="2" s="1"/>
  <c r="H6549" i="2"/>
  <c r="I6549" i="2" s="1"/>
  <c r="H6550" i="2"/>
  <c r="I6550" i="2" s="1"/>
  <c r="H6551" i="2"/>
  <c r="I6551" i="2" s="1"/>
  <c r="H6552" i="2"/>
  <c r="I6552" i="2" s="1"/>
  <c r="H6553" i="2"/>
  <c r="I6553" i="2" s="1"/>
  <c r="H6554" i="2"/>
  <c r="I6554" i="2" s="1"/>
  <c r="H6555" i="2"/>
  <c r="I6555" i="2" s="1"/>
  <c r="H6556" i="2"/>
  <c r="I6556" i="2" s="1"/>
  <c r="H6557" i="2"/>
  <c r="I6557" i="2" s="1"/>
  <c r="H6558" i="2"/>
  <c r="I6558" i="2" s="1"/>
  <c r="H6559" i="2"/>
  <c r="I6559" i="2" s="1"/>
  <c r="H6560" i="2"/>
  <c r="I6560" i="2" s="1"/>
  <c r="H6561" i="2"/>
  <c r="I6561" i="2" s="1"/>
  <c r="H6562" i="2"/>
  <c r="I6562" i="2" s="1"/>
  <c r="H6563" i="2"/>
  <c r="I6563" i="2" s="1"/>
  <c r="H6564" i="2"/>
  <c r="I6564" i="2" s="1"/>
  <c r="H6565" i="2"/>
  <c r="I6565" i="2" s="1"/>
  <c r="H6566" i="2"/>
  <c r="I6566" i="2" s="1"/>
  <c r="H6567" i="2"/>
  <c r="I6567" i="2" s="1"/>
  <c r="H6568" i="2"/>
  <c r="I6568" i="2" s="1"/>
  <c r="H6569" i="2"/>
  <c r="I6569" i="2" s="1"/>
  <c r="H6570" i="2"/>
  <c r="I6570" i="2" s="1"/>
  <c r="H6571" i="2"/>
  <c r="I6571" i="2" s="1"/>
  <c r="H6572" i="2"/>
  <c r="I6572" i="2" s="1"/>
  <c r="H6573" i="2"/>
  <c r="I6573" i="2" s="1"/>
  <c r="H6574" i="2"/>
  <c r="I6574" i="2" s="1"/>
  <c r="H6575" i="2"/>
  <c r="I6575" i="2" s="1"/>
  <c r="H6576" i="2"/>
  <c r="I6576" i="2" s="1"/>
  <c r="H6577" i="2"/>
  <c r="I6577" i="2" s="1"/>
  <c r="H6578" i="2"/>
  <c r="I6578" i="2" s="1"/>
  <c r="H6579" i="2"/>
  <c r="I6579" i="2" s="1"/>
  <c r="H6580" i="2"/>
  <c r="I6580" i="2" s="1"/>
  <c r="H6581" i="2"/>
  <c r="I6581" i="2" s="1"/>
  <c r="H6582" i="2"/>
  <c r="I6582" i="2" s="1"/>
  <c r="H6583" i="2"/>
  <c r="I6583" i="2" s="1"/>
  <c r="H6584" i="2"/>
  <c r="I6584" i="2" s="1"/>
  <c r="H6585" i="2"/>
  <c r="I6585" i="2" s="1"/>
  <c r="H6586" i="2"/>
  <c r="I6586" i="2" s="1"/>
  <c r="H6587" i="2"/>
  <c r="I6587" i="2" s="1"/>
  <c r="H6588" i="2"/>
  <c r="I6588" i="2" s="1"/>
  <c r="H6589" i="2"/>
  <c r="I6589" i="2" s="1"/>
  <c r="H6590" i="2"/>
  <c r="I6590" i="2" s="1"/>
  <c r="H6591" i="2"/>
  <c r="I6591" i="2" s="1"/>
  <c r="H6592" i="2"/>
  <c r="I6592" i="2" s="1"/>
  <c r="H6593" i="2"/>
  <c r="I6593" i="2" s="1"/>
  <c r="H6594" i="2"/>
  <c r="I6594" i="2" s="1"/>
  <c r="H6595" i="2"/>
  <c r="I6595" i="2" s="1"/>
  <c r="H6596" i="2"/>
  <c r="I6596" i="2" s="1"/>
  <c r="H6597" i="2"/>
  <c r="I6597" i="2" s="1"/>
  <c r="H6598" i="2"/>
  <c r="I6598" i="2" s="1"/>
  <c r="H6599" i="2"/>
  <c r="I6599" i="2" s="1"/>
  <c r="H6600" i="2"/>
  <c r="I6600" i="2" s="1"/>
  <c r="H6601" i="2"/>
  <c r="I6601" i="2" s="1"/>
  <c r="H6602" i="2"/>
  <c r="I6602" i="2" s="1"/>
  <c r="H6603" i="2"/>
  <c r="I6603" i="2" s="1"/>
  <c r="H6604" i="2"/>
  <c r="I6604" i="2" s="1"/>
  <c r="H6605" i="2"/>
  <c r="I6605" i="2" s="1"/>
  <c r="H6606" i="2"/>
  <c r="I6606" i="2" s="1"/>
  <c r="H6607" i="2"/>
  <c r="I6607" i="2" s="1"/>
  <c r="H6608" i="2"/>
  <c r="I6608" i="2" s="1"/>
  <c r="H6609" i="2"/>
  <c r="I6609" i="2" s="1"/>
  <c r="H6610" i="2"/>
  <c r="I6610" i="2" s="1"/>
  <c r="H6611" i="2"/>
  <c r="I6611" i="2" s="1"/>
  <c r="H6612" i="2"/>
  <c r="I6612" i="2" s="1"/>
  <c r="H6613" i="2"/>
  <c r="I6613" i="2" s="1"/>
  <c r="H6614" i="2"/>
  <c r="I6614" i="2" s="1"/>
  <c r="H6615" i="2"/>
  <c r="I6615" i="2" s="1"/>
  <c r="H6616" i="2"/>
  <c r="I6616" i="2" s="1"/>
  <c r="H6617" i="2"/>
  <c r="I6617" i="2" s="1"/>
  <c r="H6618" i="2"/>
  <c r="I6618" i="2" s="1"/>
  <c r="H6619" i="2"/>
  <c r="I6619" i="2" s="1"/>
  <c r="H6620" i="2"/>
  <c r="I6620" i="2" s="1"/>
  <c r="H6621" i="2"/>
  <c r="I6621" i="2" s="1"/>
  <c r="H6622" i="2"/>
  <c r="I6622" i="2" s="1"/>
  <c r="H6623" i="2"/>
  <c r="I6623" i="2" s="1"/>
  <c r="H6624" i="2"/>
  <c r="I6624" i="2" s="1"/>
  <c r="H6625" i="2"/>
  <c r="I6625" i="2" s="1"/>
  <c r="H6626" i="2"/>
  <c r="I6626" i="2" s="1"/>
  <c r="H6627" i="2"/>
  <c r="I6627" i="2" s="1"/>
  <c r="H6628" i="2"/>
  <c r="I6628" i="2" s="1"/>
  <c r="H6629" i="2"/>
  <c r="I6629" i="2" s="1"/>
  <c r="H6630" i="2"/>
  <c r="I6630" i="2" s="1"/>
  <c r="H6631" i="2"/>
  <c r="I6631" i="2" s="1"/>
  <c r="H6632" i="2"/>
  <c r="I6632" i="2" s="1"/>
  <c r="H6633" i="2"/>
  <c r="I6633" i="2" s="1"/>
  <c r="H6634" i="2"/>
  <c r="I6634" i="2" s="1"/>
  <c r="H6635" i="2"/>
  <c r="I6635" i="2" s="1"/>
  <c r="H6636" i="2"/>
  <c r="I6636" i="2" s="1"/>
  <c r="H6637" i="2"/>
  <c r="I6637" i="2" s="1"/>
  <c r="H6638" i="2"/>
  <c r="I6638" i="2" s="1"/>
  <c r="H6639" i="2"/>
  <c r="I6639" i="2" s="1"/>
  <c r="H6640" i="2"/>
  <c r="I6640" i="2" s="1"/>
  <c r="H6641" i="2"/>
  <c r="I6641" i="2" s="1"/>
  <c r="H6642" i="2"/>
  <c r="I6642" i="2" s="1"/>
  <c r="H6643" i="2"/>
  <c r="I6643" i="2" s="1"/>
  <c r="H6644" i="2"/>
  <c r="I6644" i="2" s="1"/>
  <c r="H6645" i="2"/>
  <c r="I6645" i="2" s="1"/>
  <c r="H6646" i="2"/>
  <c r="I6646" i="2" s="1"/>
  <c r="H6647" i="2"/>
  <c r="I6647" i="2" s="1"/>
  <c r="H6648" i="2"/>
  <c r="I6648" i="2" s="1"/>
  <c r="H6649" i="2"/>
  <c r="I6649" i="2" s="1"/>
  <c r="H6650" i="2"/>
  <c r="I6650" i="2" s="1"/>
  <c r="H6651" i="2"/>
  <c r="I6651" i="2" s="1"/>
  <c r="H6652" i="2"/>
  <c r="I6652" i="2" s="1"/>
  <c r="H6653" i="2"/>
  <c r="I6653" i="2" s="1"/>
  <c r="H6654" i="2"/>
  <c r="I6654" i="2" s="1"/>
  <c r="H6655" i="2"/>
  <c r="I6655" i="2" s="1"/>
  <c r="H6656" i="2"/>
  <c r="I6656" i="2" s="1"/>
  <c r="H6657" i="2"/>
  <c r="I6657" i="2" s="1"/>
  <c r="H6658" i="2"/>
  <c r="I6658" i="2" s="1"/>
  <c r="H6659" i="2"/>
  <c r="I6659" i="2" s="1"/>
  <c r="H6660" i="2"/>
  <c r="I6660" i="2" s="1"/>
  <c r="H6661" i="2"/>
  <c r="I6661" i="2" s="1"/>
  <c r="H6662" i="2"/>
  <c r="I6662" i="2" s="1"/>
  <c r="H6663" i="2"/>
  <c r="I6663" i="2" s="1"/>
  <c r="H6664" i="2"/>
  <c r="I6664" i="2" s="1"/>
  <c r="H6665" i="2"/>
  <c r="I6665" i="2" s="1"/>
  <c r="H6666" i="2"/>
  <c r="I6666" i="2" s="1"/>
  <c r="H6667" i="2"/>
  <c r="I6667" i="2" s="1"/>
  <c r="H6668" i="2"/>
  <c r="I6668" i="2" s="1"/>
  <c r="H6669" i="2"/>
  <c r="I6669" i="2" s="1"/>
  <c r="H6670" i="2"/>
  <c r="I6670" i="2" s="1"/>
  <c r="H6671" i="2"/>
  <c r="I6671" i="2" s="1"/>
  <c r="H6672" i="2"/>
  <c r="I6672" i="2" s="1"/>
  <c r="H6673" i="2"/>
  <c r="I6673" i="2" s="1"/>
  <c r="H6674" i="2"/>
  <c r="I6674" i="2" s="1"/>
  <c r="H6675" i="2"/>
  <c r="I6675" i="2" s="1"/>
  <c r="H6676" i="2"/>
  <c r="I6676" i="2" s="1"/>
  <c r="H6677" i="2"/>
  <c r="I6677" i="2" s="1"/>
  <c r="H6678" i="2"/>
  <c r="I6678" i="2" s="1"/>
  <c r="H6679" i="2"/>
  <c r="I6679" i="2" s="1"/>
  <c r="H6680" i="2"/>
  <c r="I6680" i="2" s="1"/>
  <c r="H6681" i="2"/>
  <c r="I6681" i="2" s="1"/>
  <c r="H6682" i="2"/>
  <c r="I6682" i="2" s="1"/>
  <c r="H6683" i="2"/>
  <c r="I6683" i="2" s="1"/>
  <c r="H6684" i="2"/>
  <c r="I6684" i="2" s="1"/>
  <c r="H6685" i="2"/>
  <c r="I6685" i="2" s="1"/>
  <c r="H6686" i="2"/>
  <c r="I6686" i="2" s="1"/>
  <c r="H6687" i="2"/>
  <c r="I6687" i="2" s="1"/>
  <c r="H6688" i="2"/>
  <c r="I6688" i="2" s="1"/>
  <c r="H6689" i="2"/>
  <c r="I6689" i="2" s="1"/>
  <c r="H6690" i="2"/>
  <c r="I6690" i="2" s="1"/>
  <c r="H6691" i="2"/>
  <c r="I6691" i="2" s="1"/>
  <c r="H6692" i="2"/>
  <c r="I6692" i="2" s="1"/>
  <c r="H6693" i="2"/>
  <c r="I6693" i="2" s="1"/>
  <c r="H6694" i="2"/>
  <c r="I6694" i="2" s="1"/>
  <c r="H6695" i="2"/>
  <c r="I6695" i="2" s="1"/>
  <c r="H6696" i="2"/>
  <c r="I6696" i="2" s="1"/>
  <c r="H6697" i="2"/>
  <c r="I6697" i="2" s="1"/>
  <c r="H6698" i="2"/>
  <c r="I6698" i="2" s="1"/>
  <c r="H6699" i="2"/>
  <c r="I6699" i="2" s="1"/>
  <c r="H6700" i="2"/>
  <c r="I6700" i="2" s="1"/>
  <c r="H6701" i="2"/>
  <c r="I6701" i="2" s="1"/>
  <c r="H6702" i="2"/>
  <c r="I6702" i="2" s="1"/>
  <c r="H6703" i="2"/>
  <c r="I6703" i="2" s="1"/>
  <c r="H6704" i="2"/>
  <c r="I6704" i="2" s="1"/>
  <c r="H6705" i="2"/>
  <c r="I6705" i="2" s="1"/>
  <c r="H6706" i="2"/>
  <c r="I6706" i="2" s="1"/>
  <c r="H6707" i="2"/>
  <c r="I6707" i="2" s="1"/>
  <c r="H6708" i="2"/>
  <c r="I6708" i="2" s="1"/>
  <c r="H6709" i="2"/>
  <c r="I6709" i="2" s="1"/>
  <c r="H6710" i="2"/>
  <c r="I6710" i="2" s="1"/>
  <c r="H6711" i="2"/>
  <c r="I6711" i="2" s="1"/>
  <c r="H6712" i="2"/>
  <c r="I6712" i="2" s="1"/>
  <c r="H6713" i="2"/>
  <c r="I6713" i="2" s="1"/>
  <c r="H6714" i="2"/>
  <c r="I6714" i="2" s="1"/>
  <c r="H6715" i="2"/>
  <c r="I6715" i="2" s="1"/>
  <c r="H6716" i="2"/>
  <c r="I6716" i="2" s="1"/>
  <c r="H6717" i="2"/>
  <c r="I6717" i="2" s="1"/>
  <c r="H6718" i="2"/>
  <c r="I6718" i="2" s="1"/>
  <c r="H6719" i="2"/>
  <c r="I6719" i="2" s="1"/>
  <c r="H6720" i="2"/>
  <c r="I6720" i="2" s="1"/>
  <c r="H6721" i="2"/>
  <c r="I6721" i="2" s="1"/>
  <c r="H6722" i="2"/>
  <c r="I6722" i="2" s="1"/>
  <c r="H6723" i="2"/>
  <c r="I6723" i="2" s="1"/>
  <c r="H6724" i="2"/>
  <c r="I6724" i="2" s="1"/>
  <c r="H6725" i="2"/>
  <c r="I6725" i="2" s="1"/>
  <c r="H6726" i="2"/>
  <c r="I6726" i="2" s="1"/>
  <c r="H6727" i="2"/>
  <c r="I6727" i="2" s="1"/>
  <c r="H6728" i="2"/>
  <c r="I6728" i="2" s="1"/>
  <c r="H6729" i="2"/>
  <c r="I6729" i="2" s="1"/>
  <c r="H6730" i="2"/>
  <c r="I6730" i="2" s="1"/>
  <c r="H6731" i="2"/>
  <c r="I6731" i="2" s="1"/>
  <c r="H6732" i="2"/>
  <c r="I6732" i="2" s="1"/>
  <c r="H6733" i="2"/>
  <c r="I6733" i="2" s="1"/>
  <c r="H6734" i="2"/>
  <c r="I6734" i="2" s="1"/>
  <c r="H6735" i="2"/>
  <c r="I6735" i="2" s="1"/>
  <c r="H6736" i="2"/>
  <c r="I6736" i="2" s="1"/>
  <c r="H6737" i="2"/>
  <c r="I6737" i="2" s="1"/>
  <c r="H6738" i="2"/>
  <c r="I6738" i="2" s="1"/>
  <c r="H6739" i="2"/>
  <c r="I6739" i="2" s="1"/>
  <c r="H6740" i="2"/>
  <c r="I6740" i="2" s="1"/>
  <c r="H6741" i="2"/>
  <c r="I6741" i="2" s="1"/>
  <c r="H6742" i="2"/>
  <c r="I6742" i="2" s="1"/>
  <c r="H6743" i="2"/>
  <c r="I6743" i="2" s="1"/>
  <c r="H6744" i="2"/>
  <c r="I6744" i="2" s="1"/>
  <c r="H6745" i="2"/>
  <c r="I6745" i="2" s="1"/>
  <c r="H6746" i="2"/>
  <c r="I6746" i="2" s="1"/>
  <c r="H6747" i="2"/>
  <c r="I6747" i="2" s="1"/>
  <c r="H6748" i="2"/>
  <c r="I6748" i="2" s="1"/>
  <c r="H6749" i="2"/>
  <c r="I6749" i="2" s="1"/>
  <c r="H6750" i="2"/>
  <c r="I6750" i="2" s="1"/>
  <c r="H6751" i="2"/>
  <c r="I6751" i="2" s="1"/>
  <c r="H6752" i="2"/>
  <c r="I6752" i="2" s="1"/>
  <c r="H6753" i="2"/>
  <c r="I6753" i="2" s="1"/>
  <c r="H6754" i="2"/>
  <c r="I6754" i="2" s="1"/>
  <c r="H6755" i="2"/>
  <c r="I6755" i="2" s="1"/>
  <c r="H6756" i="2"/>
  <c r="I6756" i="2" s="1"/>
  <c r="H6757" i="2"/>
  <c r="I6757" i="2" s="1"/>
  <c r="H6758" i="2"/>
  <c r="I6758" i="2" s="1"/>
  <c r="H6759" i="2"/>
  <c r="I6759" i="2" s="1"/>
  <c r="H6760" i="2"/>
  <c r="I6760" i="2" s="1"/>
  <c r="H6761" i="2"/>
  <c r="I6761" i="2" s="1"/>
  <c r="H6762" i="2"/>
  <c r="I6762" i="2" s="1"/>
  <c r="H6763" i="2"/>
  <c r="I6763" i="2" s="1"/>
  <c r="H6764" i="2"/>
  <c r="I6764" i="2" s="1"/>
  <c r="H6765" i="2"/>
  <c r="I6765" i="2" s="1"/>
  <c r="H6766" i="2"/>
  <c r="I6766" i="2" s="1"/>
  <c r="H6767" i="2"/>
  <c r="I6767" i="2" s="1"/>
  <c r="H6768" i="2"/>
  <c r="I6768" i="2" s="1"/>
  <c r="H6769" i="2"/>
  <c r="I6769" i="2" s="1"/>
  <c r="H6770" i="2"/>
  <c r="I6770" i="2" s="1"/>
  <c r="H6771" i="2"/>
  <c r="I6771" i="2" s="1"/>
  <c r="H6772" i="2"/>
  <c r="I6772" i="2" s="1"/>
  <c r="H6773" i="2"/>
  <c r="I6773" i="2" s="1"/>
  <c r="H6774" i="2"/>
  <c r="I6774" i="2" s="1"/>
  <c r="H6775" i="2"/>
  <c r="I6775" i="2" s="1"/>
  <c r="H6776" i="2"/>
  <c r="I6776" i="2" s="1"/>
  <c r="H6777" i="2"/>
  <c r="I6777" i="2" s="1"/>
  <c r="H6778" i="2"/>
  <c r="I6778" i="2" s="1"/>
  <c r="H6779" i="2"/>
  <c r="I6779" i="2" s="1"/>
  <c r="H6780" i="2"/>
  <c r="I6780" i="2" s="1"/>
  <c r="H6781" i="2"/>
  <c r="I6781" i="2" s="1"/>
  <c r="H6782" i="2"/>
  <c r="I6782" i="2" s="1"/>
  <c r="H6783" i="2"/>
  <c r="I6783" i="2" s="1"/>
  <c r="H6784" i="2"/>
  <c r="I6784" i="2" s="1"/>
  <c r="H6785" i="2"/>
  <c r="I6785" i="2" s="1"/>
  <c r="H6786" i="2"/>
  <c r="I6786" i="2" s="1"/>
  <c r="H6787" i="2"/>
  <c r="I6787" i="2" s="1"/>
  <c r="H6788" i="2"/>
  <c r="I6788" i="2" s="1"/>
  <c r="H6789" i="2"/>
  <c r="I6789" i="2" s="1"/>
  <c r="H6790" i="2"/>
  <c r="I6790" i="2" s="1"/>
  <c r="H6791" i="2"/>
  <c r="I6791" i="2" s="1"/>
  <c r="H6792" i="2"/>
  <c r="I6792" i="2" s="1"/>
  <c r="H6793" i="2"/>
  <c r="I6793" i="2" s="1"/>
  <c r="H6794" i="2"/>
  <c r="I6794" i="2" s="1"/>
  <c r="H6795" i="2"/>
  <c r="I6795" i="2" s="1"/>
  <c r="H6796" i="2"/>
  <c r="I6796" i="2" s="1"/>
  <c r="H6797" i="2"/>
  <c r="I6797" i="2" s="1"/>
  <c r="H6798" i="2"/>
  <c r="I6798" i="2" s="1"/>
  <c r="H6799" i="2"/>
  <c r="I6799" i="2" s="1"/>
  <c r="H6800" i="2"/>
  <c r="I6800" i="2" s="1"/>
  <c r="H6801" i="2"/>
  <c r="I6801" i="2" s="1"/>
  <c r="H6802" i="2"/>
  <c r="I6802" i="2" s="1"/>
  <c r="H6803" i="2"/>
  <c r="I6803" i="2" s="1"/>
  <c r="H6804" i="2"/>
  <c r="I6804" i="2" s="1"/>
  <c r="H6805" i="2"/>
  <c r="I6805" i="2" s="1"/>
  <c r="H6806" i="2"/>
  <c r="I6806" i="2" s="1"/>
  <c r="H6807" i="2"/>
  <c r="I6807" i="2" s="1"/>
  <c r="H6808" i="2"/>
  <c r="I6808" i="2" s="1"/>
  <c r="H6809" i="2"/>
  <c r="I6809" i="2" s="1"/>
  <c r="H6810" i="2"/>
  <c r="I6810" i="2" s="1"/>
  <c r="H6811" i="2"/>
  <c r="I6811" i="2" s="1"/>
  <c r="H6812" i="2"/>
  <c r="I6812" i="2" s="1"/>
  <c r="H6813" i="2"/>
  <c r="I6813" i="2" s="1"/>
  <c r="H6814" i="2"/>
  <c r="I6814" i="2" s="1"/>
  <c r="H6815" i="2"/>
  <c r="I6815" i="2" s="1"/>
  <c r="H6816" i="2"/>
  <c r="I6816" i="2" s="1"/>
  <c r="H6817" i="2"/>
  <c r="I6817" i="2" s="1"/>
  <c r="H6818" i="2"/>
  <c r="I6818" i="2" s="1"/>
  <c r="H6819" i="2"/>
  <c r="I6819" i="2" s="1"/>
  <c r="H6820" i="2"/>
  <c r="I6820" i="2" s="1"/>
  <c r="H6821" i="2"/>
  <c r="I6821" i="2" s="1"/>
  <c r="H6822" i="2"/>
  <c r="I6822" i="2" s="1"/>
  <c r="H6823" i="2"/>
  <c r="I6823" i="2" s="1"/>
  <c r="H6824" i="2"/>
  <c r="I6824" i="2" s="1"/>
  <c r="H6825" i="2"/>
  <c r="I6825" i="2" s="1"/>
  <c r="H6826" i="2"/>
  <c r="I6826" i="2" s="1"/>
  <c r="H6827" i="2"/>
  <c r="I6827" i="2" s="1"/>
  <c r="H6828" i="2"/>
  <c r="I6828" i="2" s="1"/>
  <c r="H6829" i="2"/>
  <c r="I6829" i="2" s="1"/>
  <c r="H6830" i="2"/>
  <c r="I6830" i="2" s="1"/>
  <c r="H6831" i="2"/>
  <c r="I6831" i="2" s="1"/>
  <c r="H6832" i="2"/>
  <c r="I6832" i="2" s="1"/>
  <c r="H6833" i="2"/>
  <c r="I6833" i="2" s="1"/>
  <c r="H6834" i="2"/>
  <c r="I6834" i="2" s="1"/>
  <c r="H6835" i="2"/>
  <c r="I6835" i="2" s="1"/>
  <c r="H6836" i="2"/>
  <c r="I6836" i="2" s="1"/>
  <c r="H6837" i="2"/>
  <c r="I6837" i="2" s="1"/>
  <c r="H6838" i="2"/>
  <c r="I6838" i="2" s="1"/>
  <c r="H6839" i="2"/>
  <c r="I6839" i="2" s="1"/>
  <c r="H6840" i="2"/>
  <c r="I6840" i="2" s="1"/>
  <c r="H6841" i="2"/>
  <c r="I6841" i="2" s="1"/>
  <c r="H6842" i="2"/>
  <c r="I6842" i="2" s="1"/>
  <c r="H6843" i="2"/>
  <c r="I6843" i="2" s="1"/>
  <c r="H6844" i="2"/>
  <c r="I6844" i="2" s="1"/>
  <c r="H6845" i="2"/>
  <c r="I6845" i="2" s="1"/>
  <c r="H6846" i="2"/>
  <c r="I6846" i="2" s="1"/>
  <c r="H6847" i="2"/>
  <c r="I6847" i="2" s="1"/>
  <c r="H6848" i="2"/>
  <c r="I6848" i="2" s="1"/>
  <c r="H6849" i="2"/>
  <c r="I6849" i="2" s="1"/>
  <c r="H6850" i="2"/>
  <c r="I6850" i="2" s="1"/>
  <c r="H6851" i="2"/>
  <c r="I6851" i="2" s="1"/>
  <c r="H6852" i="2"/>
  <c r="I6852" i="2" s="1"/>
  <c r="H6853" i="2"/>
  <c r="I6853" i="2" s="1"/>
  <c r="H6854" i="2"/>
  <c r="I6854" i="2" s="1"/>
  <c r="H6855" i="2"/>
  <c r="I6855" i="2" s="1"/>
  <c r="H6856" i="2"/>
  <c r="I6856" i="2" s="1"/>
  <c r="H6857" i="2"/>
  <c r="I6857" i="2" s="1"/>
  <c r="H6858" i="2"/>
  <c r="I6858" i="2" s="1"/>
  <c r="H6859" i="2"/>
  <c r="I6859" i="2" s="1"/>
  <c r="H6860" i="2"/>
  <c r="I6860" i="2" s="1"/>
  <c r="H6861" i="2"/>
  <c r="I6861" i="2" s="1"/>
  <c r="H6862" i="2"/>
  <c r="I6862" i="2" s="1"/>
  <c r="H6863" i="2"/>
  <c r="I6863" i="2" s="1"/>
  <c r="H6864" i="2"/>
  <c r="I6864" i="2" s="1"/>
  <c r="H6865" i="2"/>
  <c r="I6865" i="2" s="1"/>
  <c r="H6866" i="2"/>
  <c r="I6866" i="2" s="1"/>
  <c r="H6867" i="2"/>
  <c r="I6867" i="2" s="1"/>
  <c r="H6868" i="2"/>
  <c r="I6868" i="2" s="1"/>
  <c r="H6869" i="2"/>
  <c r="I6869" i="2" s="1"/>
  <c r="H6870" i="2"/>
  <c r="I6870" i="2" s="1"/>
  <c r="H6871" i="2"/>
  <c r="I6871" i="2" s="1"/>
  <c r="H6872" i="2"/>
  <c r="I6872" i="2" s="1"/>
  <c r="H6873" i="2"/>
  <c r="I6873" i="2" s="1"/>
  <c r="H6874" i="2"/>
  <c r="I6874" i="2" s="1"/>
  <c r="H6875" i="2"/>
  <c r="I6875" i="2" s="1"/>
  <c r="H6876" i="2"/>
  <c r="I6876" i="2" s="1"/>
  <c r="H6877" i="2"/>
  <c r="I6877" i="2" s="1"/>
  <c r="H6878" i="2"/>
  <c r="I6878" i="2" s="1"/>
  <c r="H6879" i="2"/>
  <c r="I6879" i="2" s="1"/>
  <c r="H6880" i="2"/>
  <c r="I6880" i="2" s="1"/>
  <c r="H6881" i="2"/>
  <c r="I6881" i="2" s="1"/>
  <c r="H6882" i="2"/>
  <c r="I6882" i="2" s="1"/>
  <c r="H6883" i="2"/>
  <c r="I6883" i="2" s="1"/>
  <c r="H6884" i="2"/>
  <c r="I6884" i="2" s="1"/>
  <c r="H6885" i="2"/>
  <c r="I6885" i="2" s="1"/>
  <c r="H6886" i="2"/>
  <c r="I6886" i="2" s="1"/>
  <c r="H6887" i="2"/>
  <c r="I6887" i="2" s="1"/>
  <c r="H6888" i="2"/>
  <c r="I6888" i="2" s="1"/>
  <c r="H6889" i="2"/>
  <c r="I6889" i="2" s="1"/>
  <c r="H6890" i="2"/>
  <c r="I6890" i="2" s="1"/>
  <c r="H6891" i="2"/>
  <c r="I6891" i="2" s="1"/>
  <c r="H6892" i="2"/>
  <c r="I6892" i="2" s="1"/>
  <c r="H6893" i="2"/>
  <c r="I6893" i="2" s="1"/>
  <c r="H6894" i="2"/>
  <c r="I6894" i="2" s="1"/>
  <c r="H6895" i="2"/>
  <c r="I6895" i="2" s="1"/>
  <c r="H6896" i="2"/>
  <c r="I6896" i="2" s="1"/>
  <c r="H6897" i="2"/>
  <c r="I6897" i="2" s="1"/>
  <c r="H6898" i="2"/>
  <c r="I6898" i="2" s="1"/>
  <c r="H6899" i="2"/>
  <c r="I6899" i="2" s="1"/>
  <c r="H6900" i="2"/>
  <c r="I6900" i="2" s="1"/>
  <c r="H6901" i="2"/>
  <c r="I6901" i="2" s="1"/>
  <c r="H6902" i="2"/>
  <c r="I6902" i="2" s="1"/>
  <c r="H6903" i="2"/>
  <c r="I6903" i="2" s="1"/>
  <c r="H6904" i="2"/>
  <c r="I6904" i="2" s="1"/>
  <c r="H6905" i="2"/>
  <c r="I6905" i="2" s="1"/>
  <c r="H6906" i="2"/>
  <c r="I6906" i="2" s="1"/>
  <c r="H6907" i="2"/>
  <c r="I6907" i="2" s="1"/>
  <c r="H6908" i="2"/>
  <c r="I6908" i="2" s="1"/>
  <c r="H6909" i="2"/>
  <c r="I6909" i="2" s="1"/>
  <c r="H6910" i="2"/>
  <c r="I6910" i="2" s="1"/>
  <c r="H6911" i="2"/>
  <c r="I6911" i="2" s="1"/>
  <c r="H6912" i="2"/>
  <c r="I6912" i="2" s="1"/>
  <c r="H6913" i="2"/>
  <c r="I6913" i="2" s="1"/>
  <c r="H6914" i="2"/>
  <c r="I6914" i="2" s="1"/>
  <c r="H6915" i="2"/>
  <c r="I6915" i="2" s="1"/>
  <c r="H6916" i="2"/>
  <c r="I6916" i="2" s="1"/>
  <c r="H6917" i="2"/>
  <c r="I6917" i="2" s="1"/>
  <c r="H6918" i="2"/>
  <c r="I6918" i="2" s="1"/>
  <c r="H6919" i="2"/>
  <c r="I6919" i="2" s="1"/>
  <c r="H6920" i="2"/>
  <c r="I6920" i="2" s="1"/>
  <c r="H6921" i="2"/>
  <c r="I6921" i="2" s="1"/>
  <c r="H6922" i="2"/>
  <c r="I6922" i="2" s="1"/>
  <c r="H6923" i="2"/>
  <c r="I6923" i="2" s="1"/>
  <c r="H6924" i="2"/>
  <c r="I6924" i="2" s="1"/>
  <c r="H6925" i="2"/>
  <c r="I6925" i="2" s="1"/>
  <c r="H6926" i="2"/>
  <c r="I6926" i="2" s="1"/>
  <c r="H6927" i="2"/>
  <c r="I6927" i="2" s="1"/>
  <c r="H6928" i="2"/>
  <c r="I6928" i="2" s="1"/>
  <c r="H6929" i="2"/>
  <c r="I6929" i="2" s="1"/>
  <c r="H6930" i="2"/>
  <c r="I6930" i="2" s="1"/>
  <c r="H6931" i="2"/>
  <c r="I6931" i="2" s="1"/>
  <c r="H6932" i="2"/>
  <c r="I6932" i="2" s="1"/>
  <c r="H6933" i="2"/>
  <c r="I6933" i="2" s="1"/>
  <c r="H6934" i="2"/>
  <c r="I6934" i="2" s="1"/>
  <c r="H6935" i="2"/>
  <c r="I6935" i="2" s="1"/>
  <c r="H6936" i="2"/>
  <c r="I6936" i="2" s="1"/>
  <c r="H6937" i="2"/>
  <c r="I6937" i="2" s="1"/>
  <c r="H6938" i="2"/>
  <c r="I6938" i="2" s="1"/>
  <c r="H6939" i="2"/>
  <c r="I6939" i="2" s="1"/>
  <c r="H6940" i="2"/>
  <c r="I6940" i="2" s="1"/>
  <c r="H6941" i="2"/>
  <c r="I6941" i="2" s="1"/>
  <c r="H6942" i="2"/>
  <c r="I6942" i="2" s="1"/>
  <c r="H6943" i="2"/>
  <c r="I6943" i="2" s="1"/>
  <c r="H6944" i="2"/>
  <c r="I6944" i="2" s="1"/>
  <c r="H6945" i="2"/>
  <c r="I6945" i="2" s="1"/>
  <c r="H6946" i="2"/>
  <c r="I6946" i="2" s="1"/>
  <c r="H6947" i="2"/>
  <c r="I6947" i="2" s="1"/>
  <c r="H6948" i="2"/>
  <c r="I6948" i="2" s="1"/>
  <c r="H6949" i="2"/>
  <c r="I6949" i="2" s="1"/>
  <c r="H6950" i="2"/>
  <c r="I6950" i="2" s="1"/>
  <c r="H6951" i="2"/>
  <c r="I6951" i="2" s="1"/>
  <c r="H6952" i="2"/>
  <c r="I6952" i="2" s="1"/>
  <c r="H6953" i="2"/>
  <c r="I6953" i="2" s="1"/>
  <c r="H6954" i="2"/>
  <c r="I6954" i="2" s="1"/>
  <c r="H6955" i="2"/>
  <c r="I6955" i="2" s="1"/>
  <c r="H6956" i="2"/>
  <c r="I6956" i="2" s="1"/>
  <c r="H6957" i="2"/>
  <c r="I6957" i="2" s="1"/>
  <c r="H6958" i="2"/>
  <c r="I6958" i="2" s="1"/>
  <c r="H6959" i="2"/>
  <c r="I6959" i="2" s="1"/>
  <c r="H6960" i="2"/>
  <c r="I6960" i="2" s="1"/>
  <c r="H6961" i="2"/>
  <c r="I6961" i="2" s="1"/>
  <c r="H6962" i="2"/>
  <c r="I6962" i="2" s="1"/>
  <c r="H6963" i="2"/>
  <c r="I6963" i="2" s="1"/>
  <c r="H6964" i="2"/>
  <c r="I6964" i="2" s="1"/>
  <c r="H6965" i="2"/>
  <c r="I6965" i="2" s="1"/>
  <c r="H6966" i="2"/>
  <c r="I6966" i="2" s="1"/>
  <c r="H6967" i="2"/>
  <c r="I6967" i="2" s="1"/>
  <c r="H6968" i="2"/>
  <c r="I6968" i="2" s="1"/>
  <c r="H6969" i="2"/>
  <c r="I6969" i="2" s="1"/>
  <c r="H6970" i="2"/>
  <c r="I6970" i="2" s="1"/>
  <c r="H6971" i="2"/>
  <c r="I6971" i="2" s="1"/>
  <c r="H6972" i="2"/>
  <c r="I6972" i="2" s="1"/>
  <c r="H6973" i="2"/>
  <c r="I6973" i="2" s="1"/>
  <c r="H6974" i="2"/>
  <c r="I6974" i="2" s="1"/>
  <c r="H6975" i="2"/>
  <c r="I6975" i="2" s="1"/>
  <c r="H6976" i="2"/>
  <c r="I6976" i="2" s="1"/>
  <c r="H6977" i="2"/>
  <c r="I6977" i="2" s="1"/>
  <c r="H6978" i="2"/>
  <c r="I6978" i="2" s="1"/>
  <c r="H6979" i="2"/>
  <c r="I6979" i="2" s="1"/>
  <c r="H6980" i="2"/>
  <c r="I6980" i="2" s="1"/>
  <c r="H6981" i="2"/>
  <c r="I6981" i="2" s="1"/>
  <c r="H6982" i="2"/>
  <c r="I6982" i="2" s="1"/>
  <c r="H6983" i="2"/>
  <c r="I6983" i="2" s="1"/>
  <c r="H6984" i="2"/>
  <c r="I6984" i="2" s="1"/>
  <c r="H6985" i="2"/>
  <c r="I6985" i="2" s="1"/>
  <c r="H6986" i="2"/>
  <c r="I6986" i="2" s="1"/>
  <c r="H6987" i="2"/>
  <c r="I6987" i="2" s="1"/>
  <c r="H6988" i="2"/>
  <c r="I6988" i="2" s="1"/>
  <c r="H6989" i="2"/>
  <c r="I6989" i="2" s="1"/>
  <c r="H6990" i="2"/>
  <c r="I6990" i="2" s="1"/>
  <c r="H6991" i="2"/>
  <c r="I6991" i="2" s="1"/>
  <c r="H6992" i="2"/>
  <c r="I6992" i="2" s="1"/>
  <c r="H6993" i="2"/>
  <c r="I6993" i="2" s="1"/>
  <c r="H6994" i="2"/>
  <c r="I6994" i="2" s="1"/>
  <c r="H6995" i="2"/>
  <c r="I6995" i="2" s="1"/>
  <c r="H6996" i="2"/>
  <c r="I6996" i="2" s="1"/>
  <c r="H6997" i="2"/>
  <c r="I6997" i="2" s="1"/>
  <c r="H6998" i="2"/>
  <c r="I6998" i="2" s="1"/>
  <c r="H6999" i="2"/>
  <c r="I6999" i="2" s="1"/>
  <c r="H7000" i="2"/>
  <c r="I7000" i="2" s="1"/>
  <c r="H7001" i="2"/>
  <c r="I7001" i="2" s="1"/>
  <c r="H7002" i="2"/>
  <c r="I7002" i="2" s="1"/>
  <c r="H7003" i="2"/>
  <c r="I7003" i="2" s="1"/>
  <c r="H7004" i="2"/>
  <c r="I7004" i="2" s="1"/>
  <c r="H7005" i="2"/>
  <c r="I7005" i="2" s="1"/>
  <c r="H7006" i="2"/>
  <c r="I7006" i="2" s="1"/>
  <c r="H7007" i="2"/>
  <c r="I7007" i="2" s="1"/>
  <c r="H7008" i="2"/>
  <c r="I7008" i="2" s="1"/>
  <c r="H7009" i="2"/>
  <c r="I7009" i="2" s="1"/>
  <c r="H7010" i="2"/>
  <c r="I7010" i="2" s="1"/>
  <c r="H7011" i="2"/>
  <c r="I7011" i="2" s="1"/>
  <c r="H7012" i="2"/>
  <c r="I7012" i="2" s="1"/>
  <c r="H7013" i="2"/>
  <c r="I7013" i="2" s="1"/>
  <c r="H7014" i="2"/>
  <c r="I7014" i="2" s="1"/>
  <c r="H7015" i="2"/>
  <c r="I7015" i="2" s="1"/>
  <c r="H7016" i="2"/>
  <c r="I7016" i="2" s="1"/>
  <c r="H7017" i="2"/>
  <c r="I7017" i="2" s="1"/>
  <c r="H7018" i="2"/>
  <c r="I7018" i="2" s="1"/>
  <c r="H7019" i="2"/>
  <c r="I7019" i="2" s="1"/>
  <c r="H7020" i="2"/>
  <c r="I7020" i="2" s="1"/>
  <c r="H7021" i="2"/>
  <c r="I7021" i="2" s="1"/>
  <c r="H7022" i="2"/>
  <c r="I7022" i="2" s="1"/>
  <c r="H7023" i="2"/>
  <c r="I7023" i="2" s="1"/>
  <c r="H7024" i="2"/>
  <c r="I7024" i="2" s="1"/>
  <c r="H7025" i="2"/>
  <c r="I7025" i="2" s="1"/>
  <c r="H7026" i="2"/>
  <c r="I7026" i="2" s="1"/>
  <c r="H7027" i="2"/>
  <c r="I7027" i="2" s="1"/>
  <c r="H7028" i="2"/>
  <c r="I7028" i="2" s="1"/>
  <c r="H7029" i="2"/>
  <c r="I7029" i="2" s="1"/>
  <c r="H7030" i="2"/>
  <c r="I7030" i="2" s="1"/>
  <c r="H7031" i="2"/>
  <c r="I7031" i="2" s="1"/>
  <c r="H7032" i="2"/>
  <c r="I7032" i="2" s="1"/>
  <c r="H7033" i="2"/>
  <c r="I7033" i="2" s="1"/>
  <c r="H7034" i="2"/>
  <c r="I7034" i="2" s="1"/>
  <c r="H7035" i="2"/>
  <c r="I7035" i="2" s="1"/>
  <c r="H7036" i="2"/>
  <c r="I7036" i="2" s="1"/>
  <c r="H7037" i="2"/>
  <c r="I7037" i="2" s="1"/>
  <c r="H7038" i="2"/>
  <c r="I7038" i="2" s="1"/>
  <c r="H7039" i="2"/>
  <c r="I7039" i="2" s="1"/>
  <c r="H7040" i="2"/>
  <c r="I7040" i="2" s="1"/>
  <c r="H7041" i="2"/>
  <c r="I7041" i="2" s="1"/>
  <c r="H7042" i="2"/>
  <c r="I7042" i="2" s="1"/>
  <c r="H7043" i="2"/>
  <c r="I7043" i="2" s="1"/>
  <c r="H7044" i="2"/>
  <c r="I7044" i="2" s="1"/>
  <c r="H7045" i="2"/>
  <c r="I7045" i="2" s="1"/>
  <c r="H7046" i="2"/>
  <c r="I7046" i="2" s="1"/>
  <c r="H7047" i="2"/>
  <c r="I7047" i="2" s="1"/>
  <c r="H7048" i="2"/>
  <c r="I7048" i="2" s="1"/>
  <c r="H7049" i="2"/>
  <c r="I7049" i="2" s="1"/>
  <c r="H7050" i="2"/>
  <c r="I7050" i="2" s="1"/>
  <c r="H7051" i="2"/>
  <c r="I7051" i="2" s="1"/>
  <c r="H7052" i="2"/>
  <c r="I7052" i="2" s="1"/>
  <c r="H7053" i="2"/>
  <c r="I7053" i="2" s="1"/>
  <c r="H7054" i="2"/>
  <c r="I7054" i="2" s="1"/>
  <c r="H7055" i="2"/>
  <c r="I7055" i="2" s="1"/>
  <c r="H7056" i="2"/>
  <c r="I7056" i="2" s="1"/>
  <c r="H7057" i="2"/>
  <c r="I7057" i="2" s="1"/>
  <c r="H7058" i="2"/>
  <c r="I7058" i="2" s="1"/>
  <c r="H7059" i="2"/>
  <c r="I7059" i="2" s="1"/>
  <c r="H7060" i="2"/>
  <c r="I7060" i="2" s="1"/>
  <c r="H7061" i="2"/>
  <c r="I7061" i="2" s="1"/>
  <c r="H7062" i="2"/>
  <c r="I7062" i="2" s="1"/>
  <c r="H7063" i="2"/>
  <c r="I7063" i="2" s="1"/>
  <c r="H7064" i="2"/>
  <c r="I7064" i="2" s="1"/>
  <c r="H7065" i="2"/>
  <c r="I7065" i="2" s="1"/>
  <c r="H7066" i="2"/>
  <c r="I7066" i="2" s="1"/>
  <c r="H7067" i="2"/>
  <c r="I7067" i="2" s="1"/>
  <c r="H7068" i="2"/>
  <c r="I7068" i="2" s="1"/>
  <c r="H7069" i="2"/>
  <c r="I7069" i="2" s="1"/>
  <c r="H7070" i="2"/>
  <c r="I7070" i="2" s="1"/>
  <c r="H7071" i="2"/>
  <c r="I7071" i="2" s="1"/>
  <c r="H7072" i="2"/>
  <c r="I7072" i="2" s="1"/>
  <c r="H7073" i="2"/>
  <c r="I7073" i="2" s="1"/>
  <c r="H7074" i="2"/>
  <c r="I7074" i="2" s="1"/>
  <c r="H7075" i="2"/>
  <c r="I7075" i="2" s="1"/>
  <c r="H7076" i="2"/>
  <c r="I7076" i="2" s="1"/>
  <c r="H7077" i="2"/>
  <c r="I7077" i="2" s="1"/>
  <c r="H7078" i="2"/>
  <c r="I7078" i="2" s="1"/>
  <c r="H7079" i="2"/>
  <c r="I7079" i="2" s="1"/>
  <c r="H7080" i="2"/>
  <c r="I7080" i="2" s="1"/>
  <c r="H7081" i="2"/>
  <c r="I7081" i="2" s="1"/>
  <c r="H7082" i="2"/>
  <c r="I7082" i="2" s="1"/>
  <c r="H7083" i="2"/>
  <c r="I7083" i="2" s="1"/>
  <c r="H7084" i="2"/>
  <c r="I7084" i="2" s="1"/>
  <c r="H7085" i="2"/>
  <c r="I7085" i="2" s="1"/>
  <c r="H7086" i="2"/>
  <c r="I7086" i="2" s="1"/>
  <c r="H7087" i="2"/>
  <c r="I7087" i="2" s="1"/>
  <c r="H7088" i="2"/>
  <c r="I7088" i="2" s="1"/>
  <c r="H7089" i="2"/>
  <c r="I7089" i="2" s="1"/>
  <c r="H7090" i="2"/>
  <c r="I7090" i="2" s="1"/>
  <c r="H7091" i="2"/>
  <c r="I7091" i="2" s="1"/>
  <c r="H7092" i="2"/>
  <c r="I7092" i="2" s="1"/>
  <c r="H7093" i="2"/>
  <c r="I7093" i="2" s="1"/>
  <c r="H7094" i="2"/>
  <c r="I7094" i="2" s="1"/>
  <c r="H7095" i="2"/>
  <c r="I7095" i="2" s="1"/>
  <c r="H7096" i="2"/>
  <c r="I7096" i="2" s="1"/>
  <c r="H7097" i="2"/>
  <c r="I7097" i="2" s="1"/>
  <c r="H7098" i="2"/>
  <c r="I7098" i="2" s="1"/>
  <c r="H7099" i="2"/>
  <c r="I7099" i="2" s="1"/>
  <c r="H7100" i="2"/>
  <c r="I7100" i="2" s="1"/>
  <c r="H7101" i="2"/>
  <c r="I7101" i="2" s="1"/>
  <c r="H7102" i="2"/>
  <c r="I7102" i="2" s="1"/>
  <c r="H7103" i="2"/>
  <c r="I7103" i="2" s="1"/>
  <c r="H7104" i="2"/>
  <c r="I7104" i="2" s="1"/>
  <c r="H7105" i="2"/>
  <c r="I7105" i="2" s="1"/>
  <c r="H7106" i="2"/>
  <c r="I7106" i="2" s="1"/>
  <c r="H7107" i="2"/>
  <c r="I7107" i="2" s="1"/>
  <c r="H7108" i="2"/>
  <c r="I7108" i="2" s="1"/>
  <c r="H7109" i="2"/>
  <c r="I7109" i="2" s="1"/>
  <c r="H7110" i="2"/>
  <c r="I7110" i="2" s="1"/>
  <c r="H7111" i="2"/>
  <c r="I7111" i="2" s="1"/>
  <c r="H7112" i="2"/>
  <c r="I7112" i="2" s="1"/>
  <c r="H7113" i="2"/>
  <c r="I7113" i="2" s="1"/>
  <c r="H7114" i="2"/>
  <c r="I7114" i="2" s="1"/>
  <c r="H7115" i="2"/>
  <c r="I7115" i="2" s="1"/>
  <c r="H7116" i="2"/>
  <c r="I7116" i="2" s="1"/>
  <c r="H7117" i="2"/>
  <c r="I7117" i="2" s="1"/>
  <c r="H7118" i="2"/>
  <c r="I7118" i="2" s="1"/>
  <c r="H7119" i="2"/>
  <c r="I7119" i="2" s="1"/>
  <c r="H7120" i="2"/>
  <c r="I7120" i="2" s="1"/>
  <c r="H7121" i="2"/>
  <c r="I7121" i="2" s="1"/>
  <c r="H7122" i="2"/>
  <c r="I7122" i="2" s="1"/>
  <c r="H7123" i="2"/>
  <c r="I7123" i="2" s="1"/>
  <c r="H7124" i="2"/>
  <c r="I7124" i="2" s="1"/>
  <c r="H7125" i="2"/>
  <c r="I7125" i="2" s="1"/>
  <c r="H7126" i="2"/>
  <c r="I7126" i="2" s="1"/>
  <c r="H7127" i="2"/>
  <c r="I7127" i="2" s="1"/>
  <c r="H7128" i="2"/>
  <c r="I7128" i="2" s="1"/>
  <c r="H7129" i="2"/>
  <c r="I7129" i="2" s="1"/>
  <c r="H7130" i="2"/>
  <c r="I7130" i="2" s="1"/>
  <c r="H7131" i="2"/>
  <c r="I7131" i="2" s="1"/>
  <c r="H7132" i="2"/>
  <c r="I7132" i="2" s="1"/>
  <c r="H7133" i="2"/>
  <c r="I7133" i="2" s="1"/>
  <c r="H7134" i="2"/>
  <c r="I7134" i="2" s="1"/>
  <c r="H7135" i="2"/>
  <c r="I7135" i="2" s="1"/>
  <c r="H7136" i="2"/>
  <c r="I7136" i="2" s="1"/>
  <c r="H7137" i="2"/>
  <c r="I7137" i="2" s="1"/>
  <c r="H7138" i="2"/>
  <c r="I7138" i="2" s="1"/>
  <c r="H7139" i="2"/>
  <c r="I7139" i="2" s="1"/>
  <c r="H7140" i="2"/>
  <c r="I7140" i="2" s="1"/>
  <c r="H7141" i="2"/>
  <c r="I7141" i="2" s="1"/>
  <c r="H7142" i="2"/>
  <c r="I7142" i="2" s="1"/>
  <c r="H7143" i="2"/>
  <c r="I7143" i="2" s="1"/>
  <c r="H7144" i="2"/>
  <c r="I7144" i="2" s="1"/>
  <c r="H7145" i="2"/>
  <c r="I7145" i="2" s="1"/>
  <c r="H7146" i="2"/>
  <c r="I7146" i="2" s="1"/>
  <c r="H7147" i="2"/>
  <c r="I7147" i="2" s="1"/>
  <c r="H7148" i="2"/>
  <c r="I7148" i="2" s="1"/>
  <c r="H7149" i="2"/>
  <c r="I7149" i="2" s="1"/>
  <c r="H7150" i="2"/>
  <c r="I7150" i="2" s="1"/>
  <c r="H7151" i="2"/>
  <c r="I7151" i="2" s="1"/>
  <c r="H7152" i="2"/>
  <c r="I7152" i="2" s="1"/>
  <c r="H7153" i="2"/>
  <c r="I7153" i="2" s="1"/>
  <c r="H7154" i="2"/>
  <c r="I7154" i="2" s="1"/>
  <c r="H7155" i="2"/>
  <c r="I7155" i="2" s="1"/>
  <c r="H7156" i="2"/>
  <c r="I7156" i="2" s="1"/>
  <c r="H7157" i="2"/>
  <c r="I7157" i="2" s="1"/>
  <c r="H7158" i="2"/>
  <c r="I7158" i="2" s="1"/>
  <c r="H7159" i="2"/>
  <c r="I7159" i="2" s="1"/>
  <c r="H7160" i="2"/>
  <c r="I7160" i="2" s="1"/>
  <c r="H7161" i="2"/>
  <c r="I7161" i="2" s="1"/>
  <c r="H7162" i="2"/>
  <c r="I7162" i="2" s="1"/>
  <c r="H7163" i="2"/>
  <c r="I7163" i="2" s="1"/>
  <c r="H7164" i="2"/>
  <c r="I7164" i="2" s="1"/>
  <c r="H7165" i="2"/>
  <c r="I7165" i="2" s="1"/>
  <c r="H7166" i="2"/>
  <c r="I7166" i="2" s="1"/>
  <c r="H7167" i="2"/>
  <c r="I7167" i="2" s="1"/>
  <c r="H7168" i="2"/>
  <c r="I7168" i="2" s="1"/>
  <c r="H7169" i="2"/>
  <c r="I7169" i="2" s="1"/>
  <c r="H7170" i="2"/>
  <c r="I7170" i="2" s="1"/>
  <c r="H7171" i="2"/>
  <c r="I7171" i="2" s="1"/>
  <c r="H7172" i="2"/>
  <c r="I7172" i="2" s="1"/>
  <c r="H7173" i="2"/>
  <c r="I7173" i="2" s="1"/>
  <c r="H7174" i="2"/>
  <c r="I7174" i="2" s="1"/>
  <c r="H7175" i="2"/>
  <c r="I7175" i="2" s="1"/>
  <c r="H7176" i="2"/>
  <c r="I7176" i="2" s="1"/>
  <c r="H7177" i="2"/>
  <c r="I7177" i="2" s="1"/>
  <c r="H7178" i="2"/>
  <c r="I7178" i="2" s="1"/>
  <c r="H7179" i="2"/>
  <c r="I7179" i="2" s="1"/>
  <c r="H7180" i="2"/>
  <c r="I7180" i="2" s="1"/>
  <c r="H7181" i="2"/>
  <c r="I7181" i="2" s="1"/>
  <c r="H7182" i="2"/>
  <c r="I7182" i="2" s="1"/>
  <c r="H7183" i="2"/>
  <c r="I7183" i="2" s="1"/>
  <c r="H7184" i="2"/>
  <c r="I7184" i="2" s="1"/>
  <c r="H7185" i="2"/>
  <c r="I7185" i="2" s="1"/>
  <c r="H7186" i="2"/>
  <c r="I7186" i="2" s="1"/>
  <c r="H7187" i="2"/>
  <c r="I7187" i="2" s="1"/>
  <c r="H7188" i="2"/>
  <c r="I7188" i="2" s="1"/>
  <c r="H7189" i="2"/>
  <c r="I7189" i="2" s="1"/>
  <c r="H7190" i="2"/>
  <c r="I7190" i="2" s="1"/>
  <c r="H7191" i="2"/>
  <c r="I7191" i="2" s="1"/>
  <c r="H7192" i="2"/>
  <c r="I7192" i="2" s="1"/>
  <c r="H7193" i="2"/>
  <c r="I7193" i="2" s="1"/>
  <c r="H7194" i="2"/>
  <c r="I7194" i="2" s="1"/>
  <c r="H7195" i="2"/>
  <c r="I7195" i="2" s="1"/>
  <c r="H7196" i="2"/>
  <c r="I7196" i="2" s="1"/>
  <c r="H7197" i="2"/>
  <c r="I7197" i="2" s="1"/>
  <c r="H7198" i="2"/>
  <c r="I7198" i="2" s="1"/>
  <c r="H7199" i="2"/>
  <c r="I7199" i="2" s="1"/>
  <c r="H7200" i="2"/>
  <c r="I7200" i="2" s="1"/>
  <c r="H7201" i="2"/>
  <c r="I7201" i="2" s="1"/>
  <c r="H7202" i="2"/>
  <c r="I7202" i="2" s="1"/>
  <c r="H7203" i="2"/>
  <c r="I7203" i="2" s="1"/>
  <c r="H7204" i="2"/>
  <c r="I7204" i="2" s="1"/>
  <c r="H7205" i="2"/>
  <c r="I7205" i="2" s="1"/>
  <c r="H7206" i="2"/>
  <c r="I7206" i="2" s="1"/>
  <c r="H7207" i="2"/>
  <c r="I7207" i="2" s="1"/>
  <c r="H7208" i="2"/>
  <c r="I7208" i="2" s="1"/>
  <c r="H7209" i="2"/>
  <c r="I7209" i="2" s="1"/>
  <c r="H7210" i="2"/>
  <c r="I7210" i="2" s="1"/>
  <c r="H7211" i="2"/>
  <c r="I7211" i="2" s="1"/>
  <c r="H7212" i="2"/>
  <c r="I7212" i="2" s="1"/>
  <c r="H7213" i="2"/>
  <c r="I7213" i="2" s="1"/>
  <c r="H7214" i="2"/>
  <c r="I7214" i="2" s="1"/>
  <c r="H7215" i="2"/>
  <c r="I7215" i="2" s="1"/>
  <c r="H7216" i="2"/>
  <c r="I7216" i="2" s="1"/>
  <c r="H7217" i="2"/>
  <c r="I7217" i="2" s="1"/>
  <c r="H7218" i="2"/>
  <c r="I7218" i="2" s="1"/>
  <c r="H7219" i="2"/>
  <c r="I7219" i="2" s="1"/>
  <c r="H7220" i="2"/>
  <c r="I7220" i="2" s="1"/>
  <c r="H7221" i="2"/>
  <c r="I7221" i="2" s="1"/>
  <c r="H7222" i="2"/>
  <c r="I7222" i="2" s="1"/>
  <c r="H7223" i="2"/>
  <c r="I7223" i="2" s="1"/>
  <c r="H7224" i="2"/>
  <c r="I7224" i="2" s="1"/>
  <c r="H7225" i="2"/>
  <c r="I7225" i="2" s="1"/>
  <c r="H7226" i="2"/>
  <c r="I7226" i="2" s="1"/>
  <c r="H7227" i="2"/>
  <c r="I7227" i="2" s="1"/>
  <c r="H7228" i="2"/>
  <c r="I7228" i="2" s="1"/>
  <c r="H7229" i="2"/>
  <c r="I7229" i="2" s="1"/>
  <c r="H7230" i="2"/>
  <c r="I7230" i="2" s="1"/>
  <c r="H7231" i="2"/>
  <c r="I7231" i="2" s="1"/>
  <c r="H7232" i="2"/>
  <c r="I7232" i="2" s="1"/>
  <c r="H7233" i="2"/>
  <c r="I7233" i="2" s="1"/>
  <c r="H7234" i="2"/>
  <c r="I7234" i="2" s="1"/>
  <c r="H7235" i="2"/>
  <c r="I7235" i="2" s="1"/>
  <c r="H7236" i="2"/>
  <c r="I7236" i="2" s="1"/>
  <c r="H7237" i="2"/>
  <c r="I7237" i="2" s="1"/>
  <c r="H7238" i="2"/>
  <c r="I7238" i="2" s="1"/>
  <c r="H7239" i="2"/>
  <c r="I7239" i="2" s="1"/>
  <c r="H7240" i="2"/>
  <c r="I7240" i="2" s="1"/>
  <c r="H7241" i="2"/>
  <c r="I7241" i="2" s="1"/>
  <c r="H7242" i="2"/>
  <c r="I7242" i="2" s="1"/>
  <c r="H7243" i="2"/>
  <c r="I7243" i="2" s="1"/>
  <c r="H7244" i="2"/>
  <c r="I7244" i="2" s="1"/>
  <c r="H7245" i="2"/>
  <c r="I7245" i="2" s="1"/>
  <c r="H7246" i="2"/>
  <c r="I7246" i="2" s="1"/>
  <c r="H7247" i="2"/>
  <c r="I7247" i="2" s="1"/>
  <c r="H7248" i="2"/>
  <c r="I7248" i="2" s="1"/>
  <c r="H7249" i="2"/>
  <c r="I7249" i="2" s="1"/>
  <c r="H7250" i="2"/>
  <c r="I7250" i="2" s="1"/>
  <c r="H7251" i="2"/>
  <c r="I7251" i="2" s="1"/>
  <c r="H7252" i="2"/>
  <c r="I7252" i="2" s="1"/>
  <c r="H7253" i="2"/>
  <c r="I7253" i="2" s="1"/>
  <c r="H7254" i="2"/>
  <c r="I7254" i="2" s="1"/>
  <c r="H7255" i="2"/>
  <c r="I7255" i="2" s="1"/>
  <c r="H7256" i="2"/>
  <c r="I7256" i="2" s="1"/>
  <c r="H7257" i="2"/>
  <c r="I7257" i="2" s="1"/>
  <c r="H7258" i="2"/>
  <c r="I7258" i="2" s="1"/>
  <c r="H7259" i="2"/>
  <c r="I7259" i="2" s="1"/>
  <c r="H7260" i="2"/>
  <c r="I7260" i="2" s="1"/>
  <c r="H7261" i="2"/>
  <c r="I7261" i="2" s="1"/>
  <c r="H7262" i="2"/>
  <c r="I7262" i="2" s="1"/>
  <c r="H7263" i="2"/>
  <c r="I7263" i="2" s="1"/>
  <c r="H7264" i="2"/>
  <c r="I7264" i="2" s="1"/>
  <c r="H7265" i="2"/>
  <c r="I7265" i="2" s="1"/>
  <c r="H7266" i="2"/>
  <c r="I7266" i="2" s="1"/>
  <c r="H7267" i="2"/>
  <c r="I7267" i="2" s="1"/>
  <c r="H7268" i="2"/>
  <c r="I7268" i="2" s="1"/>
  <c r="H7269" i="2"/>
  <c r="I7269" i="2" s="1"/>
  <c r="H7270" i="2"/>
  <c r="I7270" i="2" s="1"/>
  <c r="H7271" i="2"/>
  <c r="I7271" i="2" s="1"/>
  <c r="H7272" i="2"/>
  <c r="I7272" i="2" s="1"/>
  <c r="H7273" i="2"/>
  <c r="I7273" i="2" s="1"/>
  <c r="H7274" i="2"/>
  <c r="I7274" i="2" s="1"/>
  <c r="H7275" i="2"/>
  <c r="I7275" i="2" s="1"/>
  <c r="H7276" i="2"/>
  <c r="I7276" i="2" s="1"/>
  <c r="H7277" i="2"/>
  <c r="I7277" i="2" s="1"/>
  <c r="H7278" i="2"/>
  <c r="I7278" i="2" s="1"/>
  <c r="H7279" i="2"/>
  <c r="I7279" i="2" s="1"/>
  <c r="H7280" i="2"/>
  <c r="I7280" i="2" s="1"/>
  <c r="H7281" i="2"/>
  <c r="I7281" i="2" s="1"/>
  <c r="H7282" i="2"/>
  <c r="I7282" i="2" s="1"/>
  <c r="H7283" i="2"/>
  <c r="I7283" i="2" s="1"/>
  <c r="H7284" i="2"/>
  <c r="I7284" i="2" s="1"/>
  <c r="H7285" i="2"/>
  <c r="I7285" i="2" s="1"/>
  <c r="H7286" i="2"/>
  <c r="I7286" i="2" s="1"/>
  <c r="H7287" i="2"/>
  <c r="I7287" i="2" s="1"/>
  <c r="H7288" i="2"/>
  <c r="I7288" i="2" s="1"/>
  <c r="H7289" i="2"/>
  <c r="I7289" i="2" s="1"/>
  <c r="H7290" i="2"/>
  <c r="I7290" i="2" s="1"/>
  <c r="H7291" i="2"/>
  <c r="I7291" i="2" s="1"/>
  <c r="H7292" i="2"/>
  <c r="I7292" i="2" s="1"/>
  <c r="H7293" i="2"/>
  <c r="I7293" i="2" s="1"/>
  <c r="H7294" i="2"/>
  <c r="I7294" i="2" s="1"/>
  <c r="H7295" i="2"/>
  <c r="I7295" i="2" s="1"/>
  <c r="H7296" i="2"/>
  <c r="I7296" i="2" s="1"/>
  <c r="H7297" i="2"/>
  <c r="I7297" i="2" s="1"/>
  <c r="H7298" i="2"/>
  <c r="I7298" i="2" s="1"/>
  <c r="H7299" i="2"/>
  <c r="I7299" i="2" s="1"/>
  <c r="H7300" i="2"/>
  <c r="I7300" i="2" s="1"/>
  <c r="H7301" i="2"/>
  <c r="I7301" i="2" s="1"/>
  <c r="H7302" i="2"/>
  <c r="I7302" i="2" s="1"/>
  <c r="H7303" i="2"/>
  <c r="I7303" i="2" s="1"/>
  <c r="H7304" i="2"/>
  <c r="I7304" i="2" s="1"/>
  <c r="H7305" i="2"/>
  <c r="I7305" i="2" s="1"/>
  <c r="H7306" i="2"/>
  <c r="I7306" i="2" s="1"/>
  <c r="H7307" i="2"/>
  <c r="I7307" i="2" s="1"/>
  <c r="H7308" i="2"/>
  <c r="I7308" i="2" s="1"/>
  <c r="H7309" i="2"/>
  <c r="I7309" i="2" s="1"/>
  <c r="H7310" i="2"/>
  <c r="I7310" i="2" s="1"/>
  <c r="H7311" i="2"/>
  <c r="I7311" i="2" s="1"/>
  <c r="H7312" i="2"/>
  <c r="I7312" i="2" s="1"/>
  <c r="H7313" i="2"/>
  <c r="I7313" i="2" s="1"/>
  <c r="H7314" i="2"/>
  <c r="I7314" i="2" s="1"/>
  <c r="H7315" i="2"/>
  <c r="I7315" i="2" s="1"/>
  <c r="H7316" i="2"/>
  <c r="I7316" i="2" s="1"/>
  <c r="H7317" i="2"/>
  <c r="I7317" i="2" s="1"/>
  <c r="H7318" i="2"/>
  <c r="I7318" i="2" s="1"/>
  <c r="H7319" i="2"/>
  <c r="I7319" i="2" s="1"/>
  <c r="H7320" i="2"/>
  <c r="I7320" i="2" s="1"/>
  <c r="H7321" i="2"/>
  <c r="I7321" i="2" s="1"/>
  <c r="H7322" i="2"/>
  <c r="I7322" i="2" s="1"/>
  <c r="H7323" i="2"/>
  <c r="I7323" i="2" s="1"/>
  <c r="H7324" i="2"/>
  <c r="I7324" i="2" s="1"/>
  <c r="H7325" i="2"/>
  <c r="I7325" i="2" s="1"/>
  <c r="H7326" i="2"/>
  <c r="I7326" i="2" s="1"/>
  <c r="H7327" i="2"/>
  <c r="I7327" i="2" s="1"/>
  <c r="H7328" i="2"/>
  <c r="I7328" i="2" s="1"/>
  <c r="H7329" i="2"/>
  <c r="I7329" i="2" s="1"/>
  <c r="H7330" i="2"/>
  <c r="I7330" i="2" s="1"/>
  <c r="H7331" i="2"/>
  <c r="I7331" i="2" s="1"/>
  <c r="H7332" i="2"/>
  <c r="I7332" i="2" s="1"/>
  <c r="H7333" i="2"/>
  <c r="I7333" i="2" s="1"/>
  <c r="H7334" i="2"/>
  <c r="I7334" i="2" s="1"/>
  <c r="H7335" i="2"/>
  <c r="I7335" i="2" s="1"/>
  <c r="H7336" i="2"/>
  <c r="I7336" i="2" s="1"/>
  <c r="H7337" i="2"/>
  <c r="I7337" i="2" s="1"/>
  <c r="H7338" i="2"/>
  <c r="I7338" i="2" s="1"/>
  <c r="H7339" i="2"/>
  <c r="I7339" i="2" s="1"/>
  <c r="H7340" i="2"/>
  <c r="I7340" i="2" s="1"/>
  <c r="H7341" i="2"/>
  <c r="I7341" i="2" s="1"/>
  <c r="H7342" i="2"/>
  <c r="I7342" i="2" s="1"/>
  <c r="H7343" i="2"/>
  <c r="I7343" i="2" s="1"/>
  <c r="H7344" i="2"/>
  <c r="I7344" i="2" s="1"/>
  <c r="H7345" i="2"/>
  <c r="I7345" i="2" s="1"/>
  <c r="H7346" i="2"/>
  <c r="I7346" i="2" s="1"/>
  <c r="H7347" i="2"/>
  <c r="I7347" i="2" s="1"/>
  <c r="H7348" i="2"/>
  <c r="I7348" i="2" s="1"/>
  <c r="H7349" i="2"/>
  <c r="I7349" i="2" s="1"/>
  <c r="H7350" i="2"/>
  <c r="I7350" i="2" s="1"/>
  <c r="H7351" i="2"/>
  <c r="I7351" i="2" s="1"/>
  <c r="H7352" i="2"/>
  <c r="I7352" i="2" s="1"/>
  <c r="H7353" i="2"/>
  <c r="I7353" i="2" s="1"/>
  <c r="H7354" i="2"/>
  <c r="I7354" i="2" s="1"/>
  <c r="H7355" i="2"/>
  <c r="I7355" i="2" s="1"/>
  <c r="H7356" i="2"/>
  <c r="I7356" i="2" s="1"/>
  <c r="H7357" i="2"/>
  <c r="I7357" i="2" s="1"/>
  <c r="H7358" i="2"/>
  <c r="I7358" i="2" s="1"/>
  <c r="H7359" i="2"/>
  <c r="I7359" i="2" s="1"/>
  <c r="H7360" i="2"/>
  <c r="I7360" i="2" s="1"/>
  <c r="H7361" i="2"/>
  <c r="I7361" i="2" s="1"/>
  <c r="H7362" i="2"/>
  <c r="I7362" i="2" s="1"/>
  <c r="H7363" i="2"/>
  <c r="I7363" i="2" s="1"/>
  <c r="H7364" i="2"/>
  <c r="I7364" i="2" s="1"/>
  <c r="H7365" i="2"/>
  <c r="I7365" i="2" s="1"/>
  <c r="H7366" i="2"/>
  <c r="I7366" i="2" s="1"/>
  <c r="H7367" i="2"/>
  <c r="I7367" i="2" s="1"/>
  <c r="H7368" i="2"/>
  <c r="I7368" i="2" s="1"/>
  <c r="H7369" i="2"/>
  <c r="I7369" i="2" s="1"/>
  <c r="H7370" i="2"/>
  <c r="I7370" i="2" s="1"/>
  <c r="H7371" i="2"/>
  <c r="I7371" i="2" s="1"/>
  <c r="H7372" i="2"/>
  <c r="I7372" i="2" s="1"/>
  <c r="H7373" i="2"/>
  <c r="I7373" i="2" s="1"/>
  <c r="H7374" i="2"/>
  <c r="I7374" i="2" s="1"/>
  <c r="H7375" i="2"/>
  <c r="I7375" i="2" s="1"/>
  <c r="H7376" i="2"/>
  <c r="I7376" i="2" s="1"/>
  <c r="H7377" i="2"/>
  <c r="I7377" i="2" s="1"/>
  <c r="H7378" i="2"/>
  <c r="I7378" i="2" s="1"/>
  <c r="H7379" i="2"/>
  <c r="I7379" i="2" s="1"/>
  <c r="H7380" i="2"/>
  <c r="I7380" i="2" s="1"/>
  <c r="H7381" i="2"/>
  <c r="I7381" i="2" s="1"/>
  <c r="H7382" i="2"/>
  <c r="I7382" i="2" s="1"/>
  <c r="H7383" i="2"/>
  <c r="I7383" i="2" s="1"/>
  <c r="H7384" i="2"/>
  <c r="I7384" i="2" s="1"/>
  <c r="H7385" i="2"/>
  <c r="I7385" i="2" s="1"/>
  <c r="H7386" i="2"/>
  <c r="I7386" i="2" s="1"/>
  <c r="H7387" i="2"/>
  <c r="I7387" i="2" s="1"/>
  <c r="H7388" i="2"/>
  <c r="I7388" i="2" s="1"/>
  <c r="H7389" i="2"/>
  <c r="I7389" i="2" s="1"/>
  <c r="H2" i="2"/>
  <c r="I2" i="2" s="1"/>
  <c r="H3" i="4" l="1"/>
  <c r="H9" i="4"/>
  <c r="H10" i="4"/>
  <c r="H6" i="4"/>
  <c r="H4" i="4"/>
  <c r="H8" i="4"/>
  <c r="H7" i="4"/>
  <c r="H5" i="4"/>
  <c r="H2" i="4"/>
  <c r="H11" i="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<sst xmlns="http://schemas.openxmlformats.org/spreadsheetml/2006/main" count="1083" uniqueCount="481">
  <si>
    <t>產品編號</t>
  </si>
  <si>
    <t>品名</t>
  </si>
  <si>
    <t>車褲</t>
  </si>
  <si>
    <t>車服</t>
    <phoneticPr fontId="4" type="noConversion"/>
  </si>
  <si>
    <t>產品編號</t>
    <phoneticPr fontId="4" type="noConversion"/>
  </si>
  <si>
    <t>定價</t>
    <phoneticPr fontId="4" type="noConversion"/>
  </si>
  <si>
    <t>進貨成本</t>
    <phoneticPr fontId="4" type="noConversion"/>
  </si>
  <si>
    <t>休閒車</t>
    <phoneticPr fontId="4" type="noConversion"/>
  </si>
  <si>
    <t>登山車</t>
    <phoneticPr fontId="4" type="noConversion"/>
  </si>
  <si>
    <t>公路車</t>
    <phoneticPr fontId="4" type="noConversion"/>
  </si>
  <si>
    <t>區域編號</t>
  </si>
  <si>
    <t>銷售員編號</t>
  </si>
  <si>
    <t>銷售數量</t>
  </si>
  <si>
    <t>台北市</t>
  </si>
  <si>
    <t xml:space="preserve"> 大同區</t>
  </si>
  <si>
    <t xml:space="preserve"> 小港區</t>
  </si>
  <si>
    <t xml:space="preserve"> 大安區</t>
  </si>
  <si>
    <t>高雄市</t>
  </si>
  <si>
    <t xml:space="preserve"> 茄萣區</t>
  </si>
  <si>
    <t xml:space="preserve"> 旗山區</t>
  </si>
  <si>
    <t xml:space="preserve"> 鳥松區</t>
  </si>
  <si>
    <t xml:space="preserve"> 霧峰區</t>
  </si>
  <si>
    <t xml:space="preserve"> 苓雅區</t>
  </si>
  <si>
    <t xml:space="preserve"> 旗津區</t>
  </si>
  <si>
    <t>台中市</t>
  </si>
  <si>
    <t xml:space="preserve"> 中區</t>
  </si>
  <si>
    <t xml:space="preserve"> 桃源區</t>
  </si>
  <si>
    <t xml:space="preserve"> 鼓山區</t>
  </si>
  <si>
    <t xml:space="preserve"> 北區</t>
  </si>
  <si>
    <t xml:space="preserve"> 大甲區</t>
  </si>
  <si>
    <t xml:space="preserve"> 北屯區</t>
  </si>
  <si>
    <t xml:space="preserve"> 中山區</t>
  </si>
  <si>
    <t xml:space="preserve"> 左營區</t>
  </si>
  <si>
    <t xml:space="preserve"> 橋頭區</t>
  </si>
  <si>
    <t xml:space="preserve"> 三民區</t>
  </si>
  <si>
    <t xml:space="preserve"> 松山區</t>
  </si>
  <si>
    <t xml:space="preserve"> 新興區</t>
  </si>
  <si>
    <t xml:space="preserve"> 大樹區</t>
  </si>
  <si>
    <t xml:space="preserve"> 前金區</t>
  </si>
  <si>
    <t xml:space="preserve"> 大里區</t>
  </si>
  <si>
    <t xml:space="preserve"> 西區</t>
  </si>
  <si>
    <t xml:space="preserve"> 仁武區</t>
  </si>
  <si>
    <t xml:space="preserve"> 沙鹿區</t>
  </si>
  <si>
    <t xml:space="preserve"> 阿蓮區</t>
  </si>
  <si>
    <t xml:space="preserve"> 田寮區</t>
  </si>
  <si>
    <t xml:space="preserve"> 后里區</t>
  </si>
  <si>
    <t xml:space="preserve"> 前鎮區</t>
  </si>
  <si>
    <t xml:space="preserve"> 六龜區</t>
  </si>
  <si>
    <t xml:space="preserve"> 甲仙區</t>
  </si>
  <si>
    <t xml:space="preserve"> 湖內區</t>
  </si>
  <si>
    <t xml:space="preserve"> 烏日區</t>
  </si>
  <si>
    <t xml:space="preserve"> 路竹區</t>
  </si>
  <si>
    <t xml:space="preserve"> 彌陀區</t>
  </si>
  <si>
    <t xml:space="preserve"> 士林區</t>
  </si>
  <si>
    <t xml:space="preserve"> 東區</t>
  </si>
  <si>
    <t xml:space="preserve"> 太平區</t>
  </si>
  <si>
    <t xml:space="preserve"> 燕巢區</t>
  </si>
  <si>
    <t xml:space="preserve"> 石岡區</t>
  </si>
  <si>
    <t xml:space="preserve"> 龍井區</t>
  </si>
  <si>
    <t xml:space="preserve"> 鳳山區</t>
  </si>
  <si>
    <t xml:space="preserve"> 林園區</t>
  </si>
  <si>
    <t xml:space="preserve"> 信義區</t>
  </si>
  <si>
    <t xml:space="preserve"> 杉林區</t>
  </si>
  <si>
    <t xml:space="preserve"> 豐原區</t>
  </si>
  <si>
    <t xml:space="preserve"> 北投區</t>
  </si>
  <si>
    <t xml:space="preserve"> 內門區</t>
  </si>
  <si>
    <t xml:space="preserve"> 南港區</t>
  </si>
  <si>
    <t xml:space="preserve"> 南屯區</t>
  </si>
  <si>
    <t xml:space="preserve"> 岡山區</t>
  </si>
  <si>
    <t xml:space="preserve"> 梓官區</t>
  </si>
  <si>
    <t xml:space="preserve"> 西屯區</t>
  </si>
  <si>
    <t xml:space="preserve"> 美濃區</t>
  </si>
  <si>
    <t xml:space="preserve"> 那瑪夏區</t>
  </si>
  <si>
    <t xml:space="preserve"> 南區</t>
  </si>
  <si>
    <t xml:space="preserve"> 鹽埕區</t>
  </si>
  <si>
    <t xml:space="preserve"> 楠梓區</t>
  </si>
  <si>
    <t xml:space="preserve"> 萬華區</t>
  </si>
  <si>
    <t xml:space="preserve"> 外埔區</t>
  </si>
  <si>
    <t xml:space="preserve"> 大寮區</t>
  </si>
  <si>
    <t xml:space="preserve"> 永安區</t>
  </si>
  <si>
    <t xml:space="preserve"> 內湖區</t>
  </si>
  <si>
    <t xml:space="preserve"> 中正區</t>
  </si>
  <si>
    <t xml:space="preserve"> 文山區</t>
  </si>
  <si>
    <t xml:space="preserve"> 清水區</t>
  </si>
  <si>
    <t xml:space="preserve"> 大社區</t>
  </si>
  <si>
    <t xml:space="preserve"> 茂林區</t>
  </si>
  <si>
    <t xml:space="preserve"> 梧棲區</t>
  </si>
  <si>
    <t>銷售員編號</t>
    <phoneticPr fontId="4" type="noConversion"/>
  </si>
  <si>
    <t>日期</t>
    <phoneticPr fontId="4" type="noConversion"/>
  </si>
  <si>
    <t>縣市</t>
  </si>
  <si>
    <t>行政區</t>
  </si>
  <si>
    <t>經度</t>
  </si>
  <si>
    <t>緯度</t>
  </si>
  <si>
    <t>基隆市</t>
  </si>
  <si>
    <t xml:space="preserve"> 仁愛區</t>
  </si>
  <si>
    <t xml:space="preserve"> 安樂區</t>
  </si>
  <si>
    <t xml:space="preserve"> 暖暖區</t>
  </si>
  <si>
    <t xml:space="preserve"> 七堵區</t>
  </si>
  <si>
    <t>新北市</t>
  </si>
  <si>
    <t xml:space="preserve"> 萬里區</t>
  </si>
  <si>
    <t xml:space="preserve"> 金山區</t>
  </si>
  <si>
    <t>連江縣</t>
  </si>
  <si>
    <t xml:space="preserve"> 南竿鄉</t>
  </si>
  <si>
    <t xml:space="preserve"> 北竿鄉</t>
  </si>
  <si>
    <t xml:space="preserve"> 莒光鄉</t>
  </si>
  <si>
    <t xml:space="preserve"> 東引鄉</t>
  </si>
  <si>
    <t xml:space="preserve"> 板橋區</t>
  </si>
  <si>
    <t xml:space="preserve"> 汐止區</t>
  </si>
  <si>
    <t xml:space="preserve"> 深坑區</t>
  </si>
  <si>
    <t xml:space="preserve"> 石碇區</t>
  </si>
  <si>
    <t xml:space="preserve"> 瑞芳區</t>
  </si>
  <si>
    <t xml:space="preserve"> 平溪區</t>
  </si>
  <si>
    <t xml:space="preserve"> 雙溪區</t>
  </si>
  <si>
    <t xml:space="preserve"> 貢寮區</t>
  </si>
  <si>
    <t xml:space="preserve"> 新店區</t>
  </si>
  <si>
    <t xml:space="preserve"> 坪林區</t>
  </si>
  <si>
    <t xml:space="preserve"> 烏來區</t>
  </si>
  <si>
    <t xml:space="preserve"> 永和區</t>
  </si>
  <si>
    <t xml:space="preserve"> 中和區</t>
  </si>
  <si>
    <t xml:space="preserve"> 土城區</t>
  </si>
  <si>
    <t xml:space="preserve"> 三峽區</t>
  </si>
  <si>
    <t xml:space="preserve"> 樹林區</t>
  </si>
  <si>
    <t xml:space="preserve"> 鶯歌區</t>
  </si>
  <si>
    <t xml:space="preserve"> 三重區</t>
  </si>
  <si>
    <t xml:space="preserve"> 新莊區</t>
  </si>
  <si>
    <t xml:space="preserve"> 泰山區</t>
  </si>
  <si>
    <t xml:space="preserve"> 林口區</t>
  </si>
  <si>
    <t xml:space="preserve"> 蘆洲區</t>
  </si>
  <si>
    <t xml:space="preserve"> 五股區</t>
  </si>
  <si>
    <t xml:space="preserve"> 八里區</t>
  </si>
  <si>
    <t xml:space="preserve"> 淡水區</t>
  </si>
  <si>
    <t xml:space="preserve"> 三芝區</t>
  </si>
  <si>
    <t xml:space="preserve"> 石門區</t>
  </si>
  <si>
    <t>宜蘭縣</t>
  </si>
  <si>
    <t xml:space="preserve"> 宜蘭市</t>
  </si>
  <si>
    <t xml:space="preserve"> 頭城鎮</t>
  </si>
  <si>
    <t xml:space="preserve"> 礁溪鄉</t>
  </si>
  <si>
    <t xml:space="preserve"> 壯圍鄉</t>
  </si>
  <si>
    <t xml:space="preserve"> 員山鄉</t>
  </si>
  <si>
    <t xml:space="preserve"> 羅東鎮</t>
  </si>
  <si>
    <t xml:space="preserve"> 三星鄉</t>
  </si>
  <si>
    <t xml:space="preserve"> 大同鄉</t>
  </si>
  <si>
    <t xml:space="preserve"> 五結鄉</t>
  </si>
  <si>
    <t xml:space="preserve"> 冬山鄉</t>
  </si>
  <si>
    <t xml:space="preserve"> 蘇澳鎮</t>
  </si>
  <si>
    <t xml:space="preserve"> 南澳鄉</t>
  </si>
  <si>
    <t>新竹市</t>
  </si>
  <si>
    <t xml:space="preserve"> 香山區</t>
  </si>
  <si>
    <t>新竹縣</t>
  </si>
  <si>
    <t xml:space="preserve"> 竹北市</t>
  </si>
  <si>
    <t xml:space="preserve"> 湖口鄉</t>
  </si>
  <si>
    <t xml:space="preserve"> 新豐鄉</t>
  </si>
  <si>
    <t xml:space="preserve"> 新埔鎮</t>
  </si>
  <si>
    <t xml:space="preserve"> 關西鎮</t>
  </si>
  <si>
    <t xml:space="preserve"> 芎林鄉</t>
  </si>
  <si>
    <t xml:space="preserve"> 寶山鄉</t>
  </si>
  <si>
    <t xml:space="preserve"> 竹東鎮</t>
  </si>
  <si>
    <t xml:space="preserve"> 五峰鄉</t>
  </si>
  <si>
    <t xml:space="preserve"> 橫山鄉</t>
  </si>
  <si>
    <t xml:space="preserve"> 尖石鄉</t>
  </si>
  <si>
    <t xml:space="preserve"> 北埔鄉</t>
  </si>
  <si>
    <t xml:space="preserve"> 峨眉鄉</t>
  </si>
  <si>
    <t>桃園市</t>
  </si>
  <si>
    <t xml:space="preserve"> 中壢區</t>
  </si>
  <si>
    <t xml:space="preserve"> 平鎮區</t>
  </si>
  <si>
    <t xml:space="preserve"> 龍潭區</t>
  </si>
  <si>
    <t xml:space="preserve"> 楊梅區</t>
  </si>
  <si>
    <t xml:space="preserve"> 新屋區</t>
  </si>
  <si>
    <t xml:space="preserve"> 觀音區</t>
  </si>
  <si>
    <t xml:space="preserve"> 桃園區</t>
  </si>
  <si>
    <t xml:space="preserve"> 龜山區</t>
  </si>
  <si>
    <t xml:space="preserve"> 八德區</t>
  </si>
  <si>
    <t xml:space="preserve"> 大溪區</t>
  </si>
  <si>
    <t xml:space="preserve"> 復興區</t>
  </si>
  <si>
    <t xml:space="preserve"> 大園區</t>
  </si>
  <si>
    <t xml:space="preserve"> 蘆竹區</t>
  </si>
  <si>
    <t>苗栗縣</t>
  </si>
  <si>
    <t xml:space="preserve"> 竹南鎮</t>
  </si>
  <si>
    <t xml:space="preserve"> 頭份市</t>
  </si>
  <si>
    <t xml:space="preserve"> 三灣鄉</t>
  </si>
  <si>
    <t xml:space="preserve"> 南庄鄉</t>
  </si>
  <si>
    <t xml:space="preserve"> 獅潭鄉</t>
  </si>
  <si>
    <t xml:space="preserve"> 後龍鎮</t>
  </si>
  <si>
    <t xml:space="preserve"> 通霄鎮</t>
  </si>
  <si>
    <t xml:space="preserve"> 苑裡鎮</t>
  </si>
  <si>
    <t xml:space="preserve"> 苗栗市</t>
  </si>
  <si>
    <t xml:space="preserve"> 造橋鄉</t>
  </si>
  <si>
    <t xml:space="preserve"> 頭屋鄉</t>
  </si>
  <si>
    <t xml:space="preserve"> 公館鄉</t>
  </si>
  <si>
    <t xml:space="preserve"> 大湖鄉</t>
  </si>
  <si>
    <t xml:space="preserve"> 泰安鄉</t>
  </si>
  <si>
    <t xml:space="preserve"> 銅鑼鄉</t>
  </si>
  <si>
    <t xml:space="preserve"> 三義鄉</t>
  </si>
  <si>
    <t xml:space="preserve"> 西湖鄉</t>
  </si>
  <si>
    <t xml:space="preserve"> 卓蘭鎮</t>
  </si>
  <si>
    <t xml:space="preserve"> 東勢區</t>
  </si>
  <si>
    <t xml:space="preserve"> 和平區</t>
  </si>
  <si>
    <t xml:space="preserve"> 新社區</t>
  </si>
  <si>
    <t xml:space="preserve"> 潭子區</t>
  </si>
  <si>
    <t xml:space="preserve"> 大雅區</t>
  </si>
  <si>
    <t xml:space="preserve"> 神岡區</t>
  </si>
  <si>
    <t xml:space="preserve"> 大肚區</t>
  </si>
  <si>
    <t>彰化縣</t>
  </si>
  <si>
    <t xml:space="preserve"> 彰化市</t>
  </si>
  <si>
    <t xml:space="preserve"> 芬園鄉</t>
  </si>
  <si>
    <t xml:space="preserve"> 花壇鄉</t>
  </si>
  <si>
    <t xml:space="preserve"> 秀水鄉</t>
  </si>
  <si>
    <t xml:space="preserve"> 鹿港鎮</t>
  </si>
  <si>
    <t xml:space="preserve"> 福興鄉</t>
  </si>
  <si>
    <t xml:space="preserve"> 線西鄉</t>
  </si>
  <si>
    <t xml:space="preserve"> 和美鎮</t>
  </si>
  <si>
    <t xml:space="preserve"> 伸港鄉</t>
  </si>
  <si>
    <t xml:space="preserve"> 員林市</t>
  </si>
  <si>
    <t xml:space="preserve"> 社頭鄉</t>
  </si>
  <si>
    <t xml:space="preserve"> 永靖鄉</t>
  </si>
  <si>
    <t xml:space="preserve"> 埔心鄉</t>
  </si>
  <si>
    <t xml:space="preserve"> 溪湖鎮</t>
  </si>
  <si>
    <t xml:space="preserve"> 大村鄉</t>
  </si>
  <si>
    <t xml:space="preserve"> 埔鹽鄉</t>
  </si>
  <si>
    <t xml:space="preserve"> 田中鎮</t>
  </si>
  <si>
    <t xml:space="preserve"> 北斗鎮</t>
  </si>
  <si>
    <t xml:space="preserve"> 田尾鄉</t>
  </si>
  <si>
    <t xml:space="preserve"> 埤頭鄉</t>
  </si>
  <si>
    <t xml:space="preserve"> 溪州鄉</t>
  </si>
  <si>
    <t xml:space="preserve"> 竹塘鄉</t>
  </si>
  <si>
    <t xml:space="preserve"> 二林鎮</t>
  </si>
  <si>
    <t xml:space="preserve"> 大城鄉</t>
  </si>
  <si>
    <t xml:space="preserve"> 芳苑鄉</t>
  </si>
  <si>
    <t xml:space="preserve"> 二水鄉</t>
  </si>
  <si>
    <t>南投縣</t>
  </si>
  <si>
    <t xml:space="preserve"> 南投市</t>
  </si>
  <si>
    <t xml:space="preserve"> 中寮鄉</t>
  </si>
  <si>
    <t xml:space="preserve"> 草屯鎮</t>
  </si>
  <si>
    <t xml:space="preserve"> 國姓鄉</t>
  </si>
  <si>
    <t xml:space="preserve"> 埔里鎮</t>
  </si>
  <si>
    <t xml:space="preserve"> 仁愛鄉</t>
  </si>
  <si>
    <t xml:space="preserve"> 名間鄉</t>
  </si>
  <si>
    <t xml:space="preserve"> 集集鎮</t>
  </si>
  <si>
    <t xml:space="preserve"> 水里鄉</t>
  </si>
  <si>
    <t xml:space="preserve"> 魚池鄉</t>
  </si>
  <si>
    <t xml:space="preserve"> 信義鄉</t>
  </si>
  <si>
    <t xml:space="preserve"> 竹山鎮</t>
  </si>
  <si>
    <t xml:space="preserve"> 鹿谷鄉</t>
  </si>
  <si>
    <t>嘉義市</t>
  </si>
  <si>
    <t>嘉義縣</t>
  </si>
  <si>
    <t xml:space="preserve"> 番路鄉</t>
  </si>
  <si>
    <t xml:space="preserve"> 梅山鄉</t>
  </si>
  <si>
    <t xml:space="preserve"> 竹崎鄉</t>
  </si>
  <si>
    <t xml:space="preserve"> 阿里山鄉</t>
  </si>
  <si>
    <t xml:space="preserve"> 中埔鄉</t>
  </si>
  <si>
    <t xml:space="preserve"> 大埔鄉</t>
  </si>
  <si>
    <t xml:space="preserve"> 水上鄉</t>
  </si>
  <si>
    <t xml:space="preserve"> 鹿草鄉</t>
  </si>
  <si>
    <t xml:space="preserve"> 太保市</t>
  </si>
  <si>
    <t xml:space="preserve"> 朴子市</t>
  </si>
  <si>
    <t xml:space="preserve"> 東石鄉</t>
  </si>
  <si>
    <t xml:space="preserve"> 六腳鄉</t>
  </si>
  <si>
    <t xml:space="preserve"> 新港鄉</t>
  </si>
  <si>
    <t xml:space="preserve"> 民雄鄉</t>
  </si>
  <si>
    <t xml:space="preserve"> 大林鎮</t>
  </si>
  <si>
    <t xml:space="preserve"> 溪口鄉</t>
  </si>
  <si>
    <t xml:space="preserve"> 義竹鄉</t>
  </si>
  <si>
    <t xml:space="preserve"> 布袋鎮</t>
  </si>
  <si>
    <t>雲林縣</t>
  </si>
  <si>
    <t xml:space="preserve"> 斗南鎮</t>
  </si>
  <si>
    <t xml:space="preserve"> 大埤鄉</t>
  </si>
  <si>
    <t xml:space="preserve"> 虎尾鎮</t>
  </si>
  <si>
    <t xml:space="preserve"> 土庫鎮</t>
  </si>
  <si>
    <t xml:space="preserve"> 褒忠鄉</t>
  </si>
  <si>
    <t xml:space="preserve"> 東勢鄉</t>
  </si>
  <si>
    <t xml:space="preserve"> 台西鄉</t>
  </si>
  <si>
    <t xml:space="preserve"> 崙背鄉</t>
  </si>
  <si>
    <t xml:space="preserve"> 麥寮鄉</t>
  </si>
  <si>
    <t xml:space="preserve"> 斗六市</t>
  </si>
  <si>
    <t xml:space="preserve"> 林內鄉</t>
  </si>
  <si>
    <t xml:space="preserve"> 古坑鄉</t>
  </si>
  <si>
    <t xml:space="preserve"> 莿桐鄉</t>
  </si>
  <si>
    <t xml:space="preserve"> 西螺鎮</t>
  </si>
  <si>
    <t xml:space="preserve"> 二崙鄉</t>
  </si>
  <si>
    <t xml:space="preserve"> 北港鎮</t>
  </si>
  <si>
    <t xml:space="preserve"> 水林鄉</t>
  </si>
  <si>
    <t xml:space="preserve"> 口湖鄉</t>
  </si>
  <si>
    <t xml:space="preserve"> 四湖鄉</t>
  </si>
  <si>
    <t xml:space="preserve"> 元長鄉</t>
  </si>
  <si>
    <t>台南市</t>
  </si>
  <si>
    <t xml:space="preserve"> 中西區</t>
  </si>
  <si>
    <t xml:space="preserve"> 安平區</t>
  </si>
  <si>
    <t xml:space="preserve"> 安南區</t>
  </si>
  <si>
    <t xml:space="preserve"> 永康區</t>
  </si>
  <si>
    <t xml:space="preserve"> 歸仁區</t>
  </si>
  <si>
    <t xml:space="preserve"> 新化區</t>
  </si>
  <si>
    <t xml:space="preserve"> 左鎮區</t>
  </si>
  <si>
    <t xml:space="preserve"> 玉井區</t>
  </si>
  <si>
    <t xml:space="preserve"> 楠西區</t>
  </si>
  <si>
    <t xml:space="preserve"> 南化區</t>
  </si>
  <si>
    <t xml:space="preserve"> 仁德區</t>
  </si>
  <si>
    <t xml:space="preserve"> 關廟區</t>
  </si>
  <si>
    <t xml:space="preserve"> 龍崎區</t>
  </si>
  <si>
    <t xml:space="preserve"> 官田區</t>
  </si>
  <si>
    <t xml:space="preserve"> 麻豆區</t>
  </si>
  <si>
    <t xml:space="preserve"> 佳里區</t>
  </si>
  <si>
    <t xml:space="preserve"> 西港區</t>
  </si>
  <si>
    <t xml:space="preserve"> 七股區</t>
  </si>
  <si>
    <t xml:space="preserve"> 將軍區</t>
  </si>
  <si>
    <t xml:space="preserve"> 學甲區</t>
  </si>
  <si>
    <t xml:space="preserve"> 北門區</t>
  </si>
  <si>
    <t xml:space="preserve"> 新營區</t>
  </si>
  <si>
    <t xml:space="preserve"> 後壁區</t>
  </si>
  <si>
    <t xml:space="preserve"> 白河區</t>
  </si>
  <si>
    <t xml:space="preserve"> 東山區</t>
  </si>
  <si>
    <t xml:space="preserve"> 六甲區</t>
  </si>
  <si>
    <t xml:space="preserve"> 下營區</t>
  </si>
  <si>
    <t xml:space="preserve"> 柳營區</t>
  </si>
  <si>
    <t xml:space="preserve"> 鹽水區</t>
  </si>
  <si>
    <t xml:space="preserve"> 善化區</t>
  </si>
  <si>
    <t xml:space="preserve"> 大內區</t>
  </si>
  <si>
    <t xml:space="preserve"> 山上區</t>
  </si>
  <si>
    <t xml:space="preserve"> 新市區</t>
  </si>
  <si>
    <t xml:space="preserve"> 安定區</t>
  </si>
  <si>
    <t>澎湖縣</t>
  </si>
  <si>
    <t xml:space="preserve"> 馬公市</t>
  </si>
  <si>
    <t xml:space="preserve"> 西嶼鄉</t>
  </si>
  <si>
    <t xml:space="preserve"> 望安鄉</t>
  </si>
  <si>
    <t xml:space="preserve"> 七美鄉</t>
  </si>
  <si>
    <t xml:space="preserve"> 白沙鄉</t>
  </si>
  <si>
    <t xml:space="preserve"> 湖西鄉</t>
  </si>
  <si>
    <t>金門縣</t>
  </si>
  <si>
    <t xml:space="preserve"> 金沙鎮</t>
  </si>
  <si>
    <t xml:space="preserve"> 金湖鎮</t>
  </si>
  <si>
    <t xml:space="preserve"> 金寧鄉</t>
  </si>
  <si>
    <t xml:space="preserve"> 金城鎮</t>
  </si>
  <si>
    <t xml:space="preserve"> 烈嶼鄉</t>
  </si>
  <si>
    <t xml:space="preserve"> 烏坵鄉</t>
  </si>
  <si>
    <t>屏東縣</t>
  </si>
  <si>
    <t xml:space="preserve"> 屏東市</t>
  </si>
  <si>
    <t xml:space="preserve"> 三地門鄉</t>
  </si>
  <si>
    <t xml:space="preserve"> 霧台鄉</t>
  </si>
  <si>
    <t xml:space="preserve"> 瑪家鄉</t>
  </si>
  <si>
    <t xml:space="preserve"> 九如鄉</t>
  </si>
  <si>
    <t xml:space="preserve"> 里港鄉</t>
  </si>
  <si>
    <t xml:space="preserve"> 高樹鄉</t>
  </si>
  <si>
    <t xml:space="preserve"> 鹽埔鄉</t>
  </si>
  <si>
    <t xml:space="preserve"> 長治鄉</t>
  </si>
  <si>
    <t xml:space="preserve"> 麟洛鄉</t>
  </si>
  <si>
    <t xml:space="preserve"> 竹田鄉</t>
  </si>
  <si>
    <t xml:space="preserve"> 內埔鄉</t>
  </si>
  <si>
    <t xml:space="preserve"> 萬丹鄉</t>
  </si>
  <si>
    <t xml:space="preserve"> 潮州鎮</t>
  </si>
  <si>
    <t xml:space="preserve"> 泰武鄉</t>
  </si>
  <si>
    <t xml:space="preserve"> 來義鄉</t>
  </si>
  <si>
    <t xml:space="preserve"> 萬巒鄉</t>
  </si>
  <si>
    <t xml:space="preserve"> 崁頂鄉</t>
  </si>
  <si>
    <t xml:space="preserve"> 新埤鄉</t>
  </si>
  <si>
    <t xml:space="preserve"> 南州鄉</t>
  </si>
  <si>
    <t xml:space="preserve"> 林邊鄉</t>
  </si>
  <si>
    <t xml:space="preserve"> 東港鎮</t>
  </si>
  <si>
    <t xml:space="preserve"> 琉球鄉</t>
  </si>
  <si>
    <t xml:space="preserve"> 佳冬鄉</t>
  </si>
  <si>
    <t xml:space="preserve"> 新園鄉</t>
  </si>
  <si>
    <t xml:space="preserve"> 枋寮鄉</t>
  </si>
  <si>
    <t xml:space="preserve"> 枋山鄉</t>
  </si>
  <si>
    <t xml:space="preserve"> 春日鄉</t>
  </si>
  <si>
    <t xml:space="preserve"> 獅子鄉</t>
  </si>
  <si>
    <t xml:space="preserve"> 車城鄉</t>
  </si>
  <si>
    <t xml:space="preserve"> 牡丹鄉</t>
  </si>
  <si>
    <t xml:space="preserve"> 恆春鎮</t>
  </si>
  <si>
    <t xml:space="preserve"> 滿州鄉</t>
  </si>
  <si>
    <t>台東縣</t>
  </si>
  <si>
    <t xml:space="preserve"> 台東市</t>
  </si>
  <si>
    <t xml:space="preserve"> 綠島鄉</t>
  </si>
  <si>
    <t xml:space="preserve"> 蘭嶼鄉</t>
  </si>
  <si>
    <t xml:space="preserve"> 延平鄉</t>
  </si>
  <si>
    <t xml:space="preserve"> 卑南鄉</t>
  </si>
  <si>
    <t xml:space="preserve"> 鹿野鄉</t>
  </si>
  <si>
    <t xml:space="preserve"> 關山鎮</t>
  </si>
  <si>
    <t xml:space="preserve"> 海端鄉</t>
  </si>
  <si>
    <t xml:space="preserve"> 池上鄉</t>
  </si>
  <si>
    <t xml:space="preserve"> 東河鄉</t>
  </si>
  <si>
    <t xml:space="preserve"> 成功鎮</t>
  </si>
  <si>
    <t xml:space="preserve"> 長濱鄉</t>
  </si>
  <si>
    <t xml:space="preserve"> 太麻里鄉</t>
  </si>
  <si>
    <t xml:space="preserve"> 金峰鄉</t>
  </si>
  <si>
    <t xml:space="preserve"> 大武鄉</t>
  </si>
  <si>
    <t xml:space="preserve"> 達仁鄉</t>
  </si>
  <si>
    <t>花蓮縣</t>
  </si>
  <si>
    <t xml:space="preserve"> 花蓮市</t>
  </si>
  <si>
    <t xml:space="preserve"> 新城鄉</t>
  </si>
  <si>
    <t xml:space="preserve"> 秀林鄉</t>
  </si>
  <si>
    <t xml:space="preserve"> 吉安鄉</t>
  </si>
  <si>
    <t xml:space="preserve"> 壽豐鄉</t>
  </si>
  <si>
    <t xml:space="preserve"> 鳳林鎮</t>
  </si>
  <si>
    <t xml:space="preserve"> 光復鄉</t>
  </si>
  <si>
    <t xml:space="preserve"> 豐濱鄉</t>
  </si>
  <si>
    <t xml:space="preserve"> 瑞穗鄉</t>
  </si>
  <si>
    <t xml:space="preserve"> 萬榮鄉</t>
  </si>
  <si>
    <t xml:space="preserve"> 玉里鎮</t>
  </si>
  <si>
    <t xml:space="preserve"> 卓溪鄉</t>
  </si>
  <si>
    <t xml:space="preserve"> 富里鄉</t>
  </si>
  <si>
    <t>性別</t>
  </si>
  <si>
    <t>學歷</t>
  </si>
  <si>
    <t>到職日期</t>
  </si>
  <si>
    <t>男生</t>
  </si>
  <si>
    <t>碩士</t>
  </si>
  <si>
    <t>大學</t>
  </si>
  <si>
    <t>女生</t>
  </si>
  <si>
    <t>銷售金額</t>
    <phoneticPr fontId="4" type="noConversion"/>
  </si>
  <si>
    <t>獲利</t>
    <phoneticPr fontId="4" type="noConversion"/>
  </si>
  <si>
    <t>黑色長袖運動𥘎</t>
  </si>
  <si>
    <t xml:space="preserve"> S號</t>
  </si>
  <si>
    <t xml:space="preserve"> M號</t>
  </si>
  <si>
    <t xml:space="preserve"> L號</t>
  </si>
  <si>
    <t xml:space="preserve"> XL號</t>
  </si>
  <si>
    <t>藍色長袖運動𥘎</t>
  </si>
  <si>
    <t>紅色長袖運動𥘎</t>
  </si>
  <si>
    <t>黑色自行車褲</t>
  </si>
  <si>
    <t>藍色自行車褲</t>
  </si>
  <si>
    <t>紅色自行車褲</t>
  </si>
  <si>
    <t>休閒車1000型白色</t>
  </si>
  <si>
    <t xml:space="preserve"> 46號</t>
  </si>
  <si>
    <t xml:space="preserve"> 48號</t>
  </si>
  <si>
    <t xml:space="preserve"> 50號</t>
  </si>
  <si>
    <t xml:space="preserve"> 52號</t>
  </si>
  <si>
    <t>休閒車1000型紅色</t>
  </si>
  <si>
    <t>休閒車1000型碳纖色</t>
  </si>
  <si>
    <t>休閒車1000型黑色</t>
  </si>
  <si>
    <t>登山車AT型白色</t>
  </si>
  <si>
    <t>登山車AT型紅色</t>
  </si>
  <si>
    <t>登山車AT型碳纖色</t>
  </si>
  <si>
    <t>登山車AT型黑色</t>
  </si>
  <si>
    <t>公路車RX型白色</t>
  </si>
  <si>
    <t>公路車RX型紅色</t>
  </si>
  <si>
    <t>公路車RX型碳纖色</t>
  </si>
  <si>
    <t>公路車RX型黑色</t>
  </si>
  <si>
    <t>尺寸</t>
    <phoneticPr fontId="4" type="noConversion"/>
  </si>
  <si>
    <t>顏色</t>
    <phoneticPr fontId="4" type="noConversion"/>
  </si>
  <si>
    <t>黑色長袖運動𥘎</t>
    <phoneticPr fontId="4" type="noConversion"/>
  </si>
  <si>
    <t>黑色</t>
  </si>
  <si>
    <t>紅色</t>
  </si>
  <si>
    <t>休閒車1000型白色</t>
    <phoneticPr fontId="4" type="noConversion"/>
  </si>
  <si>
    <t>白色</t>
  </si>
  <si>
    <t>車服</t>
    <phoneticPr fontId="4" type="noConversion"/>
  </si>
  <si>
    <t>車服</t>
    <phoneticPr fontId="4" type="noConversion"/>
  </si>
  <si>
    <t>車服</t>
    <phoneticPr fontId="4" type="noConversion"/>
  </si>
  <si>
    <t>車服</t>
    <phoneticPr fontId="4" type="noConversion"/>
  </si>
  <si>
    <t>休閒車</t>
    <phoneticPr fontId="4" type="noConversion"/>
  </si>
  <si>
    <t>休閒車</t>
    <phoneticPr fontId="4" type="noConversion"/>
  </si>
  <si>
    <t>休閒車</t>
    <phoneticPr fontId="4" type="noConversion"/>
  </si>
  <si>
    <t>休閒車</t>
    <phoneticPr fontId="4" type="noConversion"/>
  </si>
  <si>
    <t>登山車</t>
    <phoneticPr fontId="4" type="noConversion"/>
  </si>
  <si>
    <t>公路車</t>
    <phoneticPr fontId="4" type="noConversion"/>
  </si>
  <si>
    <t>休閒車1000型紅色</t>
    <phoneticPr fontId="4" type="noConversion"/>
  </si>
  <si>
    <t>休閒車1000型碳纖色</t>
    <phoneticPr fontId="4" type="noConversion"/>
  </si>
  <si>
    <t>碳纖色</t>
  </si>
  <si>
    <t>休閒車1000型黑色</t>
    <phoneticPr fontId="4" type="noConversion"/>
  </si>
  <si>
    <t>職稱</t>
    <phoneticPr fontId="4" type="noConversion"/>
  </si>
  <si>
    <t>專員</t>
  </si>
  <si>
    <t>經理</t>
  </si>
  <si>
    <t>協理</t>
  </si>
  <si>
    <t>副理</t>
  </si>
  <si>
    <t>李慶元</t>
    <phoneticPr fontId="4" type="noConversion"/>
  </si>
  <si>
    <t>陳治平</t>
    <phoneticPr fontId="4" type="noConversion"/>
  </si>
  <si>
    <t>王禹錫</t>
    <phoneticPr fontId="4" type="noConversion"/>
  </si>
  <si>
    <t>張淑娟</t>
    <phoneticPr fontId="4" type="noConversion"/>
  </si>
  <si>
    <t>戴晨淵</t>
    <phoneticPr fontId="4" type="noConversion"/>
  </si>
  <si>
    <t>吳宇森</t>
    <phoneticPr fontId="4" type="noConversion"/>
  </si>
  <si>
    <t>孔祥興</t>
    <phoneticPr fontId="4" type="noConversion"/>
  </si>
  <si>
    <t>徐堉仁</t>
    <phoneticPr fontId="4" type="noConversion"/>
  </si>
  <si>
    <t>葉于慧</t>
    <phoneticPr fontId="4" type="noConversion"/>
  </si>
  <si>
    <t>蔡元暄</t>
    <phoneticPr fontId="4" type="noConversion"/>
  </si>
  <si>
    <t>訂單編號</t>
    <phoneticPr fontId="4" type="noConversion"/>
  </si>
  <si>
    <t xml:space="preserve"> 52號</t>
    <phoneticPr fontId="4" type="noConversion"/>
  </si>
  <si>
    <t>銷售員</t>
    <phoneticPr fontId="4" type="noConversion"/>
  </si>
  <si>
    <t>服飾</t>
    <phoneticPr fontId="4" type="noConversion"/>
  </si>
  <si>
    <t>車服</t>
    <phoneticPr fontId="4" type="noConversion"/>
  </si>
  <si>
    <t>小分類</t>
    <phoneticPr fontId="4" type="noConversion"/>
  </si>
  <si>
    <t>大分類</t>
    <phoneticPr fontId="4" type="noConversion"/>
  </si>
  <si>
    <t>單車</t>
    <phoneticPr fontId="4" type="noConversion"/>
  </si>
  <si>
    <t>折扣數</t>
    <phoneticPr fontId="4" type="noConversion"/>
  </si>
  <si>
    <t>年資</t>
    <phoneticPr fontId="4" type="noConversion"/>
  </si>
  <si>
    <t>獲利</t>
    <phoneticPr fontId="4" type="noConversion"/>
  </si>
  <si>
    <t>獲利率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</si>
</sst>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PD&quot;000"/>
    <numFmt numFmtId="177" formatCode="_(&quot;$&quot;* #,##0.00_);_(&quot;$&quot;* \(#,##0.00\);_(&quot;$&quot;* &quot;-&quot;??_);_(@_)"/>
    <numFmt numFmtId="178" formatCode="&quot;$&quot;#,##0_);[Red]\(&quot;$&quot;#,##0\)"/>
    <numFmt numFmtId="179" formatCode="&quot;$&quot;#,##0"/>
    <numFmt numFmtId="180" formatCode="&quot;RE&quot;000"/>
    <numFmt numFmtId="181" formatCode="&quot;SA&quot;000"/>
    <numFmt numFmtId="182" formatCode="yyyy/mm/dd"/>
    <numFmt numFmtId="183" formatCode="&quot;ID&quot;0000"/>
    <numFmt numFmtId="184" formatCode="0_);[Red]\(0\)"/>
    <numFmt numFmtId="185" formatCode="[$-F800]dddd\,\ mmmm\ dd\,\ yyyy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2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177" fontId="2" fillId="0" borderId="0" applyFont="0" applyFill="0" applyBorder="0" applyAlignment="0" applyProtection="0"/>
  </cellStyleXfs>
  <cellXfs count="38">
    <xf numFmtId="0" fontId="0" fillId="0" borderId="0" xfId="0">
      <alignment vertical="center"/>
    </xf>
    <xf numFmtId="0" fontId="3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76" fontId="6" fillId="0" borderId="1" xfId="2" applyNumberFormat="1" applyFont="1" applyBorder="1" applyAlignment="1">
      <alignment horizontal="center" vertical="center"/>
    </xf>
    <xf numFmtId="49" fontId="6" fillId="0" borderId="2" xfId="2" applyNumberFormat="1" applyFont="1" applyBorder="1" applyAlignment="1">
      <alignment horizontal="left" vertical="center"/>
    </xf>
    <xf numFmtId="49" fontId="6" fillId="0" borderId="2" xfId="2" applyNumberFormat="1" applyFont="1" applyBorder="1" applyAlignment="1">
      <alignment horizontal="center" vertical="center"/>
    </xf>
    <xf numFmtId="178" fontId="6" fillId="0" borderId="2" xfId="3" applyNumberFormat="1" applyFont="1" applyFill="1" applyBorder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49" fontId="6" fillId="0" borderId="0" xfId="2" applyNumberFormat="1" applyFont="1" applyAlignment="1">
      <alignment horizontal="center" vertical="center"/>
    </xf>
    <xf numFmtId="178" fontId="6" fillId="0" borderId="0" xfId="3" applyNumberFormat="1" applyFont="1" applyFill="1" applyBorder="1" applyAlignment="1">
      <alignment horizontal="right" vertical="center"/>
    </xf>
    <xf numFmtId="179" fontId="6" fillId="0" borderId="3" xfId="3" applyNumberFormat="1" applyFont="1" applyFill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6" fillId="0" borderId="4" xfId="2" applyNumberFormat="1" applyFont="1" applyBorder="1" applyAlignment="1">
      <alignment horizontal="left" vertical="center"/>
    </xf>
    <xf numFmtId="49" fontId="6" fillId="0" borderId="4" xfId="2" applyNumberFormat="1" applyFont="1" applyBorder="1" applyAlignment="1">
      <alignment horizontal="center" vertical="center"/>
    </xf>
    <xf numFmtId="180" fontId="0" fillId="0" borderId="0" xfId="0" applyNumberFormat="1">
      <alignment vertical="center"/>
    </xf>
    <xf numFmtId="181" fontId="7" fillId="0" borderId="0" xfId="0" applyNumberFormat="1" applyFont="1" applyAlignment="1">
      <alignment horizontal="right"/>
    </xf>
    <xf numFmtId="1" fontId="7" fillId="0" borderId="0" xfId="0" applyNumberFormat="1" applyFont="1" applyAlignment="1"/>
    <xf numFmtId="9" fontId="7" fillId="0" borderId="0" xfId="1" applyFont="1" applyFill="1" applyBorder="1" applyAlignment="1"/>
    <xf numFmtId="0" fontId="7" fillId="0" borderId="0" xfId="0" applyFont="1" applyAlignment="1">
      <alignment horizontal="right"/>
    </xf>
    <xf numFmtId="9" fontId="0" fillId="0" borderId="0" xfId="1" applyFont="1">
      <alignment vertical="center"/>
    </xf>
    <xf numFmtId="0" fontId="0" fillId="0" borderId="0" xfId="0" applyAlignment="1">
      <alignment horizontal="right" vertical="center"/>
    </xf>
    <xf numFmtId="182" fontId="7" fillId="0" borderId="0" xfId="0" applyNumberFormat="1" applyFont="1" applyAlignment="1">
      <alignment horizontal="right"/>
    </xf>
    <xf numFmtId="182" fontId="0" fillId="0" borderId="0" xfId="0" applyNumberFormat="1" applyAlignment="1">
      <alignment horizontal="right" vertical="center"/>
    </xf>
    <xf numFmtId="181" fontId="8" fillId="0" borderId="0" xfId="0" applyNumberFormat="1" applyFont="1" applyFill="1">
      <alignment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right"/>
    </xf>
    <xf numFmtId="182" fontId="7" fillId="2" borderId="0" xfId="0" applyNumberFormat="1" applyFont="1" applyFill="1" applyAlignment="1">
      <alignment horizontal="center"/>
    </xf>
    <xf numFmtId="0" fontId="0" fillId="2" borderId="0" xfId="0" applyFill="1">
      <alignment vertical="center"/>
    </xf>
    <xf numFmtId="0" fontId="5" fillId="0" borderId="2" xfId="2" applyNumberFormat="1" applyFont="1" applyBorder="1" applyAlignment="1">
      <alignment horizontal="center" vertical="center"/>
    </xf>
    <xf numFmtId="0" fontId="6" fillId="0" borderId="2" xfId="2" applyNumberFormat="1" applyFont="1" applyBorder="1" applyAlignment="1">
      <alignment horizontal="left" vertical="center"/>
    </xf>
    <xf numFmtId="0" fontId="0" fillId="0" borderId="0" xfId="0" applyNumberFormat="1">
      <alignment vertical="center"/>
    </xf>
    <xf numFmtId="183" fontId="0" fillId="0" borderId="0" xfId="0" applyNumberFormat="1">
      <alignment vertical="center"/>
    </xf>
    <xf numFmtId="184" fontId="0" fillId="2" borderId="0" xfId="0" applyNumberFormat="1" applyFill="1">
      <alignment vertical="center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9" fontId="0" fillId="2" borderId="0" xfId="1" applyFont="1" applyFill="1">
      <alignment vertical="center"/>
    </xf>
  </cellXfs>
  <cellStyles count="4">
    <cellStyle name="一般" xfId="0" builtinId="0"/>
    <cellStyle name="一般 2" xfId="2" xr:uid="{00000000-0005-0000-0000-000001000000}"/>
    <cellStyle name="百分比" xfId="1" builtinId="5"/>
    <cellStyle name="貨幣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&#36039;&#26009;&#35222;&#35258;&#21270;&#26399;&#20013;&#32771;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銷售資料總表"/>
      <sheetName val="產品維度表"/>
      <sheetName val="區域維度表"/>
      <sheetName val="銷售員維度表"/>
      <sheetName val="工作表1"/>
      <sheetName val="題目一"/>
    </sheetNames>
    <sheetDataSet>
      <sheetData sheetId="0"/>
      <sheetData sheetId="1">
        <row r="13">
          <cell r="C13" t="str">
            <v>車服</v>
          </cell>
        </row>
        <row r="14">
          <cell r="C14" t="str">
            <v>車褲</v>
          </cell>
        </row>
        <row r="26">
          <cell r="C26" t="str">
            <v>休閒車</v>
          </cell>
        </row>
      </sheetData>
      <sheetData sheetId="2"/>
      <sheetData sheetId="3" refreshError="1"/>
      <sheetData sheetId="4">
        <row r="9">
          <cell r="B9" t="str">
            <v>車色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89"/>
  <sheetViews>
    <sheetView tabSelected="1" workbookViewId="0">
      <selection activeCell="K3" sqref="K3"/>
    </sheetView>
  </sheetViews>
  <sheetFormatPr defaultRowHeight="16.2" x14ac:dyDescent="0.3"/>
  <cols>
    <col min="2" max="2" width="10.44140625" bestFit="1" customWidth="1"/>
    <col min="3" max="3" width="10.44140625" style="21" bestFit="1" customWidth="1"/>
    <col min="4" max="4" width="12.88671875" style="21" bestFit="1" customWidth="1"/>
    <col min="5" max="5" width="14.33203125" style="23" customWidth="1"/>
    <col min="6" max="6" width="14.5546875" bestFit="1" customWidth="1"/>
    <col min="7" max="7" width="10.33203125" customWidth="1"/>
    <col min="8" max="8" width="11.88671875" customWidth="1"/>
    <col min="9" max="9" width="8.88671875" style="35"/>
    <col min="10" max="10" width="8.88671875" style="20"/>
  </cols>
  <sheetData>
    <row r="1" spans="1:10" x14ac:dyDescent="0.3">
      <c r="A1" s="26" t="s">
        <v>469</v>
      </c>
      <c r="B1" s="26" t="s">
        <v>0</v>
      </c>
      <c r="C1" s="27" t="s">
        <v>10</v>
      </c>
      <c r="D1" s="27" t="s">
        <v>87</v>
      </c>
      <c r="E1" s="28" t="s">
        <v>88</v>
      </c>
      <c r="F1" s="26" t="s">
        <v>12</v>
      </c>
      <c r="G1" s="26" t="s">
        <v>477</v>
      </c>
      <c r="H1" s="29" t="s">
        <v>405</v>
      </c>
      <c r="I1" s="34" t="s">
        <v>406</v>
      </c>
      <c r="J1" s="37" t="s">
        <v>480</v>
      </c>
    </row>
    <row r="2" spans="1:10" x14ac:dyDescent="0.3">
      <c r="A2" s="33">
        <v>1</v>
      </c>
      <c r="B2" s="4">
        <v>2</v>
      </c>
      <c r="C2" s="15">
        <v>3</v>
      </c>
      <c r="D2" s="16">
        <v>2</v>
      </c>
      <c r="E2" s="22">
        <v>43831</v>
      </c>
      <c r="F2" s="17">
        <v>10</v>
      </c>
      <c r="G2" s="18">
        <v>7.0000000000000007E-2</v>
      </c>
      <c r="H2">
        <f>F2*VLOOKUP(B2,產品!$A$2:$H$61,7,FALSE)*(1-銷售總表!G2)</f>
        <v>9300</v>
      </c>
      <c r="I2" s="35">
        <f>H2-F2*VLOOKUP(銷售總表!B2,產品!$A$2:$H$61,8,FALSE)</f>
        <v>5300</v>
      </c>
      <c r="J2" s="20">
        <f>I2/H2</f>
        <v>0.56989247311827962</v>
      </c>
    </row>
    <row r="3" spans="1:10" x14ac:dyDescent="0.3">
      <c r="A3" s="33">
        <v>2</v>
      </c>
      <c r="B3" s="4">
        <v>60</v>
      </c>
      <c r="C3" s="15">
        <v>11</v>
      </c>
      <c r="D3" s="16">
        <v>1</v>
      </c>
      <c r="E3" s="22">
        <v>43832</v>
      </c>
      <c r="F3" s="17">
        <v>3</v>
      </c>
      <c r="G3" s="18">
        <v>7.0000000000000007E-2</v>
      </c>
      <c r="H3">
        <f>F3*VLOOKUP(B3,產品!$A$2:$H$61,7,FALSE)*(1-銷售總表!G3)</f>
        <v>69750</v>
      </c>
      <c r="I3" s="35">
        <f>H3-F3*VLOOKUP(銷售總表!B3,產品!$A$2:$H$61,8,FALSE)</f>
        <v>17250</v>
      </c>
      <c r="J3" s="20">
        <f t="shared" ref="J3:J66" si="0">I3/H3</f>
        <v>0.24731182795698925</v>
      </c>
    </row>
    <row r="4" spans="1:10" x14ac:dyDescent="0.3">
      <c r="A4" s="33">
        <v>3</v>
      </c>
      <c r="B4" s="4">
        <v>3</v>
      </c>
      <c r="C4" s="15">
        <v>6</v>
      </c>
      <c r="D4" s="16">
        <v>4</v>
      </c>
      <c r="E4" s="22">
        <v>43832</v>
      </c>
      <c r="F4" s="19">
        <v>40</v>
      </c>
      <c r="G4" s="18">
        <v>0.18</v>
      </c>
      <c r="H4">
        <f>F4*VLOOKUP(B4,產品!$A$2:$H$61,7,FALSE)*(1-銷售總表!G4)</f>
        <v>32800</v>
      </c>
      <c r="I4" s="35">
        <f>H4-F4*VLOOKUP(銷售總表!B4,產品!$A$2:$H$61,8,FALSE)</f>
        <v>16800</v>
      </c>
      <c r="J4" s="20">
        <f t="shared" si="0"/>
        <v>0.51219512195121952</v>
      </c>
    </row>
    <row r="5" spans="1:10" x14ac:dyDescent="0.3">
      <c r="A5" s="33">
        <v>4</v>
      </c>
      <c r="B5" s="4">
        <v>56</v>
      </c>
      <c r="C5" s="15">
        <v>294</v>
      </c>
      <c r="D5" s="16">
        <v>6</v>
      </c>
      <c r="E5" s="22">
        <v>43833</v>
      </c>
      <c r="F5" s="17">
        <v>15</v>
      </c>
      <c r="G5" s="18">
        <v>0.15</v>
      </c>
      <c r="H5">
        <f>F5*VLOOKUP(B5,產品!$A$2:$H$61,7,FALSE)*(1-銷售總表!G5)</f>
        <v>280500</v>
      </c>
      <c r="I5" s="35">
        <f>H5-F5*VLOOKUP(銷售總表!B5,產品!$A$2:$H$61,8,FALSE)</f>
        <v>49500.000000000029</v>
      </c>
      <c r="J5" s="20">
        <f t="shared" si="0"/>
        <v>0.17647058823529421</v>
      </c>
    </row>
    <row r="6" spans="1:10" x14ac:dyDescent="0.3">
      <c r="A6" s="33">
        <v>5</v>
      </c>
      <c r="B6" s="4">
        <v>16</v>
      </c>
      <c r="C6" s="15">
        <v>285</v>
      </c>
      <c r="D6" s="16">
        <v>7</v>
      </c>
      <c r="E6" s="22">
        <v>43833</v>
      </c>
      <c r="F6" s="17">
        <v>30</v>
      </c>
      <c r="G6" s="18">
        <v>0.13</v>
      </c>
      <c r="H6">
        <f>F6*VLOOKUP(B6,產品!$A$2:$H$61,7,FALSE)*(1-銷售總表!G6)</f>
        <v>46980</v>
      </c>
      <c r="I6" s="35">
        <f>H6-F6*VLOOKUP(銷售總表!B6,產品!$A$2:$H$61,8,FALSE)</f>
        <v>25380</v>
      </c>
      <c r="J6" s="20">
        <f t="shared" si="0"/>
        <v>0.54022988505747127</v>
      </c>
    </row>
    <row r="7" spans="1:10" x14ac:dyDescent="0.3">
      <c r="A7" s="33">
        <v>6</v>
      </c>
      <c r="B7" s="4">
        <v>26</v>
      </c>
      <c r="C7" s="15">
        <v>283</v>
      </c>
      <c r="D7" s="16">
        <v>6</v>
      </c>
      <c r="E7" s="22">
        <v>43833</v>
      </c>
      <c r="F7" s="19">
        <v>8</v>
      </c>
      <c r="G7" s="18">
        <v>0.14000000000000001</v>
      </c>
      <c r="H7">
        <f>F7*VLOOKUP(B7,產品!$A$2:$H$61,7,FALSE)*(1-銷售總表!G7)</f>
        <v>44720</v>
      </c>
      <c r="I7" s="35">
        <f>H7-F7*VLOOKUP(銷售總表!B7,產品!$A$2:$H$61,8,FALSE)</f>
        <v>13520</v>
      </c>
      <c r="J7" s="20">
        <f t="shared" si="0"/>
        <v>0.30232558139534882</v>
      </c>
    </row>
    <row r="8" spans="1:10" x14ac:dyDescent="0.3">
      <c r="A8" s="33">
        <v>7</v>
      </c>
      <c r="B8" s="4">
        <v>45</v>
      </c>
      <c r="C8" s="15">
        <v>9</v>
      </c>
      <c r="D8" s="16">
        <v>5</v>
      </c>
      <c r="E8" s="22">
        <v>43833</v>
      </c>
      <c r="F8" s="17">
        <v>6</v>
      </c>
      <c r="G8" s="18">
        <v>0.19</v>
      </c>
      <c r="H8">
        <f>F8*VLOOKUP(B8,產品!$A$2:$H$61,7,FALSE)*(1-銷售總表!G8)</f>
        <v>68040</v>
      </c>
      <c r="I8" s="35">
        <f>H8-F8*VLOOKUP(銷售總表!B8,產品!$A$2:$H$61,8,FALSE)</f>
        <v>13440</v>
      </c>
      <c r="J8" s="20">
        <f t="shared" si="0"/>
        <v>0.19753086419753085</v>
      </c>
    </row>
    <row r="9" spans="1:10" x14ac:dyDescent="0.3">
      <c r="A9" s="33">
        <v>8</v>
      </c>
      <c r="B9" s="4">
        <v>49</v>
      </c>
      <c r="C9" s="15">
        <v>259</v>
      </c>
      <c r="D9" s="16">
        <v>9</v>
      </c>
      <c r="E9" s="22">
        <v>43833</v>
      </c>
      <c r="F9" s="17">
        <v>2</v>
      </c>
      <c r="G9" s="18">
        <v>7.0000000000000007E-2</v>
      </c>
      <c r="H9">
        <f>F9*VLOOKUP(B9,產品!$A$2:$H$61,7,FALSE)*(1-銷售總表!G9)</f>
        <v>27899.999999999996</v>
      </c>
      <c r="I9" s="35">
        <f>H9-F9*VLOOKUP(銷售總表!B9,產品!$A$2:$H$61,8,FALSE)</f>
        <v>6899.9999999999964</v>
      </c>
      <c r="J9" s="20">
        <f t="shared" si="0"/>
        <v>0.24731182795698914</v>
      </c>
    </row>
    <row r="10" spans="1:10" x14ac:dyDescent="0.3">
      <c r="A10" s="33">
        <v>9</v>
      </c>
      <c r="B10" s="4">
        <v>28</v>
      </c>
      <c r="C10" s="15">
        <v>262</v>
      </c>
      <c r="D10" s="16">
        <v>6</v>
      </c>
      <c r="E10" s="22">
        <v>43833</v>
      </c>
      <c r="F10" s="17">
        <v>3</v>
      </c>
      <c r="G10" s="18">
        <v>0.2</v>
      </c>
      <c r="H10">
        <f>F10*VLOOKUP(B10,產品!$A$2:$H$61,7,FALSE)*(1-銷售總表!G10)</f>
        <v>18000</v>
      </c>
      <c r="I10" s="35">
        <f>H10-F10*VLOOKUP(銷售總表!B10,產品!$A$2:$H$61,8,FALSE)</f>
        <v>4500</v>
      </c>
      <c r="J10" s="20">
        <f t="shared" si="0"/>
        <v>0.25</v>
      </c>
    </row>
    <row r="11" spans="1:10" x14ac:dyDescent="0.3">
      <c r="A11" s="33">
        <v>10</v>
      </c>
      <c r="B11" s="4">
        <v>33</v>
      </c>
      <c r="C11" s="15">
        <v>2</v>
      </c>
      <c r="D11" s="16">
        <v>7</v>
      </c>
      <c r="E11" s="22">
        <v>43834</v>
      </c>
      <c r="F11" s="17">
        <v>10</v>
      </c>
      <c r="G11" s="18">
        <v>0.17</v>
      </c>
      <c r="H11">
        <f>F11*VLOOKUP(B11,產品!$A$2:$H$61,7,FALSE)*(1-銷售總表!G11)</f>
        <v>62250</v>
      </c>
      <c r="I11" s="35">
        <f>H11-F11*VLOOKUP(銷售總表!B11,產品!$A$2:$H$61,8,FALSE)</f>
        <v>17250</v>
      </c>
      <c r="J11" s="20">
        <f t="shared" si="0"/>
        <v>0.27710843373493976</v>
      </c>
    </row>
    <row r="12" spans="1:10" x14ac:dyDescent="0.3">
      <c r="A12" s="33">
        <v>11</v>
      </c>
      <c r="B12" s="4">
        <v>56</v>
      </c>
      <c r="C12" s="15">
        <v>112</v>
      </c>
      <c r="D12" s="16">
        <v>9</v>
      </c>
      <c r="E12" s="22">
        <v>43835</v>
      </c>
      <c r="F12" s="19">
        <v>8</v>
      </c>
      <c r="G12" s="18">
        <v>0.14000000000000001</v>
      </c>
      <c r="H12">
        <f>F12*VLOOKUP(B12,產品!$A$2:$H$61,7,FALSE)*(1-銷售總表!G12)</f>
        <v>151360</v>
      </c>
      <c r="I12" s="35">
        <f>H12-F12*VLOOKUP(銷售總表!B12,產品!$A$2:$H$61,8,FALSE)</f>
        <v>28160.000000000015</v>
      </c>
      <c r="J12" s="20">
        <f t="shared" si="0"/>
        <v>0.18604651162790709</v>
      </c>
    </row>
    <row r="13" spans="1:10" x14ac:dyDescent="0.3">
      <c r="A13" s="33">
        <v>12</v>
      </c>
      <c r="B13" s="4">
        <v>28</v>
      </c>
      <c r="C13" s="15">
        <v>291</v>
      </c>
      <c r="D13" s="16">
        <v>10</v>
      </c>
      <c r="E13" s="22">
        <v>43835</v>
      </c>
      <c r="F13" s="17">
        <v>12</v>
      </c>
      <c r="G13" s="18">
        <v>0.13</v>
      </c>
      <c r="H13">
        <f>F13*VLOOKUP(B13,產品!$A$2:$H$61,7,FALSE)*(1-銷售總表!G13)</f>
        <v>78300</v>
      </c>
      <c r="I13" s="35">
        <f>H13-F13*VLOOKUP(銷售總表!B13,產品!$A$2:$H$61,8,FALSE)</f>
        <v>24300</v>
      </c>
      <c r="J13" s="20">
        <f t="shared" si="0"/>
        <v>0.31034482758620691</v>
      </c>
    </row>
    <row r="14" spans="1:10" x14ac:dyDescent="0.3">
      <c r="A14" s="33">
        <v>13</v>
      </c>
      <c r="B14" s="4">
        <v>59</v>
      </c>
      <c r="C14" s="15">
        <v>8</v>
      </c>
      <c r="D14" s="16">
        <v>1</v>
      </c>
      <c r="E14" s="22">
        <v>43835</v>
      </c>
      <c r="F14" s="17">
        <v>3</v>
      </c>
      <c r="G14" s="18">
        <v>7.0000000000000007E-2</v>
      </c>
      <c r="H14">
        <f>F14*VLOOKUP(B14,產品!$A$2:$H$61,7,FALSE)*(1-銷售總表!G14)</f>
        <v>66960</v>
      </c>
      <c r="I14" s="35">
        <f>H14-F14*VLOOKUP(銷售總表!B14,產品!$A$2:$H$61,8,FALSE)</f>
        <v>16560</v>
      </c>
      <c r="J14" s="20">
        <f t="shared" si="0"/>
        <v>0.24731182795698925</v>
      </c>
    </row>
    <row r="15" spans="1:10" x14ac:dyDescent="0.3">
      <c r="A15" s="33">
        <v>14</v>
      </c>
      <c r="B15" s="4">
        <v>27</v>
      </c>
      <c r="C15" s="15">
        <v>294</v>
      </c>
      <c r="D15" s="16">
        <v>4</v>
      </c>
      <c r="E15" s="22">
        <v>43835</v>
      </c>
      <c r="F15" s="17">
        <v>3</v>
      </c>
      <c r="G15" s="18">
        <v>0.19</v>
      </c>
      <c r="H15">
        <f>F15*VLOOKUP(B15,產品!$A$2:$H$61,7,FALSE)*(1-銷售總表!G15)</f>
        <v>17010</v>
      </c>
      <c r="I15" s="35">
        <f>H15-F15*VLOOKUP(銷售總表!B15,產品!$A$2:$H$61,8,FALSE)</f>
        <v>4410</v>
      </c>
      <c r="J15" s="20">
        <f t="shared" si="0"/>
        <v>0.25925925925925924</v>
      </c>
    </row>
    <row r="16" spans="1:10" x14ac:dyDescent="0.3">
      <c r="A16" s="33">
        <v>15</v>
      </c>
      <c r="B16" s="4">
        <v>19</v>
      </c>
      <c r="C16" s="15">
        <v>5</v>
      </c>
      <c r="D16" s="16">
        <v>7</v>
      </c>
      <c r="E16" s="22">
        <v>43836</v>
      </c>
      <c r="F16" s="17">
        <v>100</v>
      </c>
      <c r="G16" s="18">
        <v>0.16</v>
      </c>
      <c r="H16">
        <f>F16*VLOOKUP(B16,產品!$A$2:$H$61,7,FALSE)*(1-銷售總表!G16)</f>
        <v>151200</v>
      </c>
      <c r="I16" s="35">
        <f>H16-F16*VLOOKUP(銷售總表!B16,產品!$A$2:$H$61,8,FALSE)</f>
        <v>79200</v>
      </c>
      <c r="J16" s="20">
        <f t="shared" si="0"/>
        <v>0.52380952380952384</v>
      </c>
    </row>
    <row r="17" spans="1:10" x14ac:dyDescent="0.3">
      <c r="A17" s="33">
        <v>16</v>
      </c>
      <c r="B17" s="4">
        <v>48</v>
      </c>
      <c r="C17" s="15">
        <v>285</v>
      </c>
      <c r="D17" s="16">
        <v>7</v>
      </c>
      <c r="E17" s="22">
        <v>43837</v>
      </c>
      <c r="F17" s="17">
        <v>9</v>
      </c>
      <c r="G17" s="18">
        <v>0.16</v>
      </c>
      <c r="H17">
        <f>F17*VLOOKUP(B17,產品!$A$2:$H$61,7,FALSE)*(1-銷售總表!G17)</f>
        <v>166320</v>
      </c>
      <c r="I17" s="35">
        <f>H17-F17*VLOOKUP(銷售總表!B17,產品!$A$2:$H$61,8,FALSE)</f>
        <v>37620</v>
      </c>
      <c r="J17" s="20">
        <f t="shared" si="0"/>
        <v>0.22619047619047619</v>
      </c>
    </row>
    <row r="18" spans="1:10" x14ac:dyDescent="0.3">
      <c r="A18" s="33">
        <v>17</v>
      </c>
      <c r="B18" s="4">
        <v>35</v>
      </c>
      <c r="C18" s="15">
        <v>138</v>
      </c>
      <c r="D18" s="16">
        <v>9</v>
      </c>
      <c r="E18" s="22">
        <v>43837</v>
      </c>
      <c r="F18" s="17">
        <v>12</v>
      </c>
      <c r="G18" s="18">
        <v>0.19</v>
      </c>
      <c r="H18">
        <f>F18*VLOOKUP(B18,產品!$A$2:$H$61,7,FALSE)*(1-銷售總表!G18)</f>
        <v>82620</v>
      </c>
      <c r="I18" s="35">
        <f>H18-F18*VLOOKUP(銷售總表!B18,產品!$A$2:$H$61,8,FALSE)</f>
        <v>21420</v>
      </c>
      <c r="J18" s="20">
        <f t="shared" si="0"/>
        <v>0.25925925925925924</v>
      </c>
    </row>
    <row r="19" spans="1:10" x14ac:dyDescent="0.3">
      <c r="A19" s="33">
        <v>18</v>
      </c>
      <c r="B19" s="4">
        <v>34</v>
      </c>
      <c r="C19" s="15">
        <v>117</v>
      </c>
      <c r="D19" s="16">
        <v>3</v>
      </c>
      <c r="E19" s="22">
        <v>43837</v>
      </c>
      <c r="F19" s="17">
        <v>3</v>
      </c>
      <c r="G19" s="18">
        <v>0.17</v>
      </c>
      <c r="H19">
        <f>F19*VLOOKUP(B19,產品!$A$2:$H$61,7,FALSE)*(1-銷售總表!G19)</f>
        <v>19920</v>
      </c>
      <c r="I19" s="35">
        <f>H19-F19*VLOOKUP(銷售總表!B19,產品!$A$2:$H$61,8,FALSE)</f>
        <v>5520</v>
      </c>
      <c r="J19" s="20">
        <f t="shared" si="0"/>
        <v>0.27710843373493976</v>
      </c>
    </row>
    <row r="20" spans="1:10" x14ac:dyDescent="0.3">
      <c r="A20" s="33">
        <v>19</v>
      </c>
      <c r="B20" s="4">
        <v>7</v>
      </c>
      <c r="C20" s="15">
        <v>259</v>
      </c>
      <c r="D20" s="16">
        <v>10</v>
      </c>
      <c r="E20" s="22">
        <v>43838</v>
      </c>
      <c r="F20" s="17">
        <v>150</v>
      </c>
      <c r="G20" s="18">
        <v>0.14000000000000001</v>
      </c>
      <c r="H20">
        <f>F20*VLOOKUP(B20,產品!$A$2:$H$61,7,FALSE)*(1-銷售總表!G20)</f>
        <v>129000</v>
      </c>
      <c r="I20" s="35">
        <f>H20-F20*VLOOKUP(銷售總表!B20,產品!$A$2:$H$61,8,FALSE)</f>
        <v>69000</v>
      </c>
      <c r="J20" s="20">
        <f t="shared" si="0"/>
        <v>0.53488372093023251</v>
      </c>
    </row>
    <row r="21" spans="1:10" x14ac:dyDescent="0.3">
      <c r="A21" s="33">
        <v>20</v>
      </c>
      <c r="B21" s="4">
        <v>41</v>
      </c>
      <c r="C21" s="15">
        <v>1</v>
      </c>
      <c r="D21" s="16">
        <v>2</v>
      </c>
      <c r="E21" s="22">
        <v>43838</v>
      </c>
      <c r="F21" s="17">
        <v>15</v>
      </c>
      <c r="G21" s="18">
        <v>0.09</v>
      </c>
      <c r="H21">
        <f>F21*VLOOKUP(B21,產品!$A$2:$H$61,7,FALSE)*(1-銷售總表!G21)</f>
        <v>163800</v>
      </c>
      <c r="I21" s="35">
        <f>H21-F21*VLOOKUP(銷售總表!B21,產品!$A$2:$H$61,8,FALSE)</f>
        <v>46800</v>
      </c>
      <c r="J21" s="20">
        <f t="shared" si="0"/>
        <v>0.2857142857142857</v>
      </c>
    </row>
    <row r="22" spans="1:10" x14ac:dyDescent="0.3">
      <c r="A22" s="33">
        <v>21</v>
      </c>
      <c r="B22" s="4">
        <v>39</v>
      </c>
      <c r="C22" s="15">
        <v>267</v>
      </c>
      <c r="D22" s="16">
        <v>3</v>
      </c>
      <c r="E22" s="22">
        <v>43838</v>
      </c>
      <c r="F22" s="17">
        <v>3</v>
      </c>
      <c r="G22" s="18">
        <v>0.13</v>
      </c>
      <c r="H22">
        <f>F22*VLOOKUP(B22,產品!$A$2:$H$61,7,FALSE)*(1-銷售總表!G22)</f>
        <v>46980</v>
      </c>
      <c r="I22" s="35">
        <f>H22-F22*VLOOKUP(銷售總表!B22,產品!$A$2:$H$61,8,FALSE)</f>
        <v>11880</v>
      </c>
      <c r="J22" s="20">
        <f t="shared" si="0"/>
        <v>0.25287356321839083</v>
      </c>
    </row>
    <row r="23" spans="1:10" x14ac:dyDescent="0.3">
      <c r="A23" s="33">
        <v>22</v>
      </c>
      <c r="B23" s="4">
        <v>28</v>
      </c>
      <c r="C23" s="15">
        <v>275</v>
      </c>
      <c r="D23" s="16">
        <v>9</v>
      </c>
      <c r="E23" s="22">
        <v>43838</v>
      </c>
      <c r="F23" s="17">
        <v>5</v>
      </c>
      <c r="G23" s="18">
        <v>0.11</v>
      </c>
      <c r="H23">
        <f>F23*VLOOKUP(B23,產品!$A$2:$H$61,7,FALSE)*(1-銷售總表!G23)</f>
        <v>33375</v>
      </c>
      <c r="I23" s="35">
        <f>H23-F23*VLOOKUP(銷售總表!B23,產品!$A$2:$H$61,8,FALSE)</f>
        <v>10875</v>
      </c>
      <c r="J23" s="20">
        <f t="shared" si="0"/>
        <v>0.3258426966292135</v>
      </c>
    </row>
    <row r="24" spans="1:10" x14ac:dyDescent="0.3">
      <c r="A24" s="33">
        <v>23</v>
      </c>
      <c r="B24" s="4">
        <v>41</v>
      </c>
      <c r="C24" s="15">
        <v>283</v>
      </c>
      <c r="D24" s="16">
        <v>7</v>
      </c>
      <c r="E24" s="22">
        <v>43839</v>
      </c>
      <c r="F24" s="17">
        <v>20</v>
      </c>
      <c r="G24" s="18">
        <v>7.0000000000000007E-2</v>
      </c>
      <c r="H24">
        <f>F24*VLOOKUP(B24,產品!$A$2:$H$61,7,FALSE)*(1-銷售總表!G24)</f>
        <v>223199.99999999997</v>
      </c>
      <c r="I24" s="35">
        <f>H24-F24*VLOOKUP(銷售總表!B24,產品!$A$2:$H$61,8,FALSE)</f>
        <v>67199.999999999971</v>
      </c>
      <c r="J24" s="20">
        <f t="shared" si="0"/>
        <v>0.3010752688172042</v>
      </c>
    </row>
    <row r="25" spans="1:10" x14ac:dyDescent="0.3">
      <c r="A25" s="33">
        <v>24</v>
      </c>
      <c r="B25" s="4">
        <v>45</v>
      </c>
      <c r="C25" s="15">
        <v>264</v>
      </c>
      <c r="D25" s="16">
        <v>10</v>
      </c>
      <c r="E25" s="22">
        <v>43839</v>
      </c>
      <c r="F25" s="17">
        <v>16</v>
      </c>
      <c r="G25" s="18">
        <v>0.09</v>
      </c>
      <c r="H25">
        <f>F25*VLOOKUP(B25,產品!$A$2:$H$61,7,FALSE)*(1-銷售總表!G25)</f>
        <v>203840</v>
      </c>
      <c r="I25" s="35">
        <f>H25-F25*VLOOKUP(銷售總表!B25,產品!$A$2:$H$61,8,FALSE)</f>
        <v>58240</v>
      </c>
      <c r="J25" s="20">
        <f t="shared" si="0"/>
        <v>0.2857142857142857</v>
      </c>
    </row>
    <row r="26" spans="1:10" x14ac:dyDescent="0.3">
      <c r="A26" s="33">
        <v>25</v>
      </c>
      <c r="B26" s="4">
        <v>10</v>
      </c>
      <c r="C26" s="15">
        <v>5</v>
      </c>
      <c r="D26" s="16">
        <v>5</v>
      </c>
      <c r="E26" s="22">
        <v>43839</v>
      </c>
      <c r="F26" s="17">
        <v>80</v>
      </c>
      <c r="G26" s="18">
        <v>0.05</v>
      </c>
      <c r="H26">
        <f>F26*VLOOKUP(B26,產品!$A$2:$H$61,7,FALSE)*(1-銷售總表!G26)</f>
        <v>76000</v>
      </c>
      <c r="I26" s="35">
        <f>H26-F26*VLOOKUP(銷售總表!B26,產品!$A$2:$H$61,8,FALSE)</f>
        <v>44000</v>
      </c>
      <c r="J26" s="20">
        <f t="shared" si="0"/>
        <v>0.57894736842105265</v>
      </c>
    </row>
    <row r="27" spans="1:10" x14ac:dyDescent="0.3">
      <c r="A27" s="33">
        <v>26</v>
      </c>
      <c r="B27" s="4">
        <v>8</v>
      </c>
      <c r="C27" s="15">
        <v>261</v>
      </c>
      <c r="D27" s="16">
        <v>2</v>
      </c>
      <c r="E27" s="22">
        <v>43839</v>
      </c>
      <c r="F27" s="17">
        <v>60</v>
      </c>
      <c r="G27" s="18">
        <v>0.05</v>
      </c>
      <c r="H27">
        <f>F27*VLOOKUP(B27,產品!$A$2:$H$61,7,FALSE)*(1-銷售總表!G27)</f>
        <v>57000</v>
      </c>
      <c r="I27" s="35">
        <f>H27-F27*VLOOKUP(銷售總表!B27,產品!$A$2:$H$61,8,FALSE)</f>
        <v>33000</v>
      </c>
      <c r="J27" s="20">
        <f t="shared" si="0"/>
        <v>0.57894736842105265</v>
      </c>
    </row>
    <row r="28" spans="1:10" x14ac:dyDescent="0.3">
      <c r="A28" s="33">
        <v>27</v>
      </c>
      <c r="B28" s="4">
        <v>20</v>
      </c>
      <c r="C28" s="15">
        <v>5</v>
      </c>
      <c r="D28" s="16">
        <v>1</v>
      </c>
      <c r="E28" s="22">
        <v>43839</v>
      </c>
      <c r="F28" s="17">
        <v>20</v>
      </c>
      <c r="G28" s="18">
        <v>0.13</v>
      </c>
      <c r="H28">
        <f>F28*VLOOKUP(B28,產品!$A$2:$H$61,7,FALSE)*(1-銷售總表!G28)</f>
        <v>31320</v>
      </c>
      <c r="I28" s="35">
        <f>H28-F28*VLOOKUP(銷售總表!B28,產品!$A$2:$H$61,8,FALSE)</f>
        <v>16920</v>
      </c>
      <c r="J28" s="20">
        <f t="shared" si="0"/>
        <v>0.54022988505747127</v>
      </c>
    </row>
    <row r="29" spans="1:10" x14ac:dyDescent="0.3">
      <c r="A29" s="33">
        <v>28</v>
      </c>
      <c r="B29" s="4">
        <v>23</v>
      </c>
      <c r="C29" s="15">
        <v>284</v>
      </c>
      <c r="D29" s="16">
        <v>6</v>
      </c>
      <c r="E29" s="22">
        <v>43839</v>
      </c>
      <c r="F29" s="17">
        <v>20</v>
      </c>
      <c r="G29" s="18">
        <v>0.15</v>
      </c>
      <c r="H29">
        <f>F29*VLOOKUP(B29,產品!$A$2:$H$61,7,FALSE)*(1-銷售總表!G29)</f>
        <v>30600</v>
      </c>
      <c r="I29" s="35">
        <f>H29-F29*VLOOKUP(銷售總表!B29,產品!$A$2:$H$61,8,FALSE)</f>
        <v>16200</v>
      </c>
      <c r="J29" s="20">
        <f t="shared" si="0"/>
        <v>0.52941176470588236</v>
      </c>
    </row>
    <row r="30" spans="1:10" x14ac:dyDescent="0.3">
      <c r="A30" s="33">
        <v>29</v>
      </c>
      <c r="B30" s="4">
        <v>36</v>
      </c>
      <c r="C30" s="15">
        <v>258</v>
      </c>
      <c r="D30" s="16">
        <v>1</v>
      </c>
      <c r="E30" s="22">
        <v>43839</v>
      </c>
      <c r="F30" s="17">
        <v>3</v>
      </c>
      <c r="G30" s="18">
        <v>0.18</v>
      </c>
      <c r="H30">
        <f>F30*VLOOKUP(B30,產品!$A$2:$H$61,7,FALSE)*(1-銷售總表!G30)</f>
        <v>22140</v>
      </c>
      <c r="I30" s="35">
        <f>H30-F30*VLOOKUP(銷售總表!B30,產品!$A$2:$H$61,8,FALSE)</f>
        <v>5940</v>
      </c>
      <c r="J30" s="20">
        <f t="shared" si="0"/>
        <v>0.26829268292682928</v>
      </c>
    </row>
    <row r="31" spans="1:10" x14ac:dyDescent="0.3">
      <c r="A31" s="33">
        <v>30</v>
      </c>
      <c r="B31" s="4">
        <v>37</v>
      </c>
      <c r="C31" s="15">
        <v>121</v>
      </c>
      <c r="D31" s="16">
        <v>9</v>
      </c>
      <c r="E31" s="22">
        <v>43839</v>
      </c>
      <c r="F31" s="19">
        <v>1</v>
      </c>
      <c r="G31" s="18">
        <v>0.09</v>
      </c>
      <c r="H31">
        <f>F31*VLOOKUP(B31,產品!$A$2:$H$61,7,FALSE)*(1-銷售總表!G31)</f>
        <v>10920</v>
      </c>
      <c r="I31" s="35">
        <f>H31-F31*VLOOKUP(銷售總表!B31,產品!$A$2:$H$61,8,FALSE)</f>
        <v>3120</v>
      </c>
      <c r="J31" s="20">
        <f t="shared" si="0"/>
        <v>0.2857142857142857</v>
      </c>
    </row>
    <row r="32" spans="1:10" x14ac:dyDescent="0.3">
      <c r="A32" s="33">
        <v>31</v>
      </c>
      <c r="B32" s="4">
        <v>37</v>
      </c>
      <c r="C32" s="15">
        <v>10</v>
      </c>
      <c r="D32" s="16">
        <v>9</v>
      </c>
      <c r="E32" s="22">
        <v>43840</v>
      </c>
      <c r="F32" s="17">
        <v>10</v>
      </c>
      <c r="G32" s="18">
        <v>0.14000000000000001</v>
      </c>
      <c r="H32">
        <f>F32*VLOOKUP(B32,產品!$A$2:$H$61,7,FALSE)*(1-銷售總表!G32)</f>
        <v>103200</v>
      </c>
      <c r="I32" s="35">
        <f>H32-F32*VLOOKUP(銷售總表!B32,產品!$A$2:$H$61,8,FALSE)</f>
        <v>25200</v>
      </c>
      <c r="J32" s="20">
        <f t="shared" si="0"/>
        <v>0.2441860465116279</v>
      </c>
    </row>
    <row r="33" spans="1:10" x14ac:dyDescent="0.3">
      <c r="A33" s="33">
        <v>32</v>
      </c>
      <c r="B33" s="4">
        <v>16</v>
      </c>
      <c r="C33" s="15">
        <v>4</v>
      </c>
      <c r="D33" s="16">
        <v>8</v>
      </c>
      <c r="E33" s="22">
        <v>43840</v>
      </c>
      <c r="F33" s="17">
        <v>10</v>
      </c>
      <c r="G33" s="18">
        <v>0.19</v>
      </c>
      <c r="H33">
        <f>F33*VLOOKUP(B33,產品!$A$2:$H$61,7,FALSE)*(1-銷售總表!G33)</f>
        <v>14580.000000000002</v>
      </c>
      <c r="I33" s="35">
        <f>H33-F33*VLOOKUP(銷售總表!B33,產品!$A$2:$H$61,8,FALSE)</f>
        <v>7380.0000000000018</v>
      </c>
      <c r="J33" s="20">
        <f t="shared" si="0"/>
        <v>0.50617283950617287</v>
      </c>
    </row>
    <row r="34" spans="1:10" x14ac:dyDescent="0.3">
      <c r="A34" s="33">
        <v>33</v>
      </c>
      <c r="B34" s="4">
        <v>52</v>
      </c>
      <c r="C34" s="15">
        <v>140</v>
      </c>
      <c r="D34" s="16">
        <v>9</v>
      </c>
      <c r="E34" s="22">
        <v>43841</v>
      </c>
      <c r="F34" s="17">
        <v>2</v>
      </c>
      <c r="G34" s="18">
        <v>0.16</v>
      </c>
      <c r="H34">
        <f>F34*VLOOKUP(B34,產品!$A$2:$H$61,7,FALSE)*(1-銷售總表!G34)</f>
        <v>36960</v>
      </c>
      <c r="I34" s="35">
        <f>H34-F34*VLOOKUP(銷售總表!B34,產品!$A$2:$H$61,8,FALSE)</f>
        <v>6160.0000000000036</v>
      </c>
      <c r="J34" s="20">
        <f t="shared" si="0"/>
        <v>0.16666666666666677</v>
      </c>
    </row>
    <row r="35" spans="1:10" x14ac:dyDescent="0.3">
      <c r="A35" s="33">
        <v>34</v>
      </c>
      <c r="B35" s="4">
        <v>48</v>
      </c>
      <c r="C35" s="15">
        <v>6</v>
      </c>
      <c r="D35" s="16">
        <v>10</v>
      </c>
      <c r="E35" s="22">
        <v>43841</v>
      </c>
      <c r="F35" s="17">
        <v>1</v>
      </c>
      <c r="G35" s="18">
        <v>0.15</v>
      </c>
      <c r="H35">
        <f>F35*VLOOKUP(B35,產品!$A$2:$H$61,7,FALSE)*(1-銷售總表!G35)</f>
        <v>18700</v>
      </c>
      <c r="I35" s="35">
        <f>H35-F35*VLOOKUP(銷售總表!B35,產品!$A$2:$H$61,8,FALSE)</f>
        <v>4400</v>
      </c>
      <c r="J35" s="20">
        <f t="shared" si="0"/>
        <v>0.23529411764705882</v>
      </c>
    </row>
    <row r="36" spans="1:10" x14ac:dyDescent="0.3">
      <c r="A36" s="33">
        <v>35</v>
      </c>
      <c r="B36" s="4">
        <v>58</v>
      </c>
      <c r="C36" s="15">
        <v>134</v>
      </c>
      <c r="D36" s="16">
        <v>4</v>
      </c>
      <c r="E36" s="22">
        <v>43842</v>
      </c>
      <c r="F36" s="17">
        <v>10</v>
      </c>
      <c r="G36" s="18">
        <v>7.0000000000000007E-2</v>
      </c>
      <c r="H36">
        <f>F36*VLOOKUP(B36,產品!$A$2:$H$61,7,FALSE)*(1-銷售總表!G36)</f>
        <v>195300</v>
      </c>
      <c r="I36" s="35">
        <f>H36-F36*VLOOKUP(銷售總表!B36,產品!$A$2:$H$61,8,FALSE)</f>
        <v>48300.000000000029</v>
      </c>
      <c r="J36" s="20">
        <f t="shared" si="0"/>
        <v>0.24731182795698939</v>
      </c>
    </row>
    <row r="37" spans="1:10" x14ac:dyDescent="0.3">
      <c r="A37" s="33">
        <v>36</v>
      </c>
      <c r="B37" s="4">
        <v>29</v>
      </c>
      <c r="C37" s="15">
        <v>283</v>
      </c>
      <c r="D37" s="16">
        <v>6</v>
      </c>
      <c r="E37" s="22">
        <v>43842</v>
      </c>
      <c r="F37" s="17">
        <v>14</v>
      </c>
      <c r="G37" s="18">
        <v>0.18</v>
      </c>
      <c r="H37">
        <f>F37*VLOOKUP(B37,產品!$A$2:$H$61,7,FALSE)*(1-銷售總表!G37)</f>
        <v>68880</v>
      </c>
      <c r="I37" s="35">
        <f>H37-F37*VLOOKUP(銷售總表!B37,產品!$A$2:$H$61,8,FALSE)</f>
        <v>18480</v>
      </c>
      <c r="J37" s="20">
        <f t="shared" si="0"/>
        <v>0.26829268292682928</v>
      </c>
    </row>
    <row r="38" spans="1:10" x14ac:dyDescent="0.3">
      <c r="A38" s="33">
        <v>37</v>
      </c>
      <c r="B38" s="4">
        <v>1</v>
      </c>
      <c r="C38" s="15">
        <v>272</v>
      </c>
      <c r="D38" s="16">
        <v>8</v>
      </c>
      <c r="E38" s="22">
        <v>43842</v>
      </c>
      <c r="F38" s="17">
        <v>30</v>
      </c>
      <c r="G38" s="18">
        <v>0.11</v>
      </c>
      <c r="H38">
        <f>F38*VLOOKUP(B38,產品!$A$2:$H$61,7,FALSE)*(1-銷售總表!G38)</f>
        <v>26700</v>
      </c>
      <c r="I38" s="35">
        <f>H38-F38*VLOOKUP(銷售總表!B38,產品!$A$2:$H$61,8,FALSE)</f>
        <v>14700</v>
      </c>
      <c r="J38" s="20">
        <f t="shared" si="0"/>
        <v>0.550561797752809</v>
      </c>
    </row>
    <row r="39" spans="1:10" x14ac:dyDescent="0.3">
      <c r="A39" s="33">
        <v>38</v>
      </c>
      <c r="B39" s="4">
        <v>37</v>
      </c>
      <c r="C39" s="15">
        <v>6</v>
      </c>
      <c r="D39" s="16">
        <v>3</v>
      </c>
      <c r="E39" s="22">
        <v>43844</v>
      </c>
      <c r="F39" s="17">
        <v>3</v>
      </c>
      <c r="G39" s="18">
        <v>0.08</v>
      </c>
      <c r="H39">
        <f>F39*VLOOKUP(B39,產品!$A$2:$H$61,7,FALSE)*(1-銷售總表!G39)</f>
        <v>33120</v>
      </c>
      <c r="I39" s="35">
        <f>H39-F39*VLOOKUP(銷售總表!B39,產品!$A$2:$H$61,8,FALSE)</f>
        <v>9720</v>
      </c>
      <c r="J39" s="20">
        <f t="shared" si="0"/>
        <v>0.29347826086956524</v>
      </c>
    </row>
    <row r="40" spans="1:10" x14ac:dyDescent="0.3">
      <c r="A40" s="33">
        <v>39</v>
      </c>
      <c r="B40" s="4">
        <v>28</v>
      </c>
      <c r="C40" s="15">
        <v>275</v>
      </c>
      <c r="D40" s="16">
        <v>10</v>
      </c>
      <c r="E40" s="22">
        <v>43844</v>
      </c>
      <c r="F40" s="17">
        <v>3</v>
      </c>
      <c r="G40" s="18">
        <v>0.2</v>
      </c>
      <c r="H40">
        <f>F40*VLOOKUP(B40,產品!$A$2:$H$61,7,FALSE)*(1-銷售總表!G40)</f>
        <v>18000</v>
      </c>
      <c r="I40" s="35">
        <f>H40-F40*VLOOKUP(銷售總表!B40,產品!$A$2:$H$61,8,FALSE)</f>
        <v>4500</v>
      </c>
      <c r="J40" s="20">
        <f t="shared" si="0"/>
        <v>0.25</v>
      </c>
    </row>
    <row r="41" spans="1:10" x14ac:dyDescent="0.3">
      <c r="A41" s="33">
        <v>40</v>
      </c>
      <c r="B41" s="4">
        <v>46</v>
      </c>
      <c r="C41" s="15">
        <v>285</v>
      </c>
      <c r="D41" s="16">
        <v>10</v>
      </c>
      <c r="E41" s="22">
        <v>43844</v>
      </c>
      <c r="F41" s="17">
        <v>1</v>
      </c>
      <c r="G41" s="18">
        <v>0.2</v>
      </c>
      <c r="H41">
        <f>F41*VLOOKUP(B41,產品!$A$2:$H$61,7,FALSE)*(1-銷售總表!G41)</f>
        <v>13600</v>
      </c>
      <c r="I41" s="35">
        <f>H41-F41*VLOOKUP(銷售總表!B41,產品!$A$2:$H$61,8,FALSE)</f>
        <v>2550</v>
      </c>
      <c r="J41" s="20">
        <f t="shared" si="0"/>
        <v>0.1875</v>
      </c>
    </row>
    <row r="42" spans="1:10" x14ac:dyDescent="0.3">
      <c r="A42" s="33">
        <v>41</v>
      </c>
      <c r="B42" s="4">
        <v>27</v>
      </c>
      <c r="C42" s="15">
        <v>125</v>
      </c>
      <c r="D42" s="16">
        <v>7</v>
      </c>
      <c r="E42" s="22">
        <v>43845</v>
      </c>
      <c r="F42" s="17">
        <v>15</v>
      </c>
      <c r="G42" s="18">
        <v>0.12</v>
      </c>
      <c r="H42">
        <f>F42*VLOOKUP(B42,產品!$A$2:$H$61,7,FALSE)*(1-銷售總表!G42)</f>
        <v>92400</v>
      </c>
      <c r="I42" s="35">
        <f>H42-F42*VLOOKUP(銷售總表!B42,產品!$A$2:$H$61,8,FALSE)</f>
        <v>29400</v>
      </c>
      <c r="J42" s="20">
        <f t="shared" si="0"/>
        <v>0.31818181818181818</v>
      </c>
    </row>
    <row r="43" spans="1:10" x14ac:dyDescent="0.3">
      <c r="A43" s="33">
        <v>42</v>
      </c>
      <c r="B43" s="4">
        <v>9</v>
      </c>
      <c r="C43" s="15">
        <v>112</v>
      </c>
      <c r="D43" s="16">
        <v>6</v>
      </c>
      <c r="E43" s="22">
        <v>43845</v>
      </c>
      <c r="F43" s="17">
        <v>30</v>
      </c>
      <c r="G43" s="18">
        <v>0.13</v>
      </c>
      <c r="H43">
        <f>F43*VLOOKUP(B43,產品!$A$2:$H$61,7,FALSE)*(1-銷售總表!G43)</f>
        <v>26100</v>
      </c>
      <c r="I43" s="35">
        <f>H43-F43*VLOOKUP(銷售總表!B43,產品!$A$2:$H$61,8,FALSE)</f>
        <v>14100</v>
      </c>
      <c r="J43" s="20">
        <f t="shared" si="0"/>
        <v>0.54022988505747127</v>
      </c>
    </row>
    <row r="44" spans="1:10" x14ac:dyDescent="0.3">
      <c r="A44" s="33">
        <v>43</v>
      </c>
      <c r="B44" s="4">
        <v>38</v>
      </c>
      <c r="C44" s="15">
        <v>263</v>
      </c>
      <c r="D44" s="16">
        <v>4</v>
      </c>
      <c r="E44" s="22">
        <v>43845</v>
      </c>
      <c r="F44" s="17">
        <v>3</v>
      </c>
      <c r="G44" s="18">
        <v>0.13</v>
      </c>
      <c r="H44">
        <f>F44*VLOOKUP(B44,產品!$A$2:$H$61,7,FALSE)*(1-銷售總表!G44)</f>
        <v>39150</v>
      </c>
      <c r="I44" s="35">
        <f>H44-F44*VLOOKUP(銷售總表!B44,產品!$A$2:$H$61,8,FALSE)</f>
        <v>9900</v>
      </c>
      <c r="J44" s="20">
        <f t="shared" si="0"/>
        <v>0.25287356321839083</v>
      </c>
    </row>
    <row r="45" spans="1:10" x14ac:dyDescent="0.3">
      <c r="A45" s="33">
        <v>44</v>
      </c>
      <c r="B45" s="4">
        <v>39</v>
      </c>
      <c r="C45" s="15">
        <v>6</v>
      </c>
      <c r="D45" s="16">
        <v>6</v>
      </c>
      <c r="E45" s="22">
        <v>43845</v>
      </c>
      <c r="F45" s="17">
        <v>1</v>
      </c>
      <c r="G45" s="18">
        <v>0.19</v>
      </c>
      <c r="H45">
        <f>F45*VLOOKUP(B45,產品!$A$2:$H$61,7,FALSE)*(1-銷售總表!G45)</f>
        <v>14580.000000000002</v>
      </c>
      <c r="I45" s="35">
        <f>H45-F45*VLOOKUP(銷售總表!B45,產品!$A$2:$H$61,8,FALSE)</f>
        <v>2880.0000000000018</v>
      </c>
      <c r="J45" s="20">
        <f t="shared" si="0"/>
        <v>0.19753086419753096</v>
      </c>
    </row>
    <row r="46" spans="1:10" x14ac:dyDescent="0.3">
      <c r="A46" s="33">
        <v>45</v>
      </c>
      <c r="B46" s="4">
        <v>9</v>
      </c>
      <c r="C46" s="15">
        <v>264</v>
      </c>
      <c r="D46" s="16">
        <v>5</v>
      </c>
      <c r="E46" s="22">
        <v>43846</v>
      </c>
      <c r="F46" s="17">
        <v>30</v>
      </c>
      <c r="G46" s="18">
        <v>0.14000000000000001</v>
      </c>
      <c r="H46">
        <f>F46*VLOOKUP(B46,產品!$A$2:$H$61,7,FALSE)*(1-銷售總表!G46)</f>
        <v>25800</v>
      </c>
      <c r="I46" s="35">
        <f>H46-F46*VLOOKUP(銷售總表!B46,產品!$A$2:$H$61,8,FALSE)</f>
        <v>13800</v>
      </c>
      <c r="J46" s="20">
        <f t="shared" si="0"/>
        <v>0.53488372093023251</v>
      </c>
    </row>
    <row r="47" spans="1:10" x14ac:dyDescent="0.3">
      <c r="A47" s="33">
        <v>46</v>
      </c>
      <c r="B47" s="4">
        <v>45</v>
      </c>
      <c r="C47" s="15">
        <v>122</v>
      </c>
      <c r="D47" s="16">
        <v>1</v>
      </c>
      <c r="E47" s="22">
        <v>43847</v>
      </c>
      <c r="F47" s="17">
        <v>18</v>
      </c>
      <c r="G47" s="18">
        <v>7.0000000000000007E-2</v>
      </c>
      <c r="H47">
        <f>F47*VLOOKUP(B47,產品!$A$2:$H$61,7,FALSE)*(1-銷售總表!G47)</f>
        <v>234359.99999999997</v>
      </c>
      <c r="I47" s="35">
        <f>H47-F47*VLOOKUP(銷售總表!B47,產品!$A$2:$H$61,8,FALSE)</f>
        <v>70559.999999999971</v>
      </c>
      <c r="J47" s="20">
        <f t="shared" si="0"/>
        <v>0.3010752688172042</v>
      </c>
    </row>
    <row r="48" spans="1:10" x14ac:dyDescent="0.3">
      <c r="A48" s="33">
        <v>47</v>
      </c>
      <c r="B48" s="4">
        <v>20</v>
      </c>
      <c r="C48" s="15">
        <v>116</v>
      </c>
      <c r="D48" s="16">
        <v>5</v>
      </c>
      <c r="E48" s="22">
        <v>43847</v>
      </c>
      <c r="F48" s="17">
        <v>60</v>
      </c>
      <c r="G48" s="18">
        <v>0.06</v>
      </c>
      <c r="H48">
        <f>F48*VLOOKUP(B48,產品!$A$2:$H$61,7,FALSE)*(1-銷售總表!G48)</f>
        <v>101520</v>
      </c>
      <c r="I48" s="35">
        <f>H48-F48*VLOOKUP(銷售總表!B48,產品!$A$2:$H$61,8,FALSE)</f>
        <v>58320</v>
      </c>
      <c r="J48" s="20">
        <f t="shared" si="0"/>
        <v>0.57446808510638303</v>
      </c>
    </row>
    <row r="49" spans="1:10" x14ac:dyDescent="0.3">
      <c r="A49" s="33">
        <v>48</v>
      </c>
      <c r="B49" s="4">
        <v>18</v>
      </c>
      <c r="C49" s="15">
        <v>290</v>
      </c>
      <c r="D49" s="16">
        <v>6</v>
      </c>
      <c r="E49" s="22">
        <v>43847</v>
      </c>
      <c r="F49" s="17">
        <v>20</v>
      </c>
      <c r="G49" s="18">
        <v>0.14000000000000001</v>
      </c>
      <c r="H49">
        <f>F49*VLOOKUP(B49,產品!$A$2:$H$61,7,FALSE)*(1-銷售總表!G49)</f>
        <v>30960</v>
      </c>
      <c r="I49" s="35">
        <f>H49-F49*VLOOKUP(銷售總表!B49,產品!$A$2:$H$61,8,FALSE)</f>
        <v>16560</v>
      </c>
      <c r="J49" s="20">
        <f t="shared" si="0"/>
        <v>0.53488372093023251</v>
      </c>
    </row>
    <row r="50" spans="1:10" x14ac:dyDescent="0.3">
      <c r="A50" s="33">
        <v>49</v>
      </c>
      <c r="B50" s="4">
        <v>52</v>
      </c>
      <c r="C50" s="15">
        <v>284</v>
      </c>
      <c r="D50" s="16">
        <v>1</v>
      </c>
      <c r="E50" s="22">
        <v>43847</v>
      </c>
      <c r="F50" s="17">
        <v>5</v>
      </c>
      <c r="G50" s="18">
        <v>0.17</v>
      </c>
      <c r="H50">
        <f>F50*VLOOKUP(B50,產品!$A$2:$H$61,7,FALSE)*(1-銷售總表!G50)</f>
        <v>91300</v>
      </c>
      <c r="I50" s="35">
        <f>H50-F50*VLOOKUP(銷售總表!B50,產品!$A$2:$H$61,8,FALSE)</f>
        <v>14300.000000000015</v>
      </c>
      <c r="J50" s="20">
        <f t="shared" si="0"/>
        <v>0.15662650602409656</v>
      </c>
    </row>
    <row r="51" spans="1:10" x14ac:dyDescent="0.3">
      <c r="A51" s="33">
        <v>50</v>
      </c>
      <c r="B51" s="4">
        <v>58</v>
      </c>
      <c r="C51" s="15">
        <v>268</v>
      </c>
      <c r="D51" s="16">
        <v>10</v>
      </c>
      <c r="E51" s="22">
        <v>43847</v>
      </c>
      <c r="F51" s="17">
        <v>3</v>
      </c>
      <c r="G51" s="18">
        <v>0.14000000000000001</v>
      </c>
      <c r="H51">
        <f>F51*VLOOKUP(B51,產品!$A$2:$H$61,7,FALSE)*(1-銷售總表!G51)</f>
        <v>54180</v>
      </c>
      <c r="I51" s="35">
        <f>H51-F51*VLOOKUP(銷售總表!B51,產品!$A$2:$H$61,8,FALSE)</f>
        <v>10080.000000000007</v>
      </c>
      <c r="J51" s="20">
        <f t="shared" si="0"/>
        <v>0.18604651162790711</v>
      </c>
    </row>
    <row r="52" spans="1:10" x14ac:dyDescent="0.3">
      <c r="A52" s="33">
        <v>51</v>
      </c>
      <c r="B52" s="4">
        <v>3</v>
      </c>
      <c r="C52" s="15">
        <v>283</v>
      </c>
      <c r="D52" s="16">
        <v>4</v>
      </c>
      <c r="E52" s="22">
        <v>43847</v>
      </c>
      <c r="F52" s="17">
        <v>15</v>
      </c>
      <c r="G52" s="18">
        <v>7.0000000000000007E-2</v>
      </c>
      <c r="H52">
        <f>F52*VLOOKUP(B52,產品!$A$2:$H$61,7,FALSE)*(1-銷售總表!G52)</f>
        <v>13949.999999999998</v>
      </c>
      <c r="I52" s="35">
        <f>H52-F52*VLOOKUP(銷售總表!B52,產品!$A$2:$H$61,8,FALSE)</f>
        <v>7949.9999999999982</v>
      </c>
      <c r="J52" s="20">
        <f t="shared" si="0"/>
        <v>0.56989247311827951</v>
      </c>
    </row>
    <row r="53" spans="1:10" x14ac:dyDescent="0.3">
      <c r="A53" s="33">
        <v>52</v>
      </c>
      <c r="B53" s="4">
        <v>44</v>
      </c>
      <c r="C53" s="15">
        <v>279</v>
      </c>
      <c r="D53" s="16">
        <v>10</v>
      </c>
      <c r="E53" s="22">
        <v>43847</v>
      </c>
      <c r="F53" s="19">
        <v>2</v>
      </c>
      <c r="G53" s="18">
        <v>0.16</v>
      </c>
      <c r="H53">
        <f>F53*VLOOKUP(B53,產品!$A$2:$H$61,7,FALSE)*(1-銷售總表!G53)</f>
        <v>33600</v>
      </c>
      <c r="I53" s="35">
        <f>H53-F53*VLOOKUP(銷售總表!B53,產品!$A$2:$H$61,8,FALSE)</f>
        <v>7600</v>
      </c>
      <c r="J53" s="20">
        <f t="shared" si="0"/>
        <v>0.22619047619047619</v>
      </c>
    </row>
    <row r="54" spans="1:10" x14ac:dyDescent="0.3">
      <c r="A54" s="33">
        <v>53</v>
      </c>
      <c r="B54" s="4">
        <v>47</v>
      </c>
      <c r="C54" s="15">
        <v>268</v>
      </c>
      <c r="D54" s="16">
        <v>3</v>
      </c>
      <c r="E54" s="22">
        <v>43848</v>
      </c>
      <c r="F54" s="17">
        <v>13</v>
      </c>
      <c r="G54" s="18">
        <v>0.14000000000000001</v>
      </c>
      <c r="H54">
        <f>F54*VLOOKUP(B54,產品!$A$2:$H$61,7,FALSE)*(1-銷售總表!G54)</f>
        <v>223600</v>
      </c>
      <c r="I54" s="35">
        <f>H54-F54*VLOOKUP(銷售總表!B54,產品!$A$2:$H$61,8,FALSE)</f>
        <v>54600</v>
      </c>
      <c r="J54" s="20">
        <f t="shared" si="0"/>
        <v>0.2441860465116279</v>
      </c>
    </row>
    <row r="55" spans="1:10" x14ac:dyDescent="0.3">
      <c r="A55" s="33">
        <v>54</v>
      </c>
      <c r="B55" s="4">
        <v>24</v>
      </c>
      <c r="C55" s="15">
        <v>6</v>
      </c>
      <c r="D55" s="16">
        <v>4</v>
      </c>
      <c r="E55" s="22">
        <v>43848</v>
      </c>
      <c r="F55" s="17">
        <v>15</v>
      </c>
      <c r="G55" s="18">
        <v>0.17</v>
      </c>
      <c r="H55">
        <f>F55*VLOOKUP(B55,產品!$A$2:$H$61,7,FALSE)*(1-銷售總表!G55)</f>
        <v>22410</v>
      </c>
      <c r="I55" s="35">
        <f>H55-F55*VLOOKUP(銷售總表!B55,產品!$A$2:$H$61,8,FALSE)</f>
        <v>11610</v>
      </c>
      <c r="J55" s="20">
        <f t="shared" si="0"/>
        <v>0.51807228915662651</v>
      </c>
    </row>
    <row r="56" spans="1:10" x14ac:dyDescent="0.3">
      <c r="A56" s="33">
        <v>55</v>
      </c>
      <c r="B56" s="4">
        <v>2</v>
      </c>
      <c r="C56" s="15">
        <v>123</v>
      </c>
      <c r="D56" s="16">
        <v>5</v>
      </c>
      <c r="E56" s="22">
        <v>43849</v>
      </c>
      <c r="F56" s="17">
        <v>40</v>
      </c>
      <c r="G56" s="18">
        <v>0.18</v>
      </c>
      <c r="H56">
        <f>F56*VLOOKUP(B56,產品!$A$2:$H$61,7,FALSE)*(1-銷售總表!G56)</f>
        <v>32800</v>
      </c>
      <c r="I56" s="35">
        <f>H56-F56*VLOOKUP(銷售總表!B56,產品!$A$2:$H$61,8,FALSE)</f>
        <v>16800</v>
      </c>
      <c r="J56" s="20">
        <f t="shared" si="0"/>
        <v>0.51219512195121952</v>
      </c>
    </row>
    <row r="57" spans="1:10" x14ac:dyDescent="0.3">
      <c r="A57" s="33">
        <v>56</v>
      </c>
      <c r="B57" s="4">
        <v>26</v>
      </c>
      <c r="C57" s="15">
        <v>3</v>
      </c>
      <c r="D57" s="16">
        <v>10</v>
      </c>
      <c r="E57" s="22">
        <v>43850</v>
      </c>
      <c r="F57" s="17">
        <v>5</v>
      </c>
      <c r="G57" s="18">
        <v>0.18</v>
      </c>
      <c r="H57">
        <f>F57*VLOOKUP(B57,產品!$A$2:$H$61,7,FALSE)*(1-銷售總表!G57)</f>
        <v>26650.000000000004</v>
      </c>
      <c r="I57" s="35">
        <f>H57-F57*VLOOKUP(銷售總表!B57,產品!$A$2:$H$61,8,FALSE)</f>
        <v>7150.0000000000036</v>
      </c>
      <c r="J57" s="20">
        <f t="shared" si="0"/>
        <v>0.2682926829268294</v>
      </c>
    </row>
    <row r="58" spans="1:10" x14ac:dyDescent="0.3">
      <c r="A58" s="33">
        <v>57</v>
      </c>
      <c r="B58" s="4">
        <v>31</v>
      </c>
      <c r="C58" s="15">
        <v>258</v>
      </c>
      <c r="D58" s="16">
        <v>3</v>
      </c>
      <c r="E58" s="22">
        <v>43851</v>
      </c>
      <c r="F58" s="17">
        <v>15</v>
      </c>
      <c r="G58" s="18">
        <v>0.19</v>
      </c>
      <c r="H58">
        <f>F58*VLOOKUP(B58,產品!$A$2:$H$61,7,FALSE)*(1-銷售總表!G58)</f>
        <v>85050</v>
      </c>
      <c r="I58" s="35">
        <f>H58-F58*VLOOKUP(銷售總表!B58,產品!$A$2:$H$61,8,FALSE)</f>
        <v>22050</v>
      </c>
      <c r="J58" s="20">
        <f t="shared" si="0"/>
        <v>0.25925925925925924</v>
      </c>
    </row>
    <row r="59" spans="1:10" x14ac:dyDescent="0.3">
      <c r="A59" s="33">
        <v>58</v>
      </c>
      <c r="B59" s="4">
        <v>43</v>
      </c>
      <c r="C59" s="15">
        <v>122</v>
      </c>
      <c r="D59" s="16">
        <v>4</v>
      </c>
      <c r="E59" s="22">
        <v>43851</v>
      </c>
      <c r="F59" s="17">
        <v>1</v>
      </c>
      <c r="G59" s="18">
        <v>0.19</v>
      </c>
      <c r="H59">
        <f>F59*VLOOKUP(B59,產品!$A$2:$H$61,7,FALSE)*(1-銷售總表!G59)</f>
        <v>14580.000000000002</v>
      </c>
      <c r="I59" s="35">
        <f>H59-F59*VLOOKUP(銷售總表!B59,產品!$A$2:$H$61,8,FALSE)</f>
        <v>2880.0000000000018</v>
      </c>
      <c r="J59" s="20">
        <f t="shared" si="0"/>
        <v>0.19753086419753096</v>
      </c>
    </row>
    <row r="60" spans="1:10" x14ac:dyDescent="0.3">
      <c r="A60" s="33">
        <v>59</v>
      </c>
      <c r="B60" s="4">
        <v>39</v>
      </c>
      <c r="C60" s="15">
        <v>116</v>
      </c>
      <c r="D60" s="16">
        <v>8</v>
      </c>
      <c r="E60" s="22">
        <v>43852</v>
      </c>
      <c r="F60" s="17">
        <v>15</v>
      </c>
      <c r="G60" s="18">
        <v>0.12</v>
      </c>
      <c r="H60">
        <f>F60*VLOOKUP(B60,產品!$A$2:$H$61,7,FALSE)*(1-銷售總表!G60)</f>
        <v>237600</v>
      </c>
      <c r="I60" s="35">
        <f>H60-F60*VLOOKUP(銷售總表!B60,產品!$A$2:$H$61,8,FALSE)</f>
        <v>62100</v>
      </c>
      <c r="J60" s="20">
        <f t="shared" si="0"/>
        <v>0.26136363636363635</v>
      </c>
    </row>
    <row r="61" spans="1:10" x14ac:dyDescent="0.3">
      <c r="A61" s="33">
        <v>60</v>
      </c>
      <c r="B61" s="4">
        <v>19</v>
      </c>
      <c r="C61" s="15">
        <v>271</v>
      </c>
      <c r="D61" s="16">
        <v>6</v>
      </c>
      <c r="E61" s="22">
        <v>43852</v>
      </c>
      <c r="F61" s="17">
        <v>30</v>
      </c>
      <c r="G61" s="18">
        <v>0.2</v>
      </c>
      <c r="H61">
        <f>F61*VLOOKUP(B61,產品!$A$2:$H$61,7,FALSE)*(1-銷售總表!G61)</f>
        <v>43200</v>
      </c>
      <c r="I61" s="35">
        <f>H61-F61*VLOOKUP(銷售總表!B61,產品!$A$2:$H$61,8,FALSE)</f>
        <v>21600</v>
      </c>
      <c r="J61" s="20">
        <f t="shared" si="0"/>
        <v>0.5</v>
      </c>
    </row>
    <row r="62" spans="1:10" x14ac:dyDescent="0.3">
      <c r="A62" s="33">
        <v>61</v>
      </c>
      <c r="B62" s="4">
        <v>31</v>
      </c>
      <c r="C62" s="15">
        <v>6</v>
      </c>
      <c r="D62" s="16">
        <v>4</v>
      </c>
      <c r="E62" s="22">
        <v>43852</v>
      </c>
      <c r="F62" s="17">
        <v>6</v>
      </c>
      <c r="G62" s="18">
        <v>0.13</v>
      </c>
      <c r="H62">
        <f>F62*VLOOKUP(B62,產品!$A$2:$H$61,7,FALSE)*(1-銷售總表!G62)</f>
        <v>36540</v>
      </c>
      <c r="I62" s="35">
        <f>H62-F62*VLOOKUP(銷售總表!B62,產品!$A$2:$H$61,8,FALSE)</f>
        <v>11340</v>
      </c>
      <c r="J62" s="20">
        <f t="shared" si="0"/>
        <v>0.31034482758620691</v>
      </c>
    </row>
    <row r="63" spans="1:10" x14ac:dyDescent="0.3">
      <c r="A63" s="33">
        <v>62</v>
      </c>
      <c r="B63" s="4">
        <v>23</v>
      </c>
      <c r="C63" s="15">
        <v>121</v>
      </c>
      <c r="D63" s="16">
        <v>8</v>
      </c>
      <c r="E63" s="22">
        <v>43853</v>
      </c>
      <c r="F63" s="17">
        <v>135</v>
      </c>
      <c r="G63" s="18">
        <v>0.05</v>
      </c>
      <c r="H63">
        <f>F63*VLOOKUP(B63,產品!$A$2:$H$61,7,FALSE)*(1-銷售總表!G63)</f>
        <v>230850</v>
      </c>
      <c r="I63" s="35">
        <f>H63-F63*VLOOKUP(銷售總表!B63,產品!$A$2:$H$61,8,FALSE)</f>
        <v>133650</v>
      </c>
      <c r="J63" s="20">
        <f t="shared" si="0"/>
        <v>0.57894736842105265</v>
      </c>
    </row>
    <row r="64" spans="1:10" x14ac:dyDescent="0.3">
      <c r="A64" s="33">
        <v>63</v>
      </c>
      <c r="B64" s="4">
        <v>53</v>
      </c>
      <c r="C64" s="15">
        <v>125</v>
      </c>
      <c r="D64" s="16">
        <v>2</v>
      </c>
      <c r="E64" s="22">
        <v>43853</v>
      </c>
      <c r="F64" s="17">
        <v>14</v>
      </c>
      <c r="G64" s="18">
        <v>0.09</v>
      </c>
      <c r="H64">
        <f>F64*VLOOKUP(B64,產品!$A$2:$H$61,7,FALSE)*(1-銷售總表!G64)</f>
        <v>191100</v>
      </c>
      <c r="I64" s="35">
        <f>H64-F64*VLOOKUP(銷售總表!B64,產品!$A$2:$H$61,8,FALSE)</f>
        <v>44100</v>
      </c>
      <c r="J64" s="20">
        <f t="shared" si="0"/>
        <v>0.23076923076923078</v>
      </c>
    </row>
    <row r="65" spans="1:10" x14ac:dyDescent="0.3">
      <c r="A65" s="33">
        <v>64</v>
      </c>
      <c r="B65" s="4">
        <v>24</v>
      </c>
      <c r="C65" s="15">
        <v>140</v>
      </c>
      <c r="D65" s="16">
        <v>7</v>
      </c>
      <c r="E65" s="22">
        <v>43853</v>
      </c>
      <c r="F65" s="17">
        <v>11</v>
      </c>
      <c r="G65" s="18">
        <v>7.0000000000000007E-2</v>
      </c>
      <c r="H65">
        <f>F65*VLOOKUP(B65,產品!$A$2:$H$61,7,FALSE)*(1-銷售總表!G65)</f>
        <v>18414</v>
      </c>
      <c r="I65" s="35">
        <f>H65-F65*VLOOKUP(銷售總表!B65,產品!$A$2:$H$61,8,FALSE)</f>
        <v>10494</v>
      </c>
      <c r="J65" s="20">
        <f t="shared" si="0"/>
        <v>0.56989247311827962</v>
      </c>
    </row>
    <row r="66" spans="1:10" x14ac:dyDescent="0.3">
      <c r="A66" s="33">
        <v>65</v>
      </c>
      <c r="B66" s="4">
        <v>11</v>
      </c>
      <c r="C66" s="15">
        <v>261</v>
      </c>
      <c r="D66" s="16">
        <v>1</v>
      </c>
      <c r="E66" s="22">
        <v>43853</v>
      </c>
      <c r="F66" s="17">
        <v>15</v>
      </c>
      <c r="G66" s="18">
        <v>0.1</v>
      </c>
      <c r="H66">
        <f>F66*VLOOKUP(B66,產品!$A$2:$H$61,7,FALSE)*(1-銷售總表!G66)</f>
        <v>13500</v>
      </c>
      <c r="I66" s="35">
        <f>H66-F66*VLOOKUP(銷售總表!B66,產品!$A$2:$H$61,8,FALSE)</f>
        <v>7500</v>
      </c>
      <c r="J66" s="20">
        <f t="shared" si="0"/>
        <v>0.55555555555555558</v>
      </c>
    </row>
    <row r="67" spans="1:10" x14ac:dyDescent="0.3">
      <c r="A67" s="33">
        <v>66</v>
      </c>
      <c r="B67" s="4">
        <v>18</v>
      </c>
      <c r="C67" s="15">
        <v>277</v>
      </c>
      <c r="D67" s="16">
        <v>1</v>
      </c>
      <c r="E67" s="22">
        <v>43854</v>
      </c>
      <c r="F67" s="17">
        <v>60</v>
      </c>
      <c r="G67" s="18">
        <v>0.05</v>
      </c>
      <c r="H67">
        <f>F67*VLOOKUP(B67,產品!$A$2:$H$61,7,FALSE)*(1-銷售總表!G67)</f>
        <v>102600</v>
      </c>
      <c r="I67" s="35">
        <f>H67-F67*VLOOKUP(銷售總表!B67,產品!$A$2:$H$61,8,FALSE)</f>
        <v>59400</v>
      </c>
      <c r="J67" s="20">
        <f t="shared" ref="J67:J130" si="1">I67/H67</f>
        <v>0.57894736842105265</v>
      </c>
    </row>
    <row r="68" spans="1:10" x14ac:dyDescent="0.3">
      <c r="A68" s="33">
        <v>67</v>
      </c>
      <c r="B68" s="4">
        <v>53</v>
      </c>
      <c r="C68" s="15">
        <v>273</v>
      </c>
      <c r="D68" s="16">
        <v>7</v>
      </c>
      <c r="E68" s="22">
        <v>43854</v>
      </c>
      <c r="F68" s="17">
        <v>14</v>
      </c>
      <c r="G68" s="18">
        <v>0.06</v>
      </c>
      <c r="H68">
        <f>F68*VLOOKUP(B68,產品!$A$2:$H$61,7,FALSE)*(1-銷售總表!G68)</f>
        <v>197400</v>
      </c>
      <c r="I68" s="35">
        <f>H68-F68*VLOOKUP(銷售總表!B68,產品!$A$2:$H$61,8,FALSE)</f>
        <v>50400</v>
      </c>
      <c r="J68" s="20">
        <f t="shared" si="1"/>
        <v>0.25531914893617019</v>
      </c>
    </row>
    <row r="69" spans="1:10" x14ac:dyDescent="0.3">
      <c r="A69" s="33">
        <v>68</v>
      </c>
      <c r="B69" s="4">
        <v>40</v>
      </c>
      <c r="C69" s="15">
        <v>9</v>
      </c>
      <c r="D69" s="16">
        <v>1</v>
      </c>
      <c r="E69" s="22">
        <v>43854</v>
      </c>
      <c r="F69" s="17">
        <v>10</v>
      </c>
      <c r="G69" s="18">
        <v>0.11</v>
      </c>
      <c r="H69">
        <f>F69*VLOOKUP(B69,產品!$A$2:$H$61,7,FALSE)*(1-銷售總表!G69)</f>
        <v>178000</v>
      </c>
      <c r="I69" s="35">
        <f>H69-F69*VLOOKUP(銷售總表!B69,產品!$A$2:$H$61,8,FALSE)</f>
        <v>48000</v>
      </c>
      <c r="J69" s="20">
        <f t="shared" si="1"/>
        <v>0.2696629213483146</v>
      </c>
    </row>
    <row r="70" spans="1:10" x14ac:dyDescent="0.3">
      <c r="A70" s="33">
        <v>69</v>
      </c>
      <c r="B70" s="4">
        <v>1</v>
      </c>
      <c r="C70" s="15">
        <v>271</v>
      </c>
      <c r="D70" s="16">
        <v>2</v>
      </c>
      <c r="E70" s="22">
        <v>43854</v>
      </c>
      <c r="F70" s="17">
        <v>75</v>
      </c>
      <c r="G70" s="18">
        <v>0.13</v>
      </c>
      <c r="H70">
        <f>F70*VLOOKUP(B70,產品!$A$2:$H$61,7,FALSE)*(1-銷售總表!G70)</f>
        <v>65250</v>
      </c>
      <c r="I70" s="35">
        <f>H70-F70*VLOOKUP(銷售總表!B70,產品!$A$2:$H$61,8,FALSE)</f>
        <v>35250</v>
      </c>
      <c r="J70" s="20">
        <f t="shared" si="1"/>
        <v>0.54022988505747127</v>
      </c>
    </row>
    <row r="71" spans="1:10" x14ac:dyDescent="0.3">
      <c r="A71" s="33">
        <v>70</v>
      </c>
      <c r="B71" s="4">
        <v>47</v>
      </c>
      <c r="C71" s="15">
        <v>4</v>
      </c>
      <c r="D71" s="16">
        <v>4</v>
      </c>
      <c r="E71" s="22">
        <v>43854</v>
      </c>
      <c r="F71" s="17">
        <v>4</v>
      </c>
      <c r="G71" s="18">
        <v>0.05</v>
      </c>
      <c r="H71">
        <f>F71*VLOOKUP(B71,產品!$A$2:$H$61,7,FALSE)*(1-銷售總表!G71)</f>
        <v>76000</v>
      </c>
      <c r="I71" s="35">
        <f>H71-F71*VLOOKUP(銷售總表!B71,產品!$A$2:$H$61,8,FALSE)</f>
        <v>24000</v>
      </c>
      <c r="J71" s="20">
        <f t="shared" si="1"/>
        <v>0.31578947368421051</v>
      </c>
    </row>
    <row r="72" spans="1:10" x14ac:dyDescent="0.3">
      <c r="A72" s="33">
        <v>71</v>
      </c>
      <c r="B72" s="4">
        <v>56</v>
      </c>
      <c r="C72" s="15">
        <v>9</v>
      </c>
      <c r="D72" s="16">
        <v>1</v>
      </c>
      <c r="E72" s="22">
        <v>43854</v>
      </c>
      <c r="F72" s="17">
        <v>4</v>
      </c>
      <c r="G72" s="18">
        <v>0.11</v>
      </c>
      <c r="H72">
        <f>F72*VLOOKUP(B72,產品!$A$2:$H$61,7,FALSE)*(1-銷售總表!G72)</f>
        <v>78320</v>
      </c>
      <c r="I72" s="35">
        <f>H72-F72*VLOOKUP(銷售總表!B72,產品!$A$2:$H$61,8,FALSE)</f>
        <v>16720.000000000007</v>
      </c>
      <c r="J72" s="20">
        <f t="shared" si="1"/>
        <v>0.21348314606741584</v>
      </c>
    </row>
    <row r="73" spans="1:10" x14ac:dyDescent="0.3">
      <c r="A73" s="33">
        <v>72</v>
      </c>
      <c r="B73" s="4">
        <v>37</v>
      </c>
      <c r="C73" s="15">
        <v>261</v>
      </c>
      <c r="D73" s="16">
        <v>7</v>
      </c>
      <c r="E73" s="22">
        <v>43854</v>
      </c>
      <c r="F73" s="17">
        <v>4</v>
      </c>
      <c r="G73" s="18">
        <v>0.1</v>
      </c>
      <c r="H73">
        <f>F73*VLOOKUP(B73,產品!$A$2:$H$61,7,FALSE)*(1-銷售總表!G73)</f>
        <v>43200</v>
      </c>
      <c r="I73" s="35">
        <f>H73-F73*VLOOKUP(銷售總表!B73,產品!$A$2:$H$61,8,FALSE)</f>
        <v>12000</v>
      </c>
      <c r="J73" s="20">
        <f t="shared" si="1"/>
        <v>0.27777777777777779</v>
      </c>
    </row>
    <row r="74" spans="1:10" x14ac:dyDescent="0.3">
      <c r="A74" s="33">
        <v>73</v>
      </c>
      <c r="B74" s="4">
        <v>47</v>
      </c>
      <c r="C74" s="15">
        <v>10</v>
      </c>
      <c r="D74" s="16">
        <v>4</v>
      </c>
      <c r="E74" s="22">
        <v>43854</v>
      </c>
      <c r="F74" s="19">
        <v>2</v>
      </c>
      <c r="G74" s="18">
        <v>0.05</v>
      </c>
      <c r="H74">
        <f>F74*VLOOKUP(B74,產品!$A$2:$H$61,7,FALSE)*(1-銷售總表!G74)</f>
        <v>38000</v>
      </c>
      <c r="I74" s="35">
        <f>H74-F74*VLOOKUP(銷售總表!B74,產品!$A$2:$H$61,8,FALSE)</f>
        <v>12000</v>
      </c>
      <c r="J74" s="20">
        <f t="shared" si="1"/>
        <v>0.31578947368421051</v>
      </c>
    </row>
    <row r="75" spans="1:10" x14ac:dyDescent="0.3">
      <c r="A75" s="33">
        <v>74</v>
      </c>
      <c r="B75" s="4">
        <v>36</v>
      </c>
      <c r="C75" s="15">
        <v>1</v>
      </c>
      <c r="D75" s="16">
        <v>6</v>
      </c>
      <c r="E75" s="22">
        <v>43855</v>
      </c>
      <c r="F75" s="17">
        <v>15</v>
      </c>
      <c r="G75" s="18">
        <v>0.2</v>
      </c>
      <c r="H75">
        <f>F75*VLOOKUP(B75,產品!$A$2:$H$61,7,FALSE)*(1-銷售總表!G75)</f>
        <v>108000</v>
      </c>
      <c r="I75" s="35">
        <f>H75-F75*VLOOKUP(銷售總表!B75,產品!$A$2:$H$61,8,FALSE)</f>
        <v>27000</v>
      </c>
      <c r="J75" s="20">
        <f t="shared" si="1"/>
        <v>0.25</v>
      </c>
    </row>
    <row r="76" spans="1:10" x14ac:dyDescent="0.3">
      <c r="A76" s="33">
        <v>75</v>
      </c>
      <c r="B76" s="4">
        <v>30</v>
      </c>
      <c r="C76" s="15">
        <v>264</v>
      </c>
      <c r="D76" s="16">
        <v>1</v>
      </c>
      <c r="E76" s="22">
        <v>43855</v>
      </c>
      <c r="F76" s="17">
        <v>15</v>
      </c>
      <c r="G76" s="18">
        <v>0.18</v>
      </c>
      <c r="H76">
        <f>F76*VLOOKUP(B76,產品!$A$2:$H$61,7,FALSE)*(1-銷售總表!G76)</f>
        <v>79950</v>
      </c>
      <c r="I76" s="35">
        <f>H76-F76*VLOOKUP(銷售總表!B76,產品!$A$2:$H$61,8,FALSE)</f>
        <v>21450</v>
      </c>
      <c r="J76" s="20">
        <f t="shared" si="1"/>
        <v>0.26829268292682928</v>
      </c>
    </row>
    <row r="77" spans="1:10" x14ac:dyDescent="0.3">
      <c r="A77" s="33">
        <v>76</v>
      </c>
      <c r="B77" s="4">
        <v>5</v>
      </c>
      <c r="C77" s="15">
        <v>10</v>
      </c>
      <c r="D77" s="16">
        <v>10</v>
      </c>
      <c r="E77" s="22">
        <v>43855</v>
      </c>
      <c r="F77" s="17">
        <v>40</v>
      </c>
      <c r="G77" s="18">
        <v>0.11</v>
      </c>
      <c r="H77">
        <f>F77*VLOOKUP(B77,產品!$A$2:$H$61,7,FALSE)*(1-銷售總表!G77)</f>
        <v>35600</v>
      </c>
      <c r="I77" s="35">
        <f>H77-F77*VLOOKUP(銷售總表!B77,產品!$A$2:$H$61,8,FALSE)</f>
        <v>19600</v>
      </c>
      <c r="J77" s="20">
        <f t="shared" si="1"/>
        <v>0.550561797752809</v>
      </c>
    </row>
    <row r="78" spans="1:10" x14ac:dyDescent="0.3">
      <c r="A78" s="33">
        <v>77</v>
      </c>
      <c r="B78" s="4">
        <v>24</v>
      </c>
      <c r="C78" s="15">
        <v>266</v>
      </c>
      <c r="D78" s="16">
        <v>10</v>
      </c>
      <c r="E78" s="22">
        <v>43855</v>
      </c>
      <c r="F78" s="17">
        <v>10</v>
      </c>
      <c r="G78" s="18">
        <v>0.13</v>
      </c>
      <c r="H78">
        <f>F78*VLOOKUP(B78,產品!$A$2:$H$61,7,FALSE)*(1-銷售總表!G78)</f>
        <v>15660</v>
      </c>
      <c r="I78" s="35">
        <f>H78-F78*VLOOKUP(銷售總表!B78,產品!$A$2:$H$61,8,FALSE)</f>
        <v>8460</v>
      </c>
      <c r="J78" s="20">
        <f t="shared" si="1"/>
        <v>0.54022988505747127</v>
      </c>
    </row>
    <row r="79" spans="1:10" x14ac:dyDescent="0.3">
      <c r="A79" s="33">
        <v>78</v>
      </c>
      <c r="B79" s="4">
        <v>40</v>
      </c>
      <c r="C79" s="15">
        <v>258</v>
      </c>
      <c r="D79" s="16">
        <v>5</v>
      </c>
      <c r="E79" s="22">
        <v>43855</v>
      </c>
      <c r="F79" s="17">
        <v>2</v>
      </c>
      <c r="G79" s="18">
        <v>0.18</v>
      </c>
      <c r="H79">
        <f>F79*VLOOKUP(B79,產品!$A$2:$H$61,7,FALSE)*(1-銷售總表!G79)</f>
        <v>32800</v>
      </c>
      <c r="I79" s="35">
        <f>H79-F79*VLOOKUP(銷售總表!B79,產品!$A$2:$H$61,8,FALSE)</f>
        <v>6800</v>
      </c>
      <c r="J79" s="20">
        <f t="shared" si="1"/>
        <v>0.2073170731707317</v>
      </c>
    </row>
    <row r="80" spans="1:10" x14ac:dyDescent="0.3">
      <c r="A80" s="33">
        <v>79</v>
      </c>
      <c r="B80" s="4">
        <v>18</v>
      </c>
      <c r="C80" s="15">
        <v>8</v>
      </c>
      <c r="D80" s="16">
        <v>6</v>
      </c>
      <c r="E80" s="22">
        <v>43856</v>
      </c>
      <c r="F80" s="17">
        <v>120</v>
      </c>
      <c r="G80" s="18">
        <v>0.08</v>
      </c>
      <c r="H80">
        <f>F80*VLOOKUP(B80,產品!$A$2:$H$61,7,FALSE)*(1-銷售總表!G80)</f>
        <v>198720</v>
      </c>
      <c r="I80" s="35">
        <f>H80-F80*VLOOKUP(銷售總表!B80,產品!$A$2:$H$61,8,FALSE)</f>
        <v>112320</v>
      </c>
      <c r="J80" s="20">
        <f t="shared" si="1"/>
        <v>0.56521739130434778</v>
      </c>
    </row>
    <row r="81" spans="1:10" x14ac:dyDescent="0.3">
      <c r="A81" s="33">
        <v>80</v>
      </c>
      <c r="B81" s="4">
        <v>16</v>
      </c>
      <c r="C81" s="15">
        <v>7</v>
      </c>
      <c r="D81" s="16">
        <v>8</v>
      </c>
      <c r="E81" s="22">
        <v>43856</v>
      </c>
      <c r="F81" s="17">
        <v>90</v>
      </c>
      <c r="G81" s="18">
        <v>0.06</v>
      </c>
      <c r="H81">
        <f>F81*VLOOKUP(B81,產品!$A$2:$H$61,7,FALSE)*(1-銷售總表!G81)</f>
        <v>152280</v>
      </c>
      <c r="I81" s="35">
        <f>H81-F81*VLOOKUP(銷售總表!B81,產品!$A$2:$H$61,8,FALSE)</f>
        <v>87480</v>
      </c>
      <c r="J81" s="20">
        <f t="shared" si="1"/>
        <v>0.57446808510638303</v>
      </c>
    </row>
    <row r="82" spans="1:10" x14ac:dyDescent="0.3">
      <c r="A82" s="33">
        <v>81</v>
      </c>
      <c r="B82" s="4">
        <v>16</v>
      </c>
      <c r="C82" s="15">
        <v>12</v>
      </c>
      <c r="D82" s="16">
        <v>5</v>
      </c>
      <c r="E82" s="22">
        <v>43856</v>
      </c>
      <c r="F82" s="17">
        <v>30</v>
      </c>
      <c r="G82" s="18">
        <v>0.12</v>
      </c>
      <c r="H82">
        <f>F82*VLOOKUP(B82,產品!$A$2:$H$61,7,FALSE)*(1-銷售總表!G82)</f>
        <v>47520</v>
      </c>
      <c r="I82" s="35">
        <f>H82-F82*VLOOKUP(銷售總表!B82,產品!$A$2:$H$61,8,FALSE)</f>
        <v>25920</v>
      </c>
      <c r="J82" s="20">
        <f t="shared" si="1"/>
        <v>0.54545454545454541</v>
      </c>
    </row>
    <row r="83" spans="1:10" x14ac:dyDescent="0.3">
      <c r="A83" s="33">
        <v>82</v>
      </c>
      <c r="B83" s="4">
        <v>23</v>
      </c>
      <c r="C83" s="15">
        <v>5</v>
      </c>
      <c r="D83" s="16">
        <v>8</v>
      </c>
      <c r="E83" s="22">
        <v>43856</v>
      </c>
      <c r="F83" s="17">
        <v>18</v>
      </c>
      <c r="G83" s="18">
        <v>0.14000000000000001</v>
      </c>
      <c r="H83">
        <f>F83*VLOOKUP(B83,產品!$A$2:$H$61,7,FALSE)*(1-銷售總表!G83)</f>
        <v>27864</v>
      </c>
      <c r="I83" s="35">
        <f>H83-F83*VLOOKUP(銷售總表!B83,產品!$A$2:$H$61,8,FALSE)</f>
        <v>14904</v>
      </c>
      <c r="J83" s="20">
        <f t="shared" si="1"/>
        <v>0.53488372093023251</v>
      </c>
    </row>
    <row r="84" spans="1:10" x14ac:dyDescent="0.3">
      <c r="A84" s="33">
        <v>83</v>
      </c>
      <c r="B84" s="4">
        <v>1</v>
      </c>
      <c r="C84" s="15">
        <v>263</v>
      </c>
      <c r="D84" s="16">
        <v>7</v>
      </c>
      <c r="E84" s="22">
        <v>43856</v>
      </c>
      <c r="F84" s="17">
        <v>20</v>
      </c>
      <c r="G84" s="18">
        <v>0.17</v>
      </c>
      <c r="H84">
        <f>F84*VLOOKUP(B84,產品!$A$2:$H$61,7,FALSE)*(1-銷售總表!G84)</f>
        <v>16600</v>
      </c>
      <c r="I84" s="35">
        <f>H84-F84*VLOOKUP(銷售總表!B84,產品!$A$2:$H$61,8,FALSE)</f>
        <v>8600</v>
      </c>
      <c r="J84" s="20">
        <f t="shared" si="1"/>
        <v>0.51807228915662651</v>
      </c>
    </row>
    <row r="85" spans="1:10" x14ac:dyDescent="0.3">
      <c r="A85" s="33">
        <v>84</v>
      </c>
      <c r="B85" s="4">
        <v>35</v>
      </c>
      <c r="C85" s="15">
        <v>112</v>
      </c>
      <c r="D85" s="16">
        <v>6</v>
      </c>
      <c r="E85" s="22">
        <v>43856</v>
      </c>
      <c r="F85" s="17">
        <v>4</v>
      </c>
      <c r="G85" s="18">
        <v>0.18</v>
      </c>
      <c r="H85">
        <f>F85*VLOOKUP(B85,產品!$A$2:$H$61,7,FALSE)*(1-銷售總表!G85)</f>
        <v>27880.000000000004</v>
      </c>
      <c r="I85" s="35">
        <f>H85-F85*VLOOKUP(銷售總表!B85,產品!$A$2:$H$61,8,FALSE)</f>
        <v>7480.0000000000036</v>
      </c>
      <c r="J85" s="20">
        <f t="shared" si="1"/>
        <v>0.26829268292682934</v>
      </c>
    </row>
    <row r="86" spans="1:10" x14ac:dyDescent="0.3">
      <c r="A86" s="33">
        <v>85</v>
      </c>
      <c r="B86" s="4">
        <v>27</v>
      </c>
      <c r="C86" s="15">
        <v>274</v>
      </c>
      <c r="D86" s="16">
        <v>1</v>
      </c>
      <c r="E86" s="22">
        <v>43856</v>
      </c>
      <c r="F86" s="17">
        <v>2</v>
      </c>
      <c r="G86" s="18">
        <v>7.0000000000000007E-2</v>
      </c>
      <c r="H86">
        <f>F86*VLOOKUP(B86,產品!$A$2:$H$61,7,FALSE)*(1-銷售總表!G86)</f>
        <v>13020</v>
      </c>
      <c r="I86" s="35">
        <f>H86-F86*VLOOKUP(銷售總表!B86,產品!$A$2:$H$61,8,FALSE)</f>
        <v>4620</v>
      </c>
      <c r="J86" s="20">
        <f t="shared" si="1"/>
        <v>0.35483870967741937</v>
      </c>
    </row>
    <row r="87" spans="1:10" x14ac:dyDescent="0.3">
      <c r="A87" s="33">
        <v>86</v>
      </c>
      <c r="B87" s="4">
        <v>11</v>
      </c>
      <c r="C87" s="15">
        <v>271</v>
      </c>
      <c r="D87" s="16">
        <v>3</v>
      </c>
      <c r="E87" s="22">
        <v>43857</v>
      </c>
      <c r="F87" s="17">
        <v>250</v>
      </c>
      <c r="G87" s="18">
        <v>0.12</v>
      </c>
      <c r="H87">
        <f>F87*VLOOKUP(B87,產品!$A$2:$H$61,7,FALSE)*(1-銷售總表!G87)</f>
        <v>220000</v>
      </c>
      <c r="I87" s="35">
        <f>H87-F87*VLOOKUP(銷售總表!B87,產品!$A$2:$H$61,8,FALSE)</f>
        <v>120000</v>
      </c>
      <c r="J87" s="20">
        <f t="shared" si="1"/>
        <v>0.54545454545454541</v>
      </c>
    </row>
    <row r="88" spans="1:10" x14ac:dyDescent="0.3">
      <c r="A88" s="33">
        <v>87</v>
      </c>
      <c r="B88" s="4">
        <v>16</v>
      </c>
      <c r="C88" s="15">
        <v>258</v>
      </c>
      <c r="D88" s="16">
        <v>10</v>
      </c>
      <c r="E88" s="22">
        <v>43857</v>
      </c>
      <c r="F88" s="17">
        <v>50</v>
      </c>
      <c r="G88" s="18">
        <v>0.11</v>
      </c>
      <c r="H88">
        <f>F88*VLOOKUP(B88,產品!$A$2:$H$61,7,FALSE)*(1-銷售總表!G88)</f>
        <v>80100</v>
      </c>
      <c r="I88" s="35">
        <f>H88-F88*VLOOKUP(銷售總表!B88,產品!$A$2:$H$61,8,FALSE)</f>
        <v>44100</v>
      </c>
      <c r="J88" s="20">
        <f t="shared" si="1"/>
        <v>0.550561797752809</v>
      </c>
    </row>
    <row r="89" spans="1:10" x14ac:dyDescent="0.3">
      <c r="A89" s="33">
        <v>88</v>
      </c>
      <c r="B89" s="4">
        <v>48</v>
      </c>
      <c r="C89" s="15">
        <v>6</v>
      </c>
      <c r="D89" s="16">
        <v>10</v>
      </c>
      <c r="E89" s="22">
        <v>43857</v>
      </c>
      <c r="F89" s="17">
        <v>5</v>
      </c>
      <c r="G89" s="18">
        <v>0.05</v>
      </c>
      <c r="H89">
        <f>F89*VLOOKUP(B89,產品!$A$2:$H$61,7,FALSE)*(1-銷售總表!G89)</f>
        <v>104500</v>
      </c>
      <c r="I89" s="35">
        <f>H89-F89*VLOOKUP(銷售總表!B89,產品!$A$2:$H$61,8,FALSE)</f>
        <v>33000</v>
      </c>
      <c r="J89" s="20">
        <f t="shared" si="1"/>
        <v>0.31578947368421051</v>
      </c>
    </row>
    <row r="90" spans="1:10" x14ac:dyDescent="0.3">
      <c r="A90" s="33">
        <v>89</v>
      </c>
      <c r="B90" s="4">
        <v>55</v>
      </c>
      <c r="C90" s="15">
        <v>116</v>
      </c>
      <c r="D90" s="16">
        <v>9</v>
      </c>
      <c r="E90" s="22">
        <v>43857</v>
      </c>
      <c r="F90" s="17">
        <v>2</v>
      </c>
      <c r="G90" s="18">
        <v>0.08</v>
      </c>
      <c r="H90">
        <f>F90*VLOOKUP(B90,產品!$A$2:$H$61,7,FALSE)*(1-銷售總表!G90)</f>
        <v>36800</v>
      </c>
      <c r="I90" s="35">
        <f>H90-F90*VLOOKUP(銷售總表!B90,產品!$A$2:$H$61,8,FALSE)</f>
        <v>8800</v>
      </c>
      <c r="J90" s="20">
        <f t="shared" si="1"/>
        <v>0.2391304347826087</v>
      </c>
    </row>
    <row r="91" spans="1:10" x14ac:dyDescent="0.3">
      <c r="A91" s="33">
        <v>90</v>
      </c>
      <c r="B91" s="4">
        <v>30</v>
      </c>
      <c r="C91" s="15">
        <v>6</v>
      </c>
      <c r="D91" s="16">
        <v>4</v>
      </c>
      <c r="E91" s="22">
        <v>43857</v>
      </c>
      <c r="F91" s="17">
        <v>2</v>
      </c>
      <c r="G91" s="18">
        <v>0.08</v>
      </c>
      <c r="H91">
        <f>F91*VLOOKUP(B91,產品!$A$2:$H$61,7,FALSE)*(1-銷售總表!G91)</f>
        <v>11960</v>
      </c>
      <c r="I91" s="35">
        <f>H91-F91*VLOOKUP(銷售總表!B91,產品!$A$2:$H$61,8,FALSE)</f>
        <v>4160</v>
      </c>
      <c r="J91" s="20">
        <f t="shared" si="1"/>
        <v>0.34782608695652173</v>
      </c>
    </row>
    <row r="92" spans="1:10" x14ac:dyDescent="0.3">
      <c r="A92" s="33">
        <v>91</v>
      </c>
      <c r="B92" s="4">
        <v>27</v>
      </c>
      <c r="C92" s="15">
        <v>121</v>
      </c>
      <c r="D92" s="16">
        <v>1</v>
      </c>
      <c r="E92" s="22">
        <v>43858</v>
      </c>
      <c r="F92" s="17">
        <v>11</v>
      </c>
      <c r="G92" s="18">
        <v>0.14000000000000001</v>
      </c>
      <c r="H92">
        <f>F92*VLOOKUP(B92,產品!$A$2:$H$61,7,FALSE)*(1-銷售總表!G92)</f>
        <v>66220</v>
      </c>
      <c r="I92" s="35">
        <f>H92-F92*VLOOKUP(銷售總表!B92,產品!$A$2:$H$61,8,FALSE)</f>
        <v>20020</v>
      </c>
      <c r="J92" s="20">
        <f t="shared" si="1"/>
        <v>0.30232558139534882</v>
      </c>
    </row>
    <row r="93" spans="1:10" x14ac:dyDescent="0.3">
      <c r="A93" s="33">
        <v>92</v>
      </c>
      <c r="B93" s="4">
        <v>29</v>
      </c>
      <c r="C93" s="15">
        <v>10</v>
      </c>
      <c r="D93" s="16">
        <v>1</v>
      </c>
      <c r="E93" s="22">
        <v>43858</v>
      </c>
      <c r="F93" s="17">
        <v>9</v>
      </c>
      <c r="G93" s="18">
        <v>0.16</v>
      </c>
      <c r="H93">
        <f>F93*VLOOKUP(B93,產品!$A$2:$H$61,7,FALSE)*(1-銷售總表!G93)</f>
        <v>45360</v>
      </c>
      <c r="I93" s="35">
        <f>H93-F93*VLOOKUP(銷售總表!B93,產品!$A$2:$H$61,8,FALSE)</f>
        <v>12960</v>
      </c>
      <c r="J93" s="20">
        <f t="shared" si="1"/>
        <v>0.2857142857142857</v>
      </c>
    </row>
    <row r="94" spans="1:10" x14ac:dyDescent="0.3">
      <c r="A94" s="33">
        <v>93</v>
      </c>
      <c r="B94" s="4">
        <v>42</v>
      </c>
      <c r="C94" s="15">
        <v>126</v>
      </c>
      <c r="D94" s="16">
        <v>7</v>
      </c>
      <c r="E94" s="22">
        <v>43859</v>
      </c>
      <c r="F94" s="17">
        <v>20</v>
      </c>
      <c r="G94" s="18">
        <v>0.09</v>
      </c>
      <c r="H94">
        <f>F94*VLOOKUP(B94,產品!$A$2:$H$61,7,FALSE)*(1-銷售總表!G94)</f>
        <v>273000</v>
      </c>
      <c r="I94" s="35">
        <f>H94-F94*VLOOKUP(銷售總表!B94,產品!$A$2:$H$61,8,FALSE)</f>
        <v>78000</v>
      </c>
      <c r="J94" s="20">
        <f t="shared" si="1"/>
        <v>0.2857142857142857</v>
      </c>
    </row>
    <row r="95" spans="1:10" x14ac:dyDescent="0.3">
      <c r="A95" s="33">
        <v>94</v>
      </c>
      <c r="B95" s="4">
        <v>19</v>
      </c>
      <c r="C95" s="15">
        <v>9</v>
      </c>
      <c r="D95" s="16">
        <v>10</v>
      </c>
      <c r="E95" s="22">
        <v>43859</v>
      </c>
      <c r="F95" s="17">
        <v>90</v>
      </c>
      <c r="G95" s="18">
        <v>0.19</v>
      </c>
      <c r="H95">
        <f>F95*VLOOKUP(B95,產品!$A$2:$H$61,7,FALSE)*(1-銷售總表!G95)</f>
        <v>131220</v>
      </c>
      <c r="I95" s="35">
        <f>H95-F95*VLOOKUP(銷售總表!B95,產品!$A$2:$H$61,8,FALSE)</f>
        <v>66420</v>
      </c>
      <c r="J95" s="20">
        <f t="shared" si="1"/>
        <v>0.50617283950617287</v>
      </c>
    </row>
    <row r="96" spans="1:10" x14ac:dyDescent="0.3">
      <c r="A96" s="33">
        <v>95</v>
      </c>
      <c r="B96" s="4">
        <v>28</v>
      </c>
      <c r="C96" s="15">
        <v>112</v>
      </c>
      <c r="D96" s="16">
        <v>7</v>
      </c>
      <c r="E96" s="22">
        <v>43859</v>
      </c>
      <c r="F96" s="17">
        <v>15</v>
      </c>
      <c r="G96" s="18">
        <v>0.2</v>
      </c>
      <c r="H96">
        <f>F96*VLOOKUP(B96,產品!$A$2:$H$61,7,FALSE)*(1-銷售總表!G96)</f>
        <v>90000</v>
      </c>
      <c r="I96" s="35">
        <f>H96-F96*VLOOKUP(銷售總表!B96,產品!$A$2:$H$61,8,FALSE)</f>
        <v>22500</v>
      </c>
      <c r="J96" s="20">
        <f t="shared" si="1"/>
        <v>0.25</v>
      </c>
    </row>
    <row r="97" spans="1:10" x14ac:dyDescent="0.3">
      <c r="A97" s="33">
        <v>96</v>
      </c>
      <c r="B97" s="4">
        <v>50</v>
      </c>
      <c r="C97" s="15">
        <v>283</v>
      </c>
      <c r="D97" s="16">
        <v>6</v>
      </c>
      <c r="E97" s="22">
        <v>43859</v>
      </c>
      <c r="F97" s="17">
        <v>4</v>
      </c>
      <c r="G97" s="18">
        <v>0.05</v>
      </c>
      <c r="H97">
        <f>F97*VLOOKUP(B97,產品!$A$2:$H$61,7,FALSE)*(1-銷售總表!G97)</f>
        <v>68400</v>
      </c>
      <c r="I97" s="35">
        <f>H97-F97*VLOOKUP(銷售總表!B97,產品!$A$2:$H$61,8,FALSE)</f>
        <v>18000</v>
      </c>
      <c r="J97" s="20">
        <f t="shared" si="1"/>
        <v>0.26315789473684209</v>
      </c>
    </row>
    <row r="98" spans="1:10" x14ac:dyDescent="0.3">
      <c r="A98" s="33">
        <v>97</v>
      </c>
      <c r="B98" s="4">
        <v>20</v>
      </c>
      <c r="C98" s="15">
        <v>4</v>
      </c>
      <c r="D98" s="16">
        <v>2</v>
      </c>
      <c r="E98" s="22">
        <v>43860</v>
      </c>
      <c r="F98" s="17">
        <v>60</v>
      </c>
      <c r="G98" s="18">
        <v>0.15</v>
      </c>
      <c r="H98">
        <f>F98*VLOOKUP(B98,產品!$A$2:$H$61,7,FALSE)*(1-銷售總表!G98)</f>
        <v>91800</v>
      </c>
      <c r="I98" s="35">
        <f>H98-F98*VLOOKUP(銷售總表!B98,產品!$A$2:$H$61,8,FALSE)</f>
        <v>48600</v>
      </c>
      <c r="J98" s="20">
        <f t="shared" si="1"/>
        <v>0.52941176470588236</v>
      </c>
    </row>
    <row r="99" spans="1:10" x14ac:dyDescent="0.3">
      <c r="A99" s="33">
        <v>98</v>
      </c>
      <c r="B99" s="4">
        <v>57</v>
      </c>
      <c r="C99" s="15">
        <v>275</v>
      </c>
      <c r="D99" s="16">
        <v>9</v>
      </c>
      <c r="E99" s="22">
        <v>43860</v>
      </c>
      <c r="F99" s="17">
        <v>7</v>
      </c>
      <c r="G99" s="18">
        <v>0.1</v>
      </c>
      <c r="H99">
        <f>F99*VLOOKUP(B99,產品!$A$2:$H$61,7,FALSE)*(1-銷售總表!G99)</f>
        <v>113400</v>
      </c>
      <c r="I99" s="35">
        <f>H99-F99*VLOOKUP(銷售總表!B99,產品!$A$2:$H$61,8,FALSE)</f>
        <v>25200</v>
      </c>
      <c r="J99" s="20">
        <f t="shared" si="1"/>
        <v>0.22222222222222221</v>
      </c>
    </row>
    <row r="100" spans="1:10" x14ac:dyDescent="0.3">
      <c r="A100" s="33">
        <v>99</v>
      </c>
      <c r="B100" s="4">
        <v>53</v>
      </c>
      <c r="C100" s="15">
        <v>3</v>
      </c>
      <c r="D100" s="16">
        <v>9</v>
      </c>
      <c r="E100" s="22">
        <v>43860</v>
      </c>
      <c r="F100" s="17">
        <v>10</v>
      </c>
      <c r="G100" s="18">
        <v>0.17</v>
      </c>
      <c r="H100">
        <f>F100*VLOOKUP(B100,產品!$A$2:$H$61,7,FALSE)*(1-銷售總表!G100)</f>
        <v>124500</v>
      </c>
      <c r="I100" s="35">
        <f>H100-F100*VLOOKUP(銷售總表!B100,產品!$A$2:$H$61,8,FALSE)</f>
        <v>19500</v>
      </c>
      <c r="J100" s="20">
        <f t="shared" si="1"/>
        <v>0.15662650602409639</v>
      </c>
    </row>
    <row r="101" spans="1:10" x14ac:dyDescent="0.3">
      <c r="A101" s="33">
        <v>100</v>
      </c>
      <c r="B101" s="4">
        <v>6</v>
      </c>
      <c r="C101" s="15">
        <v>12</v>
      </c>
      <c r="D101" s="16">
        <v>10</v>
      </c>
      <c r="E101" s="22">
        <v>43860</v>
      </c>
      <c r="F101" s="17">
        <v>40</v>
      </c>
      <c r="G101" s="18">
        <v>0.18</v>
      </c>
      <c r="H101">
        <f>F101*VLOOKUP(B101,產品!$A$2:$H$61,7,FALSE)*(1-銷售總表!G101)</f>
        <v>32800</v>
      </c>
      <c r="I101" s="35">
        <f>H101-F101*VLOOKUP(銷售總表!B101,產品!$A$2:$H$61,8,FALSE)</f>
        <v>16800</v>
      </c>
      <c r="J101" s="20">
        <f t="shared" si="1"/>
        <v>0.51219512195121952</v>
      </c>
    </row>
    <row r="102" spans="1:10" x14ac:dyDescent="0.3">
      <c r="A102" s="33">
        <v>101</v>
      </c>
      <c r="B102" s="4">
        <v>3</v>
      </c>
      <c r="C102" s="15">
        <v>283</v>
      </c>
      <c r="D102" s="16">
        <v>2</v>
      </c>
      <c r="E102" s="22">
        <v>43860</v>
      </c>
      <c r="F102" s="17">
        <v>20</v>
      </c>
      <c r="G102" s="18">
        <v>0.19</v>
      </c>
      <c r="H102">
        <f>F102*VLOOKUP(B102,產品!$A$2:$H$61,7,FALSE)*(1-銷售總表!G102)</f>
        <v>16200.000000000002</v>
      </c>
      <c r="I102" s="35">
        <f>H102-F102*VLOOKUP(銷售總表!B102,產品!$A$2:$H$61,8,FALSE)</f>
        <v>8200.0000000000018</v>
      </c>
      <c r="J102" s="20">
        <f t="shared" si="1"/>
        <v>0.50617283950617287</v>
      </c>
    </row>
    <row r="103" spans="1:10" x14ac:dyDescent="0.3">
      <c r="A103" s="33">
        <v>102</v>
      </c>
      <c r="B103" s="4">
        <v>56</v>
      </c>
      <c r="C103" s="15">
        <v>5</v>
      </c>
      <c r="D103" s="16">
        <v>4</v>
      </c>
      <c r="E103" s="22">
        <v>43861</v>
      </c>
      <c r="F103" s="17">
        <v>8</v>
      </c>
      <c r="G103" s="18">
        <v>7.0000000000000007E-2</v>
      </c>
      <c r="H103">
        <f>F103*VLOOKUP(B103,產品!$A$2:$H$61,7,FALSE)*(1-銷售總表!G103)</f>
        <v>163680</v>
      </c>
      <c r="I103" s="35">
        <f>H103-F103*VLOOKUP(銷售總表!B103,產品!$A$2:$H$61,8,FALSE)</f>
        <v>40480.000000000015</v>
      </c>
      <c r="J103" s="20">
        <f t="shared" si="1"/>
        <v>0.24731182795698933</v>
      </c>
    </row>
    <row r="104" spans="1:10" x14ac:dyDescent="0.3">
      <c r="A104" s="33">
        <v>103</v>
      </c>
      <c r="B104" s="4">
        <v>3</v>
      </c>
      <c r="C104" s="15">
        <v>3</v>
      </c>
      <c r="D104" s="16">
        <v>4</v>
      </c>
      <c r="E104" s="22">
        <v>43861</v>
      </c>
      <c r="F104" s="17">
        <v>30</v>
      </c>
      <c r="G104" s="18">
        <v>0.13</v>
      </c>
      <c r="H104">
        <f>F104*VLOOKUP(B104,產品!$A$2:$H$61,7,FALSE)*(1-銷售總表!G104)</f>
        <v>26100</v>
      </c>
      <c r="I104" s="35">
        <f>H104-F104*VLOOKUP(銷售總表!B104,產品!$A$2:$H$61,8,FALSE)</f>
        <v>14100</v>
      </c>
      <c r="J104" s="20">
        <f t="shared" si="1"/>
        <v>0.54022988505747127</v>
      </c>
    </row>
    <row r="105" spans="1:10" x14ac:dyDescent="0.3">
      <c r="A105" s="33">
        <v>104</v>
      </c>
      <c r="B105" s="4">
        <v>34</v>
      </c>
      <c r="C105" s="15">
        <v>121</v>
      </c>
      <c r="D105" s="16">
        <v>6</v>
      </c>
      <c r="E105" s="22">
        <v>43861</v>
      </c>
      <c r="F105" s="19">
        <v>5</v>
      </c>
      <c r="G105" s="18">
        <v>0.17</v>
      </c>
      <c r="H105">
        <f>F105*VLOOKUP(B105,產品!$A$2:$H$61,7,FALSE)*(1-銷售總表!G105)</f>
        <v>33200</v>
      </c>
      <c r="I105" s="35">
        <f>H105-F105*VLOOKUP(銷售總表!B105,產品!$A$2:$H$61,8,FALSE)</f>
        <v>9200</v>
      </c>
      <c r="J105" s="20">
        <f t="shared" si="1"/>
        <v>0.27710843373493976</v>
      </c>
    </row>
    <row r="106" spans="1:10" x14ac:dyDescent="0.3">
      <c r="A106" s="33">
        <v>105</v>
      </c>
      <c r="B106" s="4">
        <v>26</v>
      </c>
      <c r="C106" s="15">
        <v>3</v>
      </c>
      <c r="D106" s="16">
        <v>5</v>
      </c>
      <c r="E106" s="22">
        <v>43861</v>
      </c>
      <c r="F106" s="17">
        <v>3</v>
      </c>
      <c r="G106" s="18">
        <v>7.0000000000000007E-2</v>
      </c>
      <c r="H106">
        <f>F106*VLOOKUP(B106,產品!$A$2:$H$61,7,FALSE)*(1-銷售總表!G106)</f>
        <v>18135</v>
      </c>
      <c r="I106" s="35">
        <f>H106-F106*VLOOKUP(銷售總表!B106,產品!$A$2:$H$61,8,FALSE)</f>
        <v>6435</v>
      </c>
      <c r="J106" s="20">
        <f t="shared" si="1"/>
        <v>0.35483870967741937</v>
      </c>
    </row>
    <row r="107" spans="1:10" x14ac:dyDescent="0.3">
      <c r="A107" s="33">
        <v>106</v>
      </c>
      <c r="B107" s="4">
        <v>34</v>
      </c>
      <c r="C107" s="15">
        <v>121</v>
      </c>
      <c r="D107" s="16">
        <v>10</v>
      </c>
      <c r="E107" s="22">
        <v>43861</v>
      </c>
      <c r="F107" s="17">
        <v>3</v>
      </c>
      <c r="G107" s="18">
        <v>0.14000000000000001</v>
      </c>
      <c r="H107">
        <f>F107*VLOOKUP(B107,產品!$A$2:$H$61,7,FALSE)*(1-銷售總表!G107)</f>
        <v>20640</v>
      </c>
      <c r="I107" s="35">
        <f>H107-F107*VLOOKUP(銷售總表!B107,產品!$A$2:$H$61,8,FALSE)</f>
        <v>6240</v>
      </c>
      <c r="J107" s="20">
        <f t="shared" si="1"/>
        <v>0.30232558139534882</v>
      </c>
    </row>
    <row r="108" spans="1:10" x14ac:dyDescent="0.3">
      <c r="A108" s="33">
        <v>107</v>
      </c>
      <c r="B108" s="4">
        <v>31</v>
      </c>
      <c r="C108" s="15">
        <v>280</v>
      </c>
      <c r="D108" s="16">
        <v>1</v>
      </c>
      <c r="E108" s="22">
        <v>43861</v>
      </c>
      <c r="F108" s="17">
        <v>3</v>
      </c>
      <c r="G108" s="18">
        <v>0.11</v>
      </c>
      <c r="H108">
        <f>F108*VLOOKUP(B108,產品!$A$2:$H$61,7,FALSE)*(1-銷售總表!G108)</f>
        <v>18690</v>
      </c>
      <c r="I108" s="35">
        <f>H108-F108*VLOOKUP(銷售總表!B108,產品!$A$2:$H$61,8,FALSE)</f>
        <v>6090</v>
      </c>
      <c r="J108" s="20">
        <f t="shared" si="1"/>
        <v>0.3258426966292135</v>
      </c>
    </row>
    <row r="109" spans="1:10" x14ac:dyDescent="0.3">
      <c r="A109" s="33">
        <v>108</v>
      </c>
      <c r="B109" s="4">
        <v>59</v>
      </c>
      <c r="C109" s="15">
        <v>1</v>
      </c>
      <c r="D109" s="16">
        <v>3</v>
      </c>
      <c r="E109" s="22">
        <v>43861</v>
      </c>
      <c r="F109" s="17">
        <v>1</v>
      </c>
      <c r="G109" s="18">
        <v>0.09</v>
      </c>
      <c r="H109">
        <f>F109*VLOOKUP(B109,產品!$A$2:$H$61,7,FALSE)*(1-銷售總表!G109)</f>
        <v>21840</v>
      </c>
      <c r="I109" s="35">
        <f>H109-F109*VLOOKUP(銷售總表!B109,產品!$A$2:$H$61,8,FALSE)</f>
        <v>5040</v>
      </c>
      <c r="J109" s="20">
        <f t="shared" si="1"/>
        <v>0.23076923076923078</v>
      </c>
    </row>
    <row r="110" spans="1:10" x14ac:dyDescent="0.3">
      <c r="A110" s="33">
        <v>109</v>
      </c>
      <c r="B110" s="4">
        <v>13</v>
      </c>
      <c r="C110" s="15">
        <v>282</v>
      </c>
      <c r="D110" s="16">
        <v>6</v>
      </c>
      <c r="E110" s="22">
        <v>43862</v>
      </c>
      <c r="F110" s="17">
        <v>70</v>
      </c>
      <c r="G110" s="18">
        <v>0.16</v>
      </c>
      <c r="H110">
        <f>F110*VLOOKUP(B110,產品!$A$2:$H$61,7,FALSE)*(1-銷售總表!G110)</f>
        <v>105840</v>
      </c>
      <c r="I110" s="35">
        <f>H110-F110*VLOOKUP(銷售總表!B110,產品!$A$2:$H$61,8,FALSE)</f>
        <v>55440</v>
      </c>
      <c r="J110" s="20">
        <f t="shared" si="1"/>
        <v>0.52380952380952384</v>
      </c>
    </row>
    <row r="111" spans="1:10" x14ac:dyDescent="0.3">
      <c r="A111" s="33">
        <v>110</v>
      </c>
      <c r="B111" s="4">
        <v>49</v>
      </c>
      <c r="C111" s="15">
        <v>3</v>
      </c>
      <c r="D111" s="16">
        <v>6</v>
      </c>
      <c r="E111" s="22">
        <v>43862</v>
      </c>
      <c r="F111" s="17">
        <v>13</v>
      </c>
      <c r="G111" s="18">
        <v>0.06</v>
      </c>
      <c r="H111">
        <f>F111*VLOOKUP(B111,產品!$A$2:$H$61,7,FALSE)*(1-銷售總表!G111)</f>
        <v>183300</v>
      </c>
      <c r="I111" s="35">
        <f>H111-F111*VLOOKUP(銷售總表!B111,產品!$A$2:$H$61,8,FALSE)</f>
        <v>46800</v>
      </c>
      <c r="J111" s="20">
        <f t="shared" si="1"/>
        <v>0.25531914893617019</v>
      </c>
    </row>
    <row r="112" spans="1:10" x14ac:dyDescent="0.3">
      <c r="A112" s="33">
        <v>111</v>
      </c>
      <c r="B112" s="4">
        <v>23</v>
      </c>
      <c r="C112" s="15">
        <v>275</v>
      </c>
      <c r="D112" s="16">
        <v>10</v>
      </c>
      <c r="E112" s="22">
        <v>43862</v>
      </c>
      <c r="F112" s="17">
        <v>40</v>
      </c>
      <c r="G112" s="18">
        <v>0.08</v>
      </c>
      <c r="H112">
        <f>F112*VLOOKUP(B112,產品!$A$2:$H$61,7,FALSE)*(1-銷售總表!G112)</f>
        <v>66240</v>
      </c>
      <c r="I112" s="35">
        <f>H112-F112*VLOOKUP(銷售總表!B112,產品!$A$2:$H$61,8,FALSE)</f>
        <v>37440</v>
      </c>
      <c r="J112" s="20">
        <f t="shared" si="1"/>
        <v>0.56521739130434778</v>
      </c>
    </row>
    <row r="113" spans="1:10" x14ac:dyDescent="0.3">
      <c r="A113" s="33">
        <v>112</v>
      </c>
      <c r="B113" s="4">
        <v>16</v>
      </c>
      <c r="C113" s="15">
        <v>280</v>
      </c>
      <c r="D113" s="16">
        <v>8</v>
      </c>
      <c r="E113" s="22">
        <v>43862</v>
      </c>
      <c r="F113" s="17">
        <v>20</v>
      </c>
      <c r="G113" s="18">
        <v>0.19</v>
      </c>
      <c r="H113">
        <f>F113*VLOOKUP(B113,產品!$A$2:$H$61,7,FALSE)*(1-銷售總表!G113)</f>
        <v>29160.000000000004</v>
      </c>
      <c r="I113" s="35">
        <f>H113-F113*VLOOKUP(銷售總表!B113,產品!$A$2:$H$61,8,FALSE)</f>
        <v>14760.000000000004</v>
      </c>
      <c r="J113" s="20">
        <f t="shared" si="1"/>
        <v>0.50617283950617287</v>
      </c>
    </row>
    <row r="114" spans="1:10" x14ac:dyDescent="0.3">
      <c r="A114" s="33">
        <v>113</v>
      </c>
      <c r="B114" s="4">
        <v>28</v>
      </c>
      <c r="C114" s="15">
        <v>140</v>
      </c>
      <c r="D114" s="16">
        <v>4</v>
      </c>
      <c r="E114" s="22">
        <v>43862</v>
      </c>
      <c r="F114" s="17">
        <v>5</v>
      </c>
      <c r="G114" s="18">
        <v>0.18</v>
      </c>
      <c r="H114">
        <f>F114*VLOOKUP(B114,產品!$A$2:$H$61,7,FALSE)*(1-銷售總表!G114)</f>
        <v>30750.000000000004</v>
      </c>
      <c r="I114" s="35">
        <f>H114-F114*VLOOKUP(銷售總表!B114,產品!$A$2:$H$61,8,FALSE)</f>
        <v>8250.0000000000036</v>
      </c>
      <c r="J114" s="20">
        <f t="shared" si="1"/>
        <v>0.26829268292682934</v>
      </c>
    </row>
    <row r="115" spans="1:10" x14ac:dyDescent="0.3">
      <c r="A115" s="33">
        <v>114</v>
      </c>
      <c r="B115" s="4">
        <v>57</v>
      </c>
      <c r="C115" s="15">
        <v>289</v>
      </c>
      <c r="D115" s="16">
        <v>3</v>
      </c>
      <c r="E115" s="22">
        <v>43862</v>
      </c>
      <c r="F115" s="17">
        <v>1</v>
      </c>
      <c r="G115" s="18">
        <v>0.05</v>
      </c>
      <c r="H115">
        <f>F115*VLOOKUP(B115,產品!$A$2:$H$61,7,FALSE)*(1-銷售總表!G115)</f>
        <v>17100</v>
      </c>
      <c r="I115" s="35">
        <f>H115-F115*VLOOKUP(銷售總表!B115,產品!$A$2:$H$61,8,FALSE)</f>
        <v>4500</v>
      </c>
      <c r="J115" s="20">
        <f t="shared" si="1"/>
        <v>0.26315789473684209</v>
      </c>
    </row>
    <row r="116" spans="1:10" x14ac:dyDescent="0.3">
      <c r="A116" s="33">
        <v>115</v>
      </c>
      <c r="B116" s="4">
        <v>14</v>
      </c>
      <c r="C116" s="15">
        <v>258</v>
      </c>
      <c r="D116" s="16">
        <v>4</v>
      </c>
      <c r="E116" s="22">
        <v>43863</v>
      </c>
      <c r="F116" s="19">
        <v>150</v>
      </c>
      <c r="G116" s="18">
        <v>0.16</v>
      </c>
      <c r="H116">
        <f>F116*VLOOKUP(B116,產品!$A$2:$H$61,7,FALSE)*(1-銷售總表!G116)</f>
        <v>226800</v>
      </c>
      <c r="I116" s="35">
        <f>H116-F116*VLOOKUP(銷售總表!B116,產品!$A$2:$H$61,8,FALSE)</f>
        <v>118800</v>
      </c>
      <c r="J116" s="20">
        <f t="shared" si="1"/>
        <v>0.52380952380952384</v>
      </c>
    </row>
    <row r="117" spans="1:10" x14ac:dyDescent="0.3">
      <c r="A117" s="33">
        <v>116</v>
      </c>
      <c r="B117" s="4">
        <v>43</v>
      </c>
      <c r="C117" s="15">
        <v>11</v>
      </c>
      <c r="D117" s="16">
        <v>4</v>
      </c>
      <c r="E117" s="22">
        <v>43863</v>
      </c>
      <c r="F117" s="17">
        <v>10</v>
      </c>
      <c r="G117" s="18">
        <v>0.09</v>
      </c>
      <c r="H117">
        <f>F117*VLOOKUP(B117,產品!$A$2:$H$61,7,FALSE)*(1-銷售總表!G117)</f>
        <v>163800</v>
      </c>
      <c r="I117" s="35">
        <f>H117-F117*VLOOKUP(銷售總表!B117,產品!$A$2:$H$61,8,FALSE)</f>
        <v>46800</v>
      </c>
      <c r="J117" s="20">
        <f t="shared" si="1"/>
        <v>0.2857142857142857</v>
      </c>
    </row>
    <row r="118" spans="1:10" x14ac:dyDescent="0.3">
      <c r="A118" s="33">
        <v>117</v>
      </c>
      <c r="B118" s="4">
        <v>8</v>
      </c>
      <c r="C118" s="15">
        <v>4</v>
      </c>
      <c r="D118" s="16">
        <v>4</v>
      </c>
      <c r="E118" s="22">
        <v>43863</v>
      </c>
      <c r="F118" s="17">
        <v>30</v>
      </c>
      <c r="G118" s="18">
        <v>0.11</v>
      </c>
      <c r="H118">
        <f>F118*VLOOKUP(B118,產品!$A$2:$H$61,7,FALSE)*(1-銷售總表!G118)</f>
        <v>26700</v>
      </c>
      <c r="I118" s="35">
        <f>H118-F118*VLOOKUP(銷售總表!B118,產品!$A$2:$H$61,8,FALSE)</f>
        <v>14700</v>
      </c>
      <c r="J118" s="20">
        <f t="shared" si="1"/>
        <v>0.550561797752809</v>
      </c>
    </row>
    <row r="119" spans="1:10" x14ac:dyDescent="0.3">
      <c r="A119" s="33">
        <v>118</v>
      </c>
      <c r="B119" s="4">
        <v>39</v>
      </c>
      <c r="C119" s="15">
        <v>291</v>
      </c>
      <c r="D119" s="16">
        <v>9</v>
      </c>
      <c r="E119" s="22">
        <v>43863</v>
      </c>
      <c r="F119" s="17">
        <v>2</v>
      </c>
      <c r="G119" s="18">
        <v>0.06</v>
      </c>
      <c r="H119">
        <f>F119*VLOOKUP(B119,產品!$A$2:$H$61,7,FALSE)*(1-銷售總表!G119)</f>
        <v>33840</v>
      </c>
      <c r="I119" s="35">
        <f>H119-F119*VLOOKUP(銷售總表!B119,產品!$A$2:$H$61,8,FALSE)</f>
        <v>10440</v>
      </c>
      <c r="J119" s="20">
        <f t="shared" si="1"/>
        <v>0.30851063829787234</v>
      </c>
    </row>
    <row r="120" spans="1:10" x14ac:dyDescent="0.3">
      <c r="A120" s="33">
        <v>119</v>
      </c>
      <c r="B120" s="4">
        <v>10</v>
      </c>
      <c r="C120" s="15">
        <v>272</v>
      </c>
      <c r="D120" s="16">
        <v>6</v>
      </c>
      <c r="E120" s="22">
        <v>43863</v>
      </c>
      <c r="F120" s="17">
        <v>20</v>
      </c>
      <c r="G120" s="18">
        <v>0.15</v>
      </c>
      <c r="H120">
        <f>F120*VLOOKUP(B120,產品!$A$2:$H$61,7,FALSE)*(1-銷售總表!G120)</f>
        <v>17000</v>
      </c>
      <c r="I120" s="35">
        <f>H120-F120*VLOOKUP(銷售總表!B120,產品!$A$2:$H$61,8,FALSE)</f>
        <v>9000</v>
      </c>
      <c r="J120" s="20">
        <f t="shared" si="1"/>
        <v>0.52941176470588236</v>
      </c>
    </row>
    <row r="121" spans="1:10" x14ac:dyDescent="0.3">
      <c r="A121" s="33">
        <v>120</v>
      </c>
      <c r="B121" s="4">
        <v>60</v>
      </c>
      <c r="C121" s="15">
        <v>122</v>
      </c>
      <c r="D121" s="16">
        <v>4</v>
      </c>
      <c r="E121" s="22">
        <v>43864</v>
      </c>
      <c r="F121" s="17">
        <v>10</v>
      </c>
      <c r="G121" s="18">
        <v>0.19</v>
      </c>
      <c r="H121">
        <f>F121*VLOOKUP(B121,產品!$A$2:$H$61,7,FALSE)*(1-銷售總表!G121)</f>
        <v>202500</v>
      </c>
      <c r="I121" s="35">
        <f>H121-F121*VLOOKUP(銷售總表!B121,產品!$A$2:$H$61,8,FALSE)</f>
        <v>27500</v>
      </c>
      <c r="J121" s="20">
        <f t="shared" si="1"/>
        <v>0.13580246913580246</v>
      </c>
    </row>
    <row r="122" spans="1:10" x14ac:dyDescent="0.3">
      <c r="A122" s="33">
        <v>121</v>
      </c>
      <c r="B122" s="4">
        <v>45</v>
      </c>
      <c r="C122" s="15">
        <v>124</v>
      </c>
      <c r="D122" s="16">
        <v>4</v>
      </c>
      <c r="E122" s="22">
        <v>43864</v>
      </c>
      <c r="F122" s="17">
        <v>7</v>
      </c>
      <c r="G122" s="18">
        <v>0.16</v>
      </c>
      <c r="H122">
        <f>F122*VLOOKUP(B122,產品!$A$2:$H$61,7,FALSE)*(1-銷售總表!G122)</f>
        <v>82320</v>
      </c>
      <c r="I122" s="35">
        <f>H122-F122*VLOOKUP(銷售總表!B122,產品!$A$2:$H$61,8,FALSE)</f>
        <v>18620</v>
      </c>
      <c r="J122" s="20">
        <f t="shared" si="1"/>
        <v>0.22619047619047619</v>
      </c>
    </row>
    <row r="123" spans="1:10" x14ac:dyDescent="0.3">
      <c r="A123" s="33">
        <v>122</v>
      </c>
      <c r="B123" s="4">
        <v>59</v>
      </c>
      <c r="C123" s="15">
        <v>7</v>
      </c>
      <c r="D123" s="16">
        <v>5</v>
      </c>
      <c r="E123" s="22">
        <v>43865</v>
      </c>
      <c r="F123" s="17">
        <v>10</v>
      </c>
      <c r="G123" s="18">
        <v>0.08</v>
      </c>
      <c r="H123">
        <f>F123*VLOOKUP(B123,產品!$A$2:$H$61,7,FALSE)*(1-銷售總表!G123)</f>
        <v>220800</v>
      </c>
      <c r="I123" s="35">
        <f>H123-F123*VLOOKUP(銷售總表!B123,產品!$A$2:$H$61,8,FALSE)</f>
        <v>52800</v>
      </c>
      <c r="J123" s="20">
        <f t="shared" si="1"/>
        <v>0.2391304347826087</v>
      </c>
    </row>
    <row r="124" spans="1:10" x14ac:dyDescent="0.3">
      <c r="A124" s="33">
        <v>123</v>
      </c>
      <c r="B124" s="4">
        <v>19</v>
      </c>
      <c r="C124" s="15">
        <v>283</v>
      </c>
      <c r="D124" s="16">
        <v>7</v>
      </c>
      <c r="E124" s="22">
        <v>43865</v>
      </c>
      <c r="F124" s="17">
        <v>50</v>
      </c>
      <c r="G124" s="18">
        <v>0.05</v>
      </c>
      <c r="H124">
        <f>F124*VLOOKUP(B124,產品!$A$2:$H$61,7,FALSE)*(1-銷售總表!G124)</f>
        <v>85500</v>
      </c>
      <c r="I124" s="35">
        <f>H124-F124*VLOOKUP(銷售總表!B124,產品!$A$2:$H$61,8,FALSE)</f>
        <v>49500</v>
      </c>
      <c r="J124" s="20">
        <f t="shared" si="1"/>
        <v>0.57894736842105265</v>
      </c>
    </row>
    <row r="125" spans="1:10" x14ac:dyDescent="0.3">
      <c r="A125" s="33">
        <v>124</v>
      </c>
      <c r="B125" s="4">
        <v>25</v>
      </c>
      <c r="C125" s="15">
        <v>3</v>
      </c>
      <c r="D125" s="16">
        <v>10</v>
      </c>
      <c r="E125" s="22">
        <v>43865</v>
      </c>
      <c r="F125" s="17">
        <v>3</v>
      </c>
      <c r="G125" s="18">
        <v>0.14000000000000001</v>
      </c>
      <c r="H125">
        <f>F125*VLOOKUP(B125,產品!$A$2:$H$61,7,FALSE)*(1-銷售總表!G125)</f>
        <v>15480</v>
      </c>
      <c r="I125" s="35">
        <f>H125-F125*VLOOKUP(銷售總表!B125,產品!$A$2:$H$61,8,FALSE)</f>
        <v>4680</v>
      </c>
      <c r="J125" s="20">
        <f t="shared" si="1"/>
        <v>0.30232558139534882</v>
      </c>
    </row>
    <row r="126" spans="1:10" x14ac:dyDescent="0.3">
      <c r="A126" s="33">
        <v>125</v>
      </c>
      <c r="B126" s="4">
        <v>7</v>
      </c>
      <c r="C126" s="15">
        <v>267</v>
      </c>
      <c r="D126" s="16">
        <v>7</v>
      </c>
      <c r="E126" s="22">
        <v>43866</v>
      </c>
      <c r="F126" s="17">
        <v>180</v>
      </c>
      <c r="G126" s="18">
        <v>0.13</v>
      </c>
      <c r="H126">
        <f>F126*VLOOKUP(B126,產品!$A$2:$H$61,7,FALSE)*(1-銷售總表!G126)</f>
        <v>156600</v>
      </c>
      <c r="I126" s="35">
        <f>H126-F126*VLOOKUP(銷售總表!B126,產品!$A$2:$H$61,8,FALSE)</f>
        <v>84600</v>
      </c>
      <c r="J126" s="20">
        <f t="shared" si="1"/>
        <v>0.54022988505747127</v>
      </c>
    </row>
    <row r="127" spans="1:10" x14ac:dyDescent="0.3">
      <c r="A127" s="33">
        <v>126</v>
      </c>
      <c r="B127" s="4">
        <v>4</v>
      </c>
      <c r="C127" s="15">
        <v>273</v>
      </c>
      <c r="D127" s="16">
        <v>8</v>
      </c>
      <c r="E127" s="22">
        <v>43866</v>
      </c>
      <c r="F127" s="17">
        <v>105</v>
      </c>
      <c r="G127" s="18">
        <v>0.18</v>
      </c>
      <c r="H127">
        <f>F127*VLOOKUP(B127,產品!$A$2:$H$61,7,FALSE)*(1-銷售總表!G127)</f>
        <v>86100</v>
      </c>
      <c r="I127" s="35">
        <f>H127-F127*VLOOKUP(銷售總表!B127,產品!$A$2:$H$61,8,FALSE)</f>
        <v>44100</v>
      </c>
      <c r="J127" s="20">
        <f t="shared" si="1"/>
        <v>0.51219512195121952</v>
      </c>
    </row>
    <row r="128" spans="1:10" x14ac:dyDescent="0.3">
      <c r="A128" s="33">
        <v>127</v>
      </c>
      <c r="B128" s="4">
        <v>28</v>
      </c>
      <c r="C128" s="15">
        <v>1</v>
      </c>
      <c r="D128" s="16">
        <v>6</v>
      </c>
      <c r="E128" s="22">
        <v>43866</v>
      </c>
      <c r="F128" s="17">
        <v>11</v>
      </c>
      <c r="G128" s="18">
        <v>0.05</v>
      </c>
      <c r="H128">
        <f>F128*VLOOKUP(B128,產品!$A$2:$H$61,7,FALSE)*(1-銷售總表!G128)</f>
        <v>78375</v>
      </c>
      <c r="I128" s="35">
        <f>H128-F128*VLOOKUP(銷售總表!B128,產品!$A$2:$H$61,8,FALSE)</f>
        <v>28875</v>
      </c>
      <c r="J128" s="20">
        <f t="shared" si="1"/>
        <v>0.36842105263157893</v>
      </c>
    </row>
    <row r="129" spans="1:10" x14ac:dyDescent="0.3">
      <c r="A129" s="33">
        <v>128</v>
      </c>
      <c r="B129" s="4">
        <v>18</v>
      </c>
      <c r="C129" s="15">
        <v>1</v>
      </c>
      <c r="D129" s="16">
        <v>2</v>
      </c>
      <c r="E129" s="22">
        <v>43867</v>
      </c>
      <c r="F129" s="17">
        <v>60</v>
      </c>
      <c r="G129" s="18">
        <v>0.06</v>
      </c>
      <c r="H129">
        <f>F129*VLOOKUP(B129,產品!$A$2:$H$61,7,FALSE)*(1-銷售總表!G129)</f>
        <v>101520</v>
      </c>
      <c r="I129" s="35">
        <f>H129-F129*VLOOKUP(銷售總表!B129,產品!$A$2:$H$61,8,FALSE)</f>
        <v>58320</v>
      </c>
      <c r="J129" s="20">
        <f t="shared" si="1"/>
        <v>0.57446808510638303</v>
      </c>
    </row>
    <row r="130" spans="1:10" x14ac:dyDescent="0.3">
      <c r="A130" s="33">
        <v>129</v>
      </c>
      <c r="B130" s="4">
        <v>44</v>
      </c>
      <c r="C130" s="15">
        <v>8</v>
      </c>
      <c r="D130" s="16">
        <v>10</v>
      </c>
      <c r="E130" s="22">
        <v>43867</v>
      </c>
      <c r="F130" s="17">
        <v>6</v>
      </c>
      <c r="G130" s="18">
        <v>0.11</v>
      </c>
      <c r="H130">
        <f>F130*VLOOKUP(B130,產品!$A$2:$H$61,7,FALSE)*(1-銷售總表!G130)</f>
        <v>106800</v>
      </c>
      <c r="I130" s="35">
        <f>H130-F130*VLOOKUP(銷售總表!B130,產品!$A$2:$H$61,8,FALSE)</f>
        <v>28800</v>
      </c>
      <c r="J130" s="20">
        <f t="shared" si="1"/>
        <v>0.2696629213483146</v>
      </c>
    </row>
    <row r="131" spans="1:10" x14ac:dyDescent="0.3">
      <c r="A131" s="33">
        <v>130</v>
      </c>
      <c r="B131" s="4">
        <v>23</v>
      </c>
      <c r="C131" s="15">
        <v>5</v>
      </c>
      <c r="D131" s="16">
        <v>3</v>
      </c>
      <c r="E131" s="22">
        <v>43867</v>
      </c>
      <c r="F131" s="17">
        <v>15</v>
      </c>
      <c r="G131" s="18">
        <v>0.09</v>
      </c>
      <c r="H131">
        <f>F131*VLOOKUP(B131,產品!$A$2:$H$61,7,FALSE)*(1-銷售總表!G131)</f>
        <v>24570</v>
      </c>
      <c r="I131" s="35">
        <f>H131-F131*VLOOKUP(銷售總表!B131,產品!$A$2:$H$61,8,FALSE)</f>
        <v>13770</v>
      </c>
      <c r="J131" s="20">
        <f t="shared" ref="J131:J194" si="2">I131/H131</f>
        <v>0.56043956043956045</v>
      </c>
    </row>
    <row r="132" spans="1:10" x14ac:dyDescent="0.3">
      <c r="A132" s="33">
        <v>131</v>
      </c>
      <c r="B132" s="4">
        <v>25</v>
      </c>
      <c r="C132" s="15">
        <v>10</v>
      </c>
      <c r="D132" s="16">
        <v>1</v>
      </c>
      <c r="E132" s="22">
        <v>43868</v>
      </c>
      <c r="F132" s="17">
        <v>13</v>
      </c>
      <c r="G132" s="18">
        <v>0.08</v>
      </c>
      <c r="H132">
        <f>F132*VLOOKUP(B132,產品!$A$2:$H$61,7,FALSE)*(1-銷售總表!G132)</f>
        <v>71760</v>
      </c>
      <c r="I132" s="35">
        <f>H132-F132*VLOOKUP(銷售總表!B132,產品!$A$2:$H$61,8,FALSE)</f>
        <v>24960</v>
      </c>
      <c r="J132" s="20">
        <f t="shared" si="2"/>
        <v>0.34782608695652173</v>
      </c>
    </row>
    <row r="133" spans="1:10" x14ac:dyDescent="0.3">
      <c r="A133" s="33">
        <v>132</v>
      </c>
      <c r="B133" s="4">
        <v>37</v>
      </c>
      <c r="C133" s="15">
        <v>4</v>
      </c>
      <c r="D133" s="16">
        <v>7</v>
      </c>
      <c r="E133" s="22">
        <v>43868</v>
      </c>
      <c r="F133" s="17">
        <v>6</v>
      </c>
      <c r="G133" s="18">
        <v>0.08</v>
      </c>
      <c r="H133">
        <f>F133*VLOOKUP(B133,產品!$A$2:$H$61,7,FALSE)*(1-銷售總表!G133)</f>
        <v>66240</v>
      </c>
      <c r="I133" s="35">
        <f>H133-F133*VLOOKUP(銷售總表!B133,產品!$A$2:$H$61,8,FALSE)</f>
        <v>19440</v>
      </c>
      <c r="J133" s="20">
        <f t="shared" si="2"/>
        <v>0.29347826086956524</v>
      </c>
    </row>
    <row r="134" spans="1:10" x14ac:dyDescent="0.3">
      <c r="A134" s="33">
        <v>133</v>
      </c>
      <c r="B134" s="4">
        <v>46</v>
      </c>
      <c r="C134" s="15">
        <v>287</v>
      </c>
      <c r="D134" s="16">
        <v>5</v>
      </c>
      <c r="E134" s="22">
        <v>43868</v>
      </c>
      <c r="F134" s="17">
        <v>5</v>
      </c>
      <c r="G134" s="18">
        <v>0.17</v>
      </c>
      <c r="H134">
        <f>F134*VLOOKUP(B134,產品!$A$2:$H$61,7,FALSE)*(1-銷售總表!G134)</f>
        <v>70550</v>
      </c>
      <c r="I134" s="35">
        <f>H134-F134*VLOOKUP(銷售總表!B134,產品!$A$2:$H$61,8,FALSE)</f>
        <v>15300</v>
      </c>
      <c r="J134" s="20">
        <f t="shared" si="2"/>
        <v>0.21686746987951808</v>
      </c>
    </row>
    <row r="135" spans="1:10" x14ac:dyDescent="0.3">
      <c r="A135" s="33">
        <v>134</v>
      </c>
      <c r="B135" s="4">
        <v>36</v>
      </c>
      <c r="C135" s="15">
        <v>288</v>
      </c>
      <c r="D135" s="16">
        <v>10</v>
      </c>
      <c r="E135" s="22">
        <v>43868</v>
      </c>
      <c r="F135" s="17">
        <v>6</v>
      </c>
      <c r="G135" s="18">
        <v>0.2</v>
      </c>
      <c r="H135">
        <f>F135*VLOOKUP(B135,產品!$A$2:$H$61,7,FALSE)*(1-銷售總表!G135)</f>
        <v>43200</v>
      </c>
      <c r="I135" s="35">
        <f>H135-F135*VLOOKUP(銷售總表!B135,產品!$A$2:$H$61,8,FALSE)</f>
        <v>10800</v>
      </c>
      <c r="J135" s="20">
        <f t="shared" si="2"/>
        <v>0.25</v>
      </c>
    </row>
    <row r="136" spans="1:10" x14ac:dyDescent="0.3">
      <c r="A136" s="33">
        <v>135</v>
      </c>
      <c r="B136" s="4">
        <v>52</v>
      </c>
      <c r="C136" s="15">
        <v>2</v>
      </c>
      <c r="D136" s="16">
        <v>10</v>
      </c>
      <c r="E136" s="22">
        <v>43869</v>
      </c>
      <c r="F136" s="17">
        <v>15</v>
      </c>
      <c r="G136" s="18">
        <v>0.18</v>
      </c>
      <c r="H136">
        <f>F136*VLOOKUP(B136,產品!$A$2:$H$61,7,FALSE)*(1-銷售總表!G136)</f>
        <v>270600</v>
      </c>
      <c r="I136" s="35">
        <f>H136-F136*VLOOKUP(銷售總表!B136,產品!$A$2:$H$61,8,FALSE)</f>
        <v>39600.000000000029</v>
      </c>
      <c r="J136" s="20">
        <f t="shared" si="2"/>
        <v>0.14634146341463425</v>
      </c>
    </row>
    <row r="137" spans="1:10" x14ac:dyDescent="0.3">
      <c r="A137" s="33">
        <v>136</v>
      </c>
      <c r="B137" s="4">
        <v>13</v>
      </c>
      <c r="C137" s="15">
        <v>10</v>
      </c>
      <c r="D137" s="16">
        <v>10</v>
      </c>
      <c r="E137" s="22">
        <v>43869</v>
      </c>
      <c r="F137" s="17">
        <v>20</v>
      </c>
      <c r="G137" s="18">
        <v>0.08</v>
      </c>
      <c r="H137">
        <f>F137*VLOOKUP(B137,產品!$A$2:$H$61,7,FALSE)*(1-銷售總表!G137)</f>
        <v>33120</v>
      </c>
      <c r="I137" s="35">
        <f>H137-F137*VLOOKUP(銷售總表!B137,產品!$A$2:$H$61,8,FALSE)</f>
        <v>18720</v>
      </c>
      <c r="J137" s="20">
        <f t="shared" si="2"/>
        <v>0.56521739130434778</v>
      </c>
    </row>
    <row r="138" spans="1:10" x14ac:dyDescent="0.3">
      <c r="A138" s="33">
        <v>137</v>
      </c>
      <c r="B138" s="4">
        <v>57</v>
      </c>
      <c r="C138" s="15">
        <v>2</v>
      </c>
      <c r="D138" s="16">
        <v>5</v>
      </c>
      <c r="E138" s="22">
        <v>43869</v>
      </c>
      <c r="F138" s="17">
        <v>3</v>
      </c>
      <c r="G138" s="18">
        <v>0.13</v>
      </c>
      <c r="H138">
        <f>F138*VLOOKUP(B138,產品!$A$2:$H$61,7,FALSE)*(1-銷售總表!G138)</f>
        <v>46980</v>
      </c>
      <c r="I138" s="35">
        <f>H138-F138*VLOOKUP(銷售總表!B138,產品!$A$2:$H$61,8,FALSE)</f>
        <v>9180</v>
      </c>
      <c r="J138" s="20">
        <f t="shared" si="2"/>
        <v>0.19540229885057472</v>
      </c>
    </row>
    <row r="139" spans="1:10" x14ac:dyDescent="0.3">
      <c r="A139" s="33">
        <v>138</v>
      </c>
      <c r="B139" s="4">
        <v>33</v>
      </c>
      <c r="C139" s="15">
        <v>134</v>
      </c>
      <c r="D139" s="16">
        <v>3</v>
      </c>
      <c r="E139" s="22">
        <v>43869</v>
      </c>
      <c r="F139" s="17">
        <v>2</v>
      </c>
      <c r="G139" s="18">
        <v>0.05</v>
      </c>
      <c r="H139">
        <f>F139*VLOOKUP(B139,產品!$A$2:$H$61,7,FALSE)*(1-銷售總表!G139)</f>
        <v>14250</v>
      </c>
      <c r="I139" s="35">
        <f>H139-F139*VLOOKUP(銷售總表!B139,產品!$A$2:$H$61,8,FALSE)</f>
        <v>5250</v>
      </c>
      <c r="J139" s="20">
        <f t="shared" si="2"/>
        <v>0.36842105263157893</v>
      </c>
    </row>
    <row r="140" spans="1:10" x14ac:dyDescent="0.3">
      <c r="A140" s="33">
        <v>139</v>
      </c>
      <c r="B140" s="4">
        <v>19</v>
      </c>
      <c r="C140" s="15">
        <v>120</v>
      </c>
      <c r="D140" s="16">
        <v>6</v>
      </c>
      <c r="E140" s="22">
        <v>43870</v>
      </c>
      <c r="F140" s="17">
        <v>90</v>
      </c>
      <c r="G140" s="18">
        <v>0.08</v>
      </c>
      <c r="H140">
        <f>F140*VLOOKUP(B140,產品!$A$2:$H$61,7,FALSE)*(1-銷售總表!G140)</f>
        <v>149040</v>
      </c>
      <c r="I140" s="35">
        <f>H140-F140*VLOOKUP(銷售總表!B140,產品!$A$2:$H$61,8,FALSE)</f>
        <v>84240</v>
      </c>
      <c r="J140" s="20">
        <f t="shared" si="2"/>
        <v>0.56521739130434778</v>
      </c>
    </row>
    <row r="141" spans="1:10" x14ac:dyDescent="0.3">
      <c r="A141" s="33">
        <v>140</v>
      </c>
      <c r="B141" s="4">
        <v>48</v>
      </c>
      <c r="C141" s="15">
        <v>263</v>
      </c>
      <c r="D141" s="16">
        <v>10</v>
      </c>
      <c r="E141" s="22">
        <v>43870</v>
      </c>
      <c r="F141" s="17">
        <v>3</v>
      </c>
      <c r="G141" s="18">
        <v>0.14000000000000001</v>
      </c>
      <c r="H141">
        <f>F141*VLOOKUP(B141,產品!$A$2:$H$61,7,FALSE)*(1-銷售總表!G141)</f>
        <v>56760</v>
      </c>
      <c r="I141" s="35">
        <f>H141-F141*VLOOKUP(銷售總表!B141,產品!$A$2:$H$61,8,FALSE)</f>
        <v>13860</v>
      </c>
      <c r="J141" s="20">
        <f t="shared" si="2"/>
        <v>0.2441860465116279</v>
      </c>
    </row>
    <row r="142" spans="1:10" x14ac:dyDescent="0.3">
      <c r="A142" s="33">
        <v>141</v>
      </c>
      <c r="B142" s="4">
        <v>14</v>
      </c>
      <c r="C142" s="15">
        <v>119</v>
      </c>
      <c r="D142" s="16">
        <v>7</v>
      </c>
      <c r="E142" s="22">
        <v>43870</v>
      </c>
      <c r="F142" s="17">
        <v>15</v>
      </c>
      <c r="G142" s="18">
        <v>0.09</v>
      </c>
      <c r="H142">
        <f>F142*VLOOKUP(B142,產品!$A$2:$H$61,7,FALSE)*(1-銷售總表!G142)</f>
        <v>24570</v>
      </c>
      <c r="I142" s="35">
        <f>H142-F142*VLOOKUP(銷售總表!B142,產品!$A$2:$H$61,8,FALSE)</f>
        <v>13770</v>
      </c>
      <c r="J142" s="20">
        <f t="shared" si="2"/>
        <v>0.56043956043956045</v>
      </c>
    </row>
    <row r="143" spans="1:10" x14ac:dyDescent="0.3">
      <c r="A143" s="33">
        <v>142</v>
      </c>
      <c r="B143" s="4">
        <v>44</v>
      </c>
      <c r="C143" s="15">
        <v>258</v>
      </c>
      <c r="D143" s="16">
        <v>1</v>
      </c>
      <c r="E143" s="22">
        <v>43871</v>
      </c>
      <c r="F143" s="17">
        <v>13</v>
      </c>
      <c r="G143" s="18">
        <v>0.18</v>
      </c>
      <c r="H143">
        <f>F143*VLOOKUP(B143,產品!$A$2:$H$61,7,FALSE)*(1-銷售總表!G143)</f>
        <v>213200.00000000003</v>
      </c>
      <c r="I143" s="35">
        <f>H143-F143*VLOOKUP(銷售總表!B143,產品!$A$2:$H$61,8,FALSE)</f>
        <v>44200.000000000029</v>
      </c>
      <c r="J143" s="20">
        <f t="shared" si="2"/>
        <v>0.20731707317073181</v>
      </c>
    </row>
    <row r="144" spans="1:10" x14ac:dyDescent="0.3">
      <c r="A144" s="33">
        <v>143</v>
      </c>
      <c r="B144" s="4">
        <v>9</v>
      </c>
      <c r="C144" s="15">
        <v>4</v>
      </c>
      <c r="D144" s="16">
        <v>5</v>
      </c>
      <c r="E144" s="22">
        <v>43871</v>
      </c>
      <c r="F144" s="19">
        <v>30</v>
      </c>
      <c r="G144" s="18">
        <v>0.11</v>
      </c>
      <c r="H144">
        <f>F144*VLOOKUP(B144,產品!$A$2:$H$61,7,FALSE)*(1-銷售總表!G144)</f>
        <v>26700</v>
      </c>
      <c r="I144" s="35">
        <f>H144-F144*VLOOKUP(銷售總表!B144,產品!$A$2:$H$61,8,FALSE)</f>
        <v>14700</v>
      </c>
      <c r="J144" s="20">
        <f t="shared" si="2"/>
        <v>0.550561797752809</v>
      </c>
    </row>
    <row r="145" spans="1:10" x14ac:dyDescent="0.3">
      <c r="A145" s="33">
        <v>144</v>
      </c>
      <c r="B145" s="4">
        <v>7</v>
      </c>
      <c r="C145" s="15">
        <v>291</v>
      </c>
      <c r="D145" s="16">
        <v>4</v>
      </c>
      <c r="E145" s="22">
        <v>43872</v>
      </c>
      <c r="F145" s="17">
        <v>200</v>
      </c>
      <c r="G145" s="18">
        <v>0.16</v>
      </c>
      <c r="H145">
        <f>F145*VLOOKUP(B145,產品!$A$2:$H$61,7,FALSE)*(1-銷售總表!G145)</f>
        <v>168000</v>
      </c>
      <c r="I145" s="35">
        <f>H145-F145*VLOOKUP(銷售總表!B145,產品!$A$2:$H$61,8,FALSE)</f>
        <v>88000</v>
      </c>
      <c r="J145" s="20">
        <f t="shared" si="2"/>
        <v>0.52380952380952384</v>
      </c>
    </row>
    <row r="146" spans="1:10" x14ac:dyDescent="0.3">
      <c r="A146" s="33">
        <v>145</v>
      </c>
      <c r="B146" s="4">
        <v>30</v>
      </c>
      <c r="C146" s="15">
        <v>11</v>
      </c>
      <c r="D146" s="16">
        <v>3</v>
      </c>
      <c r="E146" s="22">
        <v>43872</v>
      </c>
      <c r="F146" s="17">
        <v>20</v>
      </c>
      <c r="G146" s="18">
        <v>0.17</v>
      </c>
      <c r="H146">
        <f>F146*VLOOKUP(B146,產品!$A$2:$H$61,7,FALSE)*(1-銷售總表!G146)</f>
        <v>107900</v>
      </c>
      <c r="I146" s="35">
        <f>H146-F146*VLOOKUP(銷售總表!B146,產品!$A$2:$H$61,8,FALSE)</f>
        <v>29900</v>
      </c>
      <c r="J146" s="20">
        <f t="shared" si="2"/>
        <v>0.27710843373493976</v>
      </c>
    </row>
    <row r="147" spans="1:10" x14ac:dyDescent="0.3">
      <c r="A147" s="33">
        <v>146</v>
      </c>
      <c r="B147" s="4">
        <v>52</v>
      </c>
      <c r="C147" s="15">
        <v>121</v>
      </c>
      <c r="D147" s="16">
        <v>1</v>
      </c>
      <c r="E147" s="22">
        <v>43872</v>
      </c>
      <c r="F147" s="19">
        <v>5</v>
      </c>
      <c r="G147" s="18">
        <v>0.08</v>
      </c>
      <c r="H147">
        <f>F147*VLOOKUP(B147,產品!$A$2:$H$61,7,FALSE)*(1-銷售總表!G147)</f>
        <v>101200</v>
      </c>
      <c r="I147" s="35">
        <f>H147-F147*VLOOKUP(銷售總表!B147,產品!$A$2:$H$61,8,FALSE)</f>
        <v>24200.000000000015</v>
      </c>
      <c r="J147" s="20">
        <f t="shared" si="2"/>
        <v>0.23913043478260884</v>
      </c>
    </row>
    <row r="148" spans="1:10" x14ac:dyDescent="0.3">
      <c r="A148" s="33">
        <v>147</v>
      </c>
      <c r="B148" s="4">
        <v>41</v>
      </c>
      <c r="C148" s="15">
        <v>282</v>
      </c>
      <c r="D148" s="16">
        <v>6</v>
      </c>
      <c r="E148" s="22">
        <v>43872</v>
      </c>
      <c r="F148" s="17">
        <v>4</v>
      </c>
      <c r="G148" s="18">
        <v>0.17</v>
      </c>
      <c r="H148">
        <f>F148*VLOOKUP(B148,產品!$A$2:$H$61,7,FALSE)*(1-銷售總表!G148)</f>
        <v>39840</v>
      </c>
      <c r="I148" s="35">
        <f>H148-F148*VLOOKUP(銷售總表!B148,產品!$A$2:$H$61,8,FALSE)</f>
        <v>8640</v>
      </c>
      <c r="J148" s="20">
        <f t="shared" si="2"/>
        <v>0.21686746987951808</v>
      </c>
    </row>
    <row r="149" spans="1:10" x14ac:dyDescent="0.3">
      <c r="A149" s="33">
        <v>148</v>
      </c>
      <c r="B149" s="4">
        <v>46</v>
      </c>
      <c r="C149" s="15">
        <v>294</v>
      </c>
      <c r="D149" s="16">
        <v>1</v>
      </c>
      <c r="E149" s="22">
        <v>43872</v>
      </c>
      <c r="F149" s="17">
        <v>2</v>
      </c>
      <c r="G149" s="18">
        <v>0.1</v>
      </c>
      <c r="H149">
        <f>F149*VLOOKUP(B149,產品!$A$2:$H$61,7,FALSE)*(1-銷售總表!G149)</f>
        <v>30600</v>
      </c>
      <c r="I149" s="35">
        <f>H149-F149*VLOOKUP(銷售總表!B149,產品!$A$2:$H$61,8,FALSE)</f>
        <v>8500</v>
      </c>
      <c r="J149" s="20">
        <f t="shared" si="2"/>
        <v>0.27777777777777779</v>
      </c>
    </row>
    <row r="150" spans="1:10" x14ac:dyDescent="0.3">
      <c r="A150" s="33">
        <v>149</v>
      </c>
      <c r="B150" s="4">
        <v>54</v>
      </c>
      <c r="C150" s="15">
        <v>257</v>
      </c>
      <c r="D150" s="16">
        <v>7</v>
      </c>
      <c r="E150" s="22">
        <v>43873</v>
      </c>
      <c r="F150" s="17">
        <v>15</v>
      </c>
      <c r="G150" s="18">
        <v>7.0000000000000007E-2</v>
      </c>
      <c r="H150">
        <f>F150*VLOOKUP(B150,產品!$A$2:$H$61,7,FALSE)*(1-銷售總表!G150)</f>
        <v>251099.99999999997</v>
      </c>
      <c r="I150" s="35">
        <f>H150-F150*VLOOKUP(銷售總表!B150,產品!$A$2:$H$61,8,FALSE)</f>
        <v>62099.999999999971</v>
      </c>
      <c r="J150" s="20">
        <f t="shared" si="2"/>
        <v>0.24731182795698917</v>
      </c>
    </row>
    <row r="151" spans="1:10" x14ac:dyDescent="0.3">
      <c r="A151" s="33">
        <v>150</v>
      </c>
      <c r="B151" s="4">
        <v>35</v>
      </c>
      <c r="C151" s="15">
        <v>140</v>
      </c>
      <c r="D151" s="16">
        <v>9</v>
      </c>
      <c r="E151" s="22">
        <v>43873</v>
      </c>
      <c r="F151" s="17">
        <v>8</v>
      </c>
      <c r="G151" s="18">
        <v>0.16</v>
      </c>
      <c r="H151">
        <f>F151*VLOOKUP(B151,產品!$A$2:$H$61,7,FALSE)*(1-銷售總表!G151)</f>
        <v>57120</v>
      </c>
      <c r="I151" s="35">
        <f>H151-F151*VLOOKUP(銷售總表!B151,產品!$A$2:$H$61,8,FALSE)</f>
        <v>16320</v>
      </c>
      <c r="J151" s="20">
        <f t="shared" si="2"/>
        <v>0.2857142857142857</v>
      </c>
    </row>
    <row r="152" spans="1:10" x14ac:dyDescent="0.3">
      <c r="A152" s="33">
        <v>151</v>
      </c>
      <c r="B152" s="4">
        <v>4</v>
      </c>
      <c r="C152" s="15">
        <v>6</v>
      </c>
      <c r="D152" s="16">
        <v>4</v>
      </c>
      <c r="E152" s="22">
        <v>43873</v>
      </c>
      <c r="F152" s="17">
        <v>20</v>
      </c>
      <c r="G152" s="18">
        <v>0.13</v>
      </c>
      <c r="H152">
        <f>F152*VLOOKUP(B152,產品!$A$2:$H$61,7,FALSE)*(1-銷售總表!G152)</f>
        <v>17400</v>
      </c>
      <c r="I152" s="35">
        <f>H152-F152*VLOOKUP(銷售總表!B152,產品!$A$2:$H$61,8,FALSE)</f>
        <v>9400</v>
      </c>
      <c r="J152" s="20">
        <f t="shared" si="2"/>
        <v>0.54022988505747127</v>
      </c>
    </row>
    <row r="153" spans="1:10" x14ac:dyDescent="0.3">
      <c r="A153" s="33">
        <v>152</v>
      </c>
      <c r="B153" s="4">
        <v>57</v>
      </c>
      <c r="C153" s="15">
        <v>270</v>
      </c>
      <c r="D153" s="16">
        <v>10</v>
      </c>
      <c r="E153" s="22">
        <v>43873</v>
      </c>
      <c r="F153" s="17">
        <v>3</v>
      </c>
      <c r="G153" s="18">
        <v>0.14000000000000001</v>
      </c>
      <c r="H153">
        <f>F153*VLOOKUP(B153,產品!$A$2:$H$61,7,FALSE)*(1-銷售總表!G153)</f>
        <v>46440</v>
      </c>
      <c r="I153" s="35">
        <f>H153-F153*VLOOKUP(銷售總表!B153,產品!$A$2:$H$61,8,FALSE)</f>
        <v>8640</v>
      </c>
      <c r="J153" s="20">
        <f t="shared" si="2"/>
        <v>0.18604651162790697</v>
      </c>
    </row>
    <row r="154" spans="1:10" x14ac:dyDescent="0.3">
      <c r="A154" s="33">
        <v>153</v>
      </c>
      <c r="B154" s="4">
        <v>12</v>
      </c>
      <c r="C154" s="15">
        <v>268</v>
      </c>
      <c r="D154" s="16">
        <v>6</v>
      </c>
      <c r="E154" s="22">
        <v>43873</v>
      </c>
      <c r="F154" s="17">
        <v>10</v>
      </c>
      <c r="G154" s="18">
        <v>0.18</v>
      </c>
      <c r="H154">
        <f>F154*VLOOKUP(B154,產品!$A$2:$H$61,7,FALSE)*(1-銷售總表!G154)</f>
        <v>8200</v>
      </c>
      <c r="I154" s="35">
        <f>H154-F154*VLOOKUP(銷售總表!B154,產品!$A$2:$H$61,8,FALSE)</f>
        <v>4200</v>
      </c>
      <c r="J154" s="20">
        <f t="shared" si="2"/>
        <v>0.51219512195121952</v>
      </c>
    </row>
    <row r="155" spans="1:10" x14ac:dyDescent="0.3">
      <c r="A155" s="33">
        <v>154</v>
      </c>
      <c r="B155" s="4">
        <v>11</v>
      </c>
      <c r="C155" s="15">
        <v>10</v>
      </c>
      <c r="D155" s="16">
        <v>9</v>
      </c>
      <c r="E155" s="22">
        <v>43874</v>
      </c>
      <c r="F155" s="17">
        <v>250</v>
      </c>
      <c r="G155" s="18">
        <v>0.14000000000000001</v>
      </c>
      <c r="H155">
        <f>F155*VLOOKUP(B155,產品!$A$2:$H$61,7,FALSE)*(1-銷售總表!G155)</f>
        <v>215000</v>
      </c>
      <c r="I155" s="35">
        <f>H155-F155*VLOOKUP(銷售總表!B155,產品!$A$2:$H$61,8,FALSE)</f>
        <v>115000</v>
      </c>
      <c r="J155" s="20">
        <f t="shared" si="2"/>
        <v>0.53488372093023251</v>
      </c>
    </row>
    <row r="156" spans="1:10" x14ac:dyDescent="0.3">
      <c r="A156" s="33">
        <v>155</v>
      </c>
      <c r="B156" s="4">
        <v>22</v>
      </c>
      <c r="C156" s="15">
        <v>115</v>
      </c>
      <c r="D156" s="16">
        <v>8</v>
      </c>
      <c r="E156" s="22">
        <v>43874</v>
      </c>
      <c r="F156" s="17">
        <v>10</v>
      </c>
      <c r="G156" s="18">
        <v>7.0000000000000007E-2</v>
      </c>
      <c r="H156">
        <f>F156*VLOOKUP(B156,產品!$A$2:$H$61,7,FALSE)*(1-銷售總表!G156)</f>
        <v>16740</v>
      </c>
      <c r="I156" s="35">
        <f>H156-F156*VLOOKUP(銷售總表!B156,產品!$A$2:$H$61,8,FALSE)</f>
        <v>9540</v>
      </c>
      <c r="J156" s="20">
        <f t="shared" si="2"/>
        <v>0.56989247311827962</v>
      </c>
    </row>
    <row r="157" spans="1:10" x14ac:dyDescent="0.3">
      <c r="A157" s="33">
        <v>156</v>
      </c>
      <c r="B157" s="4">
        <v>1</v>
      </c>
      <c r="C157" s="15">
        <v>258</v>
      </c>
      <c r="D157" s="16">
        <v>6</v>
      </c>
      <c r="E157" s="22">
        <v>43875</v>
      </c>
      <c r="F157" s="17">
        <v>250</v>
      </c>
      <c r="G157" s="18">
        <v>0.18</v>
      </c>
      <c r="H157">
        <f>F157*VLOOKUP(B157,產品!$A$2:$H$61,7,FALSE)*(1-銷售總表!G157)</f>
        <v>205000.00000000003</v>
      </c>
      <c r="I157" s="35">
        <f>H157-F157*VLOOKUP(銷售總表!B157,產品!$A$2:$H$61,8,FALSE)</f>
        <v>105000.00000000003</v>
      </c>
      <c r="J157" s="20">
        <f t="shared" si="2"/>
        <v>0.51219512195121963</v>
      </c>
    </row>
    <row r="158" spans="1:10" x14ac:dyDescent="0.3">
      <c r="A158" s="33">
        <v>157</v>
      </c>
      <c r="B158" s="4">
        <v>54</v>
      </c>
      <c r="C158" s="15">
        <v>116</v>
      </c>
      <c r="D158" s="16">
        <v>10</v>
      </c>
      <c r="E158" s="22">
        <v>43875</v>
      </c>
      <c r="F158" s="17">
        <v>15</v>
      </c>
      <c r="G158" s="18">
        <v>0.09</v>
      </c>
      <c r="H158">
        <f>F158*VLOOKUP(B158,產品!$A$2:$H$61,7,FALSE)*(1-銷售總表!G158)</f>
        <v>245700</v>
      </c>
      <c r="I158" s="35">
        <f>H158-F158*VLOOKUP(銷售總表!B158,產品!$A$2:$H$61,8,FALSE)</f>
        <v>56700</v>
      </c>
      <c r="J158" s="20">
        <f t="shared" si="2"/>
        <v>0.23076923076923078</v>
      </c>
    </row>
    <row r="159" spans="1:10" x14ac:dyDescent="0.3">
      <c r="A159" s="33">
        <v>158</v>
      </c>
      <c r="B159" s="4">
        <v>30</v>
      </c>
      <c r="C159" s="15">
        <v>257</v>
      </c>
      <c r="D159" s="16">
        <v>9</v>
      </c>
      <c r="E159" s="22">
        <v>43875</v>
      </c>
      <c r="F159" s="19">
        <v>20</v>
      </c>
      <c r="G159" s="18">
        <v>0.17</v>
      </c>
      <c r="H159">
        <f>F159*VLOOKUP(B159,產品!$A$2:$H$61,7,FALSE)*(1-銷售總表!G159)</f>
        <v>107900</v>
      </c>
      <c r="I159" s="35">
        <f>H159-F159*VLOOKUP(銷售總表!B159,產品!$A$2:$H$61,8,FALSE)</f>
        <v>29900</v>
      </c>
      <c r="J159" s="20">
        <f t="shared" si="2"/>
        <v>0.27710843373493976</v>
      </c>
    </row>
    <row r="160" spans="1:10" x14ac:dyDescent="0.3">
      <c r="A160" s="33">
        <v>159</v>
      </c>
      <c r="B160" s="4">
        <v>27</v>
      </c>
      <c r="C160" s="15">
        <v>4</v>
      </c>
      <c r="D160" s="16">
        <v>6</v>
      </c>
      <c r="E160" s="22">
        <v>43875</v>
      </c>
      <c r="F160" s="17">
        <v>9</v>
      </c>
      <c r="G160" s="18">
        <v>0.14000000000000001</v>
      </c>
      <c r="H160">
        <f>F160*VLOOKUP(B160,產品!$A$2:$H$61,7,FALSE)*(1-銷售總表!G160)</f>
        <v>54180</v>
      </c>
      <c r="I160" s="35">
        <f>H160-F160*VLOOKUP(銷售總表!B160,產品!$A$2:$H$61,8,FALSE)</f>
        <v>16380</v>
      </c>
      <c r="J160" s="20">
        <f t="shared" si="2"/>
        <v>0.30232558139534882</v>
      </c>
    </row>
    <row r="161" spans="1:10" x14ac:dyDescent="0.3">
      <c r="A161" s="33">
        <v>160</v>
      </c>
      <c r="B161" s="4">
        <v>45</v>
      </c>
      <c r="C161" s="15">
        <v>126</v>
      </c>
      <c r="D161" s="16">
        <v>3</v>
      </c>
      <c r="E161" s="22">
        <v>43875</v>
      </c>
      <c r="F161" s="17">
        <v>1</v>
      </c>
      <c r="G161" s="18">
        <v>0.14000000000000001</v>
      </c>
      <c r="H161">
        <f>F161*VLOOKUP(B161,產品!$A$2:$H$61,7,FALSE)*(1-銷售總表!G161)</f>
        <v>12040</v>
      </c>
      <c r="I161" s="35">
        <f>H161-F161*VLOOKUP(銷售總表!B161,產品!$A$2:$H$61,8,FALSE)</f>
        <v>2940</v>
      </c>
      <c r="J161" s="20">
        <f t="shared" si="2"/>
        <v>0.2441860465116279</v>
      </c>
    </row>
    <row r="162" spans="1:10" x14ac:dyDescent="0.3">
      <c r="A162" s="33">
        <v>161</v>
      </c>
      <c r="B162" s="4">
        <v>56</v>
      </c>
      <c r="C162" s="15">
        <v>276</v>
      </c>
      <c r="D162" s="16">
        <v>8</v>
      </c>
      <c r="E162" s="22">
        <v>43875</v>
      </c>
      <c r="F162" s="17">
        <v>1</v>
      </c>
      <c r="G162" s="18">
        <v>0.2</v>
      </c>
      <c r="H162">
        <f>F162*VLOOKUP(B162,產品!$A$2:$H$61,7,FALSE)*(1-銷售總表!G162)</f>
        <v>17600</v>
      </c>
      <c r="I162" s="35">
        <f>H162-F162*VLOOKUP(銷售總表!B162,產品!$A$2:$H$61,8,FALSE)</f>
        <v>2200.0000000000018</v>
      </c>
      <c r="J162" s="20">
        <f t="shared" si="2"/>
        <v>0.12500000000000011</v>
      </c>
    </row>
    <row r="163" spans="1:10" x14ac:dyDescent="0.3">
      <c r="A163" s="33">
        <v>162</v>
      </c>
      <c r="B163" s="4">
        <v>23</v>
      </c>
      <c r="C163" s="15">
        <v>3</v>
      </c>
      <c r="D163" s="16">
        <v>4</v>
      </c>
      <c r="E163" s="22">
        <v>43876</v>
      </c>
      <c r="F163" s="17">
        <v>100</v>
      </c>
      <c r="G163" s="18">
        <v>0.12</v>
      </c>
      <c r="H163">
        <f>F163*VLOOKUP(B163,產品!$A$2:$H$61,7,FALSE)*(1-銷售總表!G163)</f>
        <v>158400</v>
      </c>
      <c r="I163" s="35">
        <f>H163-F163*VLOOKUP(銷售總表!B163,產品!$A$2:$H$61,8,FALSE)</f>
        <v>86400</v>
      </c>
      <c r="J163" s="20">
        <f t="shared" si="2"/>
        <v>0.54545454545454541</v>
      </c>
    </row>
    <row r="164" spans="1:10" x14ac:dyDescent="0.3">
      <c r="A164" s="33">
        <v>163</v>
      </c>
      <c r="B164" s="4">
        <v>7</v>
      </c>
      <c r="C164" s="15">
        <v>5</v>
      </c>
      <c r="D164" s="16">
        <v>3</v>
      </c>
      <c r="E164" s="22">
        <v>43876</v>
      </c>
      <c r="F164" s="17">
        <v>45</v>
      </c>
      <c r="G164" s="18">
        <v>0.09</v>
      </c>
      <c r="H164">
        <f>F164*VLOOKUP(B164,產品!$A$2:$H$61,7,FALSE)*(1-銷售總表!G164)</f>
        <v>40950</v>
      </c>
      <c r="I164" s="35">
        <f>H164-F164*VLOOKUP(銷售總表!B164,產品!$A$2:$H$61,8,FALSE)</f>
        <v>22950</v>
      </c>
      <c r="J164" s="20">
        <f t="shared" si="2"/>
        <v>0.56043956043956045</v>
      </c>
    </row>
    <row r="165" spans="1:10" x14ac:dyDescent="0.3">
      <c r="A165" s="33">
        <v>164</v>
      </c>
      <c r="B165" s="4">
        <v>48</v>
      </c>
      <c r="C165" s="15">
        <v>290</v>
      </c>
      <c r="D165" s="16">
        <v>10</v>
      </c>
      <c r="E165" s="22">
        <v>43876</v>
      </c>
      <c r="F165" s="17">
        <v>4</v>
      </c>
      <c r="G165" s="18">
        <v>0.11</v>
      </c>
      <c r="H165">
        <f>F165*VLOOKUP(B165,產品!$A$2:$H$61,7,FALSE)*(1-銷售總表!G165)</f>
        <v>78320</v>
      </c>
      <c r="I165" s="35">
        <f>H165-F165*VLOOKUP(銷售總表!B165,產品!$A$2:$H$61,8,FALSE)</f>
        <v>21120</v>
      </c>
      <c r="J165" s="20">
        <f t="shared" si="2"/>
        <v>0.2696629213483146</v>
      </c>
    </row>
    <row r="166" spans="1:10" x14ac:dyDescent="0.3">
      <c r="A166" s="33">
        <v>165</v>
      </c>
      <c r="B166" s="4">
        <v>25</v>
      </c>
      <c r="C166" s="15">
        <v>7</v>
      </c>
      <c r="D166" s="16">
        <v>8</v>
      </c>
      <c r="E166" s="22">
        <v>43876</v>
      </c>
      <c r="F166" s="17">
        <v>10</v>
      </c>
      <c r="G166" s="18">
        <v>0.2</v>
      </c>
      <c r="H166">
        <f>F166*VLOOKUP(B166,產品!$A$2:$H$61,7,FALSE)*(1-銷售總表!G166)</f>
        <v>48000</v>
      </c>
      <c r="I166" s="35">
        <f>H166-F166*VLOOKUP(銷售總表!B166,產品!$A$2:$H$61,8,FALSE)</f>
        <v>12000</v>
      </c>
      <c r="J166" s="20">
        <f t="shared" si="2"/>
        <v>0.25</v>
      </c>
    </row>
    <row r="167" spans="1:10" x14ac:dyDescent="0.3">
      <c r="A167" s="33">
        <v>166</v>
      </c>
      <c r="B167" s="4">
        <v>43</v>
      </c>
      <c r="C167" s="15">
        <v>262</v>
      </c>
      <c r="D167" s="16">
        <v>6</v>
      </c>
      <c r="E167" s="22">
        <v>43877</v>
      </c>
      <c r="F167" s="17">
        <v>12</v>
      </c>
      <c r="G167" s="18">
        <v>0.16</v>
      </c>
      <c r="H167">
        <f>F167*VLOOKUP(B167,產品!$A$2:$H$61,7,FALSE)*(1-銷售總表!G167)</f>
        <v>181440</v>
      </c>
      <c r="I167" s="35">
        <f>H167-F167*VLOOKUP(銷售總表!B167,產品!$A$2:$H$61,8,FALSE)</f>
        <v>41040</v>
      </c>
      <c r="J167" s="20">
        <f t="shared" si="2"/>
        <v>0.22619047619047619</v>
      </c>
    </row>
    <row r="168" spans="1:10" x14ac:dyDescent="0.3">
      <c r="A168" s="33">
        <v>167</v>
      </c>
      <c r="B168" s="4">
        <v>38</v>
      </c>
      <c r="C168" s="15">
        <v>3</v>
      </c>
      <c r="D168" s="16">
        <v>5</v>
      </c>
      <c r="E168" s="22">
        <v>43877</v>
      </c>
      <c r="F168" s="17">
        <v>2</v>
      </c>
      <c r="G168" s="18">
        <v>0.2</v>
      </c>
      <c r="H168">
        <f>F168*VLOOKUP(B168,產品!$A$2:$H$61,7,FALSE)*(1-銷售總表!G168)</f>
        <v>24000</v>
      </c>
      <c r="I168" s="35">
        <f>H168-F168*VLOOKUP(銷售總表!B168,產品!$A$2:$H$61,8,FALSE)</f>
        <v>4500</v>
      </c>
      <c r="J168" s="20">
        <f t="shared" si="2"/>
        <v>0.1875</v>
      </c>
    </row>
    <row r="169" spans="1:10" x14ac:dyDescent="0.3">
      <c r="A169" s="33">
        <v>168</v>
      </c>
      <c r="B169" s="4">
        <v>3</v>
      </c>
      <c r="C169" s="15">
        <v>280</v>
      </c>
      <c r="D169" s="16">
        <v>7</v>
      </c>
      <c r="E169" s="22">
        <v>43878</v>
      </c>
      <c r="F169" s="19">
        <v>120</v>
      </c>
      <c r="G169" s="18">
        <v>0.06</v>
      </c>
      <c r="H169">
        <f>F169*VLOOKUP(B169,產品!$A$2:$H$61,7,FALSE)*(1-銷售總表!G169)</f>
        <v>112800</v>
      </c>
      <c r="I169" s="35">
        <f>H169-F169*VLOOKUP(銷售總表!B169,產品!$A$2:$H$61,8,FALSE)</f>
        <v>64800</v>
      </c>
      <c r="J169" s="20">
        <f t="shared" si="2"/>
        <v>0.57446808510638303</v>
      </c>
    </row>
    <row r="170" spans="1:10" x14ac:dyDescent="0.3">
      <c r="A170" s="33">
        <v>169</v>
      </c>
      <c r="B170" s="4">
        <v>58</v>
      </c>
      <c r="C170" s="15">
        <v>258</v>
      </c>
      <c r="D170" s="16">
        <v>5</v>
      </c>
      <c r="E170" s="22">
        <v>43878</v>
      </c>
      <c r="F170" s="17">
        <v>5</v>
      </c>
      <c r="G170" s="18">
        <v>0.08</v>
      </c>
      <c r="H170">
        <f>F170*VLOOKUP(B170,產品!$A$2:$H$61,7,FALSE)*(1-銷售總表!G170)</f>
        <v>96600</v>
      </c>
      <c r="I170" s="35">
        <f>H170-F170*VLOOKUP(銷售總表!B170,產品!$A$2:$H$61,8,FALSE)</f>
        <v>23100.000000000015</v>
      </c>
      <c r="J170" s="20">
        <f t="shared" si="2"/>
        <v>0.23913043478260884</v>
      </c>
    </row>
    <row r="171" spans="1:10" x14ac:dyDescent="0.3">
      <c r="A171" s="33">
        <v>170</v>
      </c>
      <c r="B171" s="4">
        <v>25</v>
      </c>
      <c r="C171" s="15">
        <v>12</v>
      </c>
      <c r="D171" s="16">
        <v>2</v>
      </c>
      <c r="E171" s="22">
        <v>43878</v>
      </c>
      <c r="F171" s="17">
        <v>6</v>
      </c>
      <c r="G171" s="18">
        <v>0.17</v>
      </c>
      <c r="H171">
        <f>F171*VLOOKUP(B171,產品!$A$2:$H$61,7,FALSE)*(1-銷售總表!G171)</f>
        <v>29880</v>
      </c>
      <c r="I171" s="35">
        <f>H171-F171*VLOOKUP(銷售總表!B171,產品!$A$2:$H$61,8,FALSE)</f>
        <v>8280</v>
      </c>
      <c r="J171" s="20">
        <f t="shared" si="2"/>
        <v>0.27710843373493976</v>
      </c>
    </row>
    <row r="172" spans="1:10" x14ac:dyDescent="0.3">
      <c r="A172" s="33">
        <v>171</v>
      </c>
      <c r="B172" s="4">
        <v>4</v>
      </c>
      <c r="C172" s="15">
        <v>257</v>
      </c>
      <c r="D172" s="16">
        <v>8</v>
      </c>
      <c r="E172" s="22">
        <v>43878</v>
      </c>
      <c r="F172" s="17">
        <v>10</v>
      </c>
      <c r="G172" s="18">
        <v>0.08</v>
      </c>
      <c r="H172">
        <f>F172*VLOOKUP(B172,產品!$A$2:$H$61,7,FALSE)*(1-銷售總表!G172)</f>
        <v>9200</v>
      </c>
      <c r="I172" s="35">
        <f>H172-F172*VLOOKUP(銷售總表!B172,產品!$A$2:$H$61,8,FALSE)</f>
        <v>5200</v>
      </c>
      <c r="J172" s="20">
        <f t="shared" si="2"/>
        <v>0.56521739130434778</v>
      </c>
    </row>
    <row r="173" spans="1:10" x14ac:dyDescent="0.3">
      <c r="A173" s="33">
        <v>172</v>
      </c>
      <c r="B173" s="4">
        <v>28</v>
      </c>
      <c r="C173" s="15">
        <v>289</v>
      </c>
      <c r="D173" s="16">
        <v>8</v>
      </c>
      <c r="E173" s="22">
        <v>43878</v>
      </c>
      <c r="F173" s="17">
        <v>1</v>
      </c>
      <c r="G173" s="18">
        <v>7.0000000000000007E-2</v>
      </c>
      <c r="H173">
        <f>F173*VLOOKUP(B173,產品!$A$2:$H$61,7,FALSE)*(1-銷售總表!G173)</f>
        <v>6974.9999999999991</v>
      </c>
      <c r="I173" s="35">
        <f>H173-F173*VLOOKUP(銷售總表!B173,產品!$A$2:$H$61,8,FALSE)</f>
        <v>2474.9999999999991</v>
      </c>
      <c r="J173" s="20">
        <f t="shared" si="2"/>
        <v>0.35483870967741926</v>
      </c>
    </row>
    <row r="174" spans="1:10" x14ac:dyDescent="0.3">
      <c r="A174" s="33">
        <v>173</v>
      </c>
      <c r="B174" s="4">
        <v>30</v>
      </c>
      <c r="C174" s="15">
        <v>261</v>
      </c>
      <c r="D174" s="16">
        <v>2</v>
      </c>
      <c r="E174" s="22">
        <v>43879</v>
      </c>
      <c r="F174" s="17">
        <v>20</v>
      </c>
      <c r="G174" s="18">
        <v>0.15</v>
      </c>
      <c r="H174">
        <f>F174*VLOOKUP(B174,產品!$A$2:$H$61,7,FALSE)*(1-銷售總表!G174)</f>
        <v>110500</v>
      </c>
      <c r="I174" s="35">
        <f>H174-F174*VLOOKUP(銷售總表!B174,產品!$A$2:$H$61,8,FALSE)</f>
        <v>32500</v>
      </c>
      <c r="J174" s="20">
        <f t="shared" si="2"/>
        <v>0.29411764705882354</v>
      </c>
    </row>
    <row r="175" spans="1:10" x14ac:dyDescent="0.3">
      <c r="A175" s="33">
        <v>174</v>
      </c>
      <c r="B175" s="4">
        <v>21</v>
      </c>
      <c r="C175" s="15">
        <v>258</v>
      </c>
      <c r="D175" s="16">
        <v>10</v>
      </c>
      <c r="E175" s="22">
        <v>43879</v>
      </c>
      <c r="F175" s="17">
        <v>30</v>
      </c>
      <c r="G175" s="18">
        <v>0.17</v>
      </c>
      <c r="H175">
        <f>F175*VLOOKUP(B175,產品!$A$2:$H$61,7,FALSE)*(1-銷售總表!G175)</f>
        <v>44820</v>
      </c>
      <c r="I175" s="35">
        <f>H175-F175*VLOOKUP(銷售總表!B175,產品!$A$2:$H$61,8,FALSE)</f>
        <v>23220</v>
      </c>
      <c r="J175" s="20">
        <f t="shared" si="2"/>
        <v>0.51807228915662651</v>
      </c>
    </row>
    <row r="176" spans="1:10" x14ac:dyDescent="0.3">
      <c r="A176" s="33">
        <v>175</v>
      </c>
      <c r="B176" s="4">
        <v>15</v>
      </c>
      <c r="C176" s="15">
        <v>262</v>
      </c>
      <c r="D176" s="16">
        <v>4</v>
      </c>
      <c r="E176" s="22">
        <v>43879</v>
      </c>
      <c r="F176" s="19">
        <v>30</v>
      </c>
      <c r="G176" s="18">
        <v>0.2</v>
      </c>
      <c r="H176">
        <f>F176*VLOOKUP(B176,產品!$A$2:$H$61,7,FALSE)*(1-銷售總表!G176)</f>
        <v>43200</v>
      </c>
      <c r="I176" s="35">
        <f>H176-F176*VLOOKUP(銷售總表!B176,產品!$A$2:$H$61,8,FALSE)</f>
        <v>21600</v>
      </c>
      <c r="J176" s="20">
        <f t="shared" si="2"/>
        <v>0.5</v>
      </c>
    </row>
    <row r="177" spans="1:10" x14ac:dyDescent="0.3">
      <c r="A177" s="33">
        <v>176</v>
      </c>
      <c r="B177" s="4">
        <v>6</v>
      </c>
      <c r="C177" s="15">
        <v>3</v>
      </c>
      <c r="D177" s="16">
        <v>3</v>
      </c>
      <c r="E177" s="22">
        <v>43879</v>
      </c>
      <c r="F177" s="17">
        <v>40</v>
      </c>
      <c r="G177" s="18">
        <v>0.17</v>
      </c>
      <c r="H177">
        <f>F177*VLOOKUP(B177,產品!$A$2:$H$61,7,FALSE)*(1-銷售總表!G177)</f>
        <v>33200</v>
      </c>
      <c r="I177" s="35">
        <f>H177-F177*VLOOKUP(銷售總表!B177,產品!$A$2:$H$61,8,FALSE)</f>
        <v>17200</v>
      </c>
      <c r="J177" s="20">
        <f t="shared" si="2"/>
        <v>0.51807228915662651</v>
      </c>
    </row>
    <row r="178" spans="1:10" x14ac:dyDescent="0.3">
      <c r="A178" s="33">
        <v>177</v>
      </c>
      <c r="B178" s="4">
        <v>59</v>
      </c>
      <c r="C178" s="15">
        <v>8</v>
      </c>
      <c r="D178" s="16">
        <v>10</v>
      </c>
      <c r="E178" s="22">
        <v>43879</v>
      </c>
      <c r="F178" s="17">
        <v>3</v>
      </c>
      <c r="G178" s="18">
        <v>7.0000000000000007E-2</v>
      </c>
      <c r="H178">
        <f>F178*VLOOKUP(B178,產品!$A$2:$H$61,7,FALSE)*(1-銷售總表!G178)</f>
        <v>66960</v>
      </c>
      <c r="I178" s="35">
        <f>H178-F178*VLOOKUP(銷售總表!B178,產品!$A$2:$H$61,8,FALSE)</f>
        <v>16560</v>
      </c>
      <c r="J178" s="20">
        <f t="shared" si="2"/>
        <v>0.24731182795698925</v>
      </c>
    </row>
    <row r="179" spans="1:10" x14ac:dyDescent="0.3">
      <c r="A179" s="33">
        <v>178</v>
      </c>
      <c r="B179" s="4">
        <v>19</v>
      </c>
      <c r="C179" s="15">
        <v>2</v>
      </c>
      <c r="D179" s="16">
        <v>3</v>
      </c>
      <c r="E179" s="22">
        <v>43879</v>
      </c>
      <c r="F179" s="17">
        <v>20</v>
      </c>
      <c r="G179" s="18">
        <v>0.15</v>
      </c>
      <c r="H179">
        <f>F179*VLOOKUP(B179,產品!$A$2:$H$61,7,FALSE)*(1-銷售總表!G179)</f>
        <v>30600</v>
      </c>
      <c r="I179" s="35">
        <f>H179-F179*VLOOKUP(銷售總表!B179,產品!$A$2:$H$61,8,FALSE)</f>
        <v>16200</v>
      </c>
      <c r="J179" s="20">
        <f t="shared" si="2"/>
        <v>0.52941176470588236</v>
      </c>
    </row>
    <row r="180" spans="1:10" x14ac:dyDescent="0.3">
      <c r="A180" s="33">
        <v>179</v>
      </c>
      <c r="B180" s="4">
        <v>43</v>
      </c>
      <c r="C180" s="15">
        <v>1</v>
      </c>
      <c r="D180" s="16">
        <v>7</v>
      </c>
      <c r="E180" s="22">
        <v>43879</v>
      </c>
      <c r="F180" s="17">
        <v>3</v>
      </c>
      <c r="G180" s="18">
        <v>0.12</v>
      </c>
      <c r="H180">
        <f>F180*VLOOKUP(B180,產品!$A$2:$H$61,7,FALSE)*(1-銷售總表!G180)</f>
        <v>47520</v>
      </c>
      <c r="I180" s="35">
        <f>H180-F180*VLOOKUP(銷售總表!B180,產品!$A$2:$H$61,8,FALSE)</f>
        <v>12420</v>
      </c>
      <c r="J180" s="20">
        <f t="shared" si="2"/>
        <v>0.26136363636363635</v>
      </c>
    </row>
    <row r="181" spans="1:10" x14ac:dyDescent="0.3">
      <c r="A181" s="33">
        <v>180</v>
      </c>
      <c r="B181" s="4">
        <v>36</v>
      </c>
      <c r="C181" s="15">
        <v>126</v>
      </c>
      <c r="D181" s="16">
        <v>9</v>
      </c>
      <c r="E181" s="22">
        <v>43879</v>
      </c>
      <c r="F181" s="17">
        <v>3</v>
      </c>
      <c r="G181" s="18">
        <v>0.1</v>
      </c>
      <c r="H181">
        <f>F181*VLOOKUP(B181,產品!$A$2:$H$61,7,FALSE)*(1-銷售總表!G181)</f>
        <v>24300</v>
      </c>
      <c r="I181" s="35">
        <f>H181-F181*VLOOKUP(銷售總表!B181,產品!$A$2:$H$61,8,FALSE)</f>
        <v>8100</v>
      </c>
      <c r="J181" s="20">
        <f t="shared" si="2"/>
        <v>0.33333333333333331</v>
      </c>
    </row>
    <row r="182" spans="1:10" x14ac:dyDescent="0.3">
      <c r="A182" s="33">
        <v>181</v>
      </c>
      <c r="B182" s="4">
        <v>35</v>
      </c>
      <c r="C182" s="15">
        <v>285</v>
      </c>
      <c r="D182" s="16">
        <v>6</v>
      </c>
      <c r="E182" s="22">
        <v>43879</v>
      </c>
      <c r="F182" s="19">
        <v>3</v>
      </c>
      <c r="G182" s="18">
        <v>0.18</v>
      </c>
      <c r="H182">
        <f>F182*VLOOKUP(B182,產品!$A$2:$H$61,7,FALSE)*(1-銷售總表!G182)</f>
        <v>20910</v>
      </c>
      <c r="I182" s="35">
        <f>H182-F182*VLOOKUP(銷售總表!B182,產品!$A$2:$H$61,8,FALSE)</f>
        <v>5610</v>
      </c>
      <c r="J182" s="20">
        <f t="shared" si="2"/>
        <v>0.26829268292682928</v>
      </c>
    </row>
    <row r="183" spans="1:10" x14ac:dyDescent="0.3">
      <c r="A183" s="33">
        <v>182</v>
      </c>
      <c r="B183" s="4">
        <v>57</v>
      </c>
      <c r="C183" s="15">
        <v>3</v>
      </c>
      <c r="D183" s="16">
        <v>5</v>
      </c>
      <c r="E183" s="22">
        <v>43879</v>
      </c>
      <c r="F183" s="17">
        <v>2</v>
      </c>
      <c r="G183" s="18">
        <v>0.18</v>
      </c>
      <c r="H183">
        <f>F183*VLOOKUP(B183,產品!$A$2:$H$61,7,FALSE)*(1-銷售總表!G183)</f>
        <v>29520.000000000004</v>
      </c>
      <c r="I183" s="35">
        <f>H183-F183*VLOOKUP(銷售總表!B183,產品!$A$2:$H$61,8,FALSE)</f>
        <v>4320.0000000000036</v>
      </c>
      <c r="J183" s="20">
        <f t="shared" si="2"/>
        <v>0.14634146341463425</v>
      </c>
    </row>
    <row r="184" spans="1:10" x14ac:dyDescent="0.3">
      <c r="A184" s="33">
        <v>183</v>
      </c>
      <c r="B184" s="4">
        <v>22</v>
      </c>
      <c r="C184" s="15">
        <v>116</v>
      </c>
      <c r="D184" s="16">
        <v>3</v>
      </c>
      <c r="E184" s="22">
        <v>43880</v>
      </c>
      <c r="F184" s="17">
        <v>70</v>
      </c>
      <c r="G184" s="18">
        <v>0.16</v>
      </c>
      <c r="H184">
        <f>F184*VLOOKUP(B184,產品!$A$2:$H$61,7,FALSE)*(1-銷售總表!G184)</f>
        <v>105840</v>
      </c>
      <c r="I184" s="35">
        <f>H184-F184*VLOOKUP(銷售總表!B184,產品!$A$2:$H$61,8,FALSE)</f>
        <v>55440</v>
      </c>
      <c r="J184" s="20">
        <f t="shared" si="2"/>
        <v>0.52380952380952384</v>
      </c>
    </row>
    <row r="185" spans="1:10" x14ac:dyDescent="0.3">
      <c r="A185" s="33">
        <v>184</v>
      </c>
      <c r="B185" s="4">
        <v>41</v>
      </c>
      <c r="C185" s="15">
        <v>135</v>
      </c>
      <c r="D185" s="16">
        <v>10</v>
      </c>
      <c r="E185" s="22">
        <v>43880</v>
      </c>
      <c r="F185" s="17">
        <v>15</v>
      </c>
      <c r="G185" s="18">
        <v>0.14000000000000001</v>
      </c>
      <c r="H185">
        <f>F185*VLOOKUP(B185,產品!$A$2:$H$61,7,FALSE)*(1-銷售總表!G185)</f>
        <v>154800</v>
      </c>
      <c r="I185" s="35">
        <f>H185-F185*VLOOKUP(銷售總表!B185,產品!$A$2:$H$61,8,FALSE)</f>
        <v>37800</v>
      </c>
      <c r="J185" s="20">
        <f t="shared" si="2"/>
        <v>0.2441860465116279</v>
      </c>
    </row>
    <row r="186" spans="1:10" x14ac:dyDescent="0.3">
      <c r="A186" s="33">
        <v>185</v>
      </c>
      <c r="B186" s="4">
        <v>31</v>
      </c>
      <c r="C186" s="15">
        <v>257</v>
      </c>
      <c r="D186" s="16">
        <v>9</v>
      </c>
      <c r="E186" s="22">
        <v>43880</v>
      </c>
      <c r="F186" s="17">
        <v>10</v>
      </c>
      <c r="G186" s="18">
        <v>0.1</v>
      </c>
      <c r="H186">
        <f>F186*VLOOKUP(B186,產品!$A$2:$H$61,7,FALSE)*(1-銷售總表!G186)</f>
        <v>63000</v>
      </c>
      <c r="I186" s="35">
        <f>H186-F186*VLOOKUP(銷售總表!B186,產品!$A$2:$H$61,8,FALSE)</f>
        <v>21000</v>
      </c>
      <c r="J186" s="20">
        <f t="shared" si="2"/>
        <v>0.33333333333333331</v>
      </c>
    </row>
    <row r="187" spans="1:10" x14ac:dyDescent="0.3">
      <c r="A187" s="33">
        <v>186</v>
      </c>
      <c r="B187" s="4">
        <v>2</v>
      </c>
      <c r="C187" s="15">
        <v>285</v>
      </c>
      <c r="D187" s="16">
        <v>7</v>
      </c>
      <c r="E187" s="22">
        <v>43881</v>
      </c>
      <c r="F187" s="17">
        <v>200</v>
      </c>
      <c r="G187" s="18">
        <v>0.17</v>
      </c>
      <c r="H187">
        <f>F187*VLOOKUP(B187,產品!$A$2:$H$61,7,FALSE)*(1-銷售總表!G187)</f>
        <v>166000</v>
      </c>
      <c r="I187" s="35">
        <f>H187-F187*VLOOKUP(銷售總表!B187,產品!$A$2:$H$61,8,FALSE)</f>
        <v>86000</v>
      </c>
      <c r="J187" s="20">
        <f t="shared" si="2"/>
        <v>0.51807228915662651</v>
      </c>
    </row>
    <row r="188" spans="1:10" x14ac:dyDescent="0.3">
      <c r="A188" s="33">
        <v>187</v>
      </c>
      <c r="B188" s="4">
        <v>1</v>
      </c>
      <c r="C188" s="15">
        <v>294</v>
      </c>
      <c r="D188" s="16">
        <v>6</v>
      </c>
      <c r="E188" s="22">
        <v>43881</v>
      </c>
      <c r="F188" s="17">
        <v>60</v>
      </c>
      <c r="G188" s="18">
        <v>0.11</v>
      </c>
      <c r="H188">
        <f>F188*VLOOKUP(B188,產品!$A$2:$H$61,7,FALSE)*(1-銷售總表!G188)</f>
        <v>53400</v>
      </c>
      <c r="I188" s="35">
        <f>H188-F188*VLOOKUP(銷售總表!B188,產品!$A$2:$H$61,8,FALSE)</f>
        <v>29400</v>
      </c>
      <c r="J188" s="20">
        <f t="shared" si="2"/>
        <v>0.550561797752809</v>
      </c>
    </row>
    <row r="189" spans="1:10" x14ac:dyDescent="0.3">
      <c r="A189" s="33">
        <v>188</v>
      </c>
      <c r="B189" s="4">
        <v>27</v>
      </c>
      <c r="C189" s="15">
        <v>292</v>
      </c>
      <c r="D189" s="16">
        <v>3</v>
      </c>
      <c r="E189" s="22">
        <v>43881</v>
      </c>
      <c r="F189" s="17">
        <v>5</v>
      </c>
      <c r="G189" s="18">
        <v>0.1</v>
      </c>
      <c r="H189">
        <f>F189*VLOOKUP(B189,產品!$A$2:$H$61,7,FALSE)*(1-銷售總表!G189)</f>
        <v>31500</v>
      </c>
      <c r="I189" s="35">
        <f>H189-F189*VLOOKUP(銷售總表!B189,產品!$A$2:$H$61,8,FALSE)</f>
        <v>10500</v>
      </c>
      <c r="J189" s="20">
        <f t="shared" si="2"/>
        <v>0.33333333333333331</v>
      </c>
    </row>
    <row r="190" spans="1:10" x14ac:dyDescent="0.3">
      <c r="A190" s="33">
        <v>189</v>
      </c>
      <c r="B190" s="4">
        <v>33</v>
      </c>
      <c r="C190" s="15">
        <v>287</v>
      </c>
      <c r="D190" s="16">
        <v>1</v>
      </c>
      <c r="E190" s="22">
        <v>43881</v>
      </c>
      <c r="F190" s="17">
        <v>4</v>
      </c>
      <c r="G190" s="18">
        <v>0.13</v>
      </c>
      <c r="H190">
        <f>F190*VLOOKUP(B190,產品!$A$2:$H$61,7,FALSE)*(1-銷售總表!G190)</f>
        <v>26100</v>
      </c>
      <c r="I190" s="35">
        <f>H190-F190*VLOOKUP(銷售總表!B190,產品!$A$2:$H$61,8,FALSE)</f>
        <v>8100</v>
      </c>
      <c r="J190" s="20">
        <f t="shared" si="2"/>
        <v>0.31034482758620691</v>
      </c>
    </row>
    <row r="191" spans="1:10" x14ac:dyDescent="0.3">
      <c r="A191" s="33">
        <v>190</v>
      </c>
      <c r="B191" s="4">
        <v>28</v>
      </c>
      <c r="C191" s="15">
        <v>277</v>
      </c>
      <c r="D191" s="16">
        <v>6</v>
      </c>
      <c r="E191" s="22">
        <v>43881</v>
      </c>
      <c r="F191" s="17">
        <v>2</v>
      </c>
      <c r="G191" s="18">
        <v>0.08</v>
      </c>
      <c r="H191">
        <f>F191*VLOOKUP(B191,產品!$A$2:$H$61,7,FALSE)*(1-銷售總表!G191)</f>
        <v>13800</v>
      </c>
      <c r="I191" s="35">
        <f>H191-F191*VLOOKUP(銷售總表!B191,產品!$A$2:$H$61,8,FALSE)</f>
        <v>4800</v>
      </c>
      <c r="J191" s="20">
        <f t="shared" si="2"/>
        <v>0.34782608695652173</v>
      </c>
    </row>
    <row r="192" spans="1:10" x14ac:dyDescent="0.3">
      <c r="A192" s="33">
        <v>191</v>
      </c>
      <c r="B192" s="4">
        <v>8</v>
      </c>
      <c r="C192" s="15">
        <v>291</v>
      </c>
      <c r="D192" s="16">
        <v>6</v>
      </c>
      <c r="E192" s="22">
        <v>43881</v>
      </c>
      <c r="F192" s="17">
        <v>10</v>
      </c>
      <c r="G192" s="18">
        <v>0.19</v>
      </c>
      <c r="H192">
        <f>F192*VLOOKUP(B192,產品!$A$2:$H$61,7,FALSE)*(1-銷售總表!G192)</f>
        <v>8100.0000000000009</v>
      </c>
      <c r="I192" s="35">
        <f>H192-F192*VLOOKUP(銷售總表!B192,產品!$A$2:$H$61,8,FALSE)</f>
        <v>4100.0000000000009</v>
      </c>
      <c r="J192" s="20">
        <f t="shared" si="2"/>
        <v>0.50617283950617287</v>
      </c>
    </row>
    <row r="193" spans="1:10" x14ac:dyDescent="0.3">
      <c r="A193" s="33">
        <v>192</v>
      </c>
      <c r="B193" s="4">
        <v>16</v>
      </c>
      <c r="C193" s="15">
        <v>11</v>
      </c>
      <c r="D193" s="16">
        <v>6</v>
      </c>
      <c r="E193" s="22">
        <v>43882</v>
      </c>
      <c r="F193" s="17">
        <v>150</v>
      </c>
      <c r="G193" s="18">
        <v>0.15</v>
      </c>
      <c r="H193">
        <f>F193*VLOOKUP(B193,產品!$A$2:$H$61,7,FALSE)*(1-銷售總表!G193)</f>
        <v>229500</v>
      </c>
      <c r="I193" s="35">
        <f>H193-F193*VLOOKUP(銷售總表!B193,產品!$A$2:$H$61,8,FALSE)</f>
        <v>121500</v>
      </c>
      <c r="J193" s="20">
        <f t="shared" si="2"/>
        <v>0.52941176470588236</v>
      </c>
    </row>
    <row r="194" spans="1:10" x14ac:dyDescent="0.3">
      <c r="A194" s="33">
        <v>193</v>
      </c>
      <c r="B194" s="4">
        <v>36</v>
      </c>
      <c r="C194" s="15">
        <v>123</v>
      </c>
      <c r="D194" s="16">
        <v>6</v>
      </c>
      <c r="E194" s="22">
        <v>43882</v>
      </c>
      <c r="F194" s="17">
        <v>35</v>
      </c>
      <c r="G194" s="18">
        <v>0.06</v>
      </c>
      <c r="H194">
        <f>F194*VLOOKUP(B194,產品!$A$2:$H$61,7,FALSE)*(1-銷售總表!G194)</f>
        <v>296100</v>
      </c>
      <c r="I194" s="35">
        <f>H194-F194*VLOOKUP(銷售總表!B194,產品!$A$2:$H$61,8,FALSE)</f>
        <v>107100</v>
      </c>
      <c r="J194" s="20">
        <f t="shared" si="2"/>
        <v>0.36170212765957449</v>
      </c>
    </row>
    <row r="195" spans="1:10" x14ac:dyDescent="0.3">
      <c r="A195" s="33">
        <v>194</v>
      </c>
      <c r="B195" s="4">
        <v>21</v>
      </c>
      <c r="C195" s="15">
        <v>7</v>
      </c>
      <c r="D195" s="16">
        <v>5</v>
      </c>
      <c r="E195" s="22">
        <v>43882</v>
      </c>
      <c r="F195" s="17">
        <v>100</v>
      </c>
      <c r="G195" s="18">
        <v>0.09</v>
      </c>
      <c r="H195">
        <f>F195*VLOOKUP(B195,產品!$A$2:$H$61,7,FALSE)*(1-銷售總表!G195)</f>
        <v>163800</v>
      </c>
      <c r="I195" s="35">
        <f>H195-F195*VLOOKUP(銷售總表!B195,產品!$A$2:$H$61,8,FALSE)</f>
        <v>91800</v>
      </c>
      <c r="J195" s="20">
        <f t="shared" ref="J195:J258" si="3">I195/H195</f>
        <v>0.56043956043956045</v>
      </c>
    </row>
    <row r="196" spans="1:10" x14ac:dyDescent="0.3">
      <c r="A196" s="33">
        <v>195</v>
      </c>
      <c r="B196" s="4">
        <v>31</v>
      </c>
      <c r="C196" s="15">
        <v>126</v>
      </c>
      <c r="D196" s="16">
        <v>9</v>
      </c>
      <c r="E196" s="22">
        <v>43882</v>
      </c>
      <c r="F196" s="17">
        <v>4</v>
      </c>
      <c r="G196" s="18">
        <v>7.0000000000000007E-2</v>
      </c>
      <c r="H196">
        <f>F196*VLOOKUP(B196,產品!$A$2:$H$61,7,FALSE)*(1-銷售總表!G196)</f>
        <v>26040</v>
      </c>
      <c r="I196" s="35">
        <f>H196-F196*VLOOKUP(銷售總表!B196,產品!$A$2:$H$61,8,FALSE)</f>
        <v>9240</v>
      </c>
      <c r="J196" s="20">
        <f t="shared" si="3"/>
        <v>0.35483870967741937</v>
      </c>
    </row>
    <row r="197" spans="1:10" x14ac:dyDescent="0.3">
      <c r="A197" s="33">
        <v>196</v>
      </c>
      <c r="B197" s="4">
        <v>47</v>
      </c>
      <c r="C197" s="15">
        <v>276</v>
      </c>
      <c r="D197" s="16">
        <v>1</v>
      </c>
      <c r="E197" s="22">
        <v>43882</v>
      </c>
      <c r="F197" s="17">
        <v>2</v>
      </c>
      <c r="G197" s="18">
        <v>0.2</v>
      </c>
      <c r="H197">
        <f>F197*VLOOKUP(B197,產品!$A$2:$H$61,7,FALSE)*(1-銷售總表!G197)</f>
        <v>32000</v>
      </c>
      <c r="I197" s="35">
        <f>H197-F197*VLOOKUP(銷售總表!B197,產品!$A$2:$H$61,8,FALSE)</f>
        <v>6000</v>
      </c>
      <c r="J197" s="20">
        <f t="shared" si="3"/>
        <v>0.1875</v>
      </c>
    </row>
    <row r="198" spans="1:10" x14ac:dyDescent="0.3">
      <c r="A198" s="33">
        <v>197</v>
      </c>
      <c r="B198" s="4">
        <v>52</v>
      </c>
      <c r="C198" s="15">
        <v>6</v>
      </c>
      <c r="D198" s="16">
        <v>3</v>
      </c>
      <c r="E198" s="22">
        <v>43882</v>
      </c>
      <c r="F198" s="17">
        <v>1</v>
      </c>
      <c r="G198" s="18">
        <v>0.18</v>
      </c>
      <c r="H198">
        <f>F198*VLOOKUP(B198,產品!$A$2:$H$61,7,FALSE)*(1-銷售總表!G198)</f>
        <v>18040</v>
      </c>
      <c r="I198" s="35">
        <f>H198-F198*VLOOKUP(銷售總表!B198,產品!$A$2:$H$61,8,FALSE)</f>
        <v>2640.0000000000018</v>
      </c>
      <c r="J198" s="20">
        <f t="shared" si="3"/>
        <v>0.14634146341463425</v>
      </c>
    </row>
    <row r="199" spans="1:10" x14ac:dyDescent="0.3">
      <c r="A199" s="33">
        <v>198</v>
      </c>
      <c r="B199" s="4">
        <v>16</v>
      </c>
      <c r="C199" s="15">
        <v>259</v>
      </c>
      <c r="D199" s="16">
        <v>4</v>
      </c>
      <c r="E199" s="22">
        <v>43883</v>
      </c>
      <c r="F199" s="17">
        <v>100</v>
      </c>
      <c r="G199" s="18">
        <v>0.08</v>
      </c>
      <c r="H199">
        <f>F199*VLOOKUP(B199,產品!$A$2:$H$61,7,FALSE)*(1-銷售總表!G199)</f>
        <v>165600</v>
      </c>
      <c r="I199" s="35">
        <f>H199-F199*VLOOKUP(銷售總表!B199,產品!$A$2:$H$61,8,FALSE)</f>
        <v>93600</v>
      </c>
      <c r="J199" s="20">
        <f t="shared" si="3"/>
        <v>0.56521739130434778</v>
      </c>
    </row>
    <row r="200" spans="1:10" x14ac:dyDescent="0.3">
      <c r="A200" s="33">
        <v>199</v>
      </c>
      <c r="B200" s="4">
        <v>56</v>
      </c>
      <c r="C200" s="15">
        <v>114</v>
      </c>
      <c r="D200" s="16">
        <v>9</v>
      </c>
      <c r="E200" s="22">
        <v>43883</v>
      </c>
      <c r="F200" s="19">
        <v>10</v>
      </c>
      <c r="G200" s="18">
        <v>0.09</v>
      </c>
      <c r="H200">
        <f>F200*VLOOKUP(B200,產品!$A$2:$H$61,7,FALSE)*(1-銷售總表!G200)</f>
        <v>200200</v>
      </c>
      <c r="I200" s="35">
        <f>H200-F200*VLOOKUP(銷售總表!B200,產品!$A$2:$H$61,8,FALSE)</f>
        <v>46200.000000000029</v>
      </c>
      <c r="J200" s="20">
        <f t="shared" si="3"/>
        <v>0.23076923076923092</v>
      </c>
    </row>
    <row r="201" spans="1:10" x14ac:dyDescent="0.3">
      <c r="A201" s="33">
        <v>200</v>
      </c>
      <c r="B201" s="4">
        <v>47</v>
      </c>
      <c r="C201" s="15">
        <v>292</v>
      </c>
      <c r="D201" s="16">
        <v>7</v>
      </c>
      <c r="E201" s="22">
        <v>43883</v>
      </c>
      <c r="F201" s="17">
        <v>10</v>
      </c>
      <c r="G201" s="18">
        <v>0.17</v>
      </c>
      <c r="H201">
        <f>F201*VLOOKUP(B201,產品!$A$2:$H$61,7,FALSE)*(1-銷售總表!G201)</f>
        <v>166000</v>
      </c>
      <c r="I201" s="35">
        <f>H201-F201*VLOOKUP(銷售總表!B201,產品!$A$2:$H$61,8,FALSE)</f>
        <v>36000</v>
      </c>
      <c r="J201" s="20">
        <f t="shared" si="3"/>
        <v>0.21686746987951808</v>
      </c>
    </row>
    <row r="202" spans="1:10" x14ac:dyDescent="0.3">
      <c r="A202" s="33">
        <v>201</v>
      </c>
      <c r="B202" s="4">
        <v>25</v>
      </c>
      <c r="C202" s="15">
        <v>264</v>
      </c>
      <c r="D202" s="16">
        <v>6</v>
      </c>
      <c r="E202" s="22">
        <v>43883</v>
      </c>
      <c r="F202" s="17">
        <v>13</v>
      </c>
      <c r="G202" s="18">
        <v>0.11</v>
      </c>
      <c r="H202">
        <f>F202*VLOOKUP(B202,產品!$A$2:$H$61,7,FALSE)*(1-銷售總表!G202)</f>
        <v>69420</v>
      </c>
      <c r="I202" s="35">
        <f>H202-F202*VLOOKUP(銷售總表!B202,產品!$A$2:$H$61,8,FALSE)</f>
        <v>22620</v>
      </c>
      <c r="J202" s="20">
        <f t="shared" si="3"/>
        <v>0.3258426966292135</v>
      </c>
    </row>
    <row r="203" spans="1:10" x14ac:dyDescent="0.3">
      <c r="A203" s="33">
        <v>202</v>
      </c>
      <c r="B203" s="4">
        <v>37</v>
      </c>
      <c r="C203" s="15">
        <v>11</v>
      </c>
      <c r="D203" s="16">
        <v>3</v>
      </c>
      <c r="E203" s="22">
        <v>43883</v>
      </c>
      <c r="F203" s="17">
        <v>4</v>
      </c>
      <c r="G203" s="18">
        <v>0.12</v>
      </c>
      <c r="H203">
        <f>F203*VLOOKUP(B203,產品!$A$2:$H$61,7,FALSE)*(1-銷售總表!G203)</f>
        <v>42240</v>
      </c>
      <c r="I203" s="35">
        <f>H203-F203*VLOOKUP(銷售總表!B203,產品!$A$2:$H$61,8,FALSE)</f>
        <v>11040</v>
      </c>
      <c r="J203" s="20">
        <f t="shared" si="3"/>
        <v>0.26136363636363635</v>
      </c>
    </row>
    <row r="204" spans="1:10" x14ac:dyDescent="0.3">
      <c r="A204" s="33">
        <v>203</v>
      </c>
      <c r="B204" s="4">
        <v>7</v>
      </c>
      <c r="C204" s="15">
        <v>7</v>
      </c>
      <c r="D204" s="16">
        <v>8</v>
      </c>
      <c r="E204" s="22">
        <v>43883</v>
      </c>
      <c r="F204" s="17">
        <v>13</v>
      </c>
      <c r="G204" s="18">
        <v>0.1</v>
      </c>
      <c r="H204">
        <f>F204*VLOOKUP(B204,產品!$A$2:$H$61,7,FALSE)*(1-銷售總表!G204)</f>
        <v>11700</v>
      </c>
      <c r="I204" s="35">
        <f>H204-F204*VLOOKUP(銷售總表!B204,產品!$A$2:$H$61,8,FALSE)</f>
        <v>6500</v>
      </c>
      <c r="J204" s="20">
        <f t="shared" si="3"/>
        <v>0.55555555555555558</v>
      </c>
    </row>
    <row r="205" spans="1:10" x14ac:dyDescent="0.3">
      <c r="A205" s="33">
        <v>204</v>
      </c>
      <c r="B205" s="4">
        <v>23</v>
      </c>
      <c r="C205" s="15">
        <v>287</v>
      </c>
      <c r="D205" s="16">
        <v>9</v>
      </c>
      <c r="E205" s="22">
        <v>43884</v>
      </c>
      <c r="F205" s="17">
        <v>150</v>
      </c>
      <c r="G205" s="18">
        <v>0.16</v>
      </c>
      <c r="H205">
        <f>F205*VLOOKUP(B205,產品!$A$2:$H$61,7,FALSE)*(1-銷售總表!G205)</f>
        <v>226800</v>
      </c>
      <c r="I205" s="35">
        <f>H205-F205*VLOOKUP(銷售總表!B205,產品!$A$2:$H$61,8,FALSE)</f>
        <v>118800</v>
      </c>
      <c r="J205" s="20">
        <f t="shared" si="3"/>
        <v>0.52380952380952384</v>
      </c>
    </row>
    <row r="206" spans="1:10" x14ac:dyDescent="0.3">
      <c r="A206" s="33">
        <v>205</v>
      </c>
      <c r="B206" s="4">
        <v>58</v>
      </c>
      <c r="C206" s="15">
        <v>121</v>
      </c>
      <c r="D206" s="16">
        <v>3</v>
      </c>
      <c r="E206" s="22">
        <v>43884</v>
      </c>
      <c r="F206" s="17">
        <v>10</v>
      </c>
      <c r="G206" s="18">
        <v>0.16</v>
      </c>
      <c r="H206">
        <f>F206*VLOOKUP(B206,產品!$A$2:$H$61,7,FALSE)*(1-銷售總表!G206)</f>
        <v>176400</v>
      </c>
      <c r="I206" s="35">
        <f>H206-F206*VLOOKUP(銷售總表!B206,產品!$A$2:$H$61,8,FALSE)</f>
        <v>29400.000000000029</v>
      </c>
      <c r="J206" s="20">
        <f t="shared" si="3"/>
        <v>0.16666666666666682</v>
      </c>
    </row>
    <row r="207" spans="1:10" x14ac:dyDescent="0.3">
      <c r="A207" s="33">
        <v>206</v>
      </c>
      <c r="B207" s="4">
        <v>54</v>
      </c>
      <c r="C207" s="15">
        <v>116</v>
      </c>
      <c r="D207" s="16">
        <v>5</v>
      </c>
      <c r="E207" s="22">
        <v>43884</v>
      </c>
      <c r="F207" s="19">
        <v>10</v>
      </c>
      <c r="G207" s="18">
        <v>0.16</v>
      </c>
      <c r="H207">
        <f>F207*VLOOKUP(B207,產品!$A$2:$H$61,7,FALSE)*(1-銷售總表!G207)</f>
        <v>151200</v>
      </c>
      <c r="I207" s="35">
        <f>H207-F207*VLOOKUP(銷售總表!B207,產品!$A$2:$H$61,8,FALSE)</f>
        <v>25200</v>
      </c>
      <c r="J207" s="20">
        <f t="shared" si="3"/>
        <v>0.16666666666666666</v>
      </c>
    </row>
    <row r="208" spans="1:10" x14ac:dyDescent="0.3">
      <c r="A208" s="33">
        <v>207</v>
      </c>
      <c r="B208" s="4">
        <v>48</v>
      </c>
      <c r="C208" s="15">
        <v>285</v>
      </c>
      <c r="D208" s="16">
        <v>6</v>
      </c>
      <c r="E208" s="22">
        <v>43884</v>
      </c>
      <c r="F208" s="17">
        <v>2</v>
      </c>
      <c r="G208" s="18">
        <v>0.15</v>
      </c>
      <c r="H208">
        <f>F208*VLOOKUP(B208,產品!$A$2:$H$61,7,FALSE)*(1-銷售總表!G208)</f>
        <v>37400</v>
      </c>
      <c r="I208" s="35">
        <f>H208-F208*VLOOKUP(銷售總表!B208,產品!$A$2:$H$61,8,FALSE)</f>
        <v>8800</v>
      </c>
      <c r="J208" s="20">
        <f t="shared" si="3"/>
        <v>0.23529411764705882</v>
      </c>
    </row>
    <row r="209" spans="1:10" x14ac:dyDescent="0.3">
      <c r="A209" s="33">
        <v>208</v>
      </c>
      <c r="B209" s="4">
        <v>42</v>
      </c>
      <c r="C209" s="15">
        <v>8</v>
      </c>
      <c r="D209" s="16">
        <v>5</v>
      </c>
      <c r="E209" s="22">
        <v>43884</v>
      </c>
      <c r="F209" s="17">
        <v>1</v>
      </c>
      <c r="G209" s="18">
        <v>0.18</v>
      </c>
      <c r="H209">
        <f>F209*VLOOKUP(B209,產品!$A$2:$H$61,7,FALSE)*(1-銷售總表!G209)</f>
        <v>12300.000000000002</v>
      </c>
      <c r="I209" s="35">
        <f>H209-F209*VLOOKUP(銷售總表!B209,產品!$A$2:$H$61,8,FALSE)</f>
        <v>2550.0000000000018</v>
      </c>
      <c r="J209" s="20">
        <f t="shared" si="3"/>
        <v>0.20731707317073184</v>
      </c>
    </row>
    <row r="210" spans="1:10" x14ac:dyDescent="0.3">
      <c r="A210" s="33">
        <v>209</v>
      </c>
      <c r="B210" s="4">
        <v>19</v>
      </c>
      <c r="C210" s="15">
        <v>258</v>
      </c>
      <c r="D210" s="16">
        <v>5</v>
      </c>
      <c r="E210" s="22">
        <v>43885</v>
      </c>
      <c r="F210" s="17">
        <v>45</v>
      </c>
      <c r="G210" s="18">
        <v>0.17</v>
      </c>
      <c r="H210">
        <f>F210*VLOOKUP(B210,產品!$A$2:$H$61,7,FALSE)*(1-銷售總表!G210)</f>
        <v>67230</v>
      </c>
      <c r="I210" s="35">
        <f>H210-F210*VLOOKUP(銷售總表!B210,產品!$A$2:$H$61,8,FALSE)</f>
        <v>34830</v>
      </c>
      <c r="J210" s="20">
        <f t="shared" si="3"/>
        <v>0.51807228915662651</v>
      </c>
    </row>
    <row r="211" spans="1:10" x14ac:dyDescent="0.3">
      <c r="A211" s="33">
        <v>210</v>
      </c>
      <c r="B211" s="4">
        <v>21</v>
      </c>
      <c r="C211" s="15">
        <v>8</v>
      </c>
      <c r="D211" s="16">
        <v>9</v>
      </c>
      <c r="E211" s="22">
        <v>43885</v>
      </c>
      <c r="F211" s="17">
        <v>20</v>
      </c>
      <c r="G211" s="18">
        <v>0.2</v>
      </c>
      <c r="H211">
        <f>F211*VLOOKUP(B211,產品!$A$2:$H$61,7,FALSE)*(1-銷售總表!G211)</f>
        <v>28800</v>
      </c>
      <c r="I211" s="35">
        <f>H211-F211*VLOOKUP(銷售總表!B211,產品!$A$2:$H$61,8,FALSE)</f>
        <v>14400</v>
      </c>
      <c r="J211" s="20">
        <f t="shared" si="3"/>
        <v>0.5</v>
      </c>
    </row>
    <row r="212" spans="1:10" x14ac:dyDescent="0.3">
      <c r="A212" s="33">
        <v>211</v>
      </c>
      <c r="B212" s="4">
        <v>36</v>
      </c>
      <c r="C212" s="15">
        <v>282</v>
      </c>
      <c r="D212" s="16">
        <v>8</v>
      </c>
      <c r="E212" s="22">
        <v>43885</v>
      </c>
      <c r="F212" s="17">
        <v>2</v>
      </c>
      <c r="G212" s="18">
        <v>0.19</v>
      </c>
      <c r="H212">
        <f>F212*VLOOKUP(B212,產品!$A$2:$H$61,7,FALSE)*(1-銷售總表!G212)</f>
        <v>14580.000000000002</v>
      </c>
      <c r="I212" s="35">
        <f>H212-F212*VLOOKUP(銷售總表!B212,產品!$A$2:$H$61,8,FALSE)</f>
        <v>3780.0000000000018</v>
      </c>
      <c r="J212" s="20">
        <f t="shared" si="3"/>
        <v>0.25925925925925936</v>
      </c>
    </row>
    <row r="213" spans="1:10" x14ac:dyDescent="0.3">
      <c r="A213" s="33">
        <v>212</v>
      </c>
      <c r="B213" s="4">
        <v>16</v>
      </c>
      <c r="C213" s="15">
        <v>6</v>
      </c>
      <c r="D213" s="16">
        <v>2</v>
      </c>
      <c r="E213" s="22">
        <v>43886</v>
      </c>
      <c r="F213" s="17">
        <v>30</v>
      </c>
      <c r="G213" s="18">
        <v>0.13</v>
      </c>
      <c r="H213">
        <f>F213*VLOOKUP(B213,產品!$A$2:$H$61,7,FALSE)*(1-銷售總表!G213)</f>
        <v>46980</v>
      </c>
      <c r="I213" s="35">
        <f>H213-F213*VLOOKUP(銷售總表!B213,產品!$A$2:$H$61,8,FALSE)</f>
        <v>25380</v>
      </c>
      <c r="J213" s="20">
        <f t="shared" si="3"/>
        <v>0.54022988505747127</v>
      </c>
    </row>
    <row r="214" spans="1:10" x14ac:dyDescent="0.3">
      <c r="A214" s="33">
        <v>213</v>
      </c>
      <c r="B214" s="4">
        <v>23</v>
      </c>
      <c r="C214" s="15">
        <v>265</v>
      </c>
      <c r="D214" s="16">
        <v>1</v>
      </c>
      <c r="E214" s="22">
        <v>43886</v>
      </c>
      <c r="F214" s="19">
        <v>10</v>
      </c>
      <c r="G214" s="18">
        <v>0.13</v>
      </c>
      <c r="H214">
        <f>F214*VLOOKUP(B214,產品!$A$2:$H$61,7,FALSE)*(1-銷售總表!G214)</f>
        <v>15660</v>
      </c>
      <c r="I214" s="35">
        <f>H214-F214*VLOOKUP(銷售總表!B214,產品!$A$2:$H$61,8,FALSE)</f>
        <v>8460</v>
      </c>
      <c r="J214" s="20">
        <f t="shared" si="3"/>
        <v>0.54022988505747127</v>
      </c>
    </row>
    <row r="215" spans="1:10" x14ac:dyDescent="0.3">
      <c r="A215" s="33">
        <v>214</v>
      </c>
      <c r="B215" s="4">
        <v>55</v>
      </c>
      <c r="C215" s="15">
        <v>112</v>
      </c>
      <c r="D215" s="16">
        <v>3</v>
      </c>
      <c r="E215" s="22">
        <v>43886</v>
      </c>
      <c r="F215" s="19">
        <v>3</v>
      </c>
      <c r="G215" s="18">
        <v>0.17</v>
      </c>
      <c r="H215">
        <f>F215*VLOOKUP(B215,產品!$A$2:$H$61,7,FALSE)*(1-銷售總表!G215)</f>
        <v>49800</v>
      </c>
      <c r="I215" s="35">
        <f>H215-F215*VLOOKUP(銷售總表!B215,產品!$A$2:$H$61,8,FALSE)</f>
        <v>7800</v>
      </c>
      <c r="J215" s="20">
        <f t="shared" si="3"/>
        <v>0.15662650602409639</v>
      </c>
    </row>
    <row r="216" spans="1:10" x14ac:dyDescent="0.3">
      <c r="A216" s="33">
        <v>215</v>
      </c>
      <c r="B216" s="4">
        <v>53</v>
      </c>
      <c r="C216" s="15">
        <v>292</v>
      </c>
      <c r="D216" s="16">
        <v>4</v>
      </c>
      <c r="E216" s="22">
        <v>43887</v>
      </c>
      <c r="F216" s="17">
        <v>10</v>
      </c>
      <c r="G216" s="18">
        <v>0.1</v>
      </c>
      <c r="H216">
        <f>F216*VLOOKUP(B216,產品!$A$2:$H$61,7,FALSE)*(1-銷售總表!G216)</f>
        <v>135000</v>
      </c>
      <c r="I216" s="35">
        <f>H216-F216*VLOOKUP(銷售總表!B216,產品!$A$2:$H$61,8,FALSE)</f>
        <v>30000</v>
      </c>
      <c r="J216" s="20">
        <f t="shared" si="3"/>
        <v>0.22222222222222221</v>
      </c>
    </row>
    <row r="217" spans="1:10" x14ac:dyDescent="0.3">
      <c r="A217" s="33">
        <v>216</v>
      </c>
      <c r="B217" s="4">
        <v>9</v>
      </c>
      <c r="C217" s="15">
        <v>282</v>
      </c>
      <c r="D217" s="16">
        <v>9</v>
      </c>
      <c r="E217" s="22">
        <v>43887</v>
      </c>
      <c r="F217" s="17">
        <v>25</v>
      </c>
      <c r="G217" s="18">
        <v>0.06</v>
      </c>
      <c r="H217">
        <f>F217*VLOOKUP(B217,產品!$A$2:$H$61,7,FALSE)*(1-銷售總表!G217)</f>
        <v>23500</v>
      </c>
      <c r="I217" s="35">
        <f>H217-F217*VLOOKUP(銷售總表!B217,產品!$A$2:$H$61,8,FALSE)</f>
        <v>13500</v>
      </c>
      <c r="J217" s="20">
        <f t="shared" si="3"/>
        <v>0.57446808510638303</v>
      </c>
    </row>
    <row r="218" spans="1:10" x14ac:dyDescent="0.3">
      <c r="A218" s="33">
        <v>217</v>
      </c>
      <c r="B218" s="4">
        <v>31</v>
      </c>
      <c r="C218" s="15">
        <v>124</v>
      </c>
      <c r="D218" s="16">
        <v>10</v>
      </c>
      <c r="E218" s="22">
        <v>43887</v>
      </c>
      <c r="F218" s="17">
        <v>5</v>
      </c>
      <c r="G218" s="18">
        <v>0.09</v>
      </c>
      <c r="H218">
        <f>F218*VLOOKUP(B218,產品!$A$2:$H$61,7,FALSE)*(1-銷售總表!G218)</f>
        <v>31850</v>
      </c>
      <c r="I218" s="35">
        <f>H218-F218*VLOOKUP(銷售總表!B218,產品!$A$2:$H$61,8,FALSE)</f>
        <v>10850</v>
      </c>
      <c r="J218" s="20">
        <f t="shared" si="3"/>
        <v>0.34065934065934067</v>
      </c>
    </row>
    <row r="219" spans="1:10" x14ac:dyDescent="0.3">
      <c r="A219" s="33">
        <v>218</v>
      </c>
      <c r="B219" s="4">
        <v>4</v>
      </c>
      <c r="C219" s="15">
        <v>8</v>
      </c>
      <c r="D219" s="16">
        <v>4</v>
      </c>
      <c r="E219" s="22">
        <v>43887</v>
      </c>
      <c r="F219" s="17">
        <v>10</v>
      </c>
      <c r="G219" s="18">
        <v>0.14000000000000001</v>
      </c>
      <c r="H219">
        <f>F219*VLOOKUP(B219,產品!$A$2:$H$61,7,FALSE)*(1-銷售總表!G219)</f>
        <v>8600</v>
      </c>
      <c r="I219" s="35">
        <f>H219-F219*VLOOKUP(銷售總表!B219,產品!$A$2:$H$61,8,FALSE)</f>
        <v>4600</v>
      </c>
      <c r="J219" s="20">
        <f t="shared" si="3"/>
        <v>0.53488372093023251</v>
      </c>
    </row>
    <row r="220" spans="1:10" x14ac:dyDescent="0.3">
      <c r="A220" s="33">
        <v>219</v>
      </c>
      <c r="B220" s="4">
        <v>11</v>
      </c>
      <c r="C220" s="15">
        <v>118</v>
      </c>
      <c r="D220" s="16">
        <v>5</v>
      </c>
      <c r="E220" s="22">
        <v>43888</v>
      </c>
      <c r="F220" s="19">
        <v>100</v>
      </c>
      <c r="G220" s="18">
        <v>0.16</v>
      </c>
      <c r="H220">
        <f>F220*VLOOKUP(B220,產品!$A$2:$H$61,7,FALSE)*(1-銷售總表!G220)</f>
        <v>84000</v>
      </c>
      <c r="I220" s="35">
        <f>H220-F220*VLOOKUP(銷售總表!B220,產品!$A$2:$H$61,8,FALSE)</f>
        <v>44000</v>
      </c>
      <c r="J220" s="20">
        <f t="shared" si="3"/>
        <v>0.52380952380952384</v>
      </c>
    </row>
    <row r="221" spans="1:10" x14ac:dyDescent="0.3">
      <c r="A221" s="33">
        <v>220</v>
      </c>
      <c r="B221" s="4">
        <v>35</v>
      </c>
      <c r="C221" s="15">
        <v>10</v>
      </c>
      <c r="D221" s="16">
        <v>8</v>
      </c>
      <c r="E221" s="22">
        <v>43888</v>
      </c>
      <c r="F221" s="17">
        <v>20</v>
      </c>
      <c r="G221" s="18">
        <v>0.15</v>
      </c>
      <c r="H221">
        <f>F221*VLOOKUP(B221,產品!$A$2:$H$61,7,FALSE)*(1-銷售總表!G221)</f>
        <v>144500</v>
      </c>
      <c r="I221" s="35">
        <f>H221-F221*VLOOKUP(銷售總表!B221,產品!$A$2:$H$61,8,FALSE)</f>
        <v>42500</v>
      </c>
      <c r="J221" s="20">
        <f t="shared" si="3"/>
        <v>0.29411764705882354</v>
      </c>
    </row>
    <row r="222" spans="1:10" x14ac:dyDescent="0.3">
      <c r="A222" s="33">
        <v>221</v>
      </c>
      <c r="B222" s="4">
        <v>18</v>
      </c>
      <c r="C222" s="15">
        <v>113</v>
      </c>
      <c r="D222" s="16">
        <v>6</v>
      </c>
      <c r="E222" s="22">
        <v>43888</v>
      </c>
      <c r="F222" s="17">
        <v>30</v>
      </c>
      <c r="G222" s="18">
        <v>7.0000000000000007E-2</v>
      </c>
      <c r="H222">
        <f>F222*VLOOKUP(B222,產品!$A$2:$H$61,7,FALSE)*(1-銷售總表!G222)</f>
        <v>50220</v>
      </c>
      <c r="I222" s="35">
        <f>H222-F222*VLOOKUP(銷售總表!B222,產品!$A$2:$H$61,8,FALSE)</f>
        <v>28620</v>
      </c>
      <c r="J222" s="20">
        <f t="shared" si="3"/>
        <v>0.56989247311827962</v>
      </c>
    </row>
    <row r="223" spans="1:10" x14ac:dyDescent="0.3">
      <c r="A223" s="33">
        <v>222</v>
      </c>
      <c r="B223" s="4">
        <v>3</v>
      </c>
      <c r="C223" s="15">
        <v>276</v>
      </c>
      <c r="D223" s="16">
        <v>5</v>
      </c>
      <c r="E223" s="22">
        <v>43888</v>
      </c>
      <c r="F223" s="17">
        <v>30</v>
      </c>
      <c r="G223" s="18">
        <v>0.09</v>
      </c>
      <c r="H223">
        <f>F223*VLOOKUP(B223,產品!$A$2:$H$61,7,FALSE)*(1-銷售總表!G223)</f>
        <v>27300</v>
      </c>
      <c r="I223" s="35">
        <f>H223-F223*VLOOKUP(銷售總表!B223,產品!$A$2:$H$61,8,FALSE)</f>
        <v>15300</v>
      </c>
      <c r="J223" s="20">
        <f t="shared" si="3"/>
        <v>0.56043956043956045</v>
      </c>
    </row>
    <row r="224" spans="1:10" x14ac:dyDescent="0.3">
      <c r="A224" s="33">
        <v>223</v>
      </c>
      <c r="B224" s="4">
        <v>32</v>
      </c>
      <c r="C224" s="15">
        <v>4</v>
      </c>
      <c r="D224" s="16">
        <v>8</v>
      </c>
      <c r="E224" s="22">
        <v>43888</v>
      </c>
      <c r="F224" s="17">
        <v>10</v>
      </c>
      <c r="G224" s="18">
        <v>0.2</v>
      </c>
      <c r="H224">
        <f>F224*VLOOKUP(B224,產品!$A$2:$H$61,7,FALSE)*(1-銷售總表!G224)</f>
        <v>60000</v>
      </c>
      <c r="I224" s="35">
        <f>H224-F224*VLOOKUP(銷售總表!B224,產品!$A$2:$H$61,8,FALSE)</f>
        <v>15000</v>
      </c>
      <c r="J224" s="20">
        <f t="shared" si="3"/>
        <v>0.25</v>
      </c>
    </row>
    <row r="225" spans="1:10" x14ac:dyDescent="0.3">
      <c r="A225" s="33">
        <v>224</v>
      </c>
      <c r="B225" s="4">
        <v>36</v>
      </c>
      <c r="C225" s="15">
        <v>264</v>
      </c>
      <c r="D225" s="16">
        <v>10</v>
      </c>
      <c r="E225" s="22">
        <v>43888</v>
      </c>
      <c r="F225" s="17">
        <v>4</v>
      </c>
      <c r="G225" s="18">
        <v>0.16</v>
      </c>
      <c r="H225">
        <f>F225*VLOOKUP(B225,產品!$A$2:$H$61,7,FALSE)*(1-銷售總表!G225)</f>
        <v>30240</v>
      </c>
      <c r="I225" s="35">
        <f>H225-F225*VLOOKUP(銷售總表!B225,產品!$A$2:$H$61,8,FALSE)</f>
        <v>8640</v>
      </c>
      <c r="J225" s="20">
        <f t="shared" si="3"/>
        <v>0.2857142857142857</v>
      </c>
    </row>
    <row r="226" spans="1:10" x14ac:dyDescent="0.3">
      <c r="A226" s="33">
        <v>225</v>
      </c>
      <c r="B226" s="4">
        <v>13</v>
      </c>
      <c r="C226" s="15">
        <v>120</v>
      </c>
      <c r="D226" s="16">
        <v>2</v>
      </c>
      <c r="E226" s="22">
        <v>43889</v>
      </c>
      <c r="F226" s="17">
        <v>60</v>
      </c>
      <c r="G226" s="18">
        <v>0.13</v>
      </c>
      <c r="H226">
        <f>F226*VLOOKUP(B226,產品!$A$2:$H$61,7,FALSE)*(1-銷售總表!G226)</f>
        <v>93960</v>
      </c>
      <c r="I226" s="35">
        <f>H226-F226*VLOOKUP(銷售總表!B226,產品!$A$2:$H$61,8,FALSE)</f>
        <v>50760</v>
      </c>
      <c r="J226" s="20">
        <f t="shared" si="3"/>
        <v>0.54022988505747127</v>
      </c>
    </row>
    <row r="227" spans="1:10" x14ac:dyDescent="0.3">
      <c r="A227" s="33">
        <v>226</v>
      </c>
      <c r="B227" s="4">
        <v>40</v>
      </c>
      <c r="C227" s="15">
        <v>289</v>
      </c>
      <c r="D227" s="16">
        <v>10</v>
      </c>
      <c r="E227" s="22">
        <v>43889</v>
      </c>
      <c r="F227" s="17">
        <v>6</v>
      </c>
      <c r="G227" s="18">
        <v>0.13</v>
      </c>
      <c r="H227">
        <f>F227*VLOOKUP(B227,產品!$A$2:$H$61,7,FALSE)*(1-銷售總表!G227)</f>
        <v>104400</v>
      </c>
      <c r="I227" s="35">
        <f>H227-F227*VLOOKUP(銷售總表!B227,產品!$A$2:$H$61,8,FALSE)</f>
        <v>26400</v>
      </c>
      <c r="J227" s="20">
        <f t="shared" si="3"/>
        <v>0.25287356321839083</v>
      </c>
    </row>
    <row r="228" spans="1:10" x14ac:dyDescent="0.3">
      <c r="A228" s="33">
        <v>227</v>
      </c>
      <c r="B228" s="4">
        <v>50</v>
      </c>
      <c r="C228" s="15">
        <v>124</v>
      </c>
      <c r="D228" s="16">
        <v>10</v>
      </c>
      <c r="E228" s="22">
        <v>43889</v>
      </c>
      <c r="F228" s="17">
        <v>10</v>
      </c>
      <c r="G228" s="18">
        <v>0.2</v>
      </c>
      <c r="H228">
        <f>F228*VLOOKUP(B228,產品!$A$2:$H$61,7,FALSE)*(1-銷售總表!G228)</f>
        <v>144000</v>
      </c>
      <c r="I228" s="35">
        <f>H228-F228*VLOOKUP(銷售總表!B228,產品!$A$2:$H$61,8,FALSE)</f>
        <v>18000</v>
      </c>
      <c r="J228" s="20">
        <f t="shared" si="3"/>
        <v>0.125</v>
      </c>
    </row>
    <row r="229" spans="1:10" x14ac:dyDescent="0.3">
      <c r="A229" s="33">
        <v>228</v>
      </c>
      <c r="B229" s="4">
        <v>35</v>
      </c>
      <c r="C229" s="15">
        <v>7</v>
      </c>
      <c r="D229" s="16">
        <v>1</v>
      </c>
      <c r="E229" s="22">
        <v>43889</v>
      </c>
      <c r="F229" s="17">
        <v>5</v>
      </c>
      <c r="G229" s="18">
        <v>0.09</v>
      </c>
      <c r="H229">
        <f>F229*VLOOKUP(B229,產品!$A$2:$H$61,7,FALSE)*(1-銷售總表!G229)</f>
        <v>38675</v>
      </c>
      <c r="I229" s="35">
        <f>H229-F229*VLOOKUP(銷售總表!B229,產品!$A$2:$H$61,8,FALSE)</f>
        <v>13175</v>
      </c>
      <c r="J229" s="20">
        <f t="shared" si="3"/>
        <v>0.34065934065934067</v>
      </c>
    </row>
    <row r="230" spans="1:10" x14ac:dyDescent="0.3">
      <c r="A230" s="33">
        <v>229</v>
      </c>
      <c r="B230" s="4">
        <v>51</v>
      </c>
      <c r="C230" s="15">
        <v>4</v>
      </c>
      <c r="D230" s="16">
        <v>8</v>
      </c>
      <c r="E230" s="22">
        <v>43889</v>
      </c>
      <c r="F230" s="17">
        <v>4</v>
      </c>
      <c r="G230" s="18">
        <v>0.15</v>
      </c>
      <c r="H230">
        <f>F230*VLOOKUP(B230,產品!$A$2:$H$61,7,FALSE)*(1-銷售總表!G230)</f>
        <v>68000</v>
      </c>
      <c r="I230" s="35">
        <f>H230-F230*VLOOKUP(銷售總表!B230,產品!$A$2:$H$61,8,FALSE)</f>
        <v>12000</v>
      </c>
      <c r="J230" s="20">
        <f t="shared" si="3"/>
        <v>0.17647058823529413</v>
      </c>
    </row>
    <row r="231" spans="1:10" x14ac:dyDescent="0.3">
      <c r="A231" s="33">
        <v>230</v>
      </c>
      <c r="B231" s="4">
        <v>11</v>
      </c>
      <c r="C231" s="15">
        <v>6</v>
      </c>
      <c r="D231" s="16">
        <v>3</v>
      </c>
      <c r="E231" s="22">
        <v>43889</v>
      </c>
      <c r="F231" s="17">
        <v>20</v>
      </c>
      <c r="G231" s="18">
        <v>0.08</v>
      </c>
      <c r="H231">
        <f>F231*VLOOKUP(B231,產品!$A$2:$H$61,7,FALSE)*(1-銷售總表!G231)</f>
        <v>18400</v>
      </c>
      <c r="I231" s="35">
        <f>H231-F231*VLOOKUP(銷售總表!B231,產品!$A$2:$H$61,8,FALSE)</f>
        <v>10400</v>
      </c>
      <c r="J231" s="20">
        <f t="shared" si="3"/>
        <v>0.56521739130434778</v>
      </c>
    </row>
    <row r="232" spans="1:10" x14ac:dyDescent="0.3">
      <c r="A232" s="33">
        <v>231</v>
      </c>
      <c r="B232" s="4">
        <v>21</v>
      </c>
      <c r="C232" s="15">
        <v>258</v>
      </c>
      <c r="D232" s="16">
        <v>4</v>
      </c>
      <c r="E232" s="22">
        <v>43890</v>
      </c>
      <c r="F232" s="17">
        <v>125</v>
      </c>
      <c r="G232" s="18">
        <v>0.05</v>
      </c>
      <c r="H232">
        <f>F232*VLOOKUP(B232,產品!$A$2:$H$61,7,FALSE)*(1-銷售總表!G232)</f>
        <v>213750</v>
      </c>
      <c r="I232" s="35">
        <f>H232-F232*VLOOKUP(銷售總表!B232,產品!$A$2:$H$61,8,FALSE)</f>
        <v>123750</v>
      </c>
      <c r="J232" s="20">
        <f t="shared" si="3"/>
        <v>0.57894736842105265</v>
      </c>
    </row>
    <row r="233" spans="1:10" x14ac:dyDescent="0.3">
      <c r="A233" s="33">
        <v>232</v>
      </c>
      <c r="B233" s="4">
        <v>16</v>
      </c>
      <c r="C233" s="15">
        <v>271</v>
      </c>
      <c r="D233" s="16">
        <v>3</v>
      </c>
      <c r="E233" s="22">
        <v>43890</v>
      </c>
      <c r="F233" s="17">
        <v>60</v>
      </c>
      <c r="G233" s="18">
        <v>7.0000000000000007E-2</v>
      </c>
      <c r="H233">
        <f>F233*VLOOKUP(B233,產品!$A$2:$H$61,7,FALSE)*(1-銷售總表!G233)</f>
        <v>100440</v>
      </c>
      <c r="I233" s="35">
        <f>H233-F233*VLOOKUP(銷售總表!B233,產品!$A$2:$H$61,8,FALSE)</f>
        <v>57240</v>
      </c>
      <c r="J233" s="20">
        <f t="shared" si="3"/>
        <v>0.56989247311827962</v>
      </c>
    </row>
    <row r="234" spans="1:10" x14ac:dyDescent="0.3">
      <c r="A234" s="33">
        <v>233</v>
      </c>
      <c r="B234" s="4">
        <v>39</v>
      </c>
      <c r="C234" s="15">
        <v>287</v>
      </c>
      <c r="D234" s="16">
        <v>2</v>
      </c>
      <c r="E234" s="22">
        <v>43890</v>
      </c>
      <c r="F234" s="19">
        <v>10</v>
      </c>
      <c r="G234" s="18">
        <v>0.09</v>
      </c>
      <c r="H234">
        <f>F234*VLOOKUP(B234,產品!$A$2:$H$61,7,FALSE)*(1-銷售總表!G234)</f>
        <v>163800</v>
      </c>
      <c r="I234" s="35">
        <f>H234-F234*VLOOKUP(銷售總表!B234,產品!$A$2:$H$61,8,FALSE)</f>
        <v>46800</v>
      </c>
      <c r="J234" s="20">
        <f t="shared" si="3"/>
        <v>0.2857142857142857</v>
      </c>
    </row>
    <row r="235" spans="1:10" x14ac:dyDescent="0.3">
      <c r="A235" s="33">
        <v>234</v>
      </c>
      <c r="B235" s="4">
        <v>33</v>
      </c>
      <c r="C235" s="15">
        <v>10</v>
      </c>
      <c r="D235" s="16">
        <v>10</v>
      </c>
      <c r="E235" s="22">
        <v>43890</v>
      </c>
      <c r="F235" s="17">
        <v>10</v>
      </c>
      <c r="G235" s="18">
        <v>0.19</v>
      </c>
      <c r="H235">
        <f>F235*VLOOKUP(B235,產品!$A$2:$H$61,7,FALSE)*(1-銷售總表!G235)</f>
        <v>60750.000000000007</v>
      </c>
      <c r="I235" s="35">
        <f>H235-F235*VLOOKUP(銷售總表!B235,產品!$A$2:$H$61,8,FALSE)</f>
        <v>15750.000000000007</v>
      </c>
      <c r="J235" s="20">
        <f t="shared" si="3"/>
        <v>0.25925925925925936</v>
      </c>
    </row>
    <row r="236" spans="1:10" x14ac:dyDescent="0.3">
      <c r="A236" s="33">
        <v>235</v>
      </c>
      <c r="B236" s="4">
        <v>14</v>
      </c>
      <c r="C236" s="15">
        <v>273</v>
      </c>
      <c r="D236" s="16">
        <v>2</v>
      </c>
      <c r="E236" s="22">
        <v>43891</v>
      </c>
      <c r="F236" s="17">
        <v>100</v>
      </c>
      <c r="G236" s="18">
        <v>0.1</v>
      </c>
      <c r="H236">
        <f>F236*VLOOKUP(B236,產品!$A$2:$H$61,7,FALSE)*(1-銷售總表!G236)</f>
        <v>162000</v>
      </c>
      <c r="I236" s="35">
        <f>H236-F236*VLOOKUP(銷售總表!B236,產品!$A$2:$H$61,8,FALSE)</f>
        <v>90000</v>
      </c>
      <c r="J236" s="20">
        <f t="shared" si="3"/>
        <v>0.55555555555555558</v>
      </c>
    </row>
    <row r="237" spans="1:10" x14ac:dyDescent="0.3">
      <c r="A237" s="33">
        <v>236</v>
      </c>
      <c r="B237" s="4">
        <v>42</v>
      </c>
      <c r="C237" s="15">
        <v>290</v>
      </c>
      <c r="D237" s="16">
        <v>10</v>
      </c>
      <c r="E237" s="22">
        <v>43891</v>
      </c>
      <c r="F237" s="17">
        <v>4</v>
      </c>
      <c r="G237" s="18">
        <v>0.05</v>
      </c>
      <c r="H237">
        <f>F237*VLOOKUP(B237,產品!$A$2:$H$61,7,FALSE)*(1-銷售總表!G237)</f>
        <v>57000</v>
      </c>
      <c r="I237" s="35">
        <f>H237-F237*VLOOKUP(銷售總表!B237,產品!$A$2:$H$61,8,FALSE)</f>
        <v>18000</v>
      </c>
      <c r="J237" s="20">
        <f t="shared" si="3"/>
        <v>0.31578947368421051</v>
      </c>
    </row>
    <row r="238" spans="1:10" x14ac:dyDescent="0.3">
      <c r="A238" s="33">
        <v>237</v>
      </c>
      <c r="B238" s="4">
        <v>13</v>
      </c>
      <c r="C238" s="15">
        <v>121</v>
      </c>
      <c r="D238" s="16">
        <v>7</v>
      </c>
      <c r="E238" s="22">
        <v>43891</v>
      </c>
      <c r="F238" s="17">
        <v>20</v>
      </c>
      <c r="G238" s="18">
        <v>0.2</v>
      </c>
      <c r="H238">
        <f>F238*VLOOKUP(B238,產品!$A$2:$H$61,7,FALSE)*(1-銷售總表!G238)</f>
        <v>28800</v>
      </c>
      <c r="I238" s="35">
        <f>H238-F238*VLOOKUP(銷售總表!B238,產品!$A$2:$H$61,8,FALSE)</f>
        <v>14400</v>
      </c>
      <c r="J238" s="20">
        <f t="shared" si="3"/>
        <v>0.5</v>
      </c>
    </row>
    <row r="239" spans="1:10" x14ac:dyDescent="0.3">
      <c r="A239" s="33">
        <v>238</v>
      </c>
      <c r="B239" s="4">
        <v>49</v>
      </c>
      <c r="C239" s="15">
        <v>263</v>
      </c>
      <c r="D239" s="16">
        <v>7</v>
      </c>
      <c r="E239" s="22">
        <v>43891</v>
      </c>
      <c r="F239" s="17">
        <v>4</v>
      </c>
      <c r="G239" s="18">
        <v>7.0000000000000007E-2</v>
      </c>
      <c r="H239">
        <f>F239*VLOOKUP(B239,產品!$A$2:$H$61,7,FALSE)*(1-銷售總表!G239)</f>
        <v>55799.999999999993</v>
      </c>
      <c r="I239" s="35">
        <f>H239-F239*VLOOKUP(銷售總表!B239,產品!$A$2:$H$61,8,FALSE)</f>
        <v>13799.999999999993</v>
      </c>
      <c r="J239" s="20">
        <f t="shared" si="3"/>
        <v>0.24731182795698914</v>
      </c>
    </row>
    <row r="240" spans="1:10" x14ac:dyDescent="0.3">
      <c r="A240" s="33">
        <v>239</v>
      </c>
      <c r="B240" s="4">
        <v>18</v>
      </c>
      <c r="C240" s="15">
        <v>124</v>
      </c>
      <c r="D240" s="16">
        <v>2</v>
      </c>
      <c r="E240" s="22">
        <v>43892</v>
      </c>
      <c r="F240" s="17">
        <v>100</v>
      </c>
      <c r="G240" s="18">
        <v>0.16</v>
      </c>
      <c r="H240">
        <f>F240*VLOOKUP(B240,產品!$A$2:$H$61,7,FALSE)*(1-銷售總表!G240)</f>
        <v>151200</v>
      </c>
      <c r="I240" s="35">
        <f>H240-F240*VLOOKUP(銷售總表!B240,產品!$A$2:$H$61,8,FALSE)</f>
        <v>79200</v>
      </c>
      <c r="J240" s="20">
        <f t="shared" si="3"/>
        <v>0.52380952380952384</v>
      </c>
    </row>
    <row r="241" spans="1:10" x14ac:dyDescent="0.3">
      <c r="A241" s="33">
        <v>240</v>
      </c>
      <c r="B241" s="4">
        <v>33</v>
      </c>
      <c r="C241" s="15">
        <v>123</v>
      </c>
      <c r="D241" s="16">
        <v>2</v>
      </c>
      <c r="E241" s="22">
        <v>43892</v>
      </c>
      <c r="F241" s="19">
        <v>25</v>
      </c>
      <c r="G241" s="18">
        <v>0.06</v>
      </c>
      <c r="H241">
        <f>F241*VLOOKUP(B241,產品!$A$2:$H$61,7,FALSE)*(1-銷售總表!G241)</f>
        <v>176250</v>
      </c>
      <c r="I241" s="35">
        <f>H241-F241*VLOOKUP(銷售總表!B241,產品!$A$2:$H$61,8,FALSE)</f>
        <v>63750</v>
      </c>
      <c r="J241" s="20">
        <f t="shared" si="3"/>
        <v>0.36170212765957449</v>
      </c>
    </row>
    <row r="242" spans="1:10" x14ac:dyDescent="0.3">
      <c r="A242" s="33">
        <v>241</v>
      </c>
      <c r="B242" s="4">
        <v>60</v>
      </c>
      <c r="C242" s="15">
        <v>258</v>
      </c>
      <c r="D242" s="16">
        <v>6</v>
      </c>
      <c r="E242" s="22">
        <v>43892</v>
      </c>
      <c r="F242" s="17">
        <v>10</v>
      </c>
      <c r="G242" s="18">
        <v>0.06</v>
      </c>
      <c r="H242">
        <f>F242*VLOOKUP(B242,產品!$A$2:$H$61,7,FALSE)*(1-銷售總表!G242)</f>
        <v>235000</v>
      </c>
      <c r="I242" s="35">
        <f>H242-F242*VLOOKUP(銷售總表!B242,產品!$A$2:$H$61,8,FALSE)</f>
        <v>60000</v>
      </c>
      <c r="J242" s="20">
        <f t="shared" si="3"/>
        <v>0.25531914893617019</v>
      </c>
    </row>
    <row r="243" spans="1:10" x14ac:dyDescent="0.3">
      <c r="A243" s="33">
        <v>242</v>
      </c>
      <c r="B243" s="4">
        <v>12</v>
      </c>
      <c r="C243" s="15">
        <v>263</v>
      </c>
      <c r="D243" s="16">
        <v>3</v>
      </c>
      <c r="E243" s="22">
        <v>43892</v>
      </c>
      <c r="F243" s="17">
        <v>40</v>
      </c>
      <c r="G243" s="18">
        <v>0.18</v>
      </c>
      <c r="H243">
        <f>F243*VLOOKUP(B243,產品!$A$2:$H$61,7,FALSE)*(1-銷售總表!G243)</f>
        <v>32800</v>
      </c>
      <c r="I243" s="35">
        <f>H243-F243*VLOOKUP(銷售總表!B243,產品!$A$2:$H$61,8,FALSE)</f>
        <v>16800</v>
      </c>
      <c r="J243" s="20">
        <f t="shared" si="3"/>
        <v>0.51219512195121952</v>
      </c>
    </row>
    <row r="244" spans="1:10" x14ac:dyDescent="0.3">
      <c r="A244" s="33">
        <v>243</v>
      </c>
      <c r="B244" s="4">
        <v>49</v>
      </c>
      <c r="C244" s="15">
        <v>139</v>
      </c>
      <c r="D244" s="16">
        <v>9</v>
      </c>
      <c r="E244" s="22">
        <v>43892</v>
      </c>
      <c r="F244" s="17">
        <v>2</v>
      </c>
      <c r="G244" s="18">
        <v>0.17</v>
      </c>
      <c r="H244">
        <f>F244*VLOOKUP(B244,產品!$A$2:$H$61,7,FALSE)*(1-銷售總表!G244)</f>
        <v>24900</v>
      </c>
      <c r="I244" s="35">
        <f>H244-F244*VLOOKUP(銷售總表!B244,產品!$A$2:$H$61,8,FALSE)</f>
        <v>3900</v>
      </c>
      <c r="J244" s="20">
        <f t="shared" si="3"/>
        <v>0.15662650602409639</v>
      </c>
    </row>
    <row r="245" spans="1:10" x14ac:dyDescent="0.3">
      <c r="A245" s="33">
        <v>244</v>
      </c>
      <c r="B245" s="4">
        <v>19</v>
      </c>
      <c r="C245" s="15">
        <v>5</v>
      </c>
      <c r="D245" s="16">
        <v>4</v>
      </c>
      <c r="E245" s="22">
        <v>43893</v>
      </c>
      <c r="F245" s="17">
        <v>100</v>
      </c>
      <c r="G245" s="18">
        <v>0.05</v>
      </c>
      <c r="H245">
        <f>F245*VLOOKUP(B245,產品!$A$2:$H$61,7,FALSE)*(1-銷售總表!G245)</f>
        <v>171000</v>
      </c>
      <c r="I245" s="35">
        <f>H245-F245*VLOOKUP(銷售總表!B245,產品!$A$2:$H$61,8,FALSE)</f>
        <v>99000</v>
      </c>
      <c r="J245" s="20">
        <f t="shared" si="3"/>
        <v>0.57894736842105265</v>
      </c>
    </row>
    <row r="246" spans="1:10" x14ac:dyDescent="0.3">
      <c r="A246" s="33">
        <v>245</v>
      </c>
      <c r="B246" s="4">
        <v>41</v>
      </c>
      <c r="C246" s="15">
        <v>112</v>
      </c>
      <c r="D246" s="16">
        <v>2</v>
      </c>
      <c r="E246" s="22">
        <v>43893</v>
      </c>
      <c r="F246" s="17">
        <v>15</v>
      </c>
      <c r="G246" s="18">
        <v>0.12</v>
      </c>
      <c r="H246">
        <f>F246*VLOOKUP(B246,產品!$A$2:$H$61,7,FALSE)*(1-銷售總表!G246)</f>
        <v>158400</v>
      </c>
      <c r="I246" s="35">
        <f>H246-F246*VLOOKUP(銷售總表!B246,產品!$A$2:$H$61,8,FALSE)</f>
        <v>41400</v>
      </c>
      <c r="J246" s="20">
        <f t="shared" si="3"/>
        <v>0.26136363636363635</v>
      </c>
    </row>
    <row r="247" spans="1:10" x14ac:dyDescent="0.3">
      <c r="A247" s="33">
        <v>246</v>
      </c>
      <c r="B247" s="4">
        <v>35</v>
      </c>
      <c r="C247" s="15">
        <v>280</v>
      </c>
      <c r="D247" s="16">
        <v>3</v>
      </c>
      <c r="E247" s="22">
        <v>43893</v>
      </c>
      <c r="F247" s="17">
        <v>2</v>
      </c>
      <c r="G247" s="18">
        <v>0.14000000000000001</v>
      </c>
      <c r="H247">
        <f>F247*VLOOKUP(B247,產品!$A$2:$H$61,7,FALSE)*(1-銷售總表!G247)</f>
        <v>14620</v>
      </c>
      <c r="I247" s="35">
        <f>H247-F247*VLOOKUP(銷售總表!B247,產品!$A$2:$H$61,8,FALSE)</f>
        <v>4420</v>
      </c>
      <c r="J247" s="20">
        <f t="shared" si="3"/>
        <v>0.30232558139534882</v>
      </c>
    </row>
    <row r="248" spans="1:10" x14ac:dyDescent="0.3">
      <c r="A248" s="33">
        <v>247</v>
      </c>
      <c r="B248" s="4">
        <v>34</v>
      </c>
      <c r="C248" s="15">
        <v>112</v>
      </c>
      <c r="D248" s="16">
        <v>3</v>
      </c>
      <c r="E248" s="22">
        <v>43893</v>
      </c>
      <c r="F248" s="17">
        <v>1</v>
      </c>
      <c r="G248" s="18">
        <v>0.1</v>
      </c>
      <c r="H248">
        <f>F248*VLOOKUP(B248,產品!$A$2:$H$61,7,FALSE)*(1-銷售總表!G248)</f>
        <v>7200</v>
      </c>
      <c r="I248" s="35">
        <f>H248-F248*VLOOKUP(銷售總表!B248,產品!$A$2:$H$61,8,FALSE)</f>
        <v>2400</v>
      </c>
      <c r="J248" s="20">
        <f t="shared" si="3"/>
        <v>0.33333333333333331</v>
      </c>
    </row>
    <row r="249" spans="1:10" x14ac:dyDescent="0.3">
      <c r="A249" s="33">
        <v>248</v>
      </c>
      <c r="B249" s="4">
        <v>24</v>
      </c>
      <c r="C249" s="15">
        <v>5</v>
      </c>
      <c r="D249" s="16">
        <v>8</v>
      </c>
      <c r="E249" s="22">
        <v>43894</v>
      </c>
      <c r="F249" s="17">
        <v>150</v>
      </c>
      <c r="G249" s="18">
        <v>0.11</v>
      </c>
      <c r="H249">
        <f>F249*VLOOKUP(B249,產品!$A$2:$H$61,7,FALSE)*(1-銷售總表!G249)</f>
        <v>240300</v>
      </c>
      <c r="I249" s="35">
        <f>H249-F249*VLOOKUP(銷售總表!B249,產品!$A$2:$H$61,8,FALSE)</f>
        <v>132300</v>
      </c>
      <c r="J249" s="20">
        <f t="shared" si="3"/>
        <v>0.550561797752809</v>
      </c>
    </row>
    <row r="250" spans="1:10" x14ac:dyDescent="0.3">
      <c r="A250" s="33">
        <v>249</v>
      </c>
      <c r="B250" s="4">
        <v>22</v>
      </c>
      <c r="C250" s="15">
        <v>11</v>
      </c>
      <c r="D250" s="16">
        <v>10</v>
      </c>
      <c r="E250" s="22">
        <v>43894</v>
      </c>
      <c r="F250" s="17">
        <v>30</v>
      </c>
      <c r="G250" s="18">
        <v>0.12</v>
      </c>
      <c r="H250">
        <f>F250*VLOOKUP(B250,產品!$A$2:$H$61,7,FALSE)*(1-銷售總表!G250)</f>
        <v>47520</v>
      </c>
      <c r="I250" s="35">
        <f>H250-F250*VLOOKUP(銷售總表!B250,產品!$A$2:$H$61,8,FALSE)</f>
        <v>25920</v>
      </c>
      <c r="J250" s="20">
        <f t="shared" si="3"/>
        <v>0.54545454545454541</v>
      </c>
    </row>
    <row r="251" spans="1:10" x14ac:dyDescent="0.3">
      <c r="A251" s="33">
        <v>250</v>
      </c>
      <c r="B251" s="4">
        <v>45</v>
      </c>
      <c r="C251" s="15">
        <v>8</v>
      </c>
      <c r="D251" s="16">
        <v>2</v>
      </c>
      <c r="E251" s="22">
        <v>43894</v>
      </c>
      <c r="F251" s="17">
        <v>3</v>
      </c>
      <c r="G251" s="18">
        <v>0.06</v>
      </c>
      <c r="H251">
        <f>F251*VLOOKUP(B251,產品!$A$2:$H$61,7,FALSE)*(1-銷售總表!G251)</f>
        <v>39480</v>
      </c>
      <c r="I251" s="35">
        <f>H251-F251*VLOOKUP(銷售總表!B251,產品!$A$2:$H$61,8,FALSE)</f>
        <v>12180</v>
      </c>
      <c r="J251" s="20">
        <f t="shared" si="3"/>
        <v>0.30851063829787234</v>
      </c>
    </row>
    <row r="252" spans="1:10" x14ac:dyDescent="0.3">
      <c r="A252" s="33">
        <v>251</v>
      </c>
      <c r="B252" s="4">
        <v>26</v>
      </c>
      <c r="C252" s="15">
        <v>284</v>
      </c>
      <c r="D252" s="16">
        <v>7</v>
      </c>
      <c r="E252" s="22">
        <v>43894</v>
      </c>
      <c r="F252" s="17">
        <v>3</v>
      </c>
      <c r="G252" s="18">
        <v>0.11</v>
      </c>
      <c r="H252">
        <f>F252*VLOOKUP(B252,產品!$A$2:$H$61,7,FALSE)*(1-銷售總表!G252)</f>
        <v>17355</v>
      </c>
      <c r="I252" s="35">
        <f>H252-F252*VLOOKUP(銷售總表!B252,產品!$A$2:$H$61,8,FALSE)</f>
        <v>5655</v>
      </c>
      <c r="J252" s="20">
        <f t="shared" si="3"/>
        <v>0.3258426966292135</v>
      </c>
    </row>
    <row r="253" spans="1:10" x14ac:dyDescent="0.3">
      <c r="A253" s="33">
        <v>252</v>
      </c>
      <c r="B253" s="4">
        <v>52</v>
      </c>
      <c r="C253" s="15">
        <v>10</v>
      </c>
      <c r="D253" s="16">
        <v>7</v>
      </c>
      <c r="E253" s="22">
        <v>43895</v>
      </c>
      <c r="F253" s="17">
        <v>12</v>
      </c>
      <c r="G253" s="18">
        <v>0.1</v>
      </c>
      <c r="H253">
        <f>F253*VLOOKUP(B253,產品!$A$2:$H$61,7,FALSE)*(1-銷售總表!G253)</f>
        <v>237600</v>
      </c>
      <c r="I253" s="35">
        <f>H253-F253*VLOOKUP(銷售總表!B253,產品!$A$2:$H$61,8,FALSE)</f>
        <v>52800.000000000029</v>
      </c>
      <c r="J253" s="20">
        <f t="shared" si="3"/>
        <v>0.22222222222222235</v>
      </c>
    </row>
    <row r="254" spans="1:10" x14ac:dyDescent="0.3">
      <c r="A254" s="33">
        <v>253</v>
      </c>
      <c r="B254" s="4">
        <v>16</v>
      </c>
      <c r="C254" s="15">
        <v>294</v>
      </c>
      <c r="D254" s="16">
        <v>7</v>
      </c>
      <c r="E254" s="22">
        <v>43895</v>
      </c>
      <c r="F254" s="17">
        <v>30</v>
      </c>
      <c r="G254" s="18">
        <v>0.19</v>
      </c>
      <c r="H254">
        <f>F254*VLOOKUP(B254,產品!$A$2:$H$61,7,FALSE)*(1-銷售總表!G254)</f>
        <v>43740</v>
      </c>
      <c r="I254" s="35">
        <f>H254-F254*VLOOKUP(銷售總表!B254,產品!$A$2:$H$61,8,FALSE)</f>
        <v>22140</v>
      </c>
      <c r="J254" s="20">
        <f t="shared" si="3"/>
        <v>0.50617283950617287</v>
      </c>
    </row>
    <row r="255" spans="1:10" x14ac:dyDescent="0.3">
      <c r="A255" s="33">
        <v>254</v>
      </c>
      <c r="B255" s="4">
        <v>54</v>
      </c>
      <c r="C255" s="15">
        <v>116</v>
      </c>
      <c r="D255" s="16">
        <v>1</v>
      </c>
      <c r="E255" s="22">
        <v>43895</v>
      </c>
      <c r="F255" s="17">
        <v>3</v>
      </c>
      <c r="G255" s="18">
        <v>0.09</v>
      </c>
      <c r="H255">
        <f>F255*VLOOKUP(B255,產品!$A$2:$H$61,7,FALSE)*(1-銷售總表!G255)</f>
        <v>49140</v>
      </c>
      <c r="I255" s="35">
        <f>H255-F255*VLOOKUP(銷售總表!B255,產品!$A$2:$H$61,8,FALSE)</f>
        <v>11340</v>
      </c>
      <c r="J255" s="20">
        <f t="shared" si="3"/>
        <v>0.23076923076923078</v>
      </c>
    </row>
    <row r="256" spans="1:10" x14ac:dyDescent="0.3">
      <c r="A256" s="33">
        <v>255</v>
      </c>
      <c r="B256" s="4">
        <v>35</v>
      </c>
      <c r="C256" s="15">
        <v>280</v>
      </c>
      <c r="D256" s="16">
        <v>10</v>
      </c>
      <c r="E256" s="22">
        <v>43895</v>
      </c>
      <c r="F256" s="17">
        <v>6</v>
      </c>
      <c r="G256" s="18">
        <v>0.18</v>
      </c>
      <c r="H256">
        <f>F256*VLOOKUP(B256,產品!$A$2:$H$61,7,FALSE)*(1-銷售總表!G256)</f>
        <v>41820</v>
      </c>
      <c r="I256" s="35">
        <f>H256-F256*VLOOKUP(銷售總表!B256,產品!$A$2:$H$61,8,FALSE)</f>
        <v>11220</v>
      </c>
      <c r="J256" s="20">
        <f t="shared" si="3"/>
        <v>0.26829268292682928</v>
      </c>
    </row>
    <row r="257" spans="1:10" x14ac:dyDescent="0.3">
      <c r="A257" s="33">
        <v>256</v>
      </c>
      <c r="B257" s="4">
        <v>17</v>
      </c>
      <c r="C257" s="15">
        <v>280</v>
      </c>
      <c r="D257" s="16">
        <v>5</v>
      </c>
      <c r="E257" s="22">
        <v>43896</v>
      </c>
      <c r="F257" s="17">
        <v>60</v>
      </c>
      <c r="G257" s="18">
        <v>0.05</v>
      </c>
      <c r="H257">
        <f>F257*VLOOKUP(B257,產品!$A$2:$H$61,7,FALSE)*(1-銷售總表!G257)</f>
        <v>102600</v>
      </c>
      <c r="I257" s="35">
        <f>H257-F257*VLOOKUP(銷售總表!B257,產品!$A$2:$H$61,8,FALSE)</f>
        <v>59400</v>
      </c>
      <c r="J257" s="20">
        <f t="shared" si="3"/>
        <v>0.57894736842105265</v>
      </c>
    </row>
    <row r="258" spans="1:10" x14ac:dyDescent="0.3">
      <c r="A258" s="33">
        <v>257</v>
      </c>
      <c r="B258" s="4">
        <v>24</v>
      </c>
      <c r="C258" s="15">
        <v>12</v>
      </c>
      <c r="D258" s="16">
        <v>2</v>
      </c>
      <c r="E258" s="22">
        <v>43896</v>
      </c>
      <c r="F258" s="17">
        <v>45</v>
      </c>
      <c r="G258" s="18">
        <v>0.09</v>
      </c>
      <c r="H258">
        <f>F258*VLOOKUP(B258,產品!$A$2:$H$61,7,FALSE)*(1-銷售總表!G258)</f>
        <v>73710</v>
      </c>
      <c r="I258" s="35">
        <f>H258-F258*VLOOKUP(銷售總表!B258,產品!$A$2:$H$61,8,FALSE)</f>
        <v>41310</v>
      </c>
      <c r="J258" s="20">
        <f t="shared" si="3"/>
        <v>0.56043956043956045</v>
      </c>
    </row>
    <row r="259" spans="1:10" x14ac:dyDescent="0.3">
      <c r="A259" s="33">
        <v>258</v>
      </c>
      <c r="B259" s="4">
        <v>49</v>
      </c>
      <c r="C259" s="15">
        <v>4</v>
      </c>
      <c r="D259" s="16">
        <v>10</v>
      </c>
      <c r="E259" s="22">
        <v>43896</v>
      </c>
      <c r="F259" s="17">
        <v>19</v>
      </c>
      <c r="G259" s="18">
        <v>0.16</v>
      </c>
      <c r="H259">
        <f>F259*VLOOKUP(B259,產品!$A$2:$H$61,7,FALSE)*(1-銷售總表!G259)</f>
        <v>239400</v>
      </c>
      <c r="I259" s="35">
        <f>H259-F259*VLOOKUP(銷售總表!B259,產品!$A$2:$H$61,8,FALSE)</f>
        <v>39900</v>
      </c>
      <c r="J259" s="20">
        <f t="shared" ref="J259:J322" si="4">I259/H259</f>
        <v>0.16666666666666666</v>
      </c>
    </row>
    <row r="260" spans="1:10" x14ac:dyDescent="0.3">
      <c r="A260" s="33">
        <v>259</v>
      </c>
      <c r="B260" s="4">
        <v>52</v>
      </c>
      <c r="C260" s="15">
        <v>285</v>
      </c>
      <c r="D260" s="16">
        <v>6</v>
      </c>
      <c r="E260" s="22">
        <v>43896</v>
      </c>
      <c r="F260" s="17">
        <v>9</v>
      </c>
      <c r="G260" s="18">
        <v>0.11</v>
      </c>
      <c r="H260">
        <f>F260*VLOOKUP(B260,產品!$A$2:$H$61,7,FALSE)*(1-銷售總表!G260)</f>
        <v>176220</v>
      </c>
      <c r="I260" s="35">
        <f>H260-F260*VLOOKUP(銷售總表!B260,產品!$A$2:$H$61,8,FALSE)</f>
        <v>37620.000000000029</v>
      </c>
      <c r="J260" s="20">
        <f t="shared" si="4"/>
        <v>0.21348314606741589</v>
      </c>
    </row>
    <row r="261" spans="1:10" x14ac:dyDescent="0.3">
      <c r="A261" s="33">
        <v>260</v>
      </c>
      <c r="B261" s="4">
        <v>58</v>
      </c>
      <c r="C261" s="15">
        <v>12</v>
      </c>
      <c r="D261" s="16">
        <v>10</v>
      </c>
      <c r="E261" s="22">
        <v>43896</v>
      </c>
      <c r="F261" s="17">
        <v>10</v>
      </c>
      <c r="G261" s="18">
        <v>0.15</v>
      </c>
      <c r="H261">
        <f>F261*VLOOKUP(B261,產品!$A$2:$H$61,7,FALSE)*(1-銷售總表!G261)</f>
        <v>178500</v>
      </c>
      <c r="I261" s="35">
        <f>H261-F261*VLOOKUP(銷售總表!B261,產品!$A$2:$H$61,8,FALSE)</f>
        <v>31500.000000000029</v>
      </c>
      <c r="J261" s="20">
        <f t="shared" si="4"/>
        <v>0.17647058823529427</v>
      </c>
    </row>
    <row r="262" spans="1:10" x14ac:dyDescent="0.3">
      <c r="A262" s="33">
        <v>261</v>
      </c>
      <c r="B262" s="4">
        <v>10</v>
      </c>
      <c r="C262" s="15">
        <v>280</v>
      </c>
      <c r="D262" s="16">
        <v>8</v>
      </c>
      <c r="E262" s="22">
        <v>43896</v>
      </c>
      <c r="F262" s="17">
        <v>60</v>
      </c>
      <c r="G262" s="18">
        <v>0.16</v>
      </c>
      <c r="H262">
        <f>F262*VLOOKUP(B262,產品!$A$2:$H$61,7,FALSE)*(1-銷售總表!G262)</f>
        <v>50400</v>
      </c>
      <c r="I262" s="35">
        <f>H262-F262*VLOOKUP(銷售總表!B262,產品!$A$2:$H$61,8,FALSE)</f>
        <v>26400</v>
      </c>
      <c r="J262" s="20">
        <f t="shared" si="4"/>
        <v>0.52380952380952384</v>
      </c>
    </row>
    <row r="263" spans="1:10" x14ac:dyDescent="0.3">
      <c r="A263" s="33">
        <v>262</v>
      </c>
      <c r="B263" s="4">
        <v>28</v>
      </c>
      <c r="C263" s="15">
        <v>271</v>
      </c>
      <c r="D263" s="16">
        <v>3</v>
      </c>
      <c r="E263" s="22">
        <v>43896</v>
      </c>
      <c r="F263" s="17">
        <v>8</v>
      </c>
      <c r="G263" s="18">
        <v>0.11</v>
      </c>
      <c r="H263">
        <f>F263*VLOOKUP(B263,產品!$A$2:$H$61,7,FALSE)*(1-銷售總表!G263)</f>
        <v>53400</v>
      </c>
      <c r="I263" s="35">
        <f>H263-F263*VLOOKUP(銷售總表!B263,產品!$A$2:$H$61,8,FALSE)</f>
        <v>17400</v>
      </c>
      <c r="J263" s="20">
        <f t="shared" si="4"/>
        <v>0.3258426966292135</v>
      </c>
    </row>
    <row r="264" spans="1:10" x14ac:dyDescent="0.3">
      <c r="A264" s="33">
        <v>263</v>
      </c>
      <c r="B264" s="4">
        <v>3</v>
      </c>
      <c r="C264" s="15">
        <v>124</v>
      </c>
      <c r="D264" s="16">
        <v>4</v>
      </c>
      <c r="E264" s="22">
        <v>43896</v>
      </c>
      <c r="F264" s="17">
        <v>15</v>
      </c>
      <c r="G264" s="18">
        <v>0.09</v>
      </c>
      <c r="H264">
        <f>F264*VLOOKUP(B264,產品!$A$2:$H$61,7,FALSE)*(1-銷售總表!G264)</f>
        <v>13650</v>
      </c>
      <c r="I264" s="35">
        <f>H264-F264*VLOOKUP(銷售總表!B264,產品!$A$2:$H$61,8,FALSE)</f>
        <v>7650</v>
      </c>
      <c r="J264" s="20">
        <f t="shared" si="4"/>
        <v>0.56043956043956045</v>
      </c>
    </row>
    <row r="265" spans="1:10" x14ac:dyDescent="0.3">
      <c r="A265" s="33">
        <v>264</v>
      </c>
      <c r="B265" s="4">
        <v>49</v>
      </c>
      <c r="C265" s="15">
        <v>5</v>
      </c>
      <c r="D265" s="16">
        <v>5</v>
      </c>
      <c r="E265" s="22">
        <v>43896</v>
      </c>
      <c r="F265" s="17">
        <v>2</v>
      </c>
      <c r="G265" s="18">
        <v>0.13</v>
      </c>
      <c r="H265">
        <f>F265*VLOOKUP(B265,產品!$A$2:$H$61,7,FALSE)*(1-銷售總表!G265)</f>
        <v>26100</v>
      </c>
      <c r="I265" s="35">
        <f>H265-F265*VLOOKUP(銷售總表!B265,產品!$A$2:$H$61,8,FALSE)</f>
        <v>5100</v>
      </c>
      <c r="J265" s="20">
        <f t="shared" si="4"/>
        <v>0.19540229885057472</v>
      </c>
    </row>
    <row r="266" spans="1:10" x14ac:dyDescent="0.3">
      <c r="A266" s="33">
        <v>265</v>
      </c>
      <c r="B266" s="4">
        <v>47</v>
      </c>
      <c r="C266" s="15">
        <v>12</v>
      </c>
      <c r="D266" s="16">
        <v>8</v>
      </c>
      <c r="E266" s="22">
        <v>43896</v>
      </c>
      <c r="F266" s="17">
        <v>1</v>
      </c>
      <c r="G266" s="18">
        <v>0.1</v>
      </c>
      <c r="H266">
        <f>F266*VLOOKUP(B266,產品!$A$2:$H$61,7,FALSE)*(1-銷售總表!G266)</f>
        <v>18000</v>
      </c>
      <c r="I266" s="35">
        <f>H266-F266*VLOOKUP(銷售總表!B266,產品!$A$2:$H$61,8,FALSE)</f>
        <v>5000</v>
      </c>
      <c r="J266" s="20">
        <f t="shared" si="4"/>
        <v>0.27777777777777779</v>
      </c>
    </row>
    <row r="267" spans="1:10" x14ac:dyDescent="0.3">
      <c r="A267" s="33">
        <v>266</v>
      </c>
      <c r="B267" s="4">
        <v>4</v>
      </c>
      <c r="C267" s="15">
        <v>11</v>
      </c>
      <c r="D267" s="16">
        <v>9</v>
      </c>
      <c r="E267" s="22">
        <v>43896</v>
      </c>
      <c r="F267" s="17">
        <v>10</v>
      </c>
      <c r="G267" s="18">
        <v>0.16</v>
      </c>
      <c r="H267">
        <f>F267*VLOOKUP(B267,產品!$A$2:$H$61,7,FALSE)*(1-銷售總表!G267)</f>
        <v>8400</v>
      </c>
      <c r="I267" s="35">
        <f>H267-F267*VLOOKUP(銷售總表!B267,產品!$A$2:$H$61,8,FALSE)</f>
        <v>4400</v>
      </c>
      <c r="J267" s="20">
        <f t="shared" si="4"/>
        <v>0.52380952380952384</v>
      </c>
    </row>
    <row r="268" spans="1:10" x14ac:dyDescent="0.3">
      <c r="A268" s="33">
        <v>267</v>
      </c>
      <c r="B268" s="4">
        <v>30</v>
      </c>
      <c r="C268" s="15">
        <v>267</v>
      </c>
      <c r="D268" s="16">
        <v>1</v>
      </c>
      <c r="E268" s="22">
        <v>43897</v>
      </c>
      <c r="F268" s="17">
        <v>3</v>
      </c>
      <c r="G268" s="18">
        <v>0.11</v>
      </c>
      <c r="H268">
        <f>F268*VLOOKUP(B268,產品!$A$2:$H$61,7,FALSE)*(1-銷售總表!G268)</f>
        <v>17355</v>
      </c>
      <c r="I268" s="35">
        <f>H268-F268*VLOOKUP(銷售總表!B268,產品!$A$2:$H$61,8,FALSE)</f>
        <v>5655</v>
      </c>
      <c r="J268" s="20">
        <f t="shared" si="4"/>
        <v>0.3258426966292135</v>
      </c>
    </row>
    <row r="269" spans="1:10" x14ac:dyDescent="0.3">
      <c r="A269" s="33">
        <v>268</v>
      </c>
      <c r="B269" s="4">
        <v>41</v>
      </c>
      <c r="C269" s="15">
        <v>8</v>
      </c>
      <c r="D269" s="16">
        <v>3</v>
      </c>
      <c r="E269" s="22">
        <v>43897</v>
      </c>
      <c r="F269" s="19">
        <v>1</v>
      </c>
      <c r="G269" s="18">
        <v>0.05</v>
      </c>
      <c r="H269">
        <f>F269*VLOOKUP(B269,產品!$A$2:$H$61,7,FALSE)*(1-銷售總表!G269)</f>
        <v>11400</v>
      </c>
      <c r="I269" s="35">
        <f>H269-F269*VLOOKUP(銷售總表!B269,產品!$A$2:$H$61,8,FALSE)</f>
        <v>3600</v>
      </c>
      <c r="J269" s="20">
        <f t="shared" si="4"/>
        <v>0.31578947368421051</v>
      </c>
    </row>
    <row r="270" spans="1:10" x14ac:dyDescent="0.3">
      <c r="A270" s="33">
        <v>269</v>
      </c>
      <c r="B270" s="4">
        <v>22</v>
      </c>
      <c r="C270" s="15">
        <v>10</v>
      </c>
      <c r="D270" s="16">
        <v>10</v>
      </c>
      <c r="E270" s="22">
        <v>43898</v>
      </c>
      <c r="F270" s="17">
        <v>100</v>
      </c>
      <c r="G270" s="18">
        <v>0.15</v>
      </c>
      <c r="H270">
        <f>F270*VLOOKUP(B270,產品!$A$2:$H$61,7,FALSE)*(1-銷售總表!G270)</f>
        <v>153000</v>
      </c>
      <c r="I270" s="35">
        <f>H270-F270*VLOOKUP(銷售總表!B270,產品!$A$2:$H$61,8,FALSE)</f>
        <v>81000</v>
      </c>
      <c r="J270" s="20">
        <f t="shared" si="4"/>
        <v>0.52941176470588236</v>
      </c>
    </row>
    <row r="271" spans="1:10" x14ac:dyDescent="0.3">
      <c r="A271" s="33">
        <v>270</v>
      </c>
      <c r="B271" s="4">
        <v>14</v>
      </c>
      <c r="C271" s="15">
        <v>288</v>
      </c>
      <c r="D271" s="16">
        <v>4</v>
      </c>
      <c r="E271" s="22">
        <v>43898</v>
      </c>
      <c r="F271" s="19">
        <v>60</v>
      </c>
      <c r="G271" s="18">
        <v>0.12</v>
      </c>
      <c r="H271">
        <f>F271*VLOOKUP(B271,產品!$A$2:$H$61,7,FALSE)*(1-銷售總表!G271)</f>
        <v>95040</v>
      </c>
      <c r="I271" s="35">
        <f>H271-F271*VLOOKUP(銷售總表!B271,產品!$A$2:$H$61,8,FALSE)</f>
        <v>51840</v>
      </c>
      <c r="J271" s="20">
        <f t="shared" si="4"/>
        <v>0.54545454545454541</v>
      </c>
    </row>
    <row r="272" spans="1:10" x14ac:dyDescent="0.3">
      <c r="A272" s="33">
        <v>271</v>
      </c>
      <c r="B272" s="4">
        <v>41</v>
      </c>
      <c r="C272" s="15">
        <v>4</v>
      </c>
      <c r="D272" s="16">
        <v>10</v>
      </c>
      <c r="E272" s="22">
        <v>43898</v>
      </c>
      <c r="F272" s="17">
        <v>15</v>
      </c>
      <c r="G272" s="18">
        <v>0.17</v>
      </c>
      <c r="H272">
        <f>F272*VLOOKUP(B272,產品!$A$2:$H$61,7,FALSE)*(1-銷售總表!G272)</f>
        <v>149400</v>
      </c>
      <c r="I272" s="35">
        <f>H272-F272*VLOOKUP(銷售總表!B272,產品!$A$2:$H$61,8,FALSE)</f>
        <v>32400</v>
      </c>
      <c r="J272" s="20">
        <f t="shared" si="4"/>
        <v>0.21686746987951808</v>
      </c>
    </row>
    <row r="273" spans="1:10" x14ac:dyDescent="0.3">
      <c r="A273" s="33">
        <v>272</v>
      </c>
      <c r="B273" s="4">
        <v>56</v>
      </c>
      <c r="C273" s="15">
        <v>140</v>
      </c>
      <c r="D273" s="16">
        <v>7</v>
      </c>
      <c r="E273" s="22">
        <v>43898</v>
      </c>
      <c r="F273" s="19">
        <v>6</v>
      </c>
      <c r="G273" s="18">
        <v>0.19</v>
      </c>
      <c r="H273">
        <f>F273*VLOOKUP(B273,產品!$A$2:$H$61,7,FALSE)*(1-銷售總表!G273)</f>
        <v>106920</v>
      </c>
      <c r="I273" s="35">
        <f>H273-F273*VLOOKUP(銷售總表!B273,產品!$A$2:$H$61,8,FALSE)</f>
        <v>14520.000000000015</v>
      </c>
      <c r="J273" s="20">
        <f t="shared" si="4"/>
        <v>0.1358024691358026</v>
      </c>
    </row>
    <row r="274" spans="1:10" x14ac:dyDescent="0.3">
      <c r="A274" s="33">
        <v>273</v>
      </c>
      <c r="B274" s="4">
        <v>33</v>
      </c>
      <c r="C274" s="15">
        <v>140</v>
      </c>
      <c r="D274" s="16">
        <v>3</v>
      </c>
      <c r="E274" s="22">
        <v>43898</v>
      </c>
      <c r="F274" s="17">
        <v>5</v>
      </c>
      <c r="G274" s="18">
        <v>0.19</v>
      </c>
      <c r="H274">
        <f>F274*VLOOKUP(B274,產品!$A$2:$H$61,7,FALSE)*(1-銷售總表!G274)</f>
        <v>30375.000000000004</v>
      </c>
      <c r="I274" s="35">
        <f>H274-F274*VLOOKUP(銷售總表!B274,產品!$A$2:$H$61,8,FALSE)</f>
        <v>7875.0000000000036</v>
      </c>
      <c r="J274" s="20">
        <f t="shared" si="4"/>
        <v>0.25925925925925936</v>
      </c>
    </row>
    <row r="275" spans="1:10" x14ac:dyDescent="0.3">
      <c r="A275" s="33">
        <v>274</v>
      </c>
      <c r="B275" s="4">
        <v>24</v>
      </c>
      <c r="C275" s="15">
        <v>281</v>
      </c>
      <c r="D275" s="16">
        <v>10</v>
      </c>
      <c r="E275" s="22">
        <v>43899</v>
      </c>
      <c r="F275" s="17">
        <v>100</v>
      </c>
      <c r="G275" s="18">
        <v>0.09</v>
      </c>
      <c r="H275">
        <f>F275*VLOOKUP(B275,產品!$A$2:$H$61,7,FALSE)*(1-銷售總表!G275)</f>
        <v>163800</v>
      </c>
      <c r="I275" s="35">
        <f>H275-F275*VLOOKUP(銷售總表!B275,產品!$A$2:$H$61,8,FALSE)</f>
        <v>91800</v>
      </c>
      <c r="J275" s="20">
        <f t="shared" si="4"/>
        <v>0.56043956043956045</v>
      </c>
    </row>
    <row r="276" spans="1:10" x14ac:dyDescent="0.3">
      <c r="A276" s="33">
        <v>275</v>
      </c>
      <c r="B276" s="4">
        <v>44</v>
      </c>
      <c r="C276" s="15">
        <v>5</v>
      </c>
      <c r="D276" s="16">
        <v>6</v>
      </c>
      <c r="E276" s="22">
        <v>43899</v>
      </c>
      <c r="F276" s="17">
        <v>15</v>
      </c>
      <c r="G276" s="18">
        <v>0.11</v>
      </c>
      <c r="H276">
        <f>F276*VLOOKUP(B276,產品!$A$2:$H$61,7,FALSE)*(1-銷售總表!G276)</f>
        <v>267000</v>
      </c>
      <c r="I276" s="35">
        <f>H276-F276*VLOOKUP(銷售總表!B276,產品!$A$2:$H$61,8,FALSE)</f>
        <v>72000</v>
      </c>
      <c r="J276" s="20">
        <f t="shared" si="4"/>
        <v>0.2696629213483146</v>
      </c>
    </row>
    <row r="277" spans="1:10" x14ac:dyDescent="0.3">
      <c r="A277" s="33">
        <v>276</v>
      </c>
      <c r="B277" s="4">
        <v>19</v>
      </c>
      <c r="C277" s="15">
        <v>278</v>
      </c>
      <c r="D277" s="16">
        <v>4</v>
      </c>
      <c r="E277" s="22">
        <v>43899</v>
      </c>
      <c r="F277" s="17">
        <v>80</v>
      </c>
      <c r="G277" s="18">
        <v>0.15</v>
      </c>
      <c r="H277">
        <f>F277*VLOOKUP(B277,產品!$A$2:$H$61,7,FALSE)*(1-銷售總表!G277)</f>
        <v>122400</v>
      </c>
      <c r="I277" s="35">
        <f>H277-F277*VLOOKUP(銷售總表!B277,產品!$A$2:$H$61,8,FALSE)</f>
        <v>64800</v>
      </c>
      <c r="J277" s="20">
        <f t="shared" si="4"/>
        <v>0.52941176470588236</v>
      </c>
    </row>
    <row r="278" spans="1:10" x14ac:dyDescent="0.3">
      <c r="A278" s="33">
        <v>277</v>
      </c>
      <c r="B278" s="4">
        <v>52</v>
      </c>
      <c r="C278" s="15">
        <v>116</v>
      </c>
      <c r="D278" s="16">
        <v>2</v>
      </c>
      <c r="E278" s="22">
        <v>43899</v>
      </c>
      <c r="F278" s="17">
        <v>10</v>
      </c>
      <c r="G278" s="18">
        <v>0.06</v>
      </c>
      <c r="H278">
        <f>F278*VLOOKUP(B278,產品!$A$2:$H$61,7,FALSE)*(1-銷售總表!G278)</f>
        <v>206800</v>
      </c>
      <c r="I278" s="35">
        <f>H278-F278*VLOOKUP(銷售總表!B278,產品!$A$2:$H$61,8,FALSE)</f>
        <v>52800.000000000029</v>
      </c>
      <c r="J278" s="20">
        <f t="shared" si="4"/>
        <v>0.25531914893617036</v>
      </c>
    </row>
    <row r="279" spans="1:10" x14ac:dyDescent="0.3">
      <c r="A279" s="33">
        <v>278</v>
      </c>
      <c r="B279" s="4">
        <v>59</v>
      </c>
      <c r="C279" s="15">
        <v>5</v>
      </c>
      <c r="D279" s="16">
        <v>5</v>
      </c>
      <c r="E279" s="22">
        <v>43899</v>
      </c>
      <c r="F279" s="17">
        <v>8</v>
      </c>
      <c r="G279" s="18">
        <v>7.0000000000000007E-2</v>
      </c>
      <c r="H279">
        <f>F279*VLOOKUP(B279,產品!$A$2:$H$61,7,FALSE)*(1-銷售總表!G279)</f>
        <v>178560</v>
      </c>
      <c r="I279" s="35">
        <f>H279-F279*VLOOKUP(銷售總表!B279,產品!$A$2:$H$61,8,FALSE)</f>
        <v>44160</v>
      </c>
      <c r="J279" s="20">
        <f t="shared" si="4"/>
        <v>0.24731182795698925</v>
      </c>
    </row>
    <row r="280" spans="1:10" x14ac:dyDescent="0.3">
      <c r="A280" s="33">
        <v>279</v>
      </c>
      <c r="B280" s="4">
        <v>6</v>
      </c>
      <c r="C280" s="15">
        <v>112</v>
      </c>
      <c r="D280" s="16">
        <v>10</v>
      </c>
      <c r="E280" s="22">
        <v>43899</v>
      </c>
      <c r="F280" s="17">
        <v>70</v>
      </c>
      <c r="G280" s="18">
        <v>0.11</v>
      </c>
      <c r="H280">
        <f>F280*VLOOKUP(B280,產品!$A$2:$H$61,7,FALSE)*(1-銷售總表!G280)</f>
        <v>62300</v>
      </c>
      <c r="I280" s="35">
        <f>H280-F280*VLOOKUP(銷售總表!B280,產品!$A$2:$H$61,8,FALSE)</f>
        <v>34300</v>
      </c>
      <c r="J280" s="20">
        <f t="shared" si="4"/>
        <v>0.550561797752809</v>
      </c>
    </row>
    <row r="281" spans="1:10" x14ac:dyDescent="0.3">
      <c r="A281" s="33">
        <v>280</v>
      </c>
      <c r="B281" s="4">
        <v>58</v>
      </c>
      <c r="C281" s="15">
        <v>286</v>
      </c>
      <c r="D281" s="16">
        <v>5</v>
      </c>
      <c r="E281" s="22">
        <v>43899</v>
      </c>
      <c r="F281" s="17">
        <v>10</v>
      </c>
      <c r="G281" s="18">
        <v>0.18</v>
      </c>
      <c r="H281">
        <f>F281*VLOOKUP(B281,產品!$A$2:$H$61,7,FALSE)*(1-銷售總表!G281)</f>
        <v>172200</v>
      </c>
      <c r="I281" s="35">
        <f>H281-F281*VLOOKUP(銷售總表!B281,產品!$A$2:$H$61,8,FALSE)</f>
        <v>25200.000000000029</v>
      </c>
      <c r="J281" s="20">
        <f t="shared" si="4"/>
        <v>0.1463414634146343</v>
      </c>
    </row>
    <row r="282" spans="1:10" x14ac:dyDescent="0.3">
      <c r="A282" s="33">
        <v>281</v>
      </c>
      <c r="B282" s="4">
        <v>56</v>
      </c>
      <c r="C282" s="15">
        <v>3</v>
      </c>
      <c r="D282" s="16">
        <v>6</v>
      </c>
      <c r="E282" s="22">
        <v>43899</v>
      </c>
      <c r="F282" s="17">
        <v>3</v>
      </c>
      <c r="G282" s="18">
        <v>0.16</v>
      </c>
      <c r="H282">
        <f>F282*VLOOKUP(B282,產品!$A$2:$H$61,7,FALSE)*(1-銷售總表!G282)</f>
        <v>55440</v>
      </c>
      <c r="I282" s="35">
        <f>H282-F282*VLOOKUP(銷售總表!B282,產品!$A$2:$H$61,8,FALSE)</f>
        <v>9240.0000000000073</v>
      </c>
      <c r="J282" s="20">
        <f t="shared" si="4"/>
        <v>0.1666666666666668</v>
      </c>
    </row>
    <row r="283" spans="1:10" x14ac:dyDescent="0.3">
      <c r="A283" s="33">
        <v>282</v>
      </c>
      <c r="B283" s="4">
        <v>27</v>
      </c>
      <c r="C283" s="15">
        <v>259</v>
      </c>
      <c r="D283" s="16">
        <v>6</v>
      </c>
      <c r="E283" s="22">
        <v>43899</v>
      </c>
      <c r="F283" s="17">
        <v>2</v>
      </c>
      <c r="G283" s="18">
        <v>0.1</v>
      </c>
      <c r="H283">
        <f>F283*VLOOKUP(B283,產品!$A$2:$H$61,7,FALSE)*(1-銷售總表!G283)</f>
        <v>12600</v>
      </c>
      <c r="I283" s="35">
        <f>H283-F283*VLOOKUP(銷售總表!B283,產品!$A$2:$H$61,8,FALSE)</f>
        <v>4200</v>
      </c>
      <c r="J283" s="20">
        <f t="shared" si="4"/>
        <v>0.33333333333333331</v>
      </c>
    </row>
    <row r="284" spans="1:10" x14ac:dyDescent="0.3">
      <c r="A284" s="33">
        <v>283</v>
      </c>
      <c r="B284" s="4">
        <v>21</v>
      </c>
      <c r="C284" s="15">
        <v>290</v>
      </c>
      <c r="D284" s="16">
        <v>4</v>
      </c>
      <c r="E284" s="22">
        <v>43900</v>
      </c>
      <c r="F284" s="17">
        <v>125</v>
      </c>
      <c r="G284" s="18">
        <v>0.05</v>
      </c>
      <c r="H284">
        <f>F284*VLOOKUP(B284,產品!$A$2:$H$61,7,FALSE)*(1-銷售總表!G284)</f>
        <v>213750</v>
      </c>
      <c r="I284" s="35">
        <f>H284-F284*VLOOKUP(銷售總表!B284,產品!$A$2:$H$61,8,FALSE)</f>
        <v>123750</v>
      </c>
      <c r="J284" s="20">
        <f t="shared" si="4"/>
        <v>0.57894736842105265</v>
      </c>
    </row>
    <row r="285" spans="1:10" x14ac:dyDescent="0.3">
      <c r="A285" s="33">
        <v>284</v>
      </c>
      <c r="B285" s="4">
        <v>57</v>
      </c>
      <c r="C285" s="15">
        <v>7</v>
      </c>
      <c r="D285" s="16">
        <v>4</v>
      </c>
      <c r="E285" s="22">
        <v>43900</v>
      </c>
      <c r="F285" s="17">
        <v>15</v>
      </c>
      <c r="G285" s="18">
        <v>0.15</v>
      </c>
      <c r="H285">
        <f>F285*VLOOKUP(B285,產品!$A$2:$H$61,7,FALSE)*(1-銷售總表!G285)</f>
        <v>229500</v>
      </c>
      <c r="I285" s="35">
        <f>H285-F285*VLOOKUP(銷售總表!B285,產品!$A$2:$H$61,8,FALSE)</f>
        <v>40500</v>
      </c>
      <c r="J285" s="20">
        <f t="shared" si="4"/>
        <v>0.17647058823529413</v>
      </c>
    </row>
    <row r="286" spans="1:10" x14ac:dyDescent="0.3">
      <c r="A286" s="33">
        <v>285</v>
      </c>
      <c r="B286" s="4">
        <v>16</v>
      </c>
      <c r="C286" s="15">
        <v>281</v>
      </c>
      <c r="D286" s="16">
        <v>4</v>
      </c>
      <c r="E286" s="22">
        <v>43900</v>
      </c>
      <c r="F286" s="17">
        <v>30</v>
      </c>
      <c r="G286" s="18">
        <v>0.17</v>
      </c>
      <c r="H286">
        <f>F286*VLOOKUP(B286,產品!$A$2:$H$61,7,FALSE)*(1-銷售總表!G286)</f>
        <v>44820</v>
      </c>
      <c r="I286" s="35">
        <f>H286-F286*VLOOKUP(銷售總表!B286,產品!$A$2:$H$61,8,FALSE)</f>
        <v>23220</v>
      </c>
      <c r="J286" s="20">
        <f t="shared" si="4"/>
        <v>0.51807228915662651</v>
      </c>
    </row>
    <row r="287" spans="1:10" x14ac:dyDescent="0.3">
      <c r="A287" s="33">
        <v>286</v>
      </c>
      <c r="B287" s="4">
        <v>36</v>
      </c>
      <c r="C287" s="15">
        <v>291</v>
      </c>
      <c r="D287" s="16">
        <v>6</v>
      </c>
      <c r="E287" s="22">
        <v>43900</v>
      </c>
      <c r="F287" s="17">
        <v>6</v>
      </c>
      <c r="G287" s="18">
        <v>0.12</v>
      </c>
      <c r="H287">
        <f>F287*VLOOKUP(B287,產品!$A$2:$H$61,7,FALSE)*(1-銷售總表!G287)</f>
        <v>47520</v>
      </c>
      <c r="I287" s="35">
        <f>H287-F287*VLOOKUP(銷售總表!B287,產品!$A$2:$H$61,8,FALSE)</f>
        <v>15120</v>
      </c>
      <c r="J287" s="20">
        <f t="shared" si="4"/>
        <v>0.31818181818181818</v>
      </c>
    </row>
    <row r="288" spans="1:10" x14ac:dyDescent="0.3">
      <c r="A288" s="33">
        <v>287</v>
      </c>
      <c r="B288" s="4">
        <v>34</v>
      </c>
      <c r="C288" s="15">
        <v>6</v>
      </c>
      <c r="D288" s="16">
        <v>8</v>
      </c>
      <c r="E288" s="22">
        <v>43900</v>
      </c>
      <c r="F288" s="17">
        <v>3</v>
      </c>
      <c r="G288" s="18">
        <v>0.19</v>
      </c>
      <c r="H288">
        <f>F288*VLOOKUP(B288,產品!$A$2:$H$61,7,FALSE)*(1-銷售總表!G288)</f>
        <v>19440</v>
      </c>
      <c r="I288" s="35">
        <f>H288-F288*VLOOKUP(銷售總表!B288,產品!$A$2:$H$61,8,FALSE)</f>
        <v>5040</v>
      </c>
      <c r="J288" s="20">
        <f t="shared" si="4"/>
        <v>0.25925925925925924</v>
      </c>
    </row>
    <row r="289" spans="1:10" x14ac:dyDescent="0.3">
      <c r="A289" s="33">
        <v>288</v>
      </c>
      <c r="B289" s="4">
        <v>33</v>
      </c>
      <c r="C289" s="15">
        <v>275</v>
      </c>
      <c r="D289" s="16">
        <v>2</v>
      </c>
      <c r="E289" s="22">
        <v>43900</v>
      </c>
      <c r="F289" s="17">
        <v>1</v>
      </c>
      <c r="G289" s="18">
        <v>0.08</v>
      </c>
      <c r="H289">
        <f>F289*VLOOKUP(B289,產品!$A$2:$H$61,7,FALSE)*(1-銷售總表!G289)</f>
        <v>6900</v>
      </c>
      <c r="I289" s="35">
        <f>H289-F289*VLOOKUP(銷售總表!B289,產品!$A$2:$H$61,8,FALSE)</f>
        <v>2400</v>
      </c>
      <c r="J289" s="20">
        <f t="shared" si="4"/>
        <v>0.34782608695652173</v>
      </c>
    </row>
    <row r="290" spans="1:10" x14ac:dyDescent="0.3">
      <c r="A290" s="33">
        <v>289</v>
      </c>
      <c r="B290" s="4">
        <v>52</v>
      </c>
      <c r="C290" s="15">
        <v>274</v>
      </c>
      <c r="D290" s="16">
        <v>5</v>
      </c>
      <c r="E290" s="22">
        <v>43901</v>
      </c>
      <c r="F290" s="17">
        <v>3</v>
      </c>
      <c r="G290" s="18">
        <v>0.08</v>
      </c>
      <c r="H290">
        <f>F290*VLOOKUP(B290,產品!$A$2:$H$61,7,FALSE)*(1-銷售總表!G290)</f>
        <v>60720</v>
      </c>
      <c r="I290" s="35">
        <f>H290-F290*VLOOKUP(銷售總表!B290,產品!$A$2:$H$61,8,FALSE)</f>
        <v>14520.000000000007</v>
      </c>
      <c r="J290" s="20">
        <f t="shared" si="4"/>
        <v>0.23913043478260881</v>
      </c>
    </row>
    <row r="291" spans="1:10" x14ac:dyDescent="0.3">
      <c r="A291" s="33">
        <v>290</v>
      </c>
      <c r="B291" s="4">
        <v>31</v>
      </c>
      <c r="C291" s="15">
        <v>9</v>
      </c>
      <c r="D291" s="16">
        <v>7</v>
      </c>
      <c r="E291" s="22">
        <v>43901</v>
      </c>
      <c r="F291" s="17">
        <v>5</v>
      </c>
      <c r="G291" s="18">
        <v>0.06</v>
      </c>
      <c r="H291">
        <f>F291*VLOOKUP(B291,產品!$A$2:$H$61,7,FALSE)*(1-銷售總表!G291)</f>
        <v>32900</v>
      </c>
      <c r="I291" s="35">
        <f>H291-F291*VLOOKUP(銷售總表!B291,產品!$A$2:$H$61,8,FALSE)</f>
        <v>11900</v>
      </c>
      <c r="J291" s="20">
        <f t="shared" si="4"/>
        <v>0.36170212765957449</v>
      </c>
    </row>
    <row r="292" spans="1:10" x14ac:dyDescent="0.3">
      <c r="A292" s="33">
        <v>291</v>
      </c>
      <c r="B292" s="4">
        <v>11</v>
      </c>
      <c r="C292" s="15">
        <v>2</v>
      </c>
      <c r="D292" s="16">
        <v>5</v>
      </c>
      <c r="E292" s="22">
        <v>43901</v>
      </c>
      <c r="F292" s="17">
        <v>20</v>
      </c>
      <c r="G292" s="18">
        <v>0.1</v>
      </c>
      <c r="H292">
        <f>F292*VLOOKUP(B292,產品!$A$2:$H$61,7,FALSE)*(1-銷售總表!G292)</f>
        <v>18000</v>
      </c>
      <c r="I292" s="35">
        <f>H292-F292*VLOOKUP(銷售總表!B292,產品!$A$2:$H$61,8,FALSE)</f>
        <v>10000</v>
      </c>
      <c r="J292" s="20">
        <f t="shared" si="4"/>
        <v>0.55555555555555558</v>
      </c>
    </row>
    <row r="293" spans="1:10" x14ac:dyDescent="0.3">
      <c r="A293" s="33">
        <v>292</v>
      </c>
      <c r="B293" s="4">
        <v>9</v>
      </c>
      <c r="C293" s="15">
        <v>281</v>
      </c>
      <c r="D293" s="16">
        <v>8</v>
      </c>
      <c r="E293" s="22">
        <v>43901</v>
      </c>
      <c r="F293" s="17">
        <v>15</v>
      </c>
      <c r="G293" s="18">
        <v>0.09</v>
      </c>
      <c r="H293">
        <f>F293*VLOOKUP(B293,產品!$A$2:$H$61,7,FALSE)*(1-銷售總表!G293)</f>
        <v>13650</v>
      </c>
      <c r="I293" s="35">
        <f>H293-F293*VLOOKUP(銷售總表!B293,產品!$A$2:$H$61,8,FALSE)</f>
        <v>7650</v>
      </c>
      <c r="J293" s="20">
        <f t="shared" si="4"/>
        <v>0.56043956043956045</v>
      </c>
    </row>
    <row r="294" spans="1:10" x14ac:dyDescent="0.3">
      <c r="A294" s="33">
        <v>293</v>
      </c>
      <c r="B294" s="4">
        <v>25</v>
      </c>
      <c r="C294" s="15">
        <v>123</v>
      </c>
      <c r="D294" s="16">
        <v>1</v>
      </c>
      <c r="E294" s="22">
        <v>43901</v>
      </c>
      <c r="F294" s="17">
        <v>5</v>
      </c>
      <c r="G294" s="18">
        <v>0.18</v>
      </c>
      <c r="H294">
        <f>F294*VLOOKUP(B294,產品!$A$2:$H$61,7,FALSE)*(1-銷售總表!G294)</f>
        <v>24600.000000000004</v>
      </c>
      <c r="I294" s="35">
        <f>H294-F294*VLOOKUP(銷售總表!B294,產品!$A$2:$H$61,8,FALSE)</f>
        <v>6600.0000000000036</v>
      </c>
      <c r="J294" s="20">
        <f t="shared" si="4"/>
        <v>0.2682926829268294</v>
      </c>
    </row>
    <row r="295" spans="1:10" x14ac:dyDescent="0.3">
      <c r="A295" s="33">
        <v>294</v>
      </c>
      <c r="B295" s="4">
        <v>46</v>
      </c>
      <c r="C295" s="15">
        <v>257</v>
      </c>
      <c r="D295" s="16">
        <v>5</v>
      </c>
      <c r="E295" s="22">
        <v>43902</v>
      </c>
      <c r="F295" s="17">
        <v>5</v>
      </c>
      <c r="G295" s="18">
        <v>0.16</v>
      </c>
      <c r="H295">
        <f>F295*VLOOKUP(B295,產品!$A$2:$H$61,7,FALSE)*(1-銷售總表!G295)</f>
        <v>71400</v>
      </c>
      <c r="I295" s="35">
        <f>H295-F295*VLOOKUP(銷售總表!B295,產品!$A$2:$H$61,8,FALSE)</f>
        <v>16150</v>
      </c>
      <c r="J295" s="20">
        <f t="shared" si="4"/>
        <v>0.22619047619047619</v>
      </c>
    </row>
    <row r="296" spans="1:10" x14ac:dyDescent="0.3">
      <c r="A296" s="33">
        <v>295</v>
      </c>
      <c r="B296" s="4">
        <v>32</v>
      </c>
      <c r="C296" s="15">
        <v>262</v>
      </c>
      <c r="D296" s="16">
        <v>10</v>
      </c>
      <c r="E296" s="22">
        <v>43902</v>
      </c>
      <c r="F296" s="17">
        <v>4</v>
      </c>
      <c r="G296" s="18">
        <v>0.16</v>
      </c>
      <c r="H296">
        <f>F296*VLOOKUP(B296,產品!$A$2:$H$61,7,FALSE)*(1-銷售總表!G296)</f>
        <v>25200</v>
      </c>
      <c r="I296" s="35">
        <f>H296-F296*VLOOKUP(銷售總表!B296,產品!$A$2:$H$61,8,FALSE)</f>
        <v>7200</v>
      </c>
      <c r="J296" s="20">
        <f t="shared" si="4"/>
        <v>0.2857142857142857</v>
      </c>
    </row>
    <row r="297" spans="1:10" x14ac:dyDescent="0.3">
      <c r="A297" s="33">
        <v>296</v>
      </c>
      <c r="B297" s="4">
        <v>33</v>
      </c>
      <c r="C297" s="15">
        <v>11</v>
      </c>
      <c r="D297" s="16">
        <v>4</v>
      </c>
      <c r="E297" s="22">
        <v>43902</v>
      </c>
      <c r="F297" s="19">
        <v>2</v>
      </c>
      <c r="G297" s="18">
        <v>0.06</v>
      </c>
      <c r="H297">
        <f>F297*VLOOKUP(B297,產品!$A$2:$H$61,7,FALSE)*(1-銷售總表!G297)</f>
        <v>14100</v>
      </c>
      <c r="I297" s="35">
        <f>H297-F297*VLOOKUP(銷售總表!B297,產品!$A$2:$H$61,8,FALSE)</f>
        <v>5100</v>
      </c>
      <c r="J297" s="20">
        <f t="shared" si="4"/>
        <v>0.36170212765957449</v>
      </c>
    </row>
    <row r="298" spans="1:10" x14ac:dyDescent="0.3">
      <c r="A298" s="33">
        <v>297</v>
      </c>
      <c r="B298" s="4">
        <v>52</v>
      </c>
      <c r="C298" s="15">
        <v>294</v>
      </c>
      <c r="D298" s="16">
        <v>6</v>
      </c>
      <c r="E298" s="22">
        <v>43903</v>
      </c>
      <c r="F298" s="17">
        <v>15</v>
      </c>
      <c r="G298" s="18">
        <v>0.13</v>
      </c>
      <c r="H298">
        <f>F298*VLOOKUP(B298,產品!$A$2:$H$61,7,FALSE)*(1-銷售總表!G298)</f>
        <v>287100</v>
      </c>
      <c r="I298" s="35">
        <f>H298-F298*VLOOKUP(銷售總表!B298,產品!$A$2:$H$61,8,FALSE)</f>
        <v>56100.000000000029</v>
      </c>
      <c r="J298" s="20">
        <f t="shared" si="4"/>
        <v>0.19540229885057481</v>
      </c>
    </row>
    <row r="299" spans="1:10" x14ac:dyDescent="0.3">
      <c r="A299" s="33">
        <v>298</v>
      </c>
      <c r="B299" s="4">
        <v>20</v>
      </c>
      <c r="C299" s="15">
        <v>115</v>
      </c>
      <c r="D299" s="16">
        <v>7</v>
      </c>
      <c r="E299" s="22">
        <v>43903</v>
      </c>
      <c r="F299" s="17">
        <v>20</v>
      </c>
      <c r="G299" s="18">
        <v>0.16</v>
      </c>
      <c r="H299">
        <f>F299*VLOOKUP(B299,產品!$A$2:$H$61,7,FALSE)*(1-銷售總表!G299)</f>
        <v>30240</v>
      </c>
      <c r="I299" s="35">
        <f>H299-F299*VLOOKUP(銷售總表!B299,產品!$A$2:$H$61,8,FALSE)</f>
        <v>15840</v>
      </c>
      <c r="J299" s="20">
        <f t="shared" si="4"/>
        <v>0.52380952380952384</v>
      </c>
    </row>
    <row r="300" spans="1:10" x14ac:dyDescent="0.3">
      <c r="A300" s="33">
        <v>299</v>
      </c>
      <c r="B300" s="4">
        <v>48</v>
      </c>
      <c r="C300" s="15">
        <v>117</v>
      </c>
      <c r="D300" s="16">
        <v>2</v>
      </c>
      <c r="E300" s="22">
        <v>43903</v>
      </c>
      <c r="F300" s="17">
        <v>3</v>
      </c>
      <c r="G300" s="18">
        <v>0.17</v>
      </c>
      <c r="H300">
        <f>F300*VLOOKUP(B300,產品!$A$2:$H$61,7,FALSE)*(1-銷售總表!G300)</f>
        <v>54780</v>
      </c>
      <c r="I300" s="35">
        <f>H300-F300*VLOOKUP(銷售總表!B300,產品!$A$2:$H$61,8,FALSE)</f>
        <v>11880</v>
      </c>
      <c r="J300" s="20">
        <f t="shared" si="4"/>
        <v>0.21686746987951808</v>
      </c>
    </row>
    <row r="301" spans="1:10" x14ac:dyDescent="0.3">
      <c r="A301" s="33">
        <v>300</v>
      </c>
      <c r="B301" s="4">
        <v>14</v>
      </c>
      <c r="C301" s="15">
        <v>6</v>
      </c>
      <c r="D301" s="16">
        <v>5</v>
      </c>
      <c r="E301" s="22">
        <v>43904</v>
      </c>
      <c r="F301" s="17">
        <v>10</v>
      </c>
      <c r="G301" s="18">
        <v>0.11</v>
      </c>
      <c r="H301">
        <f>F301*VLOOKUP(B301,產品!$A$2:$H$61,7,FALSE)*(1-銷售總表!G301)</f>
        <v>16020</v>
      </c>
      <c r="I301" s="35">
        <f>H301-F301*VLOOKUP(銷售總表!B301,產品!$A$2:$H$61,8,FALSE)</f>
        <v>8820</v>
      </c>
      <c r="J301" s="20">
        <f t="shared" si="4"/>
        <v>0.550561797752809</v>
      </c>
    </row>
    <row r="302" spans="1:10" x14ac:dyDescent="0.3">
      <c r="A302" s="33">
        <v>301</v>
      </c>
      <c r="B302" s="4">
        <v>53</v>
      </c>
      <c r="C302" s="15">
        <v>11</v>
      </c>
      <c r="D302" s="16">
        <v>7</v>
      </c>
      <c r="E302" s="22">
        <v>43904</v>
      </c>
      <c r="F302" s="17">
        <v>1</v>
      </c>
      <c r="G302" s="18">
        <v>0.14000000000000001</v>
      </c>
      <c r="H302">
        <f>F302*VLOOKUP(B302,產品!$A$2:$H$61,7,FALSE)*(1-銷售總表!G302)</f>
        <v>12900</v>
      </c>
      <c r="I302" s="35">
        <f>H302-F302*VLOOKUP(銷售總表!B302,產品!$A$2:$H$61,8,FALSE)</f>
        <v>2400</v>
      </c>
      <c r="J302" s="20">
        <f t="shared" si="4"/>
        <v>0.18604651162790697</v>
      </c>
    </row>
    <row r="303" spans="1:10" x14ac:dyDescent="0.3">
      <c r="A303" s="33">
        <v>302</v>
      </c>
      <c r="B303" s="4">
        <v>15</v>
      </c>
      <c r="C303" s="15">
        <v>263</v>
      </c>
      <c r="D303" s="16">
        <v>2</v>
      </c>
      <c r="E303" s="22">
        <v>43905</v>
      </c>
      <c r="F303" s="17">
        <v>50</v>
      </c>
      <c r="G303" s="18">
        <v>0.11</v>
      </c>
      <c r="H303">
        <f>F303*VLOOKUP(B303,產品!$A$2:$H$61,7,FALSE)*(1-銷售總表!G303)</f>
        <v>80100</v>
      </c>
      <c r="I303" s="35">
        <f>H303-F303*VLOOKUP(銷售總表!B303,產品!$A$2:$H$61,8,FALSE)</f>
        <v>44100</v>
      </c>
      <c r="J303" s="20">
        <f t="shared" si="4"/>
        <v>0.550561797752809</v>
      </c>
    </row>
    <row r="304" spans="1:10" x14ac:dyDescent="0.3">
      <c r="A304" s="33">
        <v>303</v>
      </c>
      <c r="B304" s="4">
        <v>25</v>
      </c>
      <c r="C304" s="15">
        <v>116</v>
      </c>
      <c r="D304" s="16">
        <v>9</v>
      </c>
      <c r="E304" s="22">
        <v>43905</v>
      </c>
      <c r="F304" s="17">
        <v>18</v>
      </c>
      <c r="G304" s="18">
        <v>0.16</v>
      </c>
      <c r="H304">
        <f>F304*VLOOKUP(B304,產品!$A$2:$H$61,7,FALSE)*(1-銷售總表!G304)</f>
        <v>90720</v>
      </c>
      <c r="I304" s="35">
        <f>H304-F304*VLOOKUP(銷售總表!B304,產品!$A$2:$H$61,8,FALSE)</f>
        <v>25920</v>
      </c>
      <c r="J304" s="20">
        <f t="shared" si="4"/>
        <v>0.2857142857142857</v>
      </c>
    </row>
    <row r="305" spans="1:10" x14ac:dyDescent="0.3">
      <c r="A305" s="33">
        <v>304</v>
      </c>
      <c r="B305" s="4">
        <v>41</v>
      </c>
      <c r="C305" s="15">
        <v>290</v>
      </c>
      <c r="D305" s="16">
        <v>8</v>
      </c>
      <c r="E305" s="22">
        <v>43905</v>
      </c>
      <c r="F305" s="17">
        <v>4</v>
      </c>
      <c r="G305" s="18">
        <v>7.0000000000000007E-2</v>
      </c>
      <c r="H305">
        <f>F305*VLOOKUP(B305,產品!$A$2:$H$61,7,FALSE)*(1-銷售總表!G305)</f>
        <v>44640</v>
      </c>
      <c r="I305" s="35">
        <f>H305-F305*VLOOKUP(銷售總表!B305,產品!$A$2:$H$61,8,FALSE)</f>
        <v>13440</v>
      </c>
      <c r="J305" s="20">
        <f t="shared" si="4"/>
        <v>0.30107526881720431</v>
      </c>
    </row>
    <row r="306" spans="1:10" x14ac:dyDescent="0.3">
      <c r="A306" s="33">
        <v>305</v>
      </c>
      <c r="B306" s="4">
        <v>25</v>
      </c>
      <c r="C306" s="15">
        <v>118</v>
      </c>
      <c r="D306" s="16">
        <v>1</v>
      </c>
      <c r="E306" s="22">
        <v>43905</v>
      </c>
      <c r="F306" s="17">
        <v>2</v>
      </c>
      <c r="G306" s="18">
        <v>0.05</v>
      </c>
      <c r="H306">
        <f>F306*VLOOKUP(B306,產品!$A$2:$H$61,7,FALSE)*(1-銷售總表!G306)</f>
        <v>11400</v>
      </c>
      <c r="I306" s="35">
        <f>H306-F306*VLOOKUP(銷售總表!B306,產品!$A$2:$H$61,8,FALSE)</f>
        <v>4200</v>
      </c>
      <c r="J306" s="20">
        <f t="shared" si="4"/>
        <v>0.36842105263157893</v>
      </c>
    </row>
    <row r="307" spans="1:10" x14ac:dyDescent="0.3">
      <c r="A307" s="33">
        <v>306</v>
      </c>
      <c r="B307" s="4">
        <v>3</v>
      </c>
      <c r="C307" s="15">
        <v>290</v>
      </c>
      <c r="D307" s="16">
        <v>1</v>
      </c>
      <c r="E307" s="22">
        <v>43906</v>
      </c>
      <c r="F307" s="17">
        <v>250</v>
      </c>
      <c r="G307" s="18">
        <v>0.05</v>
      </c>
      <c r="H307">
        <f>F307*VLOOKUP(B307,產品!$A$2:$H$61,7,FALSE)*(1-銷售總表!G307)</f>
        <v>237500</v>
      </c>
      <c r="I307" s="35">
        <f>H307-F307*VLOOKUP(銷售總表!B307,產品!$A$2:$H$61,8,FALSE)</f>
        <v>137500</v>
      </c>
      <c r="J307" s="20">
        <f t="shared" si="4"/>
        <v>0.57894736842105265</v>
      </c>
    </row>
    <row r="308" spans="1:10" x14ac:dyDescent="0.3">
      <c r="A308" s="33">
        <v>307</v>
      </c>
      <c r="B308" s="4">
        <v>57</v>
      </c>
      <c r="C308" s="15">
        <v>10</v>
      </c>
      <c r="D308" s="16">
        <v>2</v>
      </c>
      <c r="E308" s="22">
        <v>43906</v>
      </c>
      <c r="F308" s="17">
        <v>10</v>
      </c>
      <c r="G308" s="18">
        <v>0.1</v>
      </c>
      <c r="H308">
        <f>F308*VLOOKUP(B308,產品!$A$2:$H$61,7,FALSE)*(1-銷售總表!G308)</f>
        <v>162000</v>
      </c>
      <c r="I308" s="35">
        <f>H308-F308*VLOOKUP(銷售總表!B308,產品!$A$2:$H$61,8,FALSE)</f>
        <v>36000</v>
      </c>
      <c r="J308" s="20">
        <f t="shared" si="4"/>
        <v>0.22222222222222221</v>
      </c>
    </row>
    <row r="309" spans="1:10" x14ac:dyDescent="0.3">
      <c r="A309" s="33">
        <v>308</v>
      </c>
      <c r="B309" s="4">
        <v>13</v>
      </c>
      <c r="C309" s="15">
        <v>282</v>
      </c>
      <c r="D309" s="16">
        <v>10</v>
      </c>
      <c r="E309" s="22">
        <v>43906</v>
      </c>
      <c r="F309" s="17">
        <v>30</v>
      </c>
      <c r="G309" s="18">
        <v>7.0000000000000007E-2</v>
      </c>
      <c r="H309">
        <f>F309*VLOOKUP(B309,產品!$A$2:$H$61,7,FALSE)*(1-銷售總表!G309)</f>
        <v>50220</v>
      </c>
      <c r="I309" s="35">
        <f>H309-F309*VLOOKUP(銷售總表!B309,產品!$A$2:$H$61,8,FALSE)</f>
        <v>28620</v>
      </c>
      <c r="J309" s="20">
        <f t="shared" si="4"/>
        <v>0.56989247311827962</v>
      </c>
    </row>
    <row r="310" spans="1:10" x14ac:dyDescent="0.3">
      <c r="A310" s="33">
        <v>309</v>
      </c>
      <c r="B310" s="4">
        <v>32</v>
      </c>
      <c r="C310" s="15">
        <v>11</v>
      </c>
      <c r="D310" s="16">
        <v>10</v>
      </c>
      <c r="E310" s="22">
        <v>43906</v>
      </c>
      <c r="F310" s="17">
        <v>9</v>
      </c>
      <c r="G310" s="18">
        <v>0.08</v>
      </c>
      <c r="H310">
        <f>F310*VLOOKUP(B310,產品!$A$2:$H$61,7,FALSE)*(1-銷售總表!G310)</f>
        <v>62100</v>
      </c>
      <c r="I310" s="35">
        <f>H310-F310*VLOOKUP(銷售總表!B310,產品!$A$2:$H$61,8,FALSE)</f>
        <v>21600</v>
      </c>
      <c r="J310" s="20">
        <f t="shared" si="4"/>
        <v>0.34782608695652173</v>
      </c>
    </row>
    <row r="311" spans="1:10" x14ac:dyDescent="0.3">
      <c r="A311" s="33">
        <v>310</v>
      </c>
      <c r="B311" s="4">
        <v>33</v>
      </c>
      <c r="C311" s="15">
        <v>7</v>
      </c>
      <c r="D311" s="16">
        <v>1</v>
      </c>
      <c r="E311" s="22">
        <v>43906</v>
      </c>
      <c r="F311" s="17">
        <v>11</v>
      </c>
      <c r="G311" s="18">
        <v>0.14000000000000001</v>
      </c>
      <c r="H311">
        <f>F311*VLOOKUP(B311,產品!$A$2:$H$61,7,FALSE)*(1-銷售總表!G311)</f>
        <v>70950</v>
      </c>
      <c r="I311" s="35">
        <f>H311-F311*VLOOKUP(銷售總表!B311,產品!$A$2:$H$61,8,FALSE)</f>
        <v>21450</v>
      </c>
      <c r="J311" s="20">
        <f t="shared" si="4"/>
        <v>0.30232558139534882</v>
      </c>
    </row>
    <row r="312" spans="1:10" x14ac:dyDescent="0.3">
      <c r="A312" s="33">
        <v>311</v>
      </c>
      <c r="B312" s="4">
        <v>6</v>
      </c>
      <c r="C312" s="15">
        <v>3</v>
      </c>
      <c r="D312" s="16">
        <v>1</v>
      </c>
      <c r="E312" s="22">
        <v>43906</v>
      </c>
      <c r="F312" s="17">
        <v>28</v>
      </c>
      <c r="G312" s="18">
        <v>0.08</v>
      </c>
      <c r="H312">
        <f>F312*VLOOKUP(B312,產品!$A$2:$H$61,7,FALSE)*(1-銷售總表!G312)</f>
        <v>25760</v>
      </c>
      <c r="I312" s="35">
        <f>H312-F312*VLOOKUP(銷售總表!B312,產品!$A$2:$H$61,8,FALSE)</f>
        <v>14560</v>
      </c>
      <c r="J312" s="20">
        <f t="shared" si="4"/>
        <v>0.56521739130434778</v>
      </c>
    </row>
    <row r="313" spans="1:10" x14ac:dyDescent="0.3">
      <c r="A313" s="33">
        <v>312</v>
      </c>
      <c r="B313" s="4">
        <v>26</v>
      </c>
      <c r="C313" s="15">
        <v>288</v>
      </c>
      <c r="D313" s="16">
        <v>10</v>
      </c>
      <c r="E313" s="22">
        <v>43906</v>
      </c>
      <c r="F313" s="19">
        <v>9</v>
      </c>
      <c r="G313" s="18">
        <v>0.17</v>
      </c>
      <c r="H313">
        <f>F313*VLOOKUP(B313,產品!$A$2:$H$61,7,FALSE)*(1-銷售總表!G313)</f>
        <v>48555</v>
      </c>
      <c r="I313" s="35">
        <f>H313-F313*VLOOKUP(銷售總表!B313,產品!$A$2:$H$61,8,FALSE)</f>
        <v>13455</v>
      </c>
      <c r="J313" s="20">
        <f t="shared" si="4"/>
        <v>0.27710843373493976</v>
      </c>
    </row>
    <row r="314" spans="1:10" x14ac:dyDescent="0.3">
      <c r="A314" s="33">
        <v>313</v>
      </c>
      <c r="B314" s="4">
        <v>36</v>
      </c>
      <c r="C314" s="15">
        <v>263</v>
      </c>
      <c r="D314" s="16">
        <v>2</v>
      </c>
      <c r="E314" s="22">
        <v>43906</v>
      </c>
      <c r="F314" s="17">
        <v>4</v>
      </c>
      <c r="G314" s="18">
        <v>7.0000000000000007E-2</v>
      </c>
      <c r="H314">
        <f>F314*VLOOKUP(B314,產品!$A$2:$H$61,7,FALSE)*(1-銷售總表!G314)</f>
        <v>33480</v>
      </c>
      <c r="I314" s="35">
        <f>H314-F314*VLOOKUP(銷售總表!B314,產品!$A$2:$H$61,8,FALSE)</f>
        <v>11880</v>
      </c>
      <c r="J314" s="20">
        <f t="shared" si="4"/>
        <v>0.35483870967741937</v>
      </c>
    </row>
    <row r="315" spans="1:10" x14ac:dyDescent="0.3">
      <c r="A315" s="33">
        <v>314</v>
      </c>
      <c r="B315" s="4">
        <v>20</v>
      </c>
      <c r="C315" s="15">
        <v>262</v>
      </c>
      <c r="D315" s="16">
        <v>3</v>
      </c>
      <c r="E315" s="22">
        <v>43906</v>
      </c>
      <c r="F315" s="17">
        <v>10</v>
      </c>
      <c r="G315" s="18">
        <v>7.0000000000000007E-2</v>
      </c>
      <c r="H315">
        <f>F315*VLOOKUP(B315,產品!$A$2:$H$61,7,FALSE)*(1-銷售總表!G315)</f>
        <v>16740</v>
      </c>
      <c r="I315" s="35">
        <f>H315-F315*VLOOKUP(銷售總表!B315,產品!$A$2:$H$61,8,FALSE)</f>
        <v>9540</v>
      </c>
      <c r="J315" s="20">
        <f t="shared" si="4"/>
        <v>0.56989247311827962</v>
      </c>
    </row>
    <row r="316" spans="1:10" x14ac:dyDescent="0.3">
      <c r="A316" s="33">
        <v>315</v>
      </c>
      <c r="B316" s="4">
        <v>47</v>
      </c>
      <c r="C316" s="15">
        <v>6</v>
      </c>
      <c r="D316" s="16">
        <v>10</v>
      </c>
      <c r="E316" s="22">
        <v>43906</v>
      </c>
      <c r="F316" s="17">
        <v>2</v>
      </c>
      <c r="G316" s="18">
        <v>0.14000000000000001</v>
      </c>
      <c r="H316">
        <f>F316*VLOOKUP(B316,產品!$A$2:$H$61,7,FALSE)*(1-銷售總表!G316)</f>
        <v>34400</v>
      </c>
      <c r="I316" s="35">
        <f>H316-F316*VLOOKUP(銷售總表!B316,產品!$A$2:$H$61,8,FALSE)</f>
        <v>8400</v>
      </c>
      <c r="J316" s="20">
        <f t="shared" si="4"/>
        <v>0.2441860465116279</v>
      </c>
    </row>
    <row r="317" spans="1:10" x14ac:dyDescent="0.3">
      <c r="A317" s="33">
        <v>316</v>
      </c>
      <c r="B317" s="4">
        <v>28</v>
      </c>
      <c r="C317" s="15">
        <v>5</v>
      </c>
      <c r="D317" s="16">
        <v>1</v>
      </c>
      <c r="E317" s="22">
        <v>43906</v>
      </c>
      <c r="F317" s="17">
        <v>3</v>
      </c>
      <c r="G317" s="18">
        <v>7.0000000000000007E-2</v>
      </c>
      <c r="H317">
        <f>F317*VLOOKUP(B317,產品!$A$2:$H$61,7,FALSE)*(1-銷售總表!G317)</f>
        <v>20925</v>
      </c>
      <c r="I317" s="35">
        <f>H317-F317*VLOOKUP(銷售總表!B317,產品!$A$2:$H$61,8,FALSE)</f>
        <v>7425</v>
      </c>
      <c r="J317" s="20">
        <f t="shared" si="4"/>
        <v>0.35483870967741937</v>
      </c>
    </row>
    <row r="318" spans="1:10" x14ac:dyDescent="0.3">
      <c r="A318" s="33">
        <v>317</v>
      </c>
      <c r="B318" s="4">
        <v>12</v>
      </c>
      <c r="C318" s="15">
        <v>7</v>
      </c>
      <c r="D318" s="16">
        <v>6</v>
      </c>
      <c r="E318" s="22">
        <v>43907</v>
      </c>
      <c r="F318" s="17">
        <v>250</v>
      </c>
      <c r="G318" s="18">
        <v>0.05</v>
      </c>
      <c r="H318">
        <f>F318*VLOOKUP(B318,產品!$A$2:$H$61,7,FALSE)*(1-銷售總表!G318)</f>
        <v>237500</v>
      </c>
      <c r="I318" s="35">
        <f>H318-F318*VLOOKUP(銷售總表!B318,產品!$A$2:$H$61,8,FALSE)</f>
        <v>137500</v>
      </c>
      <c r="J318" s="20">
        <f t="shared" si="4"/>
        <v>0.57894736842105265</v>
      </c>
    </row>
    <row r="319" spans="1:10" x14ac:dyDescent="0.3">
      <c r="A319" s="33">
        <v>318</v>
      </c>
      <c r="B319" s="4">
        <v>22</v>
      </c>
      <c r="C319" s="15">
        <v>5</v>
      </c>
      <c r="D319" s="16">
        <v>5</v>
      </c>
      <c r="E319" s="22">
        <v>43907</v>
      </c>
      <c r="F319" s="17">
        <v>150</v>
      </c>
      <c r="G319" s="18">
        <v>0.15</v>
      </c>
      <c r="H319">
        <f>F319*VLOOKUP(B319,產品!$A$2:$H$61,7,FALSE)*(1-銷售總表!G319)</f>
        <v>229500</v>
      </c>
      <c r="I319" s="35">
        <f>H319-F319*VLOOKUP(銷售總表!B319,產品!$A$2:$H$61,8,FALSE)</f>
        <v>121500</v>
      </c>
      <c r="J319" s="20">
        <f t="shared" si="4"/>
        <v>0.52941176470588236</v>
      </c>
    </row>
    <row r="320" spans="1:10" x14ac:dyDescent="0.3">
      <c r="A320" s="33">
        <v>319</v>
      </c>
      <c r="B320" s="4">
        <v>20</v>
      </c>
      <c r="C320" s="15">
        <v>137</v>
      </c>
      <c r="D320" s="16">
        <v>5</v>
      </c>
      <c r="E320" s="22">
        <v>43907</v>
      </c>
      <c r="F320" s="19">
        <v>80</v>
      </c>
      <c r="G320" s="18">
        <v>0.11</v>
      </c>
      <c r="H320">
        <f>F320*VLOOKUP(B320,產品!$A$2:$H$61,7,FALSE)*(1-銷售總表!G320)</f>
        <v>128160</v>
      </c>
      <c r="I320" s="35">
        <f>H320-F320*VLOOKUP(銷售總表!B320,產品!$A$2:$H$61,8,FALSE)</f>
        <v>70560</v>
      </c>
      <c r="J320" s="20">
        <f t="shared" si="4"/>
        <v>0.550561797752809</v>
      </c>
    </row>
    <row r="321" spans="1:10" x14ac:dyDescent="0.3">
      <c r="A321" s="33">
        <v>320</v>
      </c>
      <c r="B321" s="4">
        <v>20</v>
      </c>
      <c r="C321" s="15">
        <v>269</v>
      </c>
      <c r="D321" s="16">
        <v>2</v>
      </c>
      <c r="E321" s="22">
        <v>43907</v>
      </c>
      <c r="F321" s="17">
        <v>45</v>
      </c>
      <c r="G321" s="18">
        <v>0.14000000000000001</v>
      </c>
      <c r="H321">
        <f>F321*VLOOKUP(B321,產品!$A$2:$H$61,7,FALSE)*(1-銷售總表!G321)</f>
        <v>69660</v>
      </c>
      <c r="I321" s="35">
        <f>H321-F321*VLOOKUP(銷售總表!B321,產品!$A$2:$H$61,8,FALSE)</f>
        <v>37260</v>
      </c>
      <c r="J321" s="20">
        <f t="shared" si="4"/>
        <v>0.53488372093023251</v>
      </c>
    </row>
    <row r="322" spans="1:10" x14ac:dyDescent="0.3">
      <c r="A322" s="33">
        <v>321</v>
      </c>
      <c r="B322" s="4">
        <v>29</v>
      </c>
      <c r="C322" s="15">
        <v>284</v>
      </c>
      <c r="D322" s="16">
        <v>10</v>
      </c>
      <c r="E322" s="22">
        <v>43907</v>
      </c>
      <c r="F322" s="17">
        <v>16</v>
      </c>
      <c r="G322" s="18">
        <v>0.14000000000000001</v>
      </c>
      <c r="H322">
        <f>F322*VLOOKUP(B322,產品!$A$2:$H$61,7,FALSE)*(1-銷售總表!G322)</f>
        <v>82560</v>
      </c>
      <c r="I322" s="35">
        <f>H322-F322*VLOOKUP(銷售總表!B322,產品!$A$2:$H$61,8,FALSE)</f>
        <v>24960</v>
      </c>
      <c r="J322" s="20">
        <f t="shared" si="4"/>
        <v>0.30232558139534882</v>
      </c>
    </row>
    <row r="323" spans="1:10" x14ac:dyDescent="0.3">
      <c r="A323" s="33">
        <v>322</v>
      </c>
      <c r="B323" s="4">
        <v>10</v>
      </c>
      <c r="C323" s="15">
        <v>6</v>
      </c>
      <c r="D323" s="16">
        <v>8</v>
      </c>
      <c r="E323" s="22">
        <v>43907</v>
      </c>
      <c r="F323" s="17">
        <v>45</v>
      </c>
      <c r="G323" s="18">
        <v>0.14000000000000001</v>
      </c>
      <c r="H323">
        <f>F323*VLOOKUP(B323,產品!$A$2:$H$61,7,FALSE)*(1-銷售總表!G323)</f>
        <v>38700</v>
      </c>
      <c r="I323" s="35">
        <f>H323-F323*VLOOKUP(銷售總表!B323,產品!$A$2:$H$61,8,FALSE)</f>
        <v>20700</v>
      </c>
      <c r="J323" s="20">
        <f t="shared" ref="J323:J386" si="5">I323/H323</f>
        <v>0.53488372093023251</v>
      </c>
    </row>
    <row r="324" spans="1:10" x14ac:dyDescent="0.3">
      <c r="A324" s="33">
        <v>323</v>
      </c>
      <c r="B324" s="4">
        <v>35</v>
      </c>
      <c r="C324" s="15">
        <v>277</v>
      </c>
      <c r="D324" s="16">
        <v>5</v>
      </c>
      <c r="E324" s="22">
        <v>43907</v>
      </c>
      <c r="F324" s="17">
        <v>2</v>
      </c>
      <c r="G324" s="18">
        <v>0.19</v>
      </c>
      <c r="H324">
        <f>F324*VLOOKUP(B324,產品!$A$2:$H$61,7,FALSE)*(1-銷售總表!G324)</f>
        <v>13770</v>
      </c>
      <c r="I324" s="35">
        <f>H324-F324*VLOOKUP(銷售總表!B324,產品!$A$2:$H$61,8,FALSE)</f>
        <v>3570</v>
      </c>
      <c r="J324" s="20">
        <f t="shared" si="5"/>
        <v>0.25925925925925924</v>
      </c>
    </row>
    <row r="325" spans="1:10" x14ac:dyDescent="0.3">
      <c r="A325" s="33">
        <v>324</v>
      </c>
      <c r="B325" s="4">
        <v>58</v>
      </c>
      <c r="C325" s="15">
        <v>6</v>
      </c>
      <c r="D325" s="16">
        <v>7</v>
      </c>
      <c r="E325" s="22">
        <v>43907</v>
      </c>
      <c r="F325" s="17">
        <v>1</v>
      </c>
      <c r="G325" s="18">
        <v>0.15</v>
      </c>
      <c r="H325">
        <f>F325*VLOOKUP(B325,產品!$A$2:$H$61,7,FALSE)*(1-銷售總表!G325)</f>
        <v>17850</v>
      </c>
      <c r="I325" s="35">
        <f>H325-F325*VLOOKUP(銷售總表!B325,產品!$A$2:$H$61,8,FALSE)</f>
        <v>3150.0000000000018</v>
      </c>
      <c r="J325" s="20">
        <f t="shared" si="5"/>
        <v>0.17647058823529421</v>
      </c>
    </row>
    <row r="326" spans="1:10" x14ac:dyDescent="0.3">
      <c r="A326" s="33">
        <v>325</v>
      </c>
      <c r="B326" s="4">
        <v>21</v>
      </c>
      <c r="C326" s="15">
        <v>270</v>
      </c>
      <c r="D326" s="16">
        <v>6</v>
      </c>
      <c r="E326" s="22">
        <v>43908</v>
      </c>
      <c r="F326" s="19">
        <v>30</v>
      </c>
      <c r="G326" s="18">
        <v>0.09</v>
      </c>
      <c r="H326">
        <f>F326*VLOOKUP(B326,產品!$A$2:$H$61,7,FALSE)*(1-銷售總表!G326)</f>
        <v>49140</v>
      </c>
      <c r="I326" s="35">
        <f>H326-F326*VLOOKUP(銷售總表!B326,產品!$A$2:$H$61,8,FALSE)</f>
        <v>27540</v>
      </c>
      <c r="J326" s="20">
        <f t="shared" si="5"/>
        <v>0.56043956043956045</v>
      </c>
    </row>
    <row r="327" spans="1:10" x14ac:dyDescent="0.3">
      <c r="A327" s="33">
        <v>326</v>
      </c>
      <c r="B327" s="4">
        <v>29</v>
      </c>
      <c r="C327" s="15">
        <v>8</v>
      </c>
      <c r="D327" s="16">
        <v>7</v>
      </c>
      <c r="E327" s="22">
        <v>43908</v>
      </c>
      <c r="F327" s="17">
        <v>10</v>
      </c>
      <c r="G327" s="18">
        <v>0.14000000000000001</v>
      </c>
      <c r="H327">
        <f>F327*VLOOKUP(B327,產品!$A$2:$H$61,7,FALSE)*(1-銷售總表!G327)</f>
        <v>51600</v>
      </c>
      <c r="I327" s="35">
        <f>H327-F327*VLOOKUP(銷售總表!B327,產品!$A$2:$H$61,8,FALSE)</f>
        <v>15600</v>
      </c>
      <c r="J327" s="20">
        <f t="shared" si="5"/>
        <v>0.30232558139534882</v>
      </c>
    </row>
    <row r="328" spans="1:10" x14ac:dyDescent="0.3">
      <c r="A328" s="33">
        <v>327</v>
      </c>
      <c r="B328" s="4">
        <v>39</v>
      </c>
      <c r="C328" s="15">
        <v>272</v>
      </c>
      <c r="D328" s="16">
        <v>4</v>
      </c>
      <c r="E328" s="22">
        <v>43908</v>
      </c>
      <c r="F328" s="17">
        <v>3</v>
      </c>
      <c r="G328" s="18">
        <v>0.17</v>
      </c>
      <c r="H328">
        <f>F328*VLOOKUP(B328,產品!$A$2:$H$61,7,FALSE)*(1-銷售總表!G328)</f>
        <v>44820</v>
      </c>
      <c r="I328" s="35">
        <f>H328-F328*VLOOKUP(銷售總表!B328,產品!$A$2:$H$61,8,FALSE)</f>
        <v>9720</v>
      </c>
      <c r="J328" s="20">
        <f t="shared" si="5"/>
        <v>0.21686746987951808</v>
      </c>
    </row>
    <row r="329" spans="1:10" x14ac:dyDescent="0.3">
      <c r="A329" s="33">
        <v>328</v>
      </c>
      <c r="B329" s="4">
        <v>18</v>
      </c>
      <c r="C329" s="15">
        <v>286</v>
      </c>
      <c r="D329" s="16">
        <v>9</v>
      </c>
      <c r="E329" s="22">
        <v>43909</v>
      </c>
      <c r="F329" s="17">
        <v>15</v>
      </c>
      <c r="G329" s="18">
        <v>0.13</v>
      </c>
      <c r="H329">
        <f>F329*VLOOKUP(B329,產品!$A$2:$H$61,7,FALSE)*(1-銷售總表!G329)</f>
        <v>23490</v>
      </c>
      <c r="I329" s="35">
        <f>H329-F329*VLOOKUP(銷售總表!B329,產品!$A$2:$H$61,8,FALSE)</f>
        <v>12690</v>
      </c>
      <c r="J329" s="20">
        <f t="shared" si="5"/>
        <v>0.54022988505747127</v>
      </c>
    </row>
    <row r="330" spans="1:10" x14ac:dyDescent="0.3">
      <c r="A330" s="33">
        <v>329</v>
      </c>
      <c r="B330" s="4">
        <v>27</v>
      </c>
      <c r="C330" s="15">
        <v>285</v>
      </c>
      <c r="D330" s="16">
        <v>6</v>
      </c>
      <c r="E330" s="22">
        <v>43909</v>
      </c>
      <c r="F330" s="17">
        <v>3</v>
      </c>
      <c r="G330" s="18">
        <v>0.1</v>
      </c>
      <c r="H330">
        <f>F330*VLOOKUP(B330,產品!$A$2:$H$61,7,FALSE)*(1-銷售總表!G330)</f>
        <v>18900</v>
      </c>
      <c r="I330" s="35">
        <f>H330-F330*VLOOKUP(銷售總表!B330,產品!$A$2:$H$61,8,FALSE)</f>
        <v>6300</v>
      </c>
      <c r="J330" s="20">
        <f t="shared" si="5"/>
        <v>0.33333333333333331</v>
      </c>
    </row>
    <row r="331" spans="1:10" x14ac:dyDescent="0.3">
      <c r="A331" s="33">
        <v>330</v>
      </c>
      <c r="B331" s="4">
        <v>33</v>
      </c>
      <c r="C331" s="15">
        <v>8</v>
      </c>
      <c r="D331" s="16">
        <v>8</v>
      </c>
      <c r="E331" s="22">
        <v>43910</v>
      </c>
      <c r="F331" s="17">
        <v>20</v>
      </c>
      <c r="G331" s="18">
        <v>7.0000000000000007E-2</v>
      </c>
      <c r="H331">
        <f>F331*VLOOKUP(B331,產品!$A$2:$H$61,7,FALSE)*(1-銷售總表!G331)</f>
        <v>139500</v>
      </c>
      <c r="I331" s="35">
        <f>H331-F331*VLOOKUP(銷售總表!B331,產品!$A$2:$H$61,8,FALSE)</f>
        <v>49500</v>
      </c>
      <c r="J331" s="20">
        <f t="shared" si="5"/>
        <v>0.35483870967741937</v>
      </c>
    </row>
    <row r="332" spans="1:10" x14ac:dyDescent="0.3">
      <c r="A332" s="33">
        <v>331</v>
      </c>
      <c r="B332" s="4">
        <v>52</v>
      </c>
      <c r="C332" s="15">
        <v>279</v>
      </c>
      <c r="D332" s="16">
        <v>7</v>
      </c>
      <c r="E332" s="22">
        <v>43910</v>
      </c>
      <c r="F332" s="17">
        <v>4</v>
      </c>
      <c r="G332" s="18">
        <v>0.1</v>
      </c>
      <c r="H332">
        <f>F332*VLOOKUP(B332,產品!$A$2:$H$61,7,FALSE)*(1-銷售總表!G332)</f>
        <v>79200</v>
      </c>
      <c r="I332" s="35">
        <f>H332-F332*VLOOKUP(銷售總表!B332,產品!$A$2:$H$61,8,FALSE)</f>
        <v>17600.000000000007</v>
      </c>
      <c r="J332" s="20">
        <f t="shared" si="5"/>
        <v>0.22222222222222232</v>
      </c>
    </row>
    <row r="333" spans="1:10" x14ac:dyDescent="0.3">
      <c r="A333" s="33">
        <v>332</v>
      </c>
      <c r="B333" s="4">
        <v>44</v>
      </c>
      <c r="C333" s="15">
        <v>114</v>
      </c>
      <c r="D333" s="16">
        <v>2</v>
      </c>
      <c r="E333" s="22">
        <v>43910</v>
      </c>
      <c r="F333" s="17">
        <v>2</v>
      </c>
      <c r="G333" s="18">
        <v>0.18</v>
      </c>
      <c r="H333">
        <f>F333*VLOOKUP(B333,產品!$A$2:$H$61,7,FALSE)*(1-銷售總表!G333)</f>
        <v>32800</v>
      </c>
      <c r="I333" s="35">
        <f>H333-F333*VLOOKUP(銷售總表!B333,產品!$A$2:$H$61,8,FALSE)</f>
        <v>6800</v>
      </c>
      <c r="J333" s="20">
        <f t="shared" si="5"/>
        <v>0.2073170731707317</v>
      </c>
    </row>
    <row r="334" spans="1:10" x14ac:dyDescent="0.3">
      <c r="A334" s="33">
        <v>333</v>
      </c>
      <c r="B334" s="4">
        <v>39</v>
      </c>
      <c r="C334" s="15">
        <v>138</v>
      </c>
      <c r="D334" s="16">
        <v>1</v>
      </c>
      <c r="E334" s="22">
        <v>43910</v>
      </c>
      <c r="F334" s="17">
        <v>2</v>
      </c>
      <c r="G334" s="18">
        <v>0.2</v>
      </c>
      <c r="H334">
        <f>F334*VLOOKUP(B334,產品!$A$2:$H$61,7,FALSE)*(1-銷售總表!G334)</f>
        <v>28800</v>
      </c>
      <c r="I334" s="35">
        <f>H334-F334*VLOOKUP(銷售總表!B334,產品!$A$2:$H$61,8,FALSE)</f>
        <v>5400</v>
      </c>
      <c r="J334" s="20">
        <f t="shared" si="5"/>
        <v>0.1875</v>
      </c>
    </row>
    <row r="335" spans="1:10" x14ac:dyDescent="0.3">
      <c r="A335" s="33">
        <v>334</v>
      </c>
      <c r="B335" s="4">
        <v>3</v>
      </c>
      <c r="C335" s="15">
        <v>284</v>
      </c>
      <c r="D335" s="16">
        <v>4</v>
      </c>
      <c r="E335" s="22">
        <v>43910</v>
      </c>
      <c r="F335" s="19">
        <v>10</v>
      </c>
      <c r="G335" s="18">
        <v>0.09</v>
      </c>
      <c r="H335">
        <f>F335*VLOOKUP(B335,產品!$A$2:$H$61,7,FALSE)*(1-銷售總表!G335)</f>
        <v>9100</v>
      </c>
      <c r="I335" s="35">
        <f>H335-F335*VLOOKUP(銷售總表!B335,產品!$A$2:$H$61,8,FALSE)</f>
        <v>5100</v>
      </c>
      <c r="J335" s="20">
        <f t="shared" si="5"/>
        <v>0.56043956043956045</v>
      </c>
    </row>
    <row r="336" spans="1:10" x14ac:dyDescent="0.3">
      <c r="A336" s="33">
        <v>335</v>
      </c>
      <c r="B336" s="4">
        <v>36</v>
      </c>
      <c r="C336" s="15">
        <v>263</v>
      </c>
      <c r="D336" s="16">
        <v>8</v>
      </c>
      <c r="E336" s="22">
        <v>43910</v>
      </c>
      <c r="F336" s="19">
        <v>2</v>
      </c>
      <c r="G336" s="18">
        <v>0.12</v>
      </c>
      <c r="H336">
        <f>F336*VLOOKUP(B336,產品!$A$2:$H$61,7,FALSE)*(1-銷售總表!G336)</f>
        <v>15840</v>
      </c>
      <c r="I336" s="35">
        <f>H336-F336*VLOOKUP(銷售總表!B336,產品!$A$2:$H$61,8,FALSE)</f>
        <v>5040</v>
      </c>
      <c r="J336" s="20">
        <f t="shared" si="5"/>
        <v>0.31818181818181818</v>
      </c>
    </row>
    <row r="337" spans="1:10" x14ac:dyDescent="0.3">
      <c r="A337" s="33">
        <v>336</v>
      </c>
      <c r="B337" s="4">
        <v>18</v>
      </c>
      <c r="C337" s="15">
        <v>113</v>
      </c>
      <c r="D337" s="16">
        <v>1</v>
      </c>
      <c r="E337" s="22">
        <v>43911</v>
      </c>
      <c r="F337" s="17">
        <v>150</v>
      </c>
      <c r="G337" s="18">
        <v>0.16</v>
      </c>
      <c r="H337">
        <f>F337*VLOOKUP(B337,產品!$A$2:$H$61,7,FALSE)*(1-銷售總表!G337)</f>
        <v>226800</v>
      </c>
      <c r="I337" s="35">
        <f>H337-F337*VLOOKUP(銷售總表!B337,產品!$A$2:$H$61,8,FALSE)</f>
        <v>118800</v>
      </c>
      <c r="J337" s="20">
        <f t="shared" si="5"/>
        <v>0.52380952380952384</v>
      </c>
    </row>
    <row r="338" spans="1:10" x14ac:dyDescent="0.3">
      <c r="A338" s="33">
        <v>337</v>
      </c>
      <c r="B338" s="4">
        <v>18</v>
      </c>
      <c r="C338" s="15">
        <v>275</v>
      </c>
      <c r="D338" s="16">
        <v>10</v>
      </c>
      <c r="E338" s="22">
        <v>43911</v>
      </c>
      <c r="F338" s="17">
        <v>150</v>
      </c>
      <c r="G338" s="18">
        <v>0.2</v>
      </c>
      <c r="H338">
        <f>F338*VLOOKUP(B338,產品!$A$2:$H$61,7,FALSE)*(1-銷售總表!G338)</f>
        <v>216000</v>
      </c>
      <c r="I338" s="35">
        <f>H338-F338*VLOOKUP(銷售總表!B338,產品!$A$2:$H$61,8,FALSE)</f>
        <v>108000</v>
      </c>
      <c r="J338" s="20">
        <f t="shared" si="5"/>
        <v>0.5</v>
      </c>
    </row>
    <row r="339" spans="1:10" x14ac:dyDescent="0.3">
      <c r="A339" s="33">
        <v>338</v>
      </c>
      <c r="B339" s="4">
        <v>14</v>
      </c>
      <c r="C339" s="15">
        <v>272</v>
      </c>
      <c r="D339" s="16">
        <v>9</v>
      </c>
      <c r="E339" s="22">
        <v>43911</v>
      </c>
      <c r="F339" s="17">
        <v>90</v>
      </c>
      <c r="G339" s="18">
        <v>0.09</v>
      </c>
      <c r="H339">
        <f>F339*VLOOKUP(B339,產品!$A$2:$H$61,7,FALSE)*(1-銷售總表!G339)</f>
        <v>147420</v>
      </c>
      <c r="I339" s="35">
        <f>H339-F339*VLOOKUP(銷售總表!B339,產品!$A$2:$H$61,8,FALSE)</f>
        <v>82620</v>
      </c>
      <c r="J339" s="20">
        <f t="shared" si="5"/>
        <v>0.56043956043956045</v>
      </c>
    </row>
    <row r="340" spans="1:10" x14ac:dyDescent="0.3">
      <c r="A340" s="33">
        <v>339</v>
      </c>
      <c r="B340" s="4">
        <v>23</v>
      </c>
      <c r="C340" s="15">
        <v>284</v>
      </c>
      <c r="D340" s="16">
        <v>8</v>
      </c>
      <c r="E340" s="22">
        <v>43911</v>
      </c>
      <c r="F340" s="19">
        <v>80</v>
      </c>
      <c r="G340" s="18">
        <v>0.11</v>
      </c>
      <c r="H340">
        <f>F340*VLOOKUP(B340,產品!$A$2:$H$61,7,FALSE)*(1-銷售總表!G340)</f>
        <v>128160</v>
      </c>
      <c r="I340" s="35">
        <f>H340-F340*VLOOKUP(銷售總表!B340,產品!$A$2:$H$61,8,FALSE)</f>
        <v>70560</v>
      </c>
      <c r="J340" s="20">
        <f t="shared" si="5"/>
        <v>0.550561797752809</v>
      </c>
    </row>
    <row r="341" spans="1:10" x14ac:dyDescent="0.3">
      <c r="A341" s="33">
        <v>340</v>
      </c>
      <c r="B341" s="4">
        <v>6</v>
      </c>
      <c r="C341" s="15">
        <v>257</v>
      </c>
      <c r="D341" s="16">
        <v>1</v>
      </c>
      <c r="E341" s="22">
        <v>43911</v>
      </c>
      <c r="F341" s="17">
        <v>30</v>
      </c>
      <c r="G341" s="18">
        <v>0.05</v>
      </c>
      <c r="H341">
        <f>F341*VLOOKUP(B341,產品!$A$2:$H$61,7,FALSE)*(1-銷售總表!G341)</f>
        <v>28500</v>
      </c>
      <c r="I341" s="35">
        <f>H341-F341*VLOOKUP(銷售總表!B341,產品!$A$2:$H$61,8,FALSE)</f>
        <v>16500</v>
      </c>
      <c r="J341" s="20">
        <f t="shared" si="5"/>
        <v>0.57894736842105265</v>
      </c>
    </row>
    <row r="342" spans="1:10" x14ac:dyDescent="0.3">
      <c r="A342" s="33">
        <v>341</v>
      </c>
      <c r="B342" s="4">
        <v>28</v>
      </c>
      <c r="C342" s="15">
        <v>283</v>
      </c>
      <c r="D342" s="16">
        <v>2</v>
      </c>
      <c r="E342" s="22">
        <v>43911</v>
      </c>
      <c r="F342" s="17">
        <v>10</v>
      </c>
      <c r="G342" s="18">
        <v>0.19</v>
      </c>
      <c r="H342">
        <f>F342*VLOOKUP(B342,產品!$A$2:$H$61,7,FALSE)*(1-銷售總表!G342)</f>
        <v>60750.000000000007</v>
      </c>
      <c r="I342" s="35">
        <f>H342-F342*VLOOKUP(銷售總表!B342,產品!$A$2:$H$61,8,FALSE)</f>
        <v>15750.000000000007</v>
      </c>
      <c r="J342" s="20">
        <f t="shared" si="5"/>
        <v>0.25925925925925936</v>
      </c>
    </row>
    <row r="343" spans="1:10" x14ac:dyDescent="0.3">
      <c r="A343" s="33">
        <v>342</v>
      </c>
      <c r="B343" s="4">
        <v>19</v>
      </c>
      <c r="C343" s="15">
        <v>1</v>
      </c>
      <c r="D343" s="16">
        <v>2</v>
      </c>
      <c r="E343" s="22">
        <v>43911</v>
      </c>
      <c r="F343" s="17">
        <v>12</v>
      </c>
      <c r="G343" s="18">
        <v>0.11</v>
      </c>
      <c r="H343">
        <f>F343*VLOOKUP(B343,產品!$A$2:$H$61,7,FALSE)*(1-銷售總表!G343)</f>
        <v>19224</v>
      </c>
      <c r="I343" s="35">
        <f>H343-F343*VLOOKUP(銷售總表!B343,產品!$A$2:$H$61,8,FALSE)</f>
        <v>10584</v>
      </c>
      <c r="J343" s="20">
        <f t="shared" si="5"/>
        <v>0.550561797752809</v>
      </c>
    </row>
    <row r="344" spans="1:10" x14ac:dyDescent="0.3">
      <c r="A344" s="33">
        <v>343</v>
      </c>
      <c r="B344" s="4">
        <v>54</v>
      </c>
      <c r="C344" s="15">
        <v>10</v>
      </c>
      <c r="D344" s="16">
        <v>2</v>
      </c>
      <c r="E344" s="22">
        <v>43911</v>
      </c>
      <c r="F344" s="17">
        <v>5</v>
      </c>
      <c r="G344" s="18">
        <v>0.2</v>
      </c>
      <c r="H344">
        <f>F344*VLOOKUP(B344,產品!$A$2:$H$61,7,FALSE)*(1-銷售總表!G344)</f>
        <v>72000</v>
      </c>
      <c r="I344" s="35">
        <f>H344-F344*VLOOKUP(銷售總表!B344,產品!$A$2:$H$61,8,FALSE)</f>
        <v>9000</v>
      </c>
      <c r="J344" s="20">
        <f t="shared" si="5"/>
        <v>0.125</v>
      </c>
    </row>
    <row r="345" spans="1:10" x14ac:dyDescent="0.3">
      <c r="A345" s="33">
        <v>344</v>
      </c>
      <c r="B345" s="4">
        <v>14</v>
      </c>
      <c r="C345" s="15">
        <v>113</v>
      </c>
      <c r="D345" s="16">
        <v>4</v>
      </c>
      <c r="E345" s="22">
        <v>43912</v>
      </c>
      <c r="F345" s="17">
        <v>150</v>
      </c>
      <c r="G345" s="18">
        <v>0.12</v>
      </c>
      <c r="H345">
        <f>F345*VLOOKUP(B345,產品!$A$2:$H$61,7,FALSE)*(1-銷售總表!G345)</f>
        <v>237600</v>
      </c>
      <c r="I345" s="35">
        <f>H345-F345*VLOOKUP(銷售總表!B345,產品!$A$2:$H$61,8,FALSE)</f>
        <v>129600</v>
      </c>
      <c r="J345" s="20">
        <f t="shared" si="5"/>
        <v>0.54545454545454541</v>
      </c>
    </row>
    <row r="346" spans="1:10" x14ac:dyDescent="0.3">
      <c r="A346" s="33">
        <v>345</v>
      </c>
      <c r="B346" s="4">
        <v>25</v>
      </c>
      <c r="C346" s="15">
        <v>121</v>
      </c>
      <c r="D346" s="16">
        <v>5</v>
      </c>
      <c r="E346" s="22">
        <v>43912</v>
      </c>
      <c r="F346" s="17">
        <v>10</v>
      </c>
      <c r="G346" s="18">
        <v>0.1</v>
      </c>
      <c r="H346">
        <f>F346*VLOOKUP(B346,產品!$A$2:$H$61,7,FALSE)*(1-銷售總表!G346)</f>
        <v>54000</v>
      </c>
      <c r="I346" s="35">
        <f>H346-F346*VLOOKUP(銷售總表!B346,產品!$A$2:$H$61,8,FALSE)</f>
        <v>18000</v>
      </c>
      <c r="J346" s="20">
        <f t="shared" si="5"/>
        <v>0.33333333333333331</v>
      </c>
    </row>
    <row r="347" spans="1:10" x14ac:dyDescent="0.3">
      <c r="A347" s="33">
        <v>346</v>
      </c>
      <c r="B347" s="4">
        <v>10</v>
      </c>
      <c r="C347" s="15">
        <v>293</v>
      </c>
      <c r="D347" s="16">
        <v>8</v>
      </c>
      <c r="E347" s="22">
        <v>43912</v>
      </c>
      <c r="F347" s="17">
        <v>30</v>
      </c>
      <c r="G347" s="18">
        <v>0.16</v>
      </c>
      <c r="H347">
        <f>F347*VLOOKUP(B347,產品!$A$2:$H$61,7,FALSE)*(1-銷售總表!G347)</f>
        <v>25200</v>
      </c>
      <c r="I347" s="35">
        <f>H347-F347*VLOOKUP(銷售總表!B347,產品!$A$2:$H$61,8,FALSE)</f>
        <v>13200</v>
      </c>
      <c r="J347" s="20">
        <f t="shared" si="5"/>
        <v>0.52380952380952384</v>
      </c>
    </row>
    <row r="348" spans="1:10" x14ac:dyDescent="0.3">
      <c r="A348" s="33">
        <v>347</v>
      </c>
      <c r="B348" s="4">
        <v>39</v>
      </c>
      <c r="C348" s="15">
        <v>268</v>
      </c>
      <c r="D348" s="16">
        <v>7</v>
      </c>
      <c r="E348" s="22">
        <v>43912</v>
      </c>
      <c r="F348" s="17">
        <v>2</v>
      </c>
      <c r="G348" s="18">
        <v>0.06</v>
      </c>
      <c r="H348">
        <f>F348*VLOOKUP(B348,產品!$A$2:$H$61,7,FALSE)*(1-銷售總表!G348)</f>
        <v>33840</v>
      </c>
      <c r="I348" s="35">
        <f>H348-F348*VLOOKUP(銷售總表!B348,產品!$A$2:$H$61,8,FALSE)</f>
        <v>10440</v>
      </c>
      <c r="J348" s="20">
        <f t="shared" si="5"/>
        <v>0.30851063829787234</v>
      </c>
    </row>
    <row r="349" spans="1:10" x14ac:dyDescent="0.3">
      <c r="A349" s="33">
        <v>348</v>
      </c>
      <c r="B349" s="4">
        <v>51</v>
      </c>
      <c r="C349" s="15">
        <v>2</v>
      </c>
      <c r="D349" s="16">
        <v>8</v>
      </c>
      <c r="E349" s="22">
        <v>43912</v>
      </c>
      <c r="F349" s="17">
        <v>3</v>
      </c>
      <c r="G349" s="18">
        <v>0.14000000000000001</v>
      </c>
      <c r="H349">
        <f>F349*VLOOKUP(B349,產品!$A$2:$H$61,7,FALSE)*(1-銷售總表!G349)</f>
        <v>51600</v>
      </c>
      <c r="I349" s="35">
        <f>H349-F349*VLOOKUP(銷售總表!B349,產品!$A$2:$H$61,8,FALSE)</f>
        <v>9600</v>
      </c>
      <c r="J349" s="20">
        <f t="shared" si="5"/>
        <v>0.18604651162790697</v>
      </c>
    </row>
    <row r="350" spans="1:10" x14ac:dyDescent="0.3">
      <c r="A350" s="33">
        <v>349</v>
      </c>
      <c r="B350" s="4">
        <v>16</v>
      </c>
      <c r="C350" s="15">
        <v>112</v>
      </c>
      <c r="D350" s="16">
        <v>5</v>
      </c>
      <c r="E350" s="22">
        <v>43913</v>
      </c>
      <c r="F350" s="17">
        <v>60</v>
      </c>
      <c r="G350" s="18">
        <v>0.18</v>
      </c>
      <c r="H350">
        <f>F350*VLOOKUP(B350,產品!$A$2:$H$61,7,FALSE)*(1-銷售總表!G350)</f>
        <v>88560</v>
      </c>
      <c r="I350" s="35">
        <f>H350-F350*VLOOKUP(銷售總表!B350,產品!$A$2:$H$61,8,FALSE)</f>
        <v>45360</v>
      </c>
      <c r="J350" s="20">
        <f t="shared" si="5"/>
        <v>0.51219512195121952</v>
      </c>
    </row>
    <row r="351" spans="1:10" x14ac:dyDescent="0.3">
      <c r="A351" s="33">
        <v>350</v>
      </c>
      <c r="B351" s="4">
        <v>19</v>
      </c>
      <c r="C351" s="15">
        <v>271</v>
      </c>
      <c r="D351" s="16">
        <v>5</v>
      </c>
      <c r="E351" s="22">
        <v>43913</v>
      </c>
      <c r="F351" s="17">
        <v>30</v>
      </c>
      <c r="G351" s="18">
        <v>0.06</v>
      </c>
      <c r="H351">
        <f>F351*VLOOKUP(B351,產品!$A$2:$H$61,7,FALSE)*(1-銷售總表!G351)</f>
        <v>50760</v>
      </c>
      <c r="I351" s="35">
        <f>H351-F351*VLOOKUP(銷售總表!B351,產品!$A$2:$H$61,8,FALSE)</f>
        <v>29160</v>
      </c>
      <c r="J351" s="20">
        <f t="shared" si="5"/>
        <v>0.57446808510638303</v>
      </c>
    </row>
    <row r="352" spans="1:10" x14ac:dyDescent="0.3">
      <c r="A352" s="33">
        <v>351</v>
      </c>
      <c r="B352" s="4">
        <v>51</v>
      </c>
      <c r="C352" s="15">
        <v>272</v>
      </c>
      <c r="D352" s="16">
        <v>8</v>
      </c>
      <c r="E352" s="22">
        <v>43913</v>
      </c>
      <c r="F352" s="19">
        <v>6</v>
      </c>
      <c r="G352" s="18">
        <v>0.06</v>
      </c>
      <c r="H352">
        <f>F352*VLOOKUP(B352,產品!$A$2:$H$61,7,FALSE)*(1-銷售總表!G352)</f>
        <v>112800</v>
      </c>
      <c r="I352" s="35">
        <f>H352-F352*VLOOKUP(銷售總表!B352,產品!$A$2:$H$61,8,FALSE)</f>
        <v>28800</v>
      </c>
      <c r="J352" s="20">
        <f t="shared" si="5"/>
        <v>0.25531914893617019</v>
      </c>
    </row>
    <row r="353" spans="1:10" x14ac:dyDescent="0.3">
      <c r="A353" s="33">
        <v>352</v>
      </c>
      <c r="B353" s="4">
        <v>15</v>
      </c>
      <c r="C353" s="15">
        <v>272</v>
      </c>
      <c r="D353" s="16">
        <v>1</v>
      </c>
      <c r="E353" s="22">
        <v>43913</v>
      </c>
      <c r="F353" s="17">
        <v>26</v>
      </c>
      <c r="G353" s="18">
        <v>7.0000000000000007E-2</v>
      </c>
      <c r="H353">
        <f>F353*VLOOKUP(B353,產品!$A$2:$H$61,7,FALSE)*(1-銷售總表!G353)</f>
        <v>43524</v>
      </c>
      <c r="I353" s="35">
        <f>H353-F353*VLOOKUP(銷售總表!B353,產品!$A$2:$H$61,8,FALSE)</f>
        <v>24804</v>
      </c>
      <c r="J353" s="20">
        <f t="shared" si="5"/>
        <v>0.56989247311827962</v>
      </c>
    </row>
    <row r="354" spans="1:10" x14ac:dyDescent="0.3">
      <c r="A354" s="33">
        <v>353</v>
      </c>
      <c r="B354" s="4">
        <v>26</v>
      </c>
      <c r="C354" s="15">
        <v>272</v>
      </c>
      <c r="D354" s="16">
        <v>3</v>
      </c>
      <c r="E354" s="22">
        <v>43913</v>
      </c>
      <c r="F354" s="17">
        <v>13</v>
      </c>
      <c r="G354" s="18">
        <v>0.11</v>
      </c>
      <c r="H354">
        <f>F354*VLOOKUP(B354,產品!$A$2:$H$61,7,FALSE)*(1-銷售總表!G354)</f>
        <v>75205</v>
      </c>
      <c r="I354" s="35">
        <f>H354-F354*VLOOKUP(銷售總表!B354,產品!$A$2:$H$61,8,FALSE)</f>
        <v>24505</v>
      </c>
      <c r="J354" s="20">
        <f t="shared" si="5"/>
        <v>0.3258426966292135</v>
      </c>
    </row>
    <row r="355" spans="1:10" x14ac:dyDescent="0.3">
      <c r="A355" s="33">
        <v>354</v>
      </c>
      <c r="B355" s="4">
        <v>49</v>
      </c>
      <c r="C355" s="15">
        <v>277</v>
      </c>
      <c r="D355" s="16">
        <v>2</v>
      </c>
      <c r="E355" s="22">
        <v>43913</v>
      </c>
      <c r="F355" s="19">
        <v>8</v>
      </c>
      <c r="G355" s="18">
        <v>0.15</v>
      </c>
      <c r="H355">
        <f>F355*VLOOKUP(B355,產品!$A$2:$H$61,7,FALSE)*(1-銷售總表!G355)</f>
        <v>102000</v>
      </c>
      <c r="I355" s="35">
        <f>H355-F355*VLOOKUP(銷售總表!B355,產品!$A$2:$H$61,8,FALSE)</f>
        <v>18000</v>
      </c>
      <c r="J355" s="20">
        <f t="shared" si="5"/>
        <v>0.17647058823529413</v>
      </c>
    </row>
    <row r="356" spans="1:10" x14ac:dyDescent="0.3">
      <c r="A356" s="33">
        <v>355</v>
      </c>
      <c r="B356" s="4">
        <v>57</v>
      </c>
      <c r="C356" s="15">
        <v>283</v>
      </c>
      <c r="D356" s="16">
        <v>5</v>
      </c>
      <c r="E356" s="22">
        <v>43913</v>
      </c>
      <c r="F356" s="17">
        <v>2</v>
      </c>
      <c r="G356" s="18">
        <v>7.0000000000000007E-2</v>
      </c>
      <c r="H356">
        <f>F356*VLOOKUP(B356,產品!$A$2:$H$61,7,FALSE)*(1-銷售總表!G356)</f>
        <v>33480</v>
      </c>
      <c r="I356" s="35">
        <f>H356-F356*VLOOKUP(銷售總表!B356,產品!$A$2:$H$61,8,FALSE)</f>
        <v>8280</v>
      </c>
      <c r="J356" s="20">
        <f t="shared" si="5"/>
        <v>0.24731182795698925</v>
      </c>
    </row>
    <row r="357" spans="1:10" x14ac:dyDescent="0.3">
      <c r="A357" s="33">
        <v>356</v>
      </c>
      <c r="B357" s="4">
        <v>1</v>
      </c>
      <c r="C357" s="15">
        <v>7</v>
      </c>
      <c r="D357" s="16">
        <v>6</v>
      </c>
      <c r="E357" s="22">
        <v>43913</v>
      </c>
      <c r="F357" s="17">
        <v>10</v>
      </c>
      <c r="G357" s="18">
        <v>0.2</v>
      </c>
      <c r="H357">
        <f>F357*VLOOKUP(B357,產品!$A$2:$H$61,7,FALSE)*(1-銷售總表!G357)</f>
        <v>8000</v>
      </c>
      <c r="I357" s="35">
        <f>H357-F357*VLOOKUP(銷售總表!B357,產品!$A$2:$H$61,8,FALSE)</f>
        <v>4000</v>
      </c>
      <c r="J357" s="20">
        <f t="shared" si="5"/>
        <v>0.5</v>
      </c>
    </row>
    <row r="358" spans="1:10" x14ac:dyDescent="0.3">
      <c r="A358" s="33">
        <v>357</v>
      </c>
      <c r="B358" s="4">
        <v>51</v>
      </c>
      <c r="C358" s="15">
        <v>264</v>
      </c>
      <c r="D358" s="16">
        <v>8</v>
      </c>
      <c r="E358" s="22">
        <v>43914</v>
      </c>
      <c r="F358" s="17">
        <v>15</v>
      </c>
      <c r="G358" s="18">
        <v>0.14000000000000001</v>
      </c>
      <c r="H358">
        <f>F358*VLOOKUP(B358,產品!$A$2:$H$61,7,FALSE)*(1-銷售總表!G358)</f>
        <v>258000</v>
      </c>
      <c r="I358" s="35">
        <f>H358-F358*VLOOKUP(銷售總表!B358,產品!$A$2:$H$61,8,FALSE)</f>
        <v>48000</v>
      </c>
      <c r="J358" s="20">
        <f t="shared" si="5"/>
        <v>0.18604651162790697</v>
      </c>
    </row>
    <row r="359" spans="1:10" x14ac:dyDescent="0.3">
      <c r="A359" s="33">
        <v>358</v>
      </c>
      <c r="B359" s="4">
        <v>4</v>
      </c>
      <c r="C359" s="15">
        <v>277</v>
      </c>
      <c r="D359" s="16">
        <v>2</v>
      </c>
      <c r="E359" s="22">
        <v>43914</v>
      </c>
      <c r="F359" s="17">
        <v>100</v>
      </c>
      <c r="G359" s="18">
        <v>0.19</v>
      </c>
      <c r="H359">
        <f>F359*VLOOKUP(B359,產品!$A$2:$H$61,7,FALSE)*(1-銷售總表!G359)</f>
        <v>81000</v>
      </c>
      <c r="I359" s="35">
        <f>H359-F359*VLOOKUP(銷售總表!B359,產品!$A$2:$H$61,8,FALSE)</f>
        <v>41000</v>
      </c>
      <c r="J359" s="20">
        <f t="shared" si="5"/>
        <v>0.50617283950617287</v>
      </c>
    </row>
    <row r="360" spans="1:10" x14ac:dyDescent="0.3">
      <c r="A360" s="33">
        <v>359</v>
      </c>
      <c r="B360" s="4">
        <v>14</v>
      </c>
      <c r="C360" s="15">
        <v>285</v>
      </c>
      <c r="D360" s="16">
        <v>8</v>
      </c>
      <c r="E360" s="22">
        <v>43914</v>
      </c>
      <c r="F360" s="17">
        <v>10</v>
      </c>
      <c r="G360" s="18">
        <v>0.14000000000000001</v>
      </c>
      <c r="H360">
        <f>F360*VLOOKUP(B360,產品!$A$2:$H$61,7,FALSE)*(1-銷售總表!G360)</f>
        <v>15480</v>
      </c>
      <c r="I360" s="35">
        <f>H360-F360*VLOOKUP(銷售總表!B360,產品!$A$2:$H$61,8,FALSE)</f>
        <v>8280</v>
      </c>
      <c r="J360" s="20">
        <f t="shared" si="5"/>
        <v>0.53488372093023251</v>
      </c>
    </row>
    <row r="361" spans="1:10" x14ac:dyDescent="0.3">
      <c r="A361" s="33">
        <v>360</v>
      </c>
      <c r="B361" s="4">
        <v>39</v>
      </c>
      <c r="C361" s="15">
        <v>139</v>
      </c>
      <c r="D361" s="16">
        <v>8</v>
      </c>
      <c r="E361" s="22">
        <v>43914</v>
      </c>
      <c r="F361" s="17">
        <v>2</v>
      </c>
      <c r="G361" s="18">
        <v>0.14000000000000001</v>
      </c>
      <c r="H361">
        <f>F361*VLOOKUP(B361,產品!$A$2:$H$61,7,FALSE)*(1-銷售總表!G361)</f>
        <v>30960</v>
      </c>
      <c r="I361" s="35">
        <f>H361-F361*VLOOKUP(銷售總表!B361,產品!$A$2:$H$61,8,FALSE)</f>
        <v>7560</v>
      </c>
      <c r="J361" s="20">
        <f t="shared" si="5"/>
        <v>0.2441860465116279</v>
      </c>
    </row>
    <row r="362" spans="1:10" x14ac:dyDescent="0.3">
      <c r="A362" s="33">
        <v>361</v>
      </c>
      <c r="B362" s="4">
        <v>29</v>
      </c>
      <c r="C362" s="15">
        <v>9</v>
      </c>
      <c r="D362" s="16">
        <v>8</v>
      </c>
      <c r="E362" s="22">
        <v>43914</v>
      </c>
      <c r="F362" s="17">
        <v>3</v>
      </c>
      <c r="G362" s="18">
        <v>0.2</v>
      </c>
      <c r="H362">
        <f>F362*VLOOKUP(B362,產品!$A$2:$H$61,7,FALSE)*(1-銷售總表!G362)</f>
        <v>14400</v>
      </c>
      <c r="I362" s="35">
        <f>H362-F362*VLOOKUP(銷售總表!B362,產品!$A$2:$H$61,8,FALSE)</f>
        <v>3600</v>
      </c>
      <c r="J362" s="20">
        <f t="shared" si="5"/>
        <v>0.25</v>
      </c>
    </row>
    <row r="363" spans="1:10" x14ac:dyDescent="0.3">
      <c r="A363" s="33">
        <v>362</v>
      </c>
      <c r="B363" s="4">
        <v>20</v>
      </c>
      <c r="C363" s="15">
        <v>257</v>
      </c>
      <c r="D363" s="16">
        <v>2</v>
      </c>
      <c r="E363" s="22">
        <v>43915</v>
      </c>
      <c r="F363" s="19">
        <v>60</v>
      </c>
      <c r="G363" s="18">
        <v>0.18</v>
      </c>
      <c r="H363">
        <f>F363*VLOOKUP(B363,產品!$A$2:$H$61,7,FALSE)*(1-銷售總表!G363)</f>
        <v>88560</v>
      </c>
      <c r="I363" s="35">
        <f>H363-F363*VLOOKUP(銷售總表!B363,產品!$A$2:$H$61,8,FALSE)</f>
        <v>45360</v>
      </c>
      <c r="J363" s="20">
        <f t="shared" si="5"/>
        <v>0.51219512195121952</v>
      </c>
    </row>
    <row r="364" spans="1:10" x14ac:dyDescent="0.3">
      <c r="A364" s="33">
        <v>363</v>
      </c>
      <c r="B364" s="4">
        <v>8</v>
      </c>
      <c r="C364" s="15">
        <v>12</v>
      </c>
      <c r="D364" s="16">
        <v>4</v>
      </c>
      <c r="E364" s="22">
        <v>43915</v>
      </c>
      <c r="F364" s="17">
        <v>75</v>
      </c>
      <c r="G364" s="18">
        <v>0.1</v>
      </c>
      <c r="H364">
        <f>F364*VLOOKUP(B364,產品!$A$2:$H$61,7,FALSE)*(1-銷售總表!G364)</f>
        <v>67500</v>
      </c>
      <c r="I364" s="35">
        <f>H364-F364*VLOOKUP(銷售總表!B364,產品!$A$2:$H$61,8,FALSE)</f>
        <v>37500</v>
      </c>
      <c r="J364" s="20">
        <f t="shared" si="5"/>
        <v>0.55555555555555558</v>
      </c>
    </row>
    <row r="365" spans="1:10" x14ac:dyDescent="0.3">
      <c r="A365" s="33">
        <v>364</v>
      </c>
      <c r="B365" s="4">
        <v>40</v>
      </c>
      <c r="C365" s="15">
        <v>280</v>
      </c>
      <c r="D365" s="16">
        <v>5</v>
      </c>
      <c r="E365" s="22">
        <v>43915</v>
      </c>
      <c r="F365" s="17">
        <v>5</v>
      </c>
      <c r="G365" s="18">
        <v>0.15</v>
      </c>
      <c r="H365">
        <f>F365*VLOOKUP(B365,產品!$A$2:$H$61,7,FALSE)*(1-銷售總表!G365)</f>
        <v>85000</v>
      </c>
      <c r="I365" s="35">
        <f>H365-F365*VLOOKUP(銷售總表!B365,產品!$A$2:$H$61,8,FALSE)</f>
        <v>20000</v>
      </c>
      <c r="J365" s="20">
        <f t="shared" si="5"/>
        <v>0.23529411764705882</v>
      </c>
    </row>
    <row r="366" spans="1:10" x14ac:dyDescent="0.3">
      <c r="A366" s="33">
        <v>365</v>
      </c>
      <c r="B366" s="4">
        <v>2</v>
      </c>
      <c r="C366" s="15">
        <v>274</v>
      </c>
      <c r="D366" s="16">
        <v>4</v>
      </c>
      <c r="E366" s="22">
        <v>43915</v>
      </c>
      <c r="F366" s="17">
        <v>20</v>
      </c>
      <c r="G366" s="18">
        <v>0.18</v>
      </c>
      <c r="H366">
        <f>F366*VLOOKUP(B366,產品!$A$2:$H$61,7,FALSE)*(1-銷售總表!G366)</f>
        <v>16400</v>
      </c>
      <c r="I366" s="35">
        <f>H366-F366*VLOOKUP(銷售總表!B366,產品!$A$2:$H$61,8,FALSE)</f>
        <v>8400</v>
      </c>
      <c r="J366" s="20">
        <f t="shared" si="5"/>
        <v>0.51219512195121952</v>
      </c>
    </row>
    <row r="367" spans="1:10" x14ac:dyDescent="0.3">
      <c r="A367" s="33">
        <v>366</v>
      </c>
      <c r="B367" s="4">
        <v>18</v>
      </c>
      <c r="C367" s="15">
        <v>114</v>
      </c>
      <c r="D367" s="16">
        <v>1</v>
      </c>
      <c r="E367" s="22">
        <v>43915</v>
      </c>
      <c r="F367" s="17">
        <v>10</v>
      </c>
      <c r="G367" s="18">
        <v>0.16</v>
      </c>
      <c r="H367">
        <f>F367*VLOOKUP(B367,產品!$A$2:$H$61,7,FALSE)*(1-銷售總表!G367)</f>
        <v>15120</v>
      </c>
      <c r="I367" s="35">
        <f>H367-F367*VLOOKUP(銷售總表!B367,產品!$A$2:$H$61,8,FALSE)</f>
        <v>7920</v>
      </c>
      <c r="J367" s="20">
        <f t="shared" si="5"/>
        <v>0.52380952380952384</v>
      </c>
    </row>
    <row r="368" spans="1:10" x14ac:dyDescent="0.3">
      <c r="A368" s="33">
        <v>367</v>
      </c>
      <c r="B368" s="4">
        <v>45</v>
      </c>
      <c r="C368" s="15">
        <v>5</v>
      </c>
      <c r="D368" s="16">
        <v>5</v>
      </c>
      <c r="E368" s="22">
        <v>43915</v>
      </c>
      <c r="F368" s="17">
        <v>2</v>
      </c>
      <c r="G368" s="18">
        <v>0.11</v>
      </c>
      <c r="H368">
        <f>F368*VLOOKUP(B368,產品!$A$2:$H$61,7,FALSE)*(1-銷售總表!G368)</f>
        <v>24920</v>
      </c>
      <c r="I368" s="35">
        <f>H368-F368*VLOOKUP(銷售總表!B368,產品!$A$2:$H$61,8,FALSE)</f>
        <v>6720</v>
      </c>
      <c r="J368" s="20">
        <f t="shared" si="5"/>
        <v>0.2696629213483146</v>
      </c>
    </row>
    <row r="369" spans="1:10" x14ac:dyDescent="0.3">
      <c r="A369" s="33">
        <v>368</v>
      </c>
      <c r="B369" s="4">
        <v>51</v>
      </c>
      <c r="C369" s="15">
        <v>9</v>
      </c>
      <c r="D369" s="16">
        <v>10</v>
      </c>
      <c r="E369" s="22">
        <v>43916</v>
      </c>
      <c r="F369" s="19">
        <v>15</v>
      </c>
      <c r="G369" s="18">
        <v>0.11</v>
      </c>
      <c r="H369">
        <f>F369*VLOOKUP(B369,產品!$A$2:$H$61,7,FALSE)*(1-銷售總表!G369)</f>
        <v>267000</v>
      </c>
      <c r="I369" s="35">
        <f>H369-F369*VLOOKUP(銷售總表!B369,產品!$A$2:$H$61,8,FALSE)</f>
        <v>57000</v>
      </c>
      <c r="J369" s="20">
        <f t="shared" si="5"/>
        <v>0.21348314606741572</v>
      </c>
    </row>
    <row r="370" spans="1:10" x14ac:dyDescent="0.3">
      <c r="A370" s="33">
        <v>369</v>
      </c>
      <c r="B370" s="4">
        <v>29</v>
      </c>
      <c r="C370" s="15">
        <v>277</v>
      </c>
      <c r="D370" s="16">
        <v>8</v>
      </c>
      <c r="E370" s="22">
        <v>43916</v>
      </c>
      <c r="F370" s="17">
        <v>6</v>
      </c>
      <c r="G370" s="18">
        <v>0.16</v>
      </c>
      <c r="H370">
        <f>F370*VLOOKUP(B370,產品!$A$2:$H$61,7,FALSE)*(1-銷售總表!G370)</f>
        <v>30240</v>
      </c>
      <c r="I370" s="35">
        <f>H370-F370*VLOOKUP(銷售總表!B370,產品!$A$2:$H$61,8,FALSE)</f>
        <v>8640</v>
      </c>
      <c r="J370" s="20">
        <f t="shared" si="5"/>
        <v>0.2857142857142857</v>
      </c>
    </row>
    <row r="371" spans="1:10" x14ac:dyDescent="0.3">
      <c r="A371" s="33">
        <v>370</v>
      </c>
      <c r="B371" s="4">
        <v>35</v>
      </c>
      <c r="C371" s="15">
        <v>135</v>
      </c>
      <c r="D371" s="16">
        <v>2</v>
      </c>
      <c r="E371" s="22">
        <v>43916</v>
      </c>
      <c r="F371" s="17">
        <v>2</v>
      </c>
      <c r="G371" s="18">
        <v>0.17</v>
      </c>
      <c r="H371">
        <f>F371*VLOOKUP(B371,產品!$A$2:$H$61,7,FALSE)*(1-銷售總表!G371)</f>
        <v>14110</v>
      </c>
      <c r="I371" s="35">
        <f>H371-F371*VLOOKUP(銷售總表!B371,產品!$A$2:$H$61,8,FALSE)</f>
        <v>3910</v>
      </c>
      <c r="J371" s="20">
        <f t="shared" si="5"/>
        <v>0.27710843373493976</v>
      </c>
    </row>
    <row r="372" spans="1:10" x14ac:dyDescent="0.3">
      <c r="A372" s="33">
        <v>371</v>
      </c>
      <c r="B372" s="4">
        <v>30</v>
      </c>
      <c r="C372" s="15">
        <v>121</v>
      </c>
      <c r="D372" s="16">
        <v>10</v>
      </c>
      <c r="E372" s="22">
        <v>43916</v>
      </c>
      <c r="F372" s="17">
        <v>2</v>
      </c>
      <c r="G372" s="18">
        <v>0.13</v>
      </c>
      <c r="H372">
        <f>F372*VLOOKUP(B372,產品!$A$2:$H$61,7,FALSE)*(1-銷售總表!G372)</f>
        <v>11310</v>
      </c>
      <c r="I372" s="35">
        <f>H372-F372*VLOOKUP(銷售總表!B372,產品!$A$2:$H$61,8,FALSE)</f>
        <v>3510</v>
      </c>
      <c r="J372" s="20">
        <f t="shared" si="5"/>
        <v>0.31034482758620691</v>
      </c>
    </row>
    <row r="373" spans="1:10" x14ac:dyDescent="0.3">
      <c r="A373" s="33">
        <v>372</v>
      </c>
      <c r="B373" s="4">
        <v>59</v>
      </c>
      <c r="C373" s="15">
        <v>258</v>
      </c>
      <c r="D373" s="16">
        <v>7</v>
      </c>
      <c r="E373" s="22">
        <v>43917</v>
      </c>
      <c r="F373" s="17">
        <v>12</v>
      </c>
      <c r="G373" s="18">
        <v>0.19</v>
      </c>
      <c r="H373">
        <f>F373*VLOOKUP(B373,產品!$A$2:$H$61,7,FALSE)*(1-銷售總表!G373)</f>
        <v>233280.00000000003</v>
      </c>
      <c r="I373" s="35">
        <f>H373-F373*VLOOKUP(銷售總表!B373,產品!$A$2:$H$61,8,FALSE)</f>
        <v>31680.000000000029</v>
      </c>
      <c r="J373" s="20">
        <f t="shared" si="5"/>
        <v>0.13580246913580257</v>
      </c>
    </row>
    <row r="374" spans="1:10" x14ac:dyDescent="0.3">
      <c r="A374" s="33">
        <v>373</v>
      </c>
      <c r="B374" s="4">
        <v>23</v>
      </c>
      <c r="C374" s="15">
        <v>268</v>
      </c>
      <c r="D374" s="16">
        <v>1</v>
      </c>
      <c r="E374" s="22">
        <v>43917</v>
      </c>
      <c r="F374" s="17">
        <v>30</v>
      </c>
      <c r="G374" s="18">
        <v>0.11</v>
      </c>
      <c r="H374">
        <f>F374*VLOOKUP(B374,產品!$A$2:$H$61,7,FALSE)*(1-銷售總表!G374)</f>
        <v>48060</v>
      </c>
      <c r="I374" s="35">
        <f>H374-F374*VLOOKUP(銷售總表!B374,產品!$A$2:$H$61,8,FALSE)</f>
        <v>26460</v>
      </c>
      <c r="J374" s="20">
        <f t="shared" si="5"/>
        <v>0.550561797752809</v>
      </c>
    </row>
    <row r="375" spans="1:10" x14ac:dyDescent="0.3">
      <c r="A375" s="33">
        <v>374</v>
      </c>
      <c r="B375" s="4">
        <v>23</v>
      </c>
      <c r="C375" s="15">
        <v>116</v>
      </c>
      <c r="D375" s="16">
        <v>5</v>
      </c>
      <c r="E375" s="22">
        <v>43918</v>
      </c>
      <c r="F375" s="17">
        <v>20</v>
      </c>
      <c r="G375" s="18">
        <v>7.0000000000000007E-2</v>
      </c>
      <c r="H375">
        <f>F375*VLOOKUP(B375,產品!$A$2:$H$61,7,FALSE)*(1-銷售總表!G375)</f>
        <v>33480</v>
      </c>
      <c r="I375" s="35">
        <f>H375-F375*VLOOKUP(銷售總表!B375,產品!$A$2:$H$61,8,FALSE)</f>
        <v>19080</v>
      </c>
      <c r="J375" s="20">
        <f t="shared" si="5"/>
        <v>0.56989247311827962</v>
      </c>
    </row>
    <row r="376" spans="1:10" x14ac:dyDescent="0.3">
      <c r="A376" s="33">
        <v>375</v>
      </c>
      <c r="B376" s="4">
        <v>25</v>
      </c>
      <c r="C376" s="15">
        <v>121</v>
      </c>
      <c r="D376" s="16">
        <v>9</v>
      </c>
      <c r="E376" s="22">
        <v>43918</v>
      </c>
      <c r="F376" s="17">
        <v>3</v>
      </c>
      <c r="G376" s="18">
        <v>0.15</v>
      </c>
      <c r="H376">
        <f>F376*VLOOKUP(B376,產品!$A$2:$H$61,7,FALSE)*(1-銷售總表!G376)</f>
        <v>15300</v>
      </c>
      <c r="I376" s="35">
        <f>H376-F376*VLOOKUP(銷售總表!B376,產品!$A$2:$H$61,8,FALSE)</f>
        <v>4500</v>
      </c>
      <c r="J376" s="20">
        <f t="shared" si="5"/>
        <v>0.29411764705882354</v>
      </c>
    </row>
    <row r="377" spans="1:10" x14ac:dyDescent="0.3">
      <c r="A377" s="33">
        <v>376</v>
      </c>
      <c r="B377" s="4">
        <v>60</v>
      </c>
      <c r="C377" s="15">
        <v>271</v>
      </c>
      <c r="D377" s="16">
        <v>5</v>
      </c>
      <c r="E377" s="22">
        <v>43919</v>
      </c>
      <c r="F377" s="19">
        <v>9</v>
      </c>
      <c r="G377" s="18">
        <v>0.12</v>
      </c>
      <c r="H377">
        <f>F377*VLOOKUP(B377,產品!$A$2:$H$61,7,FALSE)*(1-銷售總表!G377)</f>
        <v>198000</v>
      </c>
      <c r="I377" s="35">
        <f>H377-F377*VLOOKUP(銷售總表!B377,產品!$A$2:$H$61,8,FALSE)</f>
        <v>40500</v>
      </c>
      <c r="J377" s="20">
        <f t="shared" si="5"/>
        <v>0.20454545454545456</v>
      </c>
    </row>
    <row r="378" spans="1:10" x14ac:dyDescent="0.3">
      <c r="A378" s="33">
        <v>377</v>
      </c>
      <c r="B378" s="4">
        <v>4</v>
      </c>
      <c r="C378" s="15">
        <v>291</v>
      </c>
      <c r="D378" s="16">
        <v>9</v>
      </c>
      <c r="E378" s="22">
        <v>43919</v>
      </c>
      <c r="F378" s="17">
        <v>40</v>
      </c>
      <c r="G378" s="18">
        <v>0.1</v>
      </c>
      <c r="H378">
        <f>F378*VLOOKUP(B378,產品!$A$2:$H$61,7,FALSE)*(1-銷售總表!G378)</f>
        <v>36000</v>
      </c>
      <c r="I378" s="35">
        <f>H378-F378*VLOOKUP(銷售總表!B378,產品!$A$2:$H$61,8,FALSE)</f>
        <v>20000</v>
      </c>
      <c r="J378" s="20">
        <f t="shared" si="5"/>
        <v>0.55555555555555558</v>
      </c>
    </row>
    <row r="379" spans="1:10" x14ac:dyDescent="0.3">
      <c r="A379" s="33">
        <v>378</v>
      </c>
      <c r="B379" s="4">
        <v>26</v>
      </c>
      <c r="C379" s="15">
        <v>1</v>
      </c>
      <c r="D379" s="16">
        <v>10</v>
      </c>
      <c r="E379" s="22">
        <v>43919</v>
      </c>
      <c r="F379" s="17">
        <v>10</v>
      </c>
      <c r="G379" s="18">
        <v>0.17</v>
      </c>
      <c r="H379">
        <f>F379*VLOOKUP(B379,產品!$A$2:$H$61,7,FALSE)*(1-銷售總表!G379)</f>
        <v>53950</v>
      </c>
      <c r="I379" s="35">
        <f>H379-F379*VLOOKUP(銷售總表!B379,產品!$A$2:$H$61,8,FALSE)</f>
        <v>14950</v>
      </c>
      <c r="J379" s="20">
        <f t="shared" si="5"/>
        <v>0.27710843373493976</v>
      </c>
    </row>
    <row r="380" spans="1:10" x14ac:dyDescent="0.3">
      <c r="A380" s="33">
        <v>379</v>
      </c>
      <c r="B380" s="4">
        <v>18</v>
      </c>
      <c r="C380" s="15">
        <v>257</v>
      </c>
      <c r="D380" s="16">
        <v>3</v>
      </c>
      <c r="E380" s="22">
        <v>43919</v>
      </c>
      <c r="F380" s="17">
        <v>15</v>
      </c>
      <c r="G380" s="18">
        <v>7.0000000000000007E-2</v>
      </c>
      <c r="H380">
        <f>F380*VLOOKUP(B380,產品!$A$2:$H$61,7,FALSE)*(1-銷售總表!G380)</f>
        <v>25110</v>
      </c>
      <c r="I380" s="35">
        <f>H380-F380*VLOOKUP(銷售總表!B380,產品!$A$2:$H$61,8,FALSE)</f>
        <v>14310</v>
      </c>
      <c r="J380" s="20">
        <f t="shared" si="5"/>
        <v>0.56989247311827962</v>
      </c>
    </row>
    <row r="381" spans="1:10" x14ac:dyDescent="0.3">
      <c r="A381" s="33">
        <v>380</v>
      </c>
      <c r="B381" s="4">
        <v>50</v>
      </c>
      <c r="C381" s="15">
        <v>116</v>
      </c>
      <c r="D381" s="16">
        <v>5</v>
      </c>
      <c r="E381" s="22">
        <v>43919</v>
      </c>
      <c r="F381" s="17">
        <v>2</v>
      </c>
      <c r="G381" s="18">
        <v>0.19</v>
      </c>
      <c r="H381">
        <f>F381*VLOOKUP(B381,產品!$A$2:$H$61,7,FALSE)*(1-銷售總表!G381)</f>
        <v>29160.000000000004</v>
      </c>
      <c r="I381" s="35">
        <f>H381-F381*VLOOKUP(銷售總表!B381,產品!$A$2:$H$61,8,FALSE)</f>
        <v>3960.0000000000036</v>
      </c>
      <c r="J381" s="20">
        <f t="shared" si="5"/>
        <v>0.13580246913580257</v>
      </c>
    </row>
    <row r="382" spans="1:10" x14ac:dyDescent="0.3">
      <c r="A382" s="33">
        <v>381</v>
      </c>
      <c r="B382" s="4">
        <v>13</v>
      </c>
      <c r="C382" s="15">
        <v>11</v>
      </c>
      <c r="D382" s="16">
        <v>3</v>
      </c>
      <c r="E382" s="22">
        <v>43920</v>
      </c>
      <c r="F382" s="17">
        <v>60</v>
      </c>
      <c r="G382" s="18">
        <v>0.13</v>
      </c>
      <c r="H382">
        <f>F382*VLOOKUP(B382,產品!$A$2:$H$61,7,FALSE)*(1-銷售總表!G382)</f>
        <v>93960</v>
      </c>
      <c r="I382" s="35">
        <f>H382-F382*VLOOKUP(銷售總表!B382,產品!$A$2:$H$61,8,FALSE)</f>
        <v>50760</v>
      </c>
      <c r="J382" s="20">
        <f t="shared" si="5"/>
        <v>0.54022988505747127</v>
      </c>
    </row>
    <row r="383" spans="1:10" x14ac:dyDescent="0.3">
      <c r="A383" s="33">
        <v>382</v>
      </c>
      <c r="B383" s="4">
        <v>7</v>
      </c>
      <c r="C383" s="15">
        <v>264</v>
      </c>
      <c r="D383" s="16">
        <v>4</v>
      </c>
      <c r="E383" s="22">
        <v>43920</v>
      </c>
      <c r="F383" s="17">
        <v>30</v>
      </c>
      <c r="G383" s="18">
        <v>0.13</v>
      </c>
      <c r="H383">
        <f>F383*VLOOKUP(B383,產品!$A$2:$H$61,7,FALSE)*(1-銷售總表!G383)</f>
        <v>26100</v>
      </c>
      <c r="I383" s="35">
        <f>H383-F383*VLOOKUP(銷售總表!B383,產品!$A$2:$H$61,8,FALSE)</f>
        <v>14100</v>
      </c>
      <c r="J383" s="20">
        <f t="shared" si="5"/>
        <v>0.54022988505747127</v>
      </c>
    </row>
    <row r="384" spans="1:10" x14ac:dyDescent="0.3">
      <c r="A384" s="33">
        <v>383</v>
      </c>
      <c r="B384" s="4">
        <v>35</v>
      </c>
      <c r="C384" s="15">
        <v>283</v>
      </c>
      <c r="D384" s="16">
        <v>2</v>
      </c>
      <c r="E384" s="22">
        <v>43920</v>
      </c>
      <c r="F384" s="19">
        <v>4</v>
      </c>
      <c r="G384" s="18">
        <v>0.08</v>
      </c>
      <c r="H384">
        <f>F384*VLOOKUP(B384,產品!$A$2:$H$61,7,FALSE)*(1-銷售總表!G384)</f>
        <v>31280</v>
      </c>
      <c r="I384" s="35">
        <f>H384-F384*VLOOKUP(銷售總表!B384,產品!$A$2:$H$61,8,FALSE)</f>
        <v>10880</v>
      </c>
      <c r="J384" s="20">
        <f t="shared" si="5"/>
        <v>0.34782608695652173</v>
      </c>
    </row>
    <row r="385" spans="1:10" x14ac:dyDescent="0.3">
      <c r="A385" s="33">
        <v>384</v>
      </c>
      <c r="B385" s="4">
        <v>27</v>
      </c>
      <c r="C385" s="15">
        <v>116</v>
      </c>
      <c r="D385" s="16">
        <v>9</v>
      </c>
      <c r="E385" s="22">
        <v>43920</v>
      </c>
      <c r="F385" s="17">
        <v>5</v>
      </c>
      <c r="G385" s="18">
        <v>7.0000000000000007E-2</v>
      </c>
      <c r="H385">
        <f>F385*VLOOKUP(B385,產品!$A$2:$H$61,7,FALSE)*(1-銷售總表!G385)</f>
        <v>32549.999999999996</v>
      </c>
      <c r="I385" s="35">
        <f>H385-F385*VLOOKUP(銷售總表!B385,產品!$A$2:$H$61,8,FALSE)</f>
        <v>11549.999999999996</v>
      </c>
      <c r="J385" s="20">
        <f t="shared" si="5"/>
        <v>0.35483870967741926</v>
      </c>
    </row>
    <row r="386" spans="1:10" x14ac:dyDescent="0.3">
      <c r="A386" s="33">
        <v>385</v>
      </c>
      <c r="B386" s="4">
        <v>8</v>
      </c>
      <c r="C386" s="15">
        <v>278</v>
      </c>
      <c r="D386" s="16">
        <v>4</v>
      </c>
      <c r="E386" s="22">
        <v>43921</v>
      </c>
      <c r="F386" s="17">
        <v>200</v>
      </c>
      <c r="G386" s="18">
        <v>0.18</v>
      </c>
      <c r="H386">
        <f>F386*VLOOKUP(B386,產品!$A$2:$H$61,7,FALSE)*(1-銷售總表!G386)</f>
        <v>164000</v>
      </c>
      <c r="I386" s="35">
        <f>H386-F386*VLOOKUP(銷售總表!B386,產品!$A$2:$H$61,8,FALSE)</f>
        <v>84000</v>
      </c>
      <c r="J386" s="20">
        <f t="shared" si="5"/>
        <v>0.51219512195121952</v>
      </c>
    </row>
    <row r="387" spans="1:10" x14ac:dyDescent="0.3">
      <c r="A387" s="33">
        <v>386</v>
      </c>
      <c r="B387" s="4">
        <v>48</v>
      </c>
      <c r="C387" s="15">
        <v>261</v>
      </c>
      <c r="D387" s="16">
        <v>2</v>
      </c>
      <c r="E387" s="22">
        <v>43921</v>
      </c>
      <c r="F387" s="17">
        <v>2</v>
      </c>
      <c r="G387" s="18">
        <v>0.13</v>
      </c>
      <c r="H387">
        <f>F387*VLOOKUP(B387,產品!$A$2:$H$61,7,FALSE)*(1-銷售總表!G387)</f>
        <v>38280</v>
      </c>
      <c r="I387" s="35">
        <f>H387-F387*VLOOKUP(銷售總表!B387,產品!$A$2:$H$61,8,FALSE)</f>
        <v>9680</v>
      </c>
      <c r="J387" s="20">
        <f t="shared" ref="J387:J450" si="6">I387/H387</f>
        <v>0.25287356321839083</v>
      </c>
    </row>
    <row r="388" spans="1:10" x14ac:dyDescent="0.3">
      <c r="A388" s="33">
        <v>387</v>
      </c>
      <c r="B388" s="4">
        <v>39</v>
      </c>
      <c r="C388" s="15">
        <v>271</v>
      </c>
      <c r="D388" s="16">
        <v>8</v>
      </c>
      <c r="E388" s="22">
        <v>43921</v>
      </c>
      <c r="F388" s="17">
        <v>2</v>
      </c>
      <c r="G388" s="18">
        <v>0.2</v>
      </c>
      <c r="H388">
        <f>F388*VLOOKUP(B388,產品!$A$2:$H$61,7,FALSE)*(1-銷售總表!G388)</f>
        <v>28800</v>
      </c>
      <c r="I388" s="35">
        <f>H388-F388*VLOOKUP(銷售總表!B388,產品!$A$2:$H$61,8,FALSE)</f>
        <v>5400</v>
      </c>
      <c r="J388" s="20">
        <f t="shared" si="6"/>
        <v>0.1875</v>
      </c>
    </row>
    <row r="389" spans="1:10" x14ac:dyDescent="0.3">
      <c r="A389" s="33">
        <v>388</v>
      </c>
      <c r="B389" s="4">
        <v>50</v>
      </c>
      <c r="C389" s="15">
        <v>286</v>
      </c>
      <c r="D389" s="16">
        <v>3</v>
      </c>
      <c r="E389" s="22">
        <v>43921</v>
      </c>
      <c r="F389" s="17">
        <v>2</v>
      </c>
      <c r="G389" s="18">
        <v>0.19</v>
      </c>
      <c r="H389">
        <f>F389*VLOOKUP(B389,產品!$A$2:$H$61,7,FALSE)*(1-銷售總表!G389)</f>
        <v>29160.000000000004</v>
      </c>
      <c r="I389" s="35">
        <f>H389-F389*VLOOKUP(銷售總表!B389,產品!$A$2:$H$61,8,FALSE)</f>
        <v>3960.0000000000036</v>
      </c>
      <c r="J389" s="20">
        <f t="shared" si="6"/>
        <v>0.13580246913580257</v>
      </c>
    </row>
    <row r="390" spans="1:10" x14ac:dyDescent="0.3">
      <c r="A390" s="33">
        <v>389</v>
      </c>
      <c r="B390" s="4">
        <v>5</v>
      </c>
      <c r="C390" s="15">
        <v>259</v>
      </c>
      <c r="D390" s="16">
        <v>9</v>
      </c>
      <c r="E390" s="22">
        <v>43922</v>
      </c>
      <c r="F390" s="17">
        <v>50</v>
      </c>
      <c r="G390" s="18">
        <v>0.06</v>
      </c>
      <c r="H390">
        <f>F390*VLOOKUP(B390,產品!$A$2:$H$61,7,FALSE)*(1-銷售總表!G390)</f>
        <v>47000</v>
      </c>
      <c r="I390" s="35">
        <f>H390-F390*VLOOKUP(銷售總表!B390,產品!$A$2:$H$61,8,FALSE)</f>
        <v>27000</v>
      </c>
      <c r="J390" s="20">
        <f t="shared" si="6"/>
        <v>0.57446808510638303</v>
      </c>
    </row>
    <row r="391" spans="1:10" x14ac:dyDescent="0.3">
      <c r="A391" s="33">
        <v>390</v>
      </c>
      <c r="B391" s="4">
        <v>12</v>
      </c>
      <c r="C391" s="15">
        <v>112</v>
      </c>
      <c r="D391" s="16">
        <v>10</v>
      </c>
      <c r="E391" s="22">
        <v>43922</v>
      </c>
      <c r="F391" s="19">
        <v>60</v>
      </c>
      <c r="G391" s="18">
        <v>0.19</v>
      </c>
      <c r="H391">
        <f>F391*VLOOKUP(B391,產品!$A$2:$H$61,7,FALSE)*(1-銷售總表!G391)</f>
        <v>48600</v>
      </c>
      <c r="I391" s="35">
        <f>H391-F391*VLOOKUP(銷售總表!B391,產品!$A$2:$H$61,8,FALSE)</f>
        <v>24600</v>
      </c>
      <c r="J391" s="20">
        <f t="shared" si="6"/>
        <v>0.50617283950617287</v>
      </c>
    </row>
    <row r="392" spans="1:10" x14ac:dyDescent="0.3">
      <c r="A392" s="33">
        <v>391</v>
      </c>
      <c r="B392" s="4">
        <v>51</v>
      </c>
      <c r="C392" s="15">
        <v>8</v>
      </c>
      <c r="D392" s="16">
        <v>8</v>
      </c>
      <c r="E392" s="22">
        <v>43922</v>
      </c>
      <c r="F392" s="19">
        <v>6</v>
      </c>
      <c r="G392" s="18">
        <v>0.15</v>
      </c>
      <c r="H392">
        <f>F392*VLOOKUP(B392,產品!$A$2:$H$61,7,FALSE)*(1-銷售總表!G392)</f>
        <v>102000</v>
      </c>
      <c r="I392" s="35">
        <f>H392-F392*VLOOKUP(銷售總表!B392,產品!$A$2:$H$61,8,FALSE)</f>
        <v>18000</v>
      </c>
      <c r="J392" s="20">
        <f t="shared" si="6"/>
        <v>0.17647058823529413</v>
      </c>
    </row>
    <row r="393" spans="1:10" x14ac:dyDescent="0.3">
      <c r="A393" s="33">
        <v>392</v>
      </c>
      <c r="B393" s="4">
        <v>34</v>
      </c>
      <c r="C393" s="15">
        <v>5</v>
      </c>
      <c r="D393" s="16">
        <v>3</v>
      </c>
      <c r="E393" s="22">
        <v>43922</v>
      </c>
      <c r="F393" s="17">
        <v>5</v>
      </c>
      <c r="G393" s="18">
        <v>0.18</v>
      </c>
      <c r="H393">
        <f>F393*VLOOKUP(B393,產品!$A$2:$H$61,7,FALSE)*(1-銷售總表!G393)</f>
        <v>32800</v>
      </c>
      <c r="I393" s="35">
        <f>H393-F393*VLOOKUP(銷售總表!B393,產品!$A$2:$H$61,8,FALSE)</f>
        <v>8800</v>
      </c>
      <c r="J393" s="20">
        <f t="shared" si="6"/>
        <v>0.26829268292682928</v>
      </c>
    </row>
    <row r="394" spans="1:10" x14ac:dyDescent="0.3">
      <c r="A394" s="33">
        <v>393</v>
      </c>
      <c r="B394" s="4">
        <v>34</v>
      </c>
      <c r="C394" s="15">
        <v>283</v>
      </c>
      <c r="D394" s="16">
        <v>9</v>
      </c>
      <c r="E394" s="22">
        <v>43922</v>
      </c>
      <c r="F394" s="17">
        <v>4</v>
      </c>
      <c r="G394" s="18">
        <v>0.16</v>
      </c>
      <c r="H394">
        <f>F394*VLOOKUP(B394,產品!$A$2:$H$61,7,FALSE)*(1-銷售總表!G394)</f>
        <v>26880</v>
      </c>
      <c r="I394" s="35">
        <f>H394-F394*VLOOKUP(銷售總表!B394,產品!$A$2:$H$61,8,FALSE)</f>
        <v>7680</v>
      </c>
      <c r="J394" s="20">
        <f t="shared" si="6"/>
        <v>0.2857142857142857</v>
      </c>
    </row>
    <row r="395" spans="1:10" x14ac:dyDescent="0.3">
      <c r="A395" s="33">
        <v>394</v>
      </c>
      <c r="B395" s="4">
        <v>2</v>
      </c>
      <c r="C395" s="15">
        <v>124</v>
      </c>
      <c r="D395" s="16">
        <v>10</v>
      </c>
      <c r="E395" s="22">
        <v>43922</v>
      </c>
      <c r="F395" s="19">
        <v>16</v>
      </c>
      <c r="G395" s="18">
        <v>0.14000000000000001</v>
      </c>
      <c r="H395">
        <f>F395*VLOOKUP(B395,產品!$A$2:$H$61,7,FALSE)*(1-銷售總表!G395)</f>
        <v>13760</v>
      </c>
      <c r="I395" s="35">
        <f>H395-F395*VLOOKUP(銷售總表!B395,產品!$A$2:$H$61,8,FALSE)</f>
        <v>7360</v>
      </c>
      <c r="J395" s="20">
        <f t="shared" si="6"/>
        <v>0.53488372093023251</v>
      </c>
    </row>
    <row r="396" spans="1:10" x14ac:dyDescent="0.3">
      <c r="A396" s="33">
        <v>395</v>
      </c>
      <c r="B396" s="4">
        <v>9</v>
      </c>
      <c r="C396" s="15">
        <v>284</v>
      </c>
      <c r="D396" s="16">
        <v>3</v>
      </c>
      <c r="E396" s="22">
        <v>43922</v>
      </c>
      <c r="F396" s="17">
        <v>10</v>
      </c>
      <c r="G396" s="18">
        <v>0.13</v>
      </c>
      <c r="H396">
        <f>F396*VLOOKUP(B396,產品!$A$2:$H$61,7,FALSE)*(1-銷售總表!G396)</f>
        <v>8700</v>
      </c>
      <c r="I396" s="35">
        <f>H396-F396*VLOOKUP(銷售總表!B396,產品!$A$2:$H$61,8,FALSE)</f>
        <v>4700</v>
      </c>
      <c r="J396" s="20">
        <f t="shared" si="6"/>
        <v>0.54022988505747127</v>
      </c>
    </row>
    <row r="397" spans="1:10" x14ac:dyDescent="0.3">
      <c r="A397" s="33">
        <v>396</v>
      </c>
      <c r="B397" s="4">
        <v>10</v>
      </c>
      <c r="C397" s="15">
        <v>120</v>
      </c>
      <c r="D397" s="16">
        <v>5</v>
      </c>
      <c r="E397" s="22">
        <v>43923</v>
      </c>
      <c r="F397" s="19">
        <v>40</v>
      </c>
      <c r="G397" s="18">
        <v>0.12</v>
      </c>
      <c r="H397">
        <f>F397*VLOOKUP(B397,產品!$A$2:$H$61,7,FALSE)*(1-銷售總表!G397)</f>
        <v>35200</v>
      </c>
      <c r="I397" s="35">
        <f>H397-F397*VLOOKUP(銷售總表!B397,產品!$A$2:$H$61,8,FALSE)</f>
        <v>19200</v>
      </c>
      <c r="J397" s="20">
        <f t="shared" si="6"/>
        <v>0.54545454545454541</v>
      </c>
    </row>
    <row r="398" spans="1:10" x14ac:dyDescent="0.3">
      <c r="A398" s="33">
        <v>397</v>
      </c>
      <c r="B398" s="4">
        <v>22</v>
      </c>
      <c r="C398" s="15">
        <v>258</v>
      </c>
      <c r="D398" s="16">
        <v>6</v>
      </c>
      <c r="E398" s="22">
        <v>43924</v>
      </c>
      <c r="F398" s="17">
        <v>125</v>
      </c>
      <c r="G398" s="18">
        <v>0.06</v>
      </c>
      <c r="H398">
        <f>F398*VLOOKUP(B398,產品!$A$2:$H$61,7,FALSE)*(1-銷售總表!G398)</f>
        <v>211500</v>
      </c>
      <c r="I398" s="35">
        <f>H398-F398*VLOOKUP(銷售總表!B398,產品!$A$2:$H$61,8,FALSE)</f>
        <v>121500</v>
      </c>
      <c r="J398" s="20">
        <f t="shared" si="6"/>
        <v>0.57446808510638303</v>
      </c>
    </row>
    <row r="399" spans="1:10" x14ac:dyDescent="0.3">
      <c r="A399" s="33">
        <v>398</v>
      </c>
      <c r="B399" s="4">
        <v>49</v>
      </c>
      <c r="C399" s="15">
        <v>11</v>
      </c>
      <c r="D399" s="16">
        <v>6</v>
      </c>
      <c r="E399" s="22">
        <v>43924</v>
      </c>
      <c r="F399" s="17">
        <v>21</v>
      </c>
      <c r="G399" s="18">
        <v>0.15</v>
      </c>
      <c r="H399">
        <f>F399*VLOOKUP(B399,產品!$A$2:$H$61,7,FALSE)*(1-銷售總表!G399)</f>
        <v>267750</v>
      </c>
      <c r="I399" s="35">
        <f>H399-F399*VLOOKUP(銷售總表!B399,產品!$A$2:$H$61,8,FALSE)</f>
        <v>47250</v>
      </c>
      <c r="J399" s="20">
        <f t="shared" si="6"/>
        <v>0.17647058823529413</v>
      </c>
    </row>
    <row r="400" spans="1:10" x14ac:dyDescent="0.3">
      <c r="A400" s="33">
        <v>399</v>
      </c>
      <c r="B400" s="4">
        <v>43</v>
      </c>
      <c r="C400" s="15">
        <v>116</v>
      </c>
      <c r="D400" s="16">
        <v>8</v>
      </c>
      <c r="E400" s="22">
        <v>43924</v>
      </c>
      <c r="F400" s="17">
        <v>11</v>
      </c>
      <c r="G400" s="18">
        <v>0.15</v>
      </c>
      <c r="H400">
        <f>F400*VLOOKUP(B400,產品!$A$2:$H$61,7,FALSE)*(1-銷售總表!G400)</f>
        <v>168300</v>
      </c>
      <c r="I400" s="35">
        <f>H400-F400*VLOOKUP(銷售總表!B400,產品!$A$2:$H$61,8,FALSE)</f>
        <v>39600</v>
      </c>
      <c r="J400" s="20">
        <f t="shared" si="6"/>
        <v>0.23529411764705882</v>
      </c>
    </row>
    <row r="401" spans="1:10" x14ac:dyDescent="0.3">
      <c r="A401" s="33">
        <v>400</v>
      </c>
      <c r="B401" s="4">
        <v>52</v>
      </c>
      <c r="C401" s="15">
        <v>116</v>
      </c>
      <c r="D401" s="16">
        <v>6</v>
      </c>
      <c r="E401" s="22">
        <v>43924</v>
      </c>
      <c r="F401" s="17">
        <v>4</v>
      </c>
      <c r="G401" s="18">
        <v>7.0000000000000007E-2</v>
      </c>
      <c r="H401">
        <f>F401*VLOOKUP(B401,產品!$A$2:$H$61,7,FALSE)*(1-銷售總表!G401)</f>
        <v>81840</v>
      </c>
      <c r="I401" s="35">
        <f>H401-F401*VLOOKUP(銷售總表!B401,產品!$A$2:$H$61,8,FALSE)</f>
        <v>20240.000000000007</v>
      </c>
      <c r="J401" s="20">
        <f t="shared" si="6"/>
        <v>0.24731182795698933</v>
      </c>
    </row>
    <row r="402" spans="1:10" x14ac:dyDescent="0.3">
      <c r="A402" s="33">
        <v>401</v>
      </c>
      <c r="B402" s="4">
        <v>57</v>
      </c>
      <c r="C402" s="15">
        <v>135</v>
      </c>
      <c r="D402" s="16">
        <v>10</v>
      </c>
      <c r="E402" s="22">
        <v>43924</v>
      </c>
      <c r="F402" s="17">
        <v>6</v>
      </c>
      <c r="G402" s="18">
        <v>0.19</v>
      </c>
      <c r="H402">
        <f>F402*VLOOKUP(B402,產品!$A$2:$H$61,7,FALSE)*(1-銷售總表!G402)</f>
        <v>87480</v>
      </c>
      <c r="I402" s="35">
        <f>H402-F402*VLOOKUP(銷售總表!B402,產品!$A$2:$H$61,8,FALSE)</f>
        <v>11880</v>
      </c>
      <c r="J402" s="20">
        <f t="shared" si="6"/>
        <v>0.13580246913580246</v>
      </c>
    </row>
    <row r="403" spans="1:10" x14ac:dyDescent="0.3">
      <c r="A403" s="33">
        <v>402</v>
      </c>
      <c r="B403" s="4">
        <v>58</v>
      </c>
      <c r="C403" s="15">
        <v>261</v>
      </c>
      <c r="D403" s="16">
        <v>4</v>
      </c>
      <c r="E403" s="22">
        <v>43924</v>
      </c>
      <c r="F403" s="17">
        <v>3</v>
      </c>
      <c r="G403" s="18">
        <v>0.19</v>
      </c>
      <c r="H403">
        <f>F403*VLOOKUP(B403,產品!$A$2:$H$61,7,FALSE)*(1-銷售總表!G403)</f>
        <v>51030</v>
      </c>
      <c r="I403" s="35">
        <f>H403-F403*VLOOKUP(銷售總表!B403,產品!$A$2:$H$61,8,FALSE)</f>
        <v>6930.0000000000073</v>
      </c>
      <c r="J403" s="20">
        <f t="shared" si="6"/>
        <v>0.1358024691358026</v>
      </c>
    </row>
    <row r="404" spans="1:10" x14ac:dyDescent="0.3">
      <c r="A404" s="33">
        <v>403</v>
      </c>
      <c r="B404" s="4">
        <v>25</v>
      </c>
      <c r="C404" s="15">
        <v>117</v>
      </c>
      <c r="D404" s="16">
        <v>3</v>
      </c>
      <c r="E404" s="22">
        <v>43924</v>
      </c>
      <c r="F404" s="19">
        <v>5</v>
      </c>
      <c r="G404" s="18">
        <v>0.2</v>
      </c>
      <c r="H404">
        <f>F404*VLOOKUP(B404,產品!$A$2:$H$61,7,FALSE)*(1-銷售總表!G404)</f>
        <v>24000</v>
      </c>
      <c r="I404" s="35">
        <f>H404-F404*VLOOKUP(銷售總表!B404,產品!$A$2:$H$61,8,FALSE)</f>
        <v>6000</v>
      </c>
      <c r="J404" s="20">
        <f t="shared" si="6"/>
        <v>0.25</v>
      </c>
    </row>
    <row r="405" spans="1:10" x14ac:dyDescent="0.3">
      <c r="A405" s="33">
        <v>404</v>
      </c>
      <c r="B405" s="4">
        <v>25</v>
      </c>
      <c r="C405" s="15">
        <v>7</v>
      </c>
      <c r="D405" s="16">
        <v>8</v>
      </c>
      <c r="E405" s="22">
        <v>43924</v>
      </c>
      <c r="F405" s="19">
        <v>2</v>
      </c>
      <c r="G405" s="18">
        <v>0.06</v>
      </c>
      <c r="H405">
        <f>F405*VLOOKUP(B405,產品!$A$2:$H$61,7,FALSE)*(1-銷售總表!G405)</f>
        <v>11280</v>
      </c>
      <c r="I405" s="35">
        <f>H405-F405*VLOOKUP(銷售總表!B405,產品!$A$2:$H$61,8,FALSE)</f>
        <v>4080</v>
      </c>
      <c r="J405" s="20">
        <f t="shared" si="6"/>
        <v>0.36170212765957449</v>
      </c>
    </row>
    <row r="406" spans="1:10" x14ac:dyDescent="0.3">
      <c r="A406" s="33">
        <v>405</v>
      </c>
      <c r="B406" s="4">
        <v>32</v>
      </c>
      <c r="C406" s="15">
        <v>134</v>
      </c>
      <c r="D406" s="16">
        <v>8</v>
      </c>
      <c r="E406" s="22">
        <v>43924</v>
      </c>
      <c r="F406" s="19">
        <v>1</v>
      </c>
      <c r="G406" s="18">
        <v>0.06</v>
      </c>
      <c r="H406">
        <f>F406*VLOOKUP(B406,產品!$A$2:$H$61,7,FALSE)*(1-銷售總表!G406)</f>
        <v>7050</v>
      </c>
      <c r="I406" s="35">
        <f>H406-F406*VLOOKUP(銷售總表!B406,產品!$A$2:$H$61,8,FALSE)</f>
        <v>2550</v>
      </c>
      <c r="J406" s="20">
        <f t="shared" si="6"/>
        <v>0.36170212765957449</v>
      </c>
    </row>
    <row r="407" spans="1:10" x14ac:dyDescent="0.3">
      <c r="A407" s="33">
        <v>406</v>
      </c>
      <c r="B407" s="4">
        <v>12</v>
      </c>
      <c r="C407" s="15">
        <v>286</v>
      </c>
      <c r="D407" s="16">
        <v>8</v>
      </c>
      <c r="E407" s="22">
        <v>43925</v>
      </c>
      <c r="F407" s="19">
        <v>75</v>
      </c>
      <c r="G407" s="18">
        <v>0.13</v>
      </c>
      <c r="H407">
        <f>F407*VLOOKUP(B407,產品!$A$2:$H$61,7,FALSE)*(1-銷售總表!G407)</f>
        <v>65250</v>
      </c>
      <c r="I407" s="35">
        <f>H407-F407*VLOOKUP(銷售總表!B407,產品!$A$2:$H$61,8,FALSE)</f>
        <v>35250</v>
      </c>
      <c r="J407" s="20">
        <f t="shared" si="6"/>
        <v>0.54022988505747127</v>
      </c>
    </row>
    <row r="408" spans="1:10" x14ac:dyDescent="0.3">
      <c r="A408" s="33">
        <v>407</v>
      </c>
      <c r="B408" s="4">
        <v>60</v>
      </c>
      <c r="C408" s="15">
        <v>9</v>
      </c>
      <c r="D408" s="16">
        <v>5</v>
      </c>
      <c r="E408" s="22">
        <v>43925</v>
      </c>
      <c r="F408" s="17">
        <v>8</v>
      </c>
      <c r="G408" s="18">
        <v>0.18</v>
      </c>
      <c r="H408">
        <f>F408*VLOOKUP(B408,產品!$A$2:$H$61,7,FALSE)*(1-銷售總表!G408)</f>
        <v>164000</v>
      </c>
      <c r="I408" s="35">
        <f>H408-F408*VLOOKUP(銷售總表!B408,產品!$A$2:$H$61,8,FALSE)</f>
        <v>24000</v>
      </c>
      <c r="J408" s="20">
        <f t="shared" si="6"/>
        <v>0.14634146341463414</v>
      </c>
    </row>
    <row r="409" spans="1:10" x14ac:dyDescent="0.3">
      <c r="A409" s="33">
        <v>408</v>
      </c>
      <c r="B409" s="4">
        <v>21</v>
      </c>
      <c r="C409" s="15">
        <v>9</v>
      </c>
      <c r="D409" s="16">
        <v>3</v>
      </c>
      <c r="E409" s="22">
        <v>43926</v>
      </c>
      <c r="F409" s="19">
        <v>50</v>
      </c>
      <c r="G409" s="18">
        <v>0.05</v>
      </c>
      <c r="H409">
        <f>F409*VLOOKUP(B409,產品!$A$2:$H$61,7,FALSE)*(1-銷售總表!G409)</f>
        <v>85500</v>
      </c>
      <c r="I409" s="35">
        <f>H409-F409*VLOOKUP(銷售總表!B409,產品!$A$2:$H$61,8,FALSE)</f>
        <v>49500</v>
      </c>
      <c r="J409" s="20">
        <f t="shared" si="6"/>
        <v>0.57894736842105265</v>
      </c>
    </row>
    <row r="410" spans="1:10" x14ac:dyDescent="0.3">
      <c r="A410" s="33">
        <v>409</v>
      </c>
      <c r="B410" s="4">
        <v>55</v>
      </c>
      <c r="C410" s="15">
        <v>135</v>
      </c>
      <c r="D410" s="16">
        <v>3</v>
      </c>
      <c r="E410" s="22">
        <v>43926</v>
      </c>
      <c r="F410" s="17">
        <v>10</v>
      </c>
      <c r="G410" s="18">
        <v>0.13</v>
      </c>
      <c r="H410">
        <f>F410*VLOOKUP(B410,產品!$A$2:$H$61,7,FALSE)*(1-銷售總表!G410)</f>
        <v>174000</v>
      </c>
      <c r="I410" s="35">
        <f>H410-F410*VLOOKUP(銷售總表!B410,產品!$A$2:$H$61,8,FALSE)</f>
        <v>34000</v>
      </c>
      <c r="J410" s="20">
        <f t="shared" si="6"/>
        <v>0.19540229885057472</v>
      </c>
    </row>
    <row r="411" spans="1:10" x14ac:dyDescent="0.3">
      <c r="A411" s="33">
        <v>410</v>
      </c>
      <c r="B411" s="4">
        <v>6</v>
      </c>
      <c r="C411" s="15">
        <v>4</v>
      </c>
      <c r="D411" s="16">
        <v>4</v>
      </c>
      <c r="E411" s="22">
        <v>43926</v>
      </c>
      <c r="F411" s="17">
        <v>60</v>
      </c>
      <c r="G411" s="18">
        <v>0.06</v>
      </c>
      <c r="H411">
        <f>F411*VLOOKUP(B411,產品!$A$2:$H$61,7,FALSE)*(1-銷售總表!G411)</f>
        <v>56400</v>
      </c>
      <c r="I411" s="35">
        <f>H411-F411*VLOOKUP(銷售總表!B411,產品!$A$2:$H$61,8,FALSE)</f>
        <v>32400</v>
      </c>
      <c r="J411" s="20">
        <f t="shared" si="6"/>
        <v>0.57446808510638303</v>
      </c>
    </row>
    <row r="412" spans="1:10" x14ac:dyDescent="0.3">
      <c r="A412" s="33">
        <v>411</v>
      </c>
      <c r="B412" s="4">
        <v>9</v>
      </c>
      <c r="C412" s="15">
        <v>257</v>
      </c>
      <c r="D412" s="16">
        <v>6</v>
      </c>
      <c r="E412" s="22">
        <v>43926</v>
      </c>
      <c r="F412" s="17">
        <v>60</v>
      </c>
      <c r="G412" s="18">
        <v>0.1</v>
      </c>
      <c r="H412">
        <f>F412*VLOOKUP(B412,產品!$A$2:$H$61,7,FALSE)*(1-銷售總表!G412)</f>
        <v>54000</v>
      </c>
      <c r="I412" s="35">
        <f>H412-F412*VLOOKUP(銷售總表!B412,產品!$A$2:$H$61,8,FALSE)</f>
        <v>30000</v>
      </c>
      <c r="J412" s="20">
        <f t="shared" si="6"/>
        <v>0.55555555555555558</v>
      </c>
    </row>
    <row r="413" spans="1:10" x14ac:dyDescent="0.3">
      <c r="A413" s="33">
        <v>412</v>
      </c>
      <c r="B413" s="4">
        <v>42</v>
      </c>
      <c r="C413" s="15">
        <v>258</v>
      </c>
      <c r="D413" s="16">
        <v>7</v>
      </c>
      <c r="E413" s="22">
        <v>43926</v>
      </c>
      <c r="F413" s="17">
        <v>13</v>
      </c>
      <c r="G413" s="18">
        <v>0.2</v>
      </c>
      <c r="H413">
        <f>F413*VLOOKUP(B413,產品!$A$2:$H$61,7,FALSE)*(1-銷售總表!G413)</f>
        <v>156000</v>
      </c>
      <c r="I413" s="35">
        <f>H413-F413*VLOOKUP(銷售總表!B413,產品!$A$2:$H$61,8,FALSE)</f>
        <v>29250</v>
      </c>
      <c r="J413" s="20">
        <f t="shared" si="6"/>
        <v>0.1875</v>
      </c>
    </row>
    <row r="414" spans="1:10" x14ac:dyDescent="0.3">
      <c r="A414" s="33">
        <v>413</v>
      </c>
      <c r="B414" s="4">
        <v>26</v>
      </c>
      <c r="C414" s="15">
        <v>135</v>
      </c>
      <c r="D414" s="16">
        <v>2</v>
      </c>
      <c r="E414" s="22">
        <v>43926</v>
      </c>
      <c r="F414" s="17">
        <v>12</v>
      </c>
      <c r="G414" s="18">
        <v>0.12</v>
      </c>
      <c r="H414">
        <f>F414*VLOOKUP(B414,產品!$A$2:$H$61,7,FALSE)*(1-銷售總表!G414)</f>
        <v>68640</v>
      </c>
      <c r="I414" s="35">
        <f>H414-F414*VLOOKUP(銷售總表!B414,產品!$A$2:$H$61,8,FALSE)</f>
        <v>21840</v>
      </c>
      <c r="J414" s="20">
        <f t="shared" si="6"/>
        <v>0.31818181818181818</v>
      </c>
    </row>
    <row r="415" spans="1:10" x14ac:dyDescent="0.3">
      <c r="A415" s="33">
        <v>414</v>
      </c>
      <c r="B415" s="4">
        <v>8</v>
      </c>
      <c r="C415" s="15">
        <v>5</v>
      </c>
      <c r="D415" s="16">
        <v>9</v>
      </c>
      <c r="E415" s="22">
        <v>43926</v>
      </c>
      <c r="F415" s="17">
        <v>20</v>
      </c>
      <c r="G415" s="18">
        <v>0.19</v>
      </c>
      <c r="H415">
        <f>F415*VLOOKUP(B415,產品!$A$2:$H$61,7,FALSE)*(1-銷售總表!G415)</f>
        <v>16200.000000000002</v>
      </c>
      <c r="I415" s="35">
        <f>H415-F415*VLOOKUP(銷售總表!B415,產品!$A$2:$H$61,8,FALSE)</f>
        <v>8200.0000000000018</v>
      </c>
      <c r="J415" s="20">
        <f t="shared" si="6"/>
        <v>0.50617283950617287</v>
      </c>
    </row>
    <row r="416" spans="1:10" x14ac:dyDescent="0.3">
      <c r="A416" s="33">
        <v>415</v>
      </c>
      <c r="B416" s="4">
        <v>34</v>
      </c>
      <c r="C416" s="15">
        <v>5</v>
      </c>
      <c r="D416" s="16">
        <v>9</v>
      </c>
      <c r="E416" s="22">
        <v>43926</v>
      </c>
      <c r="F416" s="19">
        <v>3</v>
      </c>
      <c r="G416" s="18">
        <v>0.06</v>
      </c>
      <c r="H416">
        <f>F416*VLOOKUP(B416,產品!$A$2:$H$61,7,FALSE)*(1-銷售總表!G416)</f>
        <v>22560</v>
      </c>
      <c r="I416" s="35">
        <f>H416-F416*VLOOKUP(銷售總表!B416,產品!$A$2:$H$61,8,FALSE)</f>
        <v>8160</v>
      </c>
      <c r="J416" s="20">
        <f t="shared" si="6"/>
        <v>0.36170212765957449</v>
      </c>
    </row>
    <row r="417" spans="1:10" x14ac:dyDescent="0.3">
      <c r="A417" s="33">
        <v>416</v>
      </c>
      <c r="B417" s="4">
        <v>28</v>
      </c>
      <c r="C417" s="15">
        <v>285</v>
      </c>
      <c r="D417" s="16">
        <v>8</v>
      </c>
      <c r="E417" s="22">
        <v>43926</v>
      </c>
      <c r="F417" s="17">
        <v>3</v>
      </c>
      <c r="G417" s="18">
        <v>0.05</v>
      </c>
      <c r="H417">
        <f>F417*VLOOKUP(B417,產品!$A$2:$H$61,7,FALSE)*(1-銷售總表!G417)</f>
        <v>21375</v>
      </c>
      <c r="I417" s="35">
        <f>H417-F417*VLOOKUP(銷售總表!B417,產品!$A$2:$H$61,8,FALSE)</f>
        <v>7875</v>
      </c>
      <c r="J417" s="20">
        <f t="shared" si="6"/>
        <v>0.36842105263157893</v>
      </c>
    </row>
    <row r="418" spans="1:10" x14ac:dyDescent="0.3">
      <c r="A418" s="33">
        <v>417</v>
      </c>
      <c r="B418" s="4">
        <v>14</v>
      </c>
      <c r="C418" s="15">
        <v>121</v>
      </c>
      <c r="D418" s="16">
        <v>3</v>
      </c>
      <c r="E418" s="22">
        <v>43927</v>
      </c>
      <c r="F418" s="19">
        <v>100</v>
      </c>
      <c r="G418" s="18">
        <v>0.08</v>
      </c>
      <c r="H418">
        <f>F418*VLOOKUP(B418,產品!$A$2:$H$61,7,FALSE)*(1-銷售總表!G418)</f>
        <v>165600</v>
      </c>
      <c r="I418" s="35">
        <f>H418-F418*VLOOKUP(銷售總表!B418,產品!$A$2:$H$61,8,FALSE)</f>
        <v>93600</v>
      </c>
      <c r="J418" s="20">
        <f t="shared" si="6"/>
        <v>0.56521739130434778</v>
      </c>
    </row>
    <row r="419" spans="1:10" x14ac:dyDescent="0.3">
      <c r="A419" s="33">
        <v>418</v>
      </c>
      <c r="B419" s="4">
        <v>43</v>
      </c>
      <c r="C419" s="15">
        <v>138</v>
      </c>
      <c r="D419" s="16">
        <v>7</v>
      </c>
      <c r="E419" s="22">
        <v>43927</v>
      </c>
      <c r="F419" s="17">
        <v>10</v>
      </c>
      <c r="G419" s="18">
        <v>0.19</v>
      </c>
      <c r="H419">
        <f>F419*VLOOKUP(B419,產品!$A$2:$H$61,7,FALSE)*(1-銷售總表!G419)</f>
        <v>145800</v>
      </c>
      <c r="I419" s="35">
        <f>H419-F419*VLOOKUP(銷售總表!B419,產品!$A$2:$H$61,8,FALSE)</f>
        <v>28800</v>
      </c>
      <c r="J419" s="20">
        <f t="shared" si="6"/>
        <v>0.19753086419753085</v>
      </c>
    </row>
    <row r="420" spans="1:10" x14ac:dyDescent="0.3">
      <c r="A420" s="33">
        <v>419</v>
      </c>
      <c r="B420" s="4">
        <v>39</v>
      </c>
      <c r="C420" s="15">
        <v>272</v>
      </c>
      <c r="D420" s="16">
        <v>10</v>
      </c>
      <c r="E420" s="22">
        <v>43927</v>
      </c>
      <c r="F420" s="17">
        <v>5</v>
      </c>
      <c r="G420" s="18">
        <v>0.05</v>
      </c>
      <c r="H420">
        <f>F420*VLOOKUP(B420,產品!$A$2:$H$61,7,FALSE)*(1-銷售總表!G420)</f>
        <v>85500</v>
      </c>
      <c r="I420" s="35">
        <f>H420-F420*VLOOKUP(銷售總表!B420,產品!$A$2:$H$61,8,FALSE)</f>
        <v>27000</v>
      </c>
      <c r="J420" s="20">
        <f t="shared" si="6"/>
        <v>0.31578947368421051</v>
      </c>
    </row>
    <row r="421" spans="1:10" x14ac:dyDescent="0.3">
      <c r="A421" s="33">
        <v>420</v>
      </c>
      <c r="B421" s="4">
        <v>6</v>
      </c>
      <c r="C421" s="15">
        <v>266</v>
      </c>
      <c r="D421" s="16">
        <v>7</v>
      </c>
      <c r="E421" s="22">
        <v>43927</v>
      </c>
      <c r="F421" s="19">
        <v>30</v>
      </c>
      <c r="G421" s="18">
        <v>0.13</v>
      </c>
      <c r="H421">
        <f>F421*VLOOKUP(B421,產品!$A$2:$H$61,7,FALSE)*(1-銷售總表!G421)</f>
        <v>26100</v>
      </c>
      <c r="I421" s="35">
        <f>H421-F421*VLOOKUP(銷售總表!B421,產品!$A$2:$H$61,8,FALSE)</f>
        <v>14100</v>
      </c>
      <c r="J421" s="20">
        <f t="shared" si="6"/>
        <v>0.54022988505747127</v>
      </c>
    </row>
    <row r="422" spans="1:10" x14ac:dyDescent="0.3">
      <c r="A422" s="33">
        <v>421</v>
      </c>
      <c r="B422" s="4">
        <v>49</v>
      </c>
      <c r="C422" s="15">
        <v>288</v>
      </c>
      <c r="D422" s="16">
        <v>2</v>
      </c>
      <c r="E422" s="22">
        <v>43927</v>
      </c>
      <c r="F422" s="17">
        <v>6</v>
      </c>
      <c r="G422" s="18">
        <v>0.17</v>
      </c>
      <c r="H422">
        <f>F422*VLOOKUP(B422,產品!$A$2:$H$61,7,FALSE)*(1-銷售總表!G422)</f>
        <v>74700</v>
      </c>
      <c r="I422" s="35">
        <f>H422-F422*VLOOKUP(銷售總表!B422,產品!$A$2:$H$61,8,FALSE)</f>
        <v>11700</v>
      </c>
      <c r="J422" s="20">
        <f t="shared" si="6"/>
        <v>0.15662650602409639</v>
      </c>
    </row>
    <row r="423" spans="1:10" x14ac:dyDescent="0.3">
      <c r="A423" s="33">
        <v>422</v>
      </c>
      <c r="B423" s="4">
        <v>49</v>
      </c>
      <c r="C423" s="15">
        <v>113</v>
      </c>
      <c r="D423" s="16">
        <v>9</v>
      </c>
      <c r="E423" s="22">
        <v>43927</v>
      </c>
      <c r="F423" s="19">
        <v>5</v>
      </c>
      <c r="G423" s="18">
        <v>0.17</v>
      </c>
      <c r="H423">
        <f>F423*VLOOKUP(B423,產品!$A$2:$H$61,7,FALSE)*(1-銷售總表!G423)</f>
        <v>62250</v>
      </c>
      <c r="I423" s="35">
        <f>H423-F423*VLOOKUP(銷售總表!B423,產品!$A$2:$H$61,8,FALSE)</f>
        <v>9750</v>
      </c>
      <c r="J423" s="20">
        <f t="shared" si="6"/>
        <v>0.15662650602409639</v>
      </c>
    </row>
    <row r="424" spans="1:10" x14ac:dyDescent="0.3">
      <c r="A424" s="33">
        <v>423</v>
      </c>
      <c r="B424" s="4">
        <v>38</v>
      </c>
      <c r="C424" s="15">
        <v>11</v>
      </c>
      <c r="D424" s="16">
        <v>1</v>
      </c>
      <c r="E424" s="22">
        <v>43927</v>
      </c>
      <c r="F424" s="17">
        <v>2</v>
      </c>
      <c r="G424" s="18">
        <v>0.13</v>
      </c>
      <c r="H424">
        <f>F424*VLOOKUP(B424,產品!$A$2:$H$61,7,FALSE)*(1-銷售總表!G424)</f>
        <v>26100</v>
      </c>
      <c r="I424" s="35">
        <f>H424-F424*VLOOKUP(銷售總表!B424,產品!$A$2:$H$61,8,FALSE)</f>
        <v>6600</v>
      </c>
      <c r="J424" s="20">
        <f t="shared" si="6"/>
        <v>0.25287356321839083</v>
      </c>
    </row>
    <row r="425" spans="1:10" x14ac:dyDescent="0.3">
      <c r="A425" s="33">
        <v>424</v>
      </c>
      <c r="B425" s="4">
        <v>28</v>
      </c>
      <c r="C425" s="15">
        <v>275</v>
      </c>
      <c r="D425" s="16">
        <v>1</v>
      </c>
      <c r="E425" s="22">
        <v>43928</v>
      </c>
      <c r="F425" s="17">
        <v>10</v>
      </c>
      <c r="G425" s="18">
        <v>0.19</v>
      </c>
      <c r="H425">
        <f>F425*VLOOKUP(B425,產品!$A$2:$H$61,7,FALSE)*(1-銷售總表!G425)</f>
        <v>60750.000000000007</v>
      </c>
      <c r="I425" s="35">
        <f>H425-F425*VLOOKUP(銷售總表!B425,產品!$A$2:$H$61,8,FALSE)</f>
        <v>15750.000000000007</v>
      </c>
      <c r="J425" s="20">
        <f t="shared" si="6"/>
        <v>0.25925925925925936</v>
      </c>
    </row>
    <row r="426" spans="1:10" x14ac:dyDescent="0.3">
      <c r="A426" s="33">
        <v>425</v>
      </c>
      <c r="B426" s="4">
        <v>2</v>
      </c>
      <c r="C426" s="15">
        <v>274</v>
      </c>
      <c r="D426" s="16">
        <v>9</v>
      </c>
      <c r="E426" s="22">
        <v>43928</v>
      </c>
      <c r="F426" s="17">
        <v>12</v>
      </c>
      <c r="G426" s="18">
        <v>7.0000000000000007E-2</v>
      </c>
      <c r="H426">
        <f>F426*VLOOKUP(B426,產品!$A$2:$H$61,7,FALSE)*(1-銷售總表!G426)</f>
        <v>11160</v>
      </c>
      <c r="I426" s="35">
        <f>H426-F426*VLOOKUP(銷售總表!B426,產品!$A$2:$H$61,8,FALSE)</f>
        <v>6360</v>
      </c>
      <c r="J426" s="20">
        <f t="shared" si="6"/>
        <v>0.56989247311827962</v>
      </c>
    </row>
    <row r="427" spans="1:10" x14ac:dyDescent="0.3">
      <c r="A427" s="33">
        <v>426</v>
      </c>
      <c r="B427" s="4">
        <v>3</v>
      </c>
      <c r="C427" s="15">
        <v>8</v>
      </c>
      <c r="D427" s="16">
        <v>3</v>
      </c>
      <c r="E427" s="22">
        <v>43928</v>
      </c>
      <c r="F427" s="17">
        <v>10</v>
      </c>
      <c r="G427" s="18">
        <v>0.12</v>
      </c>
      <c r="H427">
        <f>F427*VLOOKUP(B427,產品!$A$2:$H$61,7,FALSE)*(1-銷售總表!G427)</f>
        <v>8800</v>
      </c>
      <c r="I427" s="35">
        <f>H427-F427*VLOOKUP(銷售總表!B427,產品!$A$2:$H$61,8,FALSE)</f>
        <v>4800</v>
      </c>
      <c r="J427" s="20">
        <f t="shared" si="6"/>
        <v>0.54545454545454541</v>
      </c>
    </row>
    <row r="428" spans="1:10" x14ac:dyDescent="0.3">
      <c r="A428" s="33">
        <v>427</v>
      </c>
      <c r="B428" s="4">
        <v>17</v>
      </c>
      <c r="C428" s="15">
        <v>12</v>
      </c>
      <c r="D428" s="16">
        <v>2</v>
      </c>
      <c r="E428" s="22">
        <v>43929</v>
      </c>
      <c r="F428" s="17">
        <v>100</v>
      </c>
      <c r="G428" s="18">
        <v>0.05</v>
      </c>
      <c r="H428">
        <f>F428*VLOOKUP(B428,產品!$A$2:$H$61,7,FALSE)*(1-銷售總表!G428)</f>
        <v>171000</v>
      </c>
      <c r="I428" s="35">
        <f>H428-F428*VLOOKUP(銷售總表!B428,產品!$A$2:$H$61,8,FALSE)</f>
        <v>99000</v>
      </c>
      <c r="J428" s="20">
        <f t="shared" si="6"/>
        <v>0.57894736842105265</v>
      </c>
    </row>
    <row r="429" spans="1:10" x14ac:dyDescent="0.3">
      <c r="A429" s="33">
        <v>428</v>
      </c>
      <c r="B429" s="4">
        <v>51</v>
      </c>
      <c r="C429" s="15">
        <v>273</v>
      </c>
      <c r="D429" s="16">
        <v>3</v>
      </c>
      <c r="E429" s="22">
        <v>43929</v>
      </c>
      <c r="F429" s="17">
        <v>10</v>
      </c>
      <c r="G429" s="18">
        <v>0.05</v>
      </c>
      <c r="H429">
        <f>F429*VLOOKUP(B429,產品!$A$2:$H$61,7,FALSE)*(1-銷售總表!G429)</f>
        <v>190000</v>
      </c>
      <c r="I429" s="35">
        <f>H429-F429*VLOOKUP(銷售總表!B429,產品!$A$2:$H$61,8,FALSE)</f>
        <v>50000</v>
      </c>
      <c r="J429" s="20">
        <f t="shared" si="6"/>
        <v>0.26315789473684209</v>
      </c>
    </row>
    <row r="430" spans="1:10" x14ac:dyDescent="0.3">
      <c r="A430" s="33">
        <v>429</v>
      </c>
      <c r="B430" s="4">
        <v>50</v>
      </c>
      <c r="C430" s="15">
        <v>272</v>
      </c>
      <c r="D430" s="16">
        <v>7</v>
      </c>
      <c r="E430" s="22">
        <v>43929</v>
      </c>
      <c r="F430" s="17">
        <v>9</v>
      </c>
      <c r="G430" s="18">
        <v>0.16</v>
      </c>
      <c r="H430">
        <f>F430*VLOOKUP(B430,產品!$A$2:$H$61,7,FALSE)*(1-銷售總表!G430)</f>
        <v>136080</v>
      </c>
      <c r="I430" s="35">
        <f>H430-F430*VLOOKUP(銷售總表!B430,產品!$A$2:$H$61,8,FALSE)</f>
        <v>22680</v>
      </c>
      <c r="J430" s="20">
        <f t="shared" si="6"/>
        <v>0.16666666666666666</v>
      </c>
    </row>
    <row r="431" spans="1:10" x14ac:dyDescent="0.3">
      <c r="A431" s="33">
        <v>430</v>
      </c>
      <c r="B431" s="4">
        <v>4</v>
      </c>
      <c r="C431" s="15">
        <v>285</v>
      </c>
      <c r="D431" s="16">
        <v>7</v>
      </c>
      <c r="E431" s="22">
        <v>43929</v>
      </c>
      <c r="F431" s="17">
        <v>40</v>
      </c>
      <c r="G431" s="18">
        <v>0.16</v>
      </c>
      <c r="H431">
        <f>F431*VLOOKUP(B431,產品!$A$2:$H$61,7,FALSE)*(1-銷售總表!G431)</f>
        <v>33600</v>
      </c>
      <c r="I431" s="35">
        <f>H431-F431*VLOOKUP(銷售總表!B431,產品!$A$2:$H$61,8,FALSE)</f>
        <v>17600</v>
      </c>
      <c r="J431" s="20">
        <f t="shared" si="6"/>
        <v>0.52380952380952384</v>
      </c>
    </row>
    <row r="432" spans="1:10" x14ac:dyDescent="0.3">
      <c r="A432" s="33">
        <v>431</v>
      </c>
      <c r="B432" s="4">
        <v>38</v>
      </c>
      <c r="C432" s="15">
        <v>136</v>
      </c>
      <c r="D432" s="16">
        <v>1</v>
      </c>
      <c r="E432" s="22">
        <v>43929</v>
      </c>
      <c r="F432" s="17">
        <v>6</v>
      </c>
      <c r="G432" s="18">
        <v>0.2</v>
      </c>
      <c r="H432">
        <f>F432*VLOOKUP(B432,產品!$A$2:$H$61,7,FALSE)*(1-銷售總表!G432)</f>
        <v>72000</v>
      </c>
      <c r="I432" s="35">
        <f>H432-F432*VLOOKUP(銷售總表!B432,產品!$A$2:$H$61,8,FALSE)</f>
        <v>13500</v>
      </c>
      <c r="J432" s="20">
        <f t="shared" si="6"/>
        <v>0.1875</v>
      </c>
    </row>
    <row r="433" spans="1:10" x14ac:dyDescent="0.3">
      <c r="A433" s="33">
        <v>432</v>
      </c>
      <c r="B433" s="4">
        <v>55</v>
      </c>
      <c r="C433" s="15">
        <v>267</v>
      </c>
      <c r="D433" s="16">
        <v>7</v>
      </c>
      <c r="E433" s="22">
        <v>43929</v>
      </c>
      <c r="F433" s="17">
        <v>5</v>
      </c>
      <c r="G433" s="18">
        <v>0.16</v>
      </c>
      <c r="H433">
        <f>F433*VLOOKUP(B433,產品!$A$2:$H$61,7,FALSE)*(1-銷售總表!G433)</f>
        <v>84000</v>
      </c>
      <c r="I433" s="35">
        <f>H433-F433*VLOOKUP(銷售總表!B433,產品!$A$2:$H$61,8,FALSE)</f>
        <v>14000</v>
      </c>
      <c r="J433" s="20">
        <f t="shared" si="6"/>
        <v>0.16666666666666666</v>
      </c>
    </row>
    <row r="434" spans="1:10" x14ac:dyDescent="0.3">
      <c r="A434" s="33">
        <v>433</v>
      </c>
      <c r="B434" s="4">
        <v>8</v>
      </c>
      <c r="C434" s="15">
        <v>116</v>
      </c>
      <c r="D434" s="16">
        <v>7</v>
      </c>
      <c r="E434" s="22">
        <v>43929</v>
      </c>
      <c r="F434" s="17">
        <v>19</v>
      </c>
      <c r="G434" s="18">
        <v>7.0000000000000007E-2</v>
      </c>
      <c r="H434">
        <f>F434*VLOOKUP(B434,產品!$A$2:$H$61,7,FALSE)*(1-銷售總表!G434)</f>
        <v>17670</v>
      </c>
      <c r="I434" s="35">
        <f>H434-F434*VLOOKUP(銷售總表!B434,產品!$A$2:$H$61,8,FALSE)</f>
        <v>10070</v>
      </c>
      <c r="J434" s="20">
        <f t="shared" si="6"/>
        <v>0.56989247311827962</v>
      </c>
    </row>
    <row r="435" spans="1:10" x14ac:dyDescent="0.3">
      <c r="A435" s="33">
        <v>434</v>
      </c>
      <c r="B435" s="4">
        <v>7</v>
      </c>
      <c r="C435" s="15">
        <v>259</v>
      </c>
      <c r="D435" s="16">
        <v>8</v>
      </c>
      <c r="E435" s="22">
        <v>43930</v>
      </c>
      <c r="F435" s="17">
        <v>150</v>
      </c>
      <c r="G435" s="18">
        <v>0.12</v>
      </c>
      <c r="H435">
        <f>F435*VLOOKUP(B435,產品!$A$2:$H$61,7,FALSE)*(1-銷售總表!G435)</f>
        <v>132000</v>
      </c>
      <c r="I435" s="35">
        <f>H435-F435*VLOOKUP(銷售總表!B435,產品!$A$2:$H$61,8,FALSE)</f>
        <v>72000</v>
      </c>
      <c r="J435" s="20">
        <f t="shared" si="6"/>
        <v>0.54545454545454541</v>
      </c>
    </row>
    <row r="436" spans="1:10" x14ac:dyDescent="0.3">
      <c r="A436" s="33">
        <v>435</v>
      </c>
      <c r="B436" s="4">
        <v>22</v>
      </c>
      <c r="C436" s="15">
        <v>135</v>
      </c>
      <c r="D436" s="16">
        <v>1</v>
      </c>
      <c r="E436" s="22">
        <v>43930</v>
      </c>
      <c r="F436" s="19">
        <v>70</v>
      </c>
      <c r="G436" s="18">
        <v>0.14000000000000001</v>
      </c>
      <c r="H436">
        <f>F436*VLOOKUP(B436,產品!$A$2:$H$61,7,FALSE)*(1-銷售總表!G436)</f>
        <v>108360</v>
      </c>
      <c r="I436" s="35">
        <f>H436-F436*VLOOKUP(銷售總表!B436,產品!$A$2:$H$61,8,FALSE)</f>
        <v>57960</v>
      </c>
      <c r="J436" s="20">
        <f t="shared" si="6"/>
        <v>0.53488372093023251</v>
      </c>
    </row>
    <row r="437" spans="1:10" x14ac:dyDescent="0.3">
      <c r="A437" s="33">
        <v>436</v>
      </c>
      <c r="B437" s="4">
        <v>25</v>
      </c>
      <c r="C437" s="15">
        <v>7</v>
      </c>
      <c r="D437" s="16">
        <v>7</v>
      </c>
      <c r="E437" s="22">
        <v>43930</v>
      </c>
      <c r="F437" s="17">
        <v>13</v>
      </c>
      <c r="G437" s="18">
        <v>0.06</v>
      </c>
      <c r="H437">
        <f>F437*VLOOKUP(B437,產品!$A$2:$H$61,7,FALSE)*(1-銷售總表!G437)</f>
        <v>73320</v>
      </c>
      <c r="I437" s="35">
        <f>H437-F437*VLOOKUP(銷售總表!B437,產品!$A$2:$H$61,8,FALSE)</f>
        <v>26520</v>
      </c>
      <c r="J437" s="20">
        <f t="shared" si="6"/>
        <v>0.36170212765957449</v>
      </c>
    </row>
    <row r="438" spans="1:10" x14ac:dyDescent="0.3">
      <c r="A438" s="33">
        <v>437</v>
      </c>
      <c r="B438" s="4">
        <v>21</v>
      </c>
      <c r="C438" s="15">
        <v>5</v>
      </c>
      <c r="D438" s="16">
        <v>8</v>
      </c>
      <c r="E438" s="22">
        <v>43930</v>
      </c>
      <c r="F438" s="17">
        <v>30</v>
      </c>
      <c r="G438" s="18">
        <v>0.12</v>
      </c>
      <c r="H438">
        <f>F438*VLOOKUP(B438,產品!$A$2:$H$61,7,FALSE)*(1-銷售總表!G438)</f>
        <v>47520</v>
      </c>
      <c r="I438" s="35">
        <f>H438-F438*VLOOKUP(銷售總表!B438,產品!$A$2:$H$61,8,FALSE)</f>
        <v>25920</v>
      </c>
      <c r="J438" s="20">
        <f t="shared" si="6"/>
        <v>0.54545454545454541</v>
      </c>
    </row>
    <row r="439" spans="1:10" x14ac:dyDescent="0.3">
      <c r="A439" s="33">
        <v>438</v>
      </c>
      <c r="B439" s="4">
        <v>30</v>
      </c>
      <c r="C439" s="15">
        <v>283</v>
      </c>
      <c r="D439" s="16">
        <v>7</v>
      </c>
      <c r="E439" s="22">
        <v>43930</v>
      </c>
      <c r="F439" s="17">
        <v>12</v>
      </c>
      <c r="G439" s="18">
        <v>0.11</v>
      </c>
      <c r="H439">
        <f>F439*VLOOKUP(B439,產品!$A$2:$H$61,7,FALSE)*(1-銷售總表!G439)</f>
        <v>69420</v>
      </c>
      <c r="I439" s="35">
        <f>H439-F439*VLOOKUP(銷售總表!B439,產品!$A$2:$H$61,8,FALSE)</f>
        <v>22620</v>
      </c>
      <c r="J439" s="20">
        <f t="shared" si="6"/>
        <v>0.3258426966292135</v>
      </c>
    </row>
    <row r="440" spans="1:10" x14ac:dyDescent="0.3">
      <c r="A440" s="33">
        <v>439</v>
      </c>
      <c r="B440" s="4">
        <v>36</v>
      </c>
      <c r="C440" s="15">
        <v>7</v>
      </c>
      <c r="D440" s="16">
        <v>10</v>
      </c>
      <c r="E440" s="22">
        <v>43930</v>
      </c>
      <c r="F440" s="17">
        <v>4</v>
      </c>
      <c r="G440" s="18">
        <v>0.19</v>
      </c>
      <c r="H440">
        <f>F440*VLOOKUP(B440,產品!$A$2:$H$61,7,FALSE)*(1-銷售總表!G440)</f>
        <v>29160.000000000004</v>
      </c>
      <c r="I440" s="35">
        <f>H440-F440*VLOOKUP(銷售總表!B440,產品!$A$2:$H$61,8,FALSE)</f>
        <v>7560.0000000000036</v>
      </c>
      <c r="J440" s="20">
        <f t="shared" si="6"/>
        <v>0.25925925925925936</v>
      </c>
    </row>
    <row r="441" spans="1:10" x14ac:dyDescent="0.3">
      <c r="A441" s="33">
        <v>440</v>
      </c>
      <c r="B441" s="4">
        <v>28</v>
      </c>
      <c r="C441" s="15">
        <v>12</v>
      </c>
      <c r="D441" s="16">
        <v>6</v>
      </c>
      <c r="E441" s="22">
        <v>43930</v>
      </c>
      <c r="F441" s="17">
        <v>2</v>
      </c>
      <c r="G441" s="18">
        <v>0.16</v>
      </c>
      <c r="H441">
        <f>F441*VLOOKUP(B441,產品!$A$2:$H$61,7,FALSE)*(1-銷售總表!G441)</f>
        <v>12600</v>
      </c>
      <c r="I441" s="35">
        <f>H441-F441*VLOOKUP(銷售總表!B441,產品!$A$2:$H$61,8,FALSE)</f>
        <v>3600</v>
      </c>
      <c r="J441" s="20">
        <f t="shared" si="6"/>
        <v>0.2857142857142857</v>
      </c>
    </row>
    <row r="442" spans="1:10" x14ac:dyDescent="0.3">
      <c r="A442" s="33">
        <v>441</v>
      </c>
      <c r="B442" s="4">
        <v>54</v>
      </c>
      <c r="C442" s="15">
        <v>116</v>
      </c>
      <c r="D442" s="16">
        <v>10</v>
      </c>
      <c r="E442" s="22">
        <v>43930</v>
      </c>
      <c r="F442" s="17">
        <v>1</v>
      </c>
      <c r="G442" s="18">
        <v>0.13</v>
      </c>
      <c r="H442">
        <f>F442*VLOOKUP(B442,產品!$A$2:$H$61,7,FALSE)*(1-銷售總表!G442)</f>
        <v>15660</v>
      </c>
      <c r="I442" s="35">
        <f>H442-F442*VLOOKUP(銷售總表!B442,產品!$A$2:$H$61,8,FALSE)</f>
        <v>3060</v>
      </c>
      <c r="J442" s="20">
        <f t="shared" si="6"/>
        <v>0.19540229885057472</v>
      </c>
    </row>
    <row r="443" spans="1:10" x14ac:dyDescent="0.3">
      <c r="A443" s="33">
        <v>442</v>
      </c>
      <c r="B443" s="4">
        <v>39</v>
      </c>
      <c r="C443" s="15">
        <v>5</v>
      </c>
      <c r="D443" s="16">
        <v>7</v>
      </c>
      <c r="E443" s="22">
        <v>43931</v>
      </c>
      <c r="F443" s="19">
        <v>15</v>
      </c>
      <c r="G443" s="18">
        <v>0.13</v>
      </c>
      <c r="H443">
        <f>F443*VLOOKUP(B443,產品!$A$2:$H$61,7,FALSE)*(1-銷售總表!G443)</f>
        <v>234900</v>
      </c>
      <c r="I443" s="35">
        <f>H443-F443*VLOOKUP(銷售總表!B443,產品!$A$2:$H$61,8,FALSE)</f>
        <v>59400</v>
      </c>
      <c r="J443" s="20">
        <f t="shared" si="6"/>
        <v>0.25287356321839083</v>
      </c>
    </row>
    <row r="444" spans="1:10" x14ac:dyDescent="0.3">
      <c r="A444" s="33">
        <v>443</v>
      </c>
      <c r="B444" s="4">
        <v>37</v>
      </c>
      <c r="C444" s="15">
        <v>122</v>
      </c>
      <c r="D444" s="16">
        <v>5</v>
      </c>
      <c r="E444" s="22">
        <v>43931</v>
      </c>
      <c r="F444" s="17">
        <v>20</v>
      </c>
      <c r="G444" s="18">
        <v>0.18</v>
      </c>
      <c r="H444">
        <f>F444*VLOOKUP(B444,產品!$A$2:$H$61,7,FALSE)*(1-銷售總表!G444)</f>
        <v>196800.00000000003</v>
      </c>
      <c r="I444" s="35">
        <f>H444-F444*VLOOKUP(銷售總表!B444,產品!$A$2:$H$61,8,FALSE)</f>
        <v>40800.000000000029</v>
      </c>
      <c r="J444" s="20">
        <f t="shared" si="6"/>
        <v>0.20731707317073184</v>
      </c>
    </row>
    <row r="445" spans="1:10" x14ac:dyDescent="0.3">
      <c r="A445" s="33">
        <v>444</v>
      </c>
      <c r="B445" s="4">
        <v>22</v>
      </c>
      <c r="C445" s="15">
        <v>269</v>
      </c>
      <c r="D445" s="16">
        <v>10</v>
      </c>
      <c r="E445" s="22">
        <v>43931</v>
      </c>
      <c r="F445" s="17">
        <v>40</v>
      </c>
      <c r="G445" s="18">
        <v>0.18</v>
      </c>
      <c r="H445">
        <f>F445*VLOOKUP(B445,產品!$A$2:$H$61,7,FALSE)*(1-銷售總表!G445)</f>
        <v>59040.000000000007</v>
      </c>
      <c r="I445" s="35">
        <f>H445-F445*VLOOKUP(銷售總表!B445,產品!$A$2:$H$61,8,FALSE)</f>
        <v>30240.000000000007</v>
      </c>
      <c r="J445" s="20">
        <f t="shared" si="6"/>
        <v>0.51219512195121952</v>
      </c>
    </row>
    <row r="446" spans="1:10" x14ac:dyDescent="0.3">
      <c r="A446" s="33">
        <v>445</v>
      </c>
      <c r="B446" s="4">
        <v>32</v>
      </c>
      <c r="C446" s="15">
        <v>7</v>
      </c>
      <c r="D446" s="16">
        <v>2</v>
      </c>
      <c r="E446" s="22">
        <v>43931</v>
      </c>
      <c r="F446" s="17">
        <v>10</v>
      </c>
      <c r="G446" s="18">
        <v>0.05</v>
      </c>
      <c r="H446">
        <f>F446*VLOOKUP(B446,產品!$A$2:$H$61,7,FALSE)*(1-銷售總表!G446)</f>
        <v>71250</v>
      </c>
      <c r="I446" s="35">
        <f>H446-F446*VLOOKUP(銷售總表!B446,產品!$A$2:$H$61,8,FALSE)</f>
        <v>26250</v>
      </c>
      <c r="J446" s="20">
        <f t="shared" si="6"/>
        <v>0.36842105263157893</v>
      </c>
    </row>
    <row r="447" spans="1:10" x14ac:dyDescent="0.3">
      <c r="A447" s="33">
        <v>446</v>
      </c>
      <c r="B447" s="4">
        <v>37</v>
      </c>
      <c r="C447" s="15">
        <v>4</v>
      </c>
      <c r="D447" s="16">
        <v>9</v>
      </c>
      <c r="E447" s="22">
        <v>43931</v>
      </c>
      <c r="F447" s="17">
        <v>12</v>
      </c>
      <c r="G447" s="18">
        <v>0.19</v>
      </c>
      <c r="H447">
        <f>F447*VLOOKUP(B447,產品!$A$2:$H$61,7,FALSE)*(1-銷售總表!G447)</f>
        <v>116640.00000000001</v>
      </c>
      <c r="I447" s="35">
        <f>H447-F447*VLOOKUP(銷售總表!B447,產品!$A$2:$H$61,8,FALSE)</f>
        <v>23040.000000000015</v>
      </c>
      <c r="J447" s="20">
        <f t="shared" si="6"/>
        <v>0.19753086419753096</v>
      </c>
    </row>
    <row r="448" spans="1:10" x14ac:dyDescent="0.3">
      <c r="A448" s="33">
        <v>447</v>
      </c>
      <c r="B448" s="4">
        <v>24</v>
      </c>
      <c r="C448" s="15">
        <v>5</v>
      </c>
      <c r="D448" s="16">
        <v>1</v>
      </c>
      <c r="E448" s="22">
        <v>43931</v>
      </c>
      <c r="F448" s="19">
        <v>20</v>
      </c>
      <c r="G448" s="18">
        <v>0.12</v>
      </c>
      <c r="H448">
        <f>F448*VLOOKUP(B448,產品!$A$2:$H$61,7,FALSE)*(1-銷售總表!G448)</f>
        <v>31680</v>
      </c>
      <c r="I448" s="35">
        <f>H448-F448*VLOOKUP(銷售總表!B448,產品!$A$2:$H$61,8,FALSE)</f>
        <v>17280</v>
      </c>
      <c r="J448" s="20">
        <f t="shared" si="6"/>
        <v>0.54545454545454541</v>
      </c>
    </row>
    <row r="449" spans="1:10" x14ac:dyDescent="0.3">
      <c r="A449" s="33">
        <v>448</v>
      </c>
      <c r="B449" s="4">
        <v>21</v>
      </c>
      <c r="C449" s="15">
        <v>135</v>
      </c>
      <c r="D449" s="16">
        <v>6</v>
      </c>
      <c r="E449" s="22">
        <v>43931</v>
      </c>
      <c r="F449" s="17">
        <v>20</v>
      </c>
      <c r="G449" s="18">
        <v>0.19</v>
      </c>
      <c r="H449">
        <f>F449*VLOOKUP(B449,產品!$A$2:$H$61,7,FALSE)*(1-銷售總表!G449)</f>
        <v>29160.000000000004</v>
      </c>
      <c r="I449" s="35">
        <f>H449-F449*VLOOKUP(銷售總表!B449,產品!$A$2:$H$61,8,FALSE)</f>
        <v>14760.000000000004</v>
      </c>
      <c r="J449" s="20">
        <f t="shared" si="6"/>
        <v>0.50617283950617287</v>
      </c>
    </row>
    <row r="450" spans="1:10" x14ac:dyDescent="0.3">
      <c r="A450" s="33">
        <v>449</v>
      </c>
      <c r="B450" s="4">
        <v>43</v>
      </c>
      <c r="C450" s="15">
        <v>114</v>
      </c>
      <c r="D450" s="16">
        <v>5</v>
      </c>
      <c r="E450" s="22">
        <v>43932</v>
      </c>
      <c r="F450" s="17">
        <v>13</v>
      </c>
      <c r="G450" s="18">
        <v>0.05</v>
      </c>
      <c r="H450">
        <f>F450*VLOOKUP(B450,產品!$A$2:$H$61,7,FALSE)*(1-銷售總表!G450)</f>
        <v>222300</v>
      </c>
      <c r="I450" s="35">
        <f>H450-F450*VLOOKUP(銷售總表!B450,產品!$A$2:$H$61,8,FALSE)</f>
        <v>70200</v>
      </c>
      <c r="J450" s="20">
        <f t="shared" si="6"/>
        <v>0.31578947368421051</v>
      </c>
    </row>
    <row r="451" spans="1:10" x14ac:dyDescent="0.3">
      <c r="A451" s="33">
        <v>450</v>
      </c>
      <c r="B451" s="4">
        <v>55</v>
      </c>
      <c r="C451" s="15">
        <v>118</v>
      </c>
      <c r="D451" s="16">
        <v>3</v>
      </c>
      <c r="E451" s="22">
        <v>43932</v>
      </c>
      <c r="F451" s="17">
        <v>13</v>
      </c>
      <c r="G451" s="18">
        <v>0.13</v>
      </c>
      <c r="H451">
        <f>F451*VLOOKUP(B451,產品!$A$2:$H$61,7,FALSE)*(1-銷售總表!G451)</f>
        <v>226200</v>
      </c>
      <c r="I451" s="35">
        <f>H451-F451*VLOOKUP(銷售總表!B451,產品!$A$2:$H$61,8,FALSE)</f>
        <v>44200</v>
      </c>
      <c r="J451" s="20">
        <f t="shared" ref="J451:J514" si="7">I451/H451</f>
        <v>0.19540229885057472</v>
      </c>
    </row>
    <row r="452" spans="1:10" x14ac:dyDescent="0.3">
      <c r="A452" s="33">
        <v>451</v>
      </c>
      <c r="B452" s="4">
        <v>21</v>
      </c>
      <c r="C452" s="15">
        <v>268</v>
      </c>
      <c r="D452" s="16">
        <v>6</v>
      </c>
      <c r="E452" s="22">
        <v>43932</v>
      </c>
      <c r="F452" s="17">
        <v>50</v>
      </c>
      <c r="G452" s="18">
        <v>0.16</v>
      </c>
      <c r="H452">
        <f>F452*VLOOKUP(B452,產品!$A$2:$H$61,7,FALSE)*(1-銷售總表!G452)</f>
        <v>75600</v>
      </c>
      <c r="I452" s="35">
        <f>H452-F452*VLOOKUP(銷售總表!B452,產品!$A$2:$H$61,8,FALSE)</f>
        <v>39600</v>
      </c>
      <c r="J452" s="20">
        <f t="shared" si="7"/>
        <v>0.52380952380952384</v>
      </c>
    </row>
    <row r="453" spans="1:10" x14ac:dyDescent="0.3">
      <c r="A453" s="33">
        <v>452</v>
      </c>
      <c r="B453" s="4">
        <v>15</v>
      </c>
      <c r="C453" s="15">
        <v>276</v>
      </c>
      <c r="D453" s="16">
        <v>9</v>
      </c>
      <c r="E453" s="22">
        <v>43932</v>
      </c>
      <c r="F453" s="17">
        <v>40</v>
      </c>
      <c r="G453" s="18">
        <v>0.09</v>
      </c>
      <c r="H453">
        <f>F453*VLOOKUP(B453,產品!$A$2:$H$61,7,FALSE)*(1-銷售總表!G453)</f>
        <v>65520</v>
      </c>
      <c r="I453" s="35">
        <f>H453-F453*VLOOKUP(銷售總表!B453,產品!$A$2:$H$61,8,FALSE)</f>
        <v>36720</v>
      </c>
      <c r="J453" s="20">
        <f t="shared" si="7"/>
        <v>0.56043956043956045</v>
      </c>
    </row>
    <row r="454" spans="1:10" x14ac:dyDescent="0.3">
      <c r="A454" s="33">
        <v>453</v>
      </c>
      <c r="B454" s="4">
        <v>38</v>
      </c>
      <c r="C454" s="15">
        <v>277</v>
      </c>
      <c r="D454" s="16">
        <v>7</v>
      </c>
      <c r="E454" s="22">
        <v>43932</v>
      </c>
      <c r="F454" s="17">
        <v>6</v>
      </c>
      <c r="G454" s="18">
        <v>0.12</v>
      </c>
      <c r="H454">
        <f>F454*VLOOKUP(B454,產品!$A$2:$H$61,7,FALSE)*(1-銷售總表!G454)</f>
        <v>79200</v>
      </c>
      <c r="I454" s="35">
        <f>H454-F454*VLOOKUP(銷售總表!B454,產品!$A$2:$H$61,8,FALSE)</f>
        <v>20700</v>
      </c>
      <c r="J454" s="20">
        <f t="shared" si="7"/>
        <v>0.26136363636363635</v>
      </c>
    </row>
    <row r="455" spans="1:10" x14ac:dyDescent="0.3">
      <c r="A455" s="33">
        <v>454</v>
      </c>
      <c r="B455" s="4">
        <v>1</v>
      </c>
      <c r="C455" s="15">
        <v>284</v>
      </c>
      <c r="D455" s="16">
        <v>3</v>
      </c>
      <c r="E455" s="22">
        <v>43932</v>
      </c>
      <c r="F455" s="19">
        <v>40</v>
      </c>
      <c r="G455" s="18">
        <v>0.14000000000000001</v>
      </c>
      <c r="H455">
        <f>F455*VLOOKUP(B455,產品!$A$2:$H$61,7,FALSE)*(1-銷售總表!G455)</f>
        <v>34400</v>
      </c>
      <c r="I455" s="35">
        <f>H455-F455*VLOOKUP(銷售總表!B455,產品!$A$2:$H$61,8,FALSE)</f>
        <v>18400</v>
      </c>
      <c r="J455" s="20">
        <f t="shared" si="7"/>
        <v>0.53488372093023251</v>
      </c>
    </row>
    <row r="456" spans="1:10" x14ac:dyDescent="0.3">
      <c r="A456" s="33">
        <v>455</v>
      </c>
      <c r="B456" s="4">
        <v>10</v>
      </c>
      <c r="C456" s="15">
        <v>114</v>
      </c>
      <c r="D456" s="16">
        <v>3</v>
      </c>
      <c r="E456" s="22">
        <v>43932</v>
      </c>
      <c r="F456" s="19">
        <v>40</v>
      </c>
      <c r="G456" s="18">
        <v>0.17</v>
      </c>
      <c r="H456">
        <f>F456*VLOOKUP(B456,產品!$A$2:$H$61,7,FALSE)*(1-銷售總表!G456)</f>
        <v>33200</v>
      </c>
      <c r="I456" s="35">
        <f>H456-F456*VLOOKUP(銷售總表!B456,產品!$A$2:$H$61,8,FALSE)</f>
        <v>17200</v>
      </c>
      <c r="J456" s="20">
        <f t="shared" si="7"/>
        <v>0.51807228915662651</v>
      </c>
    </row>
    <row r="457" spans="1:10" x14ac:dyDescent="0.3">
      <c r="A457" s="33">
        <v>456</v>
      </c>
      <c r="B457" s="4">
        <v>3</v>
      </c>
      <c r="C457" s="15">
        <v>126</v>
      </c>
      <c r="D457" s="16">
        <v>10</v>
      </c>
      <c r="E457" s="22">
        <v>43932</v>
      </c>
      <c r="F457" s="17">
        <v>20</v>
      </c>
      <c r="G457" s="18">
        <v>0.05</v>
      </c>
      <c r="H457">
        <f>F457*VLOOKUP(B457,產品!$A$2:$H$61,7,FALSE)*(1-銷售總表!G457)</f>
        <v>19000</v>
      </c>
      <c r="I457" s="35">
        <f>H457-F457*VLOOKUP(銷售總表!B457,產品!$A$2:$H$61,8,FALSE)</f>
        <v>11000</v>
      </c>
      <c r="J457" s="20">
        <f t="shared" si="7"/>
        <v>0.57894736842105265</v>
      </c>
    </row>
    <row r="458" spans="1:10" x14ac:dyDescent="0.3">
      <c r="A458" s="33">
        <v>457</v>
      </c>
      <c r="B458" s="4">
        <v>49</v>
      </c>
      <c r="C458" s="15">
        <v>281</v>
      </c>
      <c r="D458" s="16">
        <v>10</v>
      </c>
      <c r="E458" s="22">
        <v>43932</v>
      </c>
      <c r="F458" s="17">
        <v>5</v>
      </c>
      <c r="G458" s="18">
        <v>0.16</v>
      </c>
      <c r="H458">
        <f>F458*VLOOKUP(B458,產品!$A$2:$H$61,7,FALSE)*(1-銷售總表!G458)</f>
        <v>63000</v>
      </c>
      <c r="I458" s="35">
        <f>H458-F458*VLOOKUP(銷售總表!B458,產品!$A$2:$H$61,8,FALSE)</f>
        <v>10500</v>
      </c>
      <c r="J458" s="20">
        <f t="shared" si="7"/>
        <v>0.16666666666666666</v>
      </c>
    </row>
    <row r="459" spans="1:10" x14ac:dyDescent="0.3">
      <c r="A459" s="33">
        <v>458</v>
      </c>
      <c r="B459" s="4">
        <v>15</v>
      </c>
      <c r="C459" s="15">
        <v>114</v>
      </c>
      <c r="D459" s="16">
        <v>3</v>
      </c>
      <c r="E459" s="22">
        <v>43933</v>
      </c>
      <c r="F459" s="17">
        <v>70</v>
      </c>
      <c r="G459" s="18">
        <v>0.2</v>
      </c>
      <c r="H459">
        <f>F459*VLOOKUP(B459,產品!$A$2:$H$61,7,FALSE)*(1-銷售總表!G459)</f>
        <v>100800</v>
      </c>
      <c r="I459" s="35">
        <f>H459-F459*VLOOKUP(銷售總表!B459,產品!$A$2:$H$61,8,FALSE)</f>
        <v>50400</v>
      </c>
      <c r="J459" s="20">
        <f t="shared" si="7"/>
        <v>0.5</v>
      </c>
    </row>
    <row r="460" spans="1:10" x14ac:dyDescent="0.3">
      <c r="A460" s="33">
        <v>459</v>
      </c>
      <c r="B460" s="4">
        <v>11</v>
      </c>
      <c r="C460" s="15">
        <v>125</v>
      </c>
      <c r="D460" s="16">
        <v>4</v>
      </c>
      <c r="E460" s="22">
        <v>43933</v>
      </c>
      <c r="F460" s="17">
        <v>75</v>
      </c>
      <c r="G460" s="18">
        <v>0.18</v>
      </c>
      <c r="H460">
        <f>F460*VLOOKUP(B460,產品!$A$2:$H$61,7,FALSE)*(1-銷售總表!G460)</f>
        <v>61500.000000000007</v>
      </c>
      <c r="I460" s="35">
        <f>H460-F460*VLOOKUP(銷售總表!B460,產品!$A$2:$H$61,8,FALSE)</f>
        <v>31500.000000000007</v>
      </c>
      <c r="J460" s="20">
        <f t="shared" si="7"/>
        <v>0.51219512195121952</v>
      </c>
    </row>
    <row r="461" spans="1:10" x14ac:dyDescent="0.3">
      <c r="A461" s="33">
        <v>460</v>
      </c>
      <c r="B461" s="4">
        <v>24</v>
      </c>
      <c r="C461" s="15">
        <v>12</v>
      </c>
      <c r="D461" s="16">
        <v>5</v>
      </c>
      <c r="E461" s="22">
        <v>43933</v>
      </c>
      <c r="F461" s="17">
        <v>30</v>
      </c>
      <c r="G461" s="18">
        <v>0.06</v>
      </c>
      <c r="H461">
        <f>F461*VLOOKUP(B461,產品!$A$2:$H$61,7,FALSE)*(1-銷售總表!G461)</f>
        <v>50760</v>
      </c>
      <c r="I461" s="35">
        <f>H461-F461*VLOOKUP(銷售總表!B461,產品!$A$2:$H$61,8,FALSE)</f>
        <v>29160</v>
      </c>
      <c r="J461" s="20">
        <f t="shared" si="7"/>
        <v>0.57446808510638303</v>
      </c>
    </row>
    <row r="462" spans="1:10" x14ac:dyDescent="0.3">
      <c r="A462" s="33">
        <v>461</v>
      </c>
      <c r="B462" s="4">
        <v>54</v>
      </c>
      <c r="C462" s="15">
        <v>283</v>
      </c>
      <c r="D462" s="16">
        <v>6</v>
      </c>
      <c r="E462" s="22">
        <v>43933</v>
      </c>
      <c r="F462" s="17">
        <v>8</v>
      </c>
      <c r="G462" s="18">
        <v>0.16</v>
      </c>
      <c r="H462">
        <f>F462*VLOOKUP(B462,產品!$A$2:$H$61,7,FALSE)*(1-銷售總表!G462)</f>
        <v>120960</v>
      </c>
      <c r="I462" s="35">
        <f>H462-F462*VLOOKUP(銷售總表!B462,產品!$A$2:$H$61,8,FALSE)</f>
        <v>20160</v>
      </c>
      <c r="J462" s="20">
        <f t="shared" si="7"/>
        <v>0.16666666666666666</v>
      </c>
    </row>
    <row r="463" spans="1:10" x14ac:dyDescent="0.3">
      <c r="A463" s="33">
        <v>462</v>
      </c>
      <c r="B463" s="4">
        <v>52</v>
      </c>
      <c r="C463" s="15">
        <v>262</v>
      </c>
      <c r="D463" s="16">
        <v>6</v>
      </c>
      <c r="E463" s="22">
        <v>43933</v>
      </c>
      <c r="F463" s="17">
        <v>4</v>
      </c>
      <c r="G463" s="18">
        <v>0.1</v>
      </c>
      <c r="H463">
        <f>F463*VLOOKUP(B463,產品!$A$2:$H$61,7,FALSE)*(1-銷售總表!G463)</f>
        <v>79200</v>
      </c>
      <c r="I463" s="35">
        <f>H463-F463*VLOOKUP(銷售總表!B463,產品!$A$2:$H$61,8,FALSE)</f>
        <v>17600.000000000007</v>
      </c>
      <c r="J463" s="20">
        <f t="shared" si="7"/>
        <v>0.22222222222222232</v>
      </c>
    </row>
    <row r="464" spans="1:10" x14ac:dyDescent="0.3">
      <c r="A464" s="33">
        <v>463</v>
      </c>
      <c r="B464" s="4">
        <v>12</v>
      </c>
      <c r="C464" s="15">
        <v>2</v>
      </c>
      <c r="D464" s="16">
        <v>7</v>
      </c>
      <c r="E464" s="22">
        <v>43933</v>
      </c>
      <c r="F464" s="17">
        <v>30</v>
      </c>
      <c r="G464" s="18">
        <v>0.06</v>
      </c>
      <c r="H464">
        <f>F464*VLOOKUP(B464,產品!$A$2:$H$61,7,FALSE)*(1-銷售總表!G464)</f>
        <v>28200</v>
      </c>
      <c r="I464" s="35">
        <f>H464-F464*VLOOKUP(銷售總表!B464,產品!$A$2:$H$61,8,FALSE)</f>
        <v>16200</v>
      </c>
      <c r="J464" s="20">
        <f t="shared" si="7"/>
        <v>0.57446808510638303</v>
      </c>
    </row>
    <row r="465" spans="1:10" x14ac:dyDescent="0.3">
      <c r="A465" s="33">
        <v>464</v>
      </c>
      <c r="B465" s="4">
        <v>35</v>
      </c>
      <c r="C465" s="15">
        <v>1</v>
      </c>
      <c r="D465" s="16">
        <v>2</v>
      </c>
      <c r="E465" s="22">
        <v>43933</v>
      </c>
      <c r="F465" s="17">
        <v>5</v>
      </c>
      <c r="G465" s="18">
        <v>0.15</v>
      </c>
      <c r="H465">
        <f>F465*VLOOKUP(B465,產品!$A$2:$H$61,7,FALSE)*(1-銷售總表!G465)</f>
        <v>36125</v>
      </c>
      <c r="I465" s="35">
        <f>H465-F465*VLOOKUP(銷售總表!B465,產品!$A$2:$H$61,8,FALSE)</f>
        <v>10625</v>
      </c>
      <c r="J465" s="20">
        <f t="shared" si="7"/>
        <v>0.29411764705882354</v>
      </c>
    </row>
    <row r="466" spans="1:10" x14ac:dyDescent="0.3">
      <c r="A466" s="33">
        <v>465</v>
      </c>
      <c r="B466" s="4">
        <v>51</v>
      </c>
      <c r="C466" s="15">
        <v>268</v>
      </c>
      <c r="D466" s="16">
        <v>2</v>
      </c>
      <c r="E466" s="22">
        <v>43933</v>
      </c>
      <c r="F466" s="17">
        <v>2</v>
      </c>
      <c r="G466" s="18">
        <v>0.17</v>
      </c>
      <c r="H466">
        <f>F466*VLOOKUP(B466,產品!$A$2:$H$61,7,FALSE)*(1-銷售總表!G466)</f>
        <v>33200</v>
      </c>
      <c r="I466" s="35">
        <f>H466-F466*VLOOKUP(銷售總表!B466,產品!$A$2:$H$61,8,FALSE)</f>
        <v>5200</v>
      </c>
      <c r="J466" s="20">
        <f t="shared" si="7"/>
        <v>0.15662650602409639</v>
      </c>
    </row>
    <row r="467" spans="1:10" x14ac:dyDescent="0.3">
      <c r="A467" s="33">
        <v>466</v>
      </c>
      <c r="B467" s="4">
        <v>50</v>
      </c>
      <c r="C467" s="15">
        <v>286</v>
      </c>
      <c r="D467" s="16">
        <v>2</v>
      </c>
      <c r="E467" s="22">
        <v>43933</v>
      </c>
      <c r="F467" s="17">
        <v>2</v>
      </c>
      <c r="G467" s="18">
        <v>0.18</v>
      </c>
      <c r="H467">
        <f>F467*VLOOKUP(B467,產品!$A$2:$H$61,7,FALSE)*(1-銷售總表!G467)</f>
        <v>29520.000000000004</v>
      </c>
      <c r="I467" s="35">
        <f>H467-F467*VLOOKUP(銷售總表!B467,產品!$A$2:$H$61,8,FALSE)</f>
        <v>4320.0000000000036</v>
      </c>
      <c r="J467" s="20">
        <f t="shared" si="7"/>
        <v>0.14634146341463425</v>
      </c>
    </row>
    <row r="468" spans="1:10" x14ac:dyDescent="0.3">
      <c r="A468" s="33">
        <v>467</v>
      </c>
      <c r="B468" s="4">
        <v>49</v>
      </c>
      <c r="C468" s="15">
        <v>258</v>
      </c>
      <c r="D468" s="16">
        <v>4</v>
      </c>
      <c r="E468" s="22">
        <v>43933</v>
      </c>
      <c r="F468" s="17">
        <v>1</v>
      </c>
      <c r="G468" s="18">
        <v>0.09</v>
      </c>
      <c r="H468">
        <f>F468*VLOOKUP(B468,產品!$A$2:$H$61,7,FALSE)*(1-銷售總表!G468)</f>
        <v>13650</v>
      </c>
      <c r="I468" s="35">
        <f>H468-F468*VLOOKUP(銷售總表!B468,產品!$A$2:$H$61,8,FALSE)</f>
        <v>3150</v>
      </c>
      <c r="J468" s="20">
        <f t="shared" si="7"/>
        <v>0.23076923076923078</v>
      </c>
    </row>
    <row r="469" spans="1:10" x14ac:dyDescent="0.3">
      <c r="A469" s="33">
        <v>468</v>
      </c>
      <c r="B469" s="4">
        <v>11</v>
      </c>
      <c r="C469" s="15">
        <v>268</v>
      </c>
      <c r="D469" s="16">
        <v>6</v>
      </c>
      <c r="E469" s="22">
        <v>43934</v>
      </c>
      <c r="F469" s="17">
        <v>90</v>
      </c>
      <c r="G469" s="18">
        <v>0.17</v>
      </c>
      <c r="H469">
        <f>F469*VLOOKUP(B469,產品!$A$2:$H$61,7,FALSE)*(1-銷售總表!G469)</f>
        <v>74700</v>
      </c>
      <c r="I469" s="35">
        <f>H469-F469*VLOOKUP(銷售總表!B469,產品!$A$2:$H$61,8,FALSE)</f>
        <v>38700</v>
      </c>
      <c r="J469" s="20">
        <f t="shared" si="7"/>
        <v>0.51807228915662651</v>
      </c>
    </row>
    <row r="470" spans="1:10" x14ac:dyDescent="0.3">
      <c r="A470" s="33">
        <v>469</v>
      </c>
      <c r="B470" s="4">
        <v>47</v>
      </c>
      <c r="C470" s="15">
        <v>118</v>
      </c>
      <c r="D470" s="16">
        <v>3</v>
      </c>
      <c r="E470" s="22">
        <v>43934</v>
      </c>
      <c r="F470" s="19">
        <v>8</v>
      </c>
      <c r="G470" s="18">
        <v>0.18</v>
      </c>
      <c r="H470">
        <f>F470*VLOOKUP(B470,產品!$A$2:$H$61,7,FALSE)*(1-銷售總表!G470)</f>
        <v>131200</v>
      </c>
      <c r="I470" s="35">
        <f>H470-F470*VLOOKUP(銷售總表!B470,產品!$A$2:$H$61,8,FALSE)</f>
        <v>27200</v>
      </c>
      <c r="J470" s="20">
        <f t="shared" si="7"/>
        <v>0.2073170731707317</v>
      </c>
    </row>
    <row r="471" spans="1:10" x14ac:dyDescent="0.3">
      <c r="A471" s="33">
        <v>470</v>
      </c>
      <c r="B471" s="4">
        <v>60</v>
      </c>
      <c r="C471" s="15">
        <v>265</v>
      </c>
      <c r="D471" s="16">
        <v>5</v>
      </c>
      <c r="E471" s="22">
        <v>43934</v>
      </c>
      <c r="F471" s="17">
        <v>4</v>
      </c>
      <c r="G471" s="18">
        <v>0.14000000000000001</v>
      </c>
      <c r="H471">
        <f>F471*VLOOKUP(B471,產品!$A$2:$H$61,7,FALSE)*(1-銷售總表!G471)</f>
        <v>86000</v>
      </c>
      <c r="I471" s="35">
        <f>H471-F471*VLOOKUP(銷售總表!B471,產品!$A$2:$H$61,8,FALSE)</f>
        <v>16000</v>
      </c>
      <c r="J471" s="20">
        <f t="shared" si="7"/>
        <v>0.18604651162790697</v>
      </c>
    </row>
    <row r="472" spans="1:10" x14ac:dyDescent="0.3">
      <c r="A472" s="33">
        <v>471</v>
      </c>
      <c r="B472" s="4">
        <v>44</v>
      </c>
      <c r="C472" s="15">
        <v>282</v>
      </c>
      <c r="D472" s="16">
        <v>3</v>
      </c>
      <c r="E472" s="22">
        <v>43935</v>
      </c>
      <c r="F472" s="17">
        <v>2</v>
      </c>
      <c r="G472" s="18">
        <v>0.12</v>
      </c>
      <c r="H472">
        <f>F472*VLOOKUP(B472,產品!$A$2:$H$61,7,FALSE)*(1-銷售總表!G472)</f>
        <v>35200</v>
      </c>
      <c r="I472" s="35">
        <f>H472-F472*VLOOKUP(銷售總表!B472,產品!$A$2:$H$61,8,FALSE)</f>
        <v>9200</v>
      </c>
      <c r="J472" s="20">
        <f t="shared" si="7"/>
        <v>0.26136363636363635</v>
      </c>
    </row>
    <row r="473" spans="1:10" x14ac:dyDescent="0.3">
      <c r="A473" s="33">
        <v>472</v>
      </c>
      <c r="B473" s="4">
        <v>12</v>
      </c>
      <c r="C473" s="15">
        <v>120</v>
      </c>
      <c r="D473" s="16">
        <v>3</v>
      </c>
      <c r="E473" s="22">
        <v>43935</v>
      </c>
      <c r="F473" s="17">
        <v>20</v>
      </c>
      <c r="G473" s="18">
        <v>0.15</v>
      </c>
      <c r="H473">
        <f>F473*VLOOKUP(B473,產品!$A$2:$H$61,7,FALSE)*(1-銷售總表!G473)</f>
        <v>17000</v>
      </c>
      <c r="I473" s="35">
        <f>H473-F473*VLOOKUP(銷售總表!B473,產品!$A$2:$H$61,8,FALSE)</f>
        <v>9000</v>
      </c>
      <c r="J473" s="20">
        <f t="shared" si="7"/>
        <v>0.52941176470588236</v>
      </c>
    </row>
    <row r="474" spans="1:10" x14ac:dyDescent="0.3">
      <c r="A474" s="33">
        <v>473</v>
      </c>
      <c r="B474" s="4">
        <v>34</v>
      </c>
      <c r="C474" s="15">
        <v>263</v>
      </c>
      <c r="D474" s="16">
        <v>4</v>
      </c>
      <c r="E474" s="22">
        <v>43935</v>
      </c>
      <c r="F474" s="17">
        <v>5</v>
      </c>
      <c r="G474" s="18">
        <v>0.18</v>
      </c>
      <c r="H474">
        <f>F474*VLOOKUP(B474,產品!$A$2:$H$61,7,FALSE)*(1-銷售總表!G474)</f>
        <v>32800</v>
      </c>
      <c r="I474" s="35">
        <f>H474-F474*VLOOKUP(銷售總表!B474,產品!$A$2:$H$61,8,FALSE)</f>
        <v>8800</v>
      </c>
      <c r="J474" s="20">
        <f t="shared" si="7"/>
        <v>0.26829268292682928</v>
      </c>
    </row>
    <row r="475" spans="1:10" x14ac:dyDescent="0.3">
      <c r="A475" s="33">
        <v>474</v>
      </c>
      <c r="B475" s="4">
        <v>20</v>
      </c>
      <c r="C475" s="15">
        <v>1</v>
      </c>
      <c r="D475" s="16">
        <v>2</v>
      </c>
      <c r="E475" s="22">
        <v>43936</v>
      </c>
      <c r="F475" s="17">
        <v>100</v>
      </c>
      <c r="G475" s="18">
        <v>0.12</v>
      </c>
      <c r="H475">
        <f>F475*VLOOKUP(B475,產品!$A$2:$H$61,7,FALSE)*(1-銷售總表!G475)</f>
        <v>158400</v>
      </c>
      <c r="I475" s="35">
        <f>H475-F475*VLOOKUP(銷售總表!B475,產品!$A$2:$H$61,8,FALSE)</f>
        <v>86400</v>
      </c>
      <c r="J475" s="20">
        <f t="shared" si="7"/>
        <v>0.54545454545454541</v>
      </c>
    </row>
    <row r="476" spans="1:10" x14ac:dyDescent="0.3">
      <c r="A476" s="33">
        <v>475</v>
      </c>
      <c r="B476" s="4">
        <v>1</v>
      </c>
      <c r="C476" s="15">
        <v>112</v>
      </c>
      <c r="D476" s="16">
        <v>5</v>
      </c>
      <c r="E476" s="22">
        <v>43936</v>
      </c>
      <c r="F476" s="17">
        <v>150</v>
      </c>
      <c r="G476" s="18">
        <v>0.11</v>
      </c>
      <c r="H476">
        <f>F476*VLOOKUP(B476,產品!$A$2:$H$61,7,FALSE)*(1-銷售總表!G476)</f>
        <v>133500</v>
      </c>
      <c r="I476" s="35">
        <f>H476-F476*VLOOKUP(銷售總表!B476,產品!$A$2:$H$61,8,FALSE)</f>
        <v>73500</v>
      </c>
      <c r="J476" s="20">
        <f t="shared" si="7"/>
        <v>0.550561797752809</v>
      </c>
    </row>
    <row r="477" spans="1:10" x14ac:dyDescent="0.3">
      <c r="A477" s="33">
        <v>476</v>
      </c>
      <c r="B477" s="4">
        <v>1</v>
      </c>
      <c r="C477" s="15">
        <v>278</v>
      </c>
      <c r="D477" s="16">
        <v>6</v>
      </c>
      <c r="E477" s="22">
        <v>43936</v>
      </c>
      <c r="F477" s="17">
        <v>150</v>
      </c>
      <c r="G477" s="18">
        <v>0.16</v>
      </c>
      <c r="H477">
        <f>F477*VLOOKUP(B477,產品!$A$2:$H$61,7,FALSE)*(1-銷售總表!G477)</f>
        <v>126000</v>
      </c>
      <c r="I477" s="35">
        <f>H477-F477*VLOOKUP(銷售總表!B477,產品!$A$2:$H$61,8,FALSE)</f>
        <v>66000</v>
      </c>
      <c r="J477" s="20">
        <f t="shared" si="7"/>
        <v>0.52380952380952384</v>
      </c>
    </row>
    <row r="478" spans="1:10" x14ac:dyDescent="0.3">
      <c r="A478" s="33">
        <v>477</v>
      </c>
      <c r="B478" s="4">
        <v>60</v>
      </c>
      <c r="C478" s="15">
        <v>274</v>
      </c>
      <c r="D478" s="16">
        <v>7</v>
      </c>
      <c r="E478" s="22">
        <v>43936</v>
      </c>
      <c r="F478" s="17">
        <v>12</v>
      </c>
      <c r="G478" s="18">
        <v>0.19</v>
      </c>
      <c r="H478">
        <f>F478*VLOOKUP(B478,產品!$A$2:$H$61,7,FALSE)*(1-銷售總表!G478)</f>
        <v>243000.00000000003</v>
      </c>
      <c r="I478" s="35">
        <f>H478-F478*VLOOKUP(銷售總表!B478,產品!$A$2:$H$61,8,FALSE)</f>
        <v>33000.000000000029</v>
      </c>
      <c r="J478" s="20">
        <f t="shared" si="7"/>
        <v>0.13580246913580257</v>
      </c>
    </row>
    <row r="479" spans="1:10" x14ac:dyDescent="0.3">
      <c r="A479" s="33">
        <v>478</v>
      </c>
      <c r="B479" s="4">
        <v>5</v>
      </c>
      <c r="C479" s="15">
        <v>265</v>
      </c>
      <c r="D479" s="16">
        <v>9</v>
      </c>
      <c r="E479" s="22">
        <v>43936</v>
      </c>
      <c r="F479" s="17">
        <v>50</v>
      </c>
      <c r="G479" s="18">
        <v>0.18</v>
      </c>
      <c r="H479">
        <f>F479*VLOOKUP(B479,產品!$A$2:$H$61,7,FALSE)*(1-銷售總表!G479)</f>
        <v>41000</v>
      </c>
      <c r="I479" s="35">
        <f>H479-F479*VLOOKUP(銷售總表!B479,產品!$A$2:$H$61,8,FALSE)</f>
        <v>21000</v>
      </c>
      <c r="J479" s="20">
        <f t="shared" si="7"/>
        <v>0.51219512195121952</v>
      </c>
    </row>
    <row r="480" spans="1:10" x14ac:dyDescent="0.3">
      <c r="A480" s="33">
        <v>479</v>
      </c>
      <c r="B480" s="4">
        <v>31</v>
      </c>
      <c r="C480" s="15">
        <v>264</v>
      </c>
      <c r="D480" s="16">
        <v>8</v>
      </c>
      <c r="E480" s="22">
        <v>43936</v>
      </c>
      <c r="F480" s="17">
        <v>3</v>
      </c>
      <c r="G480" s="18">
        <v>0.09</v>
      </c>
      <c r="H480">
        <f>F480*VLOOKUP(B480,產品!$A$2:$H$61,7,FALSE)*(1-銷售總表!G480)</f>
        <v>19110</v>
      </c>
      <c r="I480" s="35">
        <f>H480-F480*VLOOKUP(銷售總表!B480,產品!$A$2:$H$61,8,FALSE)</f>
        <v>6510</v>
      </c>
      <c r="J480" s="20">
        <f t="shared" si="7"/>
        <v>0.34065934065934067</v>
      </c>
    </row>
    <row r="481" spans="1:10" x14ac:dyDescent="0.3">
      <c r="A481" s="33">
        <v>480</v>
      </c>
      <c r="B481" s="4">
        <v>5</v>
      </c>
      <c r="C481" s="15">
        <v>10</v>
      </c>
      <c r="D481" s="16">
        <v>6</v>
      </c>
      <c r="E481" s="22">
        <v>43937</v>
      </c>
      <c r="F481" s="17">
        <v>150</v>
      </c>
      <c r="G481" s="18">
        <v>0.11</v>
      </c>
      <c r="H481">
        <f>F481*VLOOKUP(B481,產品!$A$2:$H$61,7,FALSE)*(1-銷售總表!G481)</f>
        <v>133500</v>
      </c>
      <c r="I481" s="35">
        <f>H481-F481*VLOOKUP(銷售總表!B481,產品!$A$2:$H$61,8,FALSE)</f>
        <v>73500</v>
      </c>
      <c r="J481" s="20">
        <f t="shared" si="7"/>
        <v>0.550561797752809</v>
      </c>
    </row>
    <row r="482" spans="1:10" x14ac:dyDescent="0.3">
      <c r="A482" s="33">
        <v>481</v>
      </c>
      <c r="B482" s="4">
        <v>22</v>
      </c>
      <c r="C482" s="15">
        <v>272</v>
      </c>
      <c r="D482" s="16">
        <v>9</v>
      </c>
      <c r="E482" s="22">
        <v>43937</v>
      </c>
      <c r="F482" s="17">
        <v>60</v>
      </c>
      <c r="G482" s="18">
        <v>0.15</v>
      </c>
      <c r="H482">
        <f>F482*VLOOKUP(B482,產品!$A$2:$H$61,7,FALSE)*(1-銷售總表!G482)</f>
        <v>91800</v>
      </c>
      <c r="I482" s="35">
        <f>H482-F482*VLOOKUP(銷售總表!B482,產品!$A$2:$H$61,8,FALSE)</f>
        <v>48600</v>
      </c>
      <c r="J482" s="20">
        <f t="shared" si="7"/>
        <v>0.52941176470588236</v>
      </c>
    </row>
    <row r="483" spans="1:10" x14ac:dyDescent="0.3">
      <c r="A483" s="33">
        <v>482</v>
      </c>
      <c r="B483" s="4">
        <v>55</v>
      </c>
      <c r="C483" s="15">
        <v>7</v>
      </c>
      <c r="D483" s="16">
        <v>8</v>
      </c>
      <c r="E483" s="22">
        <v>43937</v>
      </c>
      <c r="F483" s="17">
        <v>6</v>
      </c>
      <c r="G483" s="18">
        <v>0.09</v>
      </c>
      <c r="H483">
        <f>F483*VLOOKUP(B483,產品!$A$2:$H$61,7,FALSE)*(1-銷售總表!G483)</f>
        <v>109200</v>
      </c>
      <c r="I483" s="35">
        <f>H483-F483*VLOOKUP(銷售總表!B483,產品!$A$2:$H$61,8,FALSE)</f>
        <v>25200</v>
      </c>
      <c r="J483" s="20">
        <f t="shared" si="7"/>
        <v>0.23076923076923078</v>
      </c>
    </row>
    <row r="484" spans="1:10" x14ac:dyDescent="0.3">
      <c r="A484" s="33">
        <v>483</v>
      </c>
      <c r="B484" s="4">
        <v>54</v>
      </c>
      <c r="C484" s="15">
        <v>1</v>
      </c>
      <c r="D484" s="16">
        <v>1</v>
      </c>
      <c r="E484" s="22">
        <v>43937</v>
      </c>
      <c r="F484" s="17">
        <v>5</v>
      </c>
      <c r="G484" s="18">
        <v>0.1</v>
      </c>
      <c r="H484">
        <f>F484*VLOOKUP(B484,產品!$A$2:$H$61,7,FALSE)*(1-銷售總表!G484)</f>
        <v>81000</v>
      </c>
      <c r="I484" s="35">
        <f>H484-F484*VLOOKUP(銷售總表!B484,產品!$A$2:$H$61,8,FALSE)</f>
        <v>18000</v>
      </c>
      <c r="J484" s="20">
        <f t="shared" si="7"/>
        <v>0.22222222222222221</v>
      </c>
    </row>
    <row r="485" spans="1:10" x14ac:dyDescent="0.3">
      <c r="A485" s="33">
        <v>484</v>
      </c>
      <c r="B485" s="4">
        <v>31</v>
      </c>
      <c r="C485" s="15">
        <v>6</v>
      </c>
      <c r="D485" s="16">
        <v>5</v>
      </c>
      <c r="E485" s="22">
        <v>43937</v>
      </c>
      <c r="F485" s="17">
        <v>9</v>
      </c>
      <c r="G485" s="18">
        <v>0.12</v>
      </c>
      <c r="H485">
        <f>F485*VLOOKUP(B485,產品!$A$2:$H$61,7,FALSE)*(1-銷售總表!G485)</f>
        <v>55440</v>
      </c>
      <c r="I485" s="35">
        <f>H485-F485*VLOOKUP(銷售總表!B485,產品!$A$2:$H$61,8,FALSE)</f>
        <v>17640</v>
      </c>
      <c r="J485" s="20">
        <f t="shared" si="7"/>
        <v>0.31818181818181818</v>
      </c>
    </row>
    <row r="486" spans="1:10" x14ac:dyDescent="0.3">
      <c r="A486" s="33">
        <v>485</v>
      </c>
      <c r="B486" s="4">
        <v>56</v>
      </c>
      <c r="C486" s="15">
        <v>9</v>
      </c>
      <c r="D486" s="16">
        <v>2</v>
      </c>
      <c r="E486" s="22">
        <v>43937</v>
      </c>
      <c r="F486" s="17">
        <v>5</v>
      </c>
      <c r="G486" s="18">
        <v>0.14000000000000001</v>
      </c>
      <c r="H486">
        <f>F486*VLOOKUP(B486,產品!$A$2:$H$61,7,FALSE)*(1-銷售總表!G486)</f>
        <v>94600</v>
      </c>
      <c r="I486" s="35">
        <f>H486-F486*VLOOKUP(銷售總表!B486,產品!$A$2:$H$61,8,FALSE)</f>
        <v>17600.000000000015</v>
      </c>
      <c r="J486" s="20">
        <f t="shared" si="7"/>
        <v>0.18604651162790714</v>
      </c>
    </row>
    <row r="487" spans="1:10" x14ac:dyDescent="0.3">
      <c r="A487" s="33">
        <v>486</v>
      </c>
      <c r="B487" s="4">
        <v>57</v>
      </c>
      <c r="C487" s="15">
        <v>1</v>
      </c>
      <c r="D487" s="16">
        <v>7</v>
      </c>
      <c r="E487" s="22">
        <v>43937</v>
      </c>
      <c r="F487" s="17">
        <v>5</v>
      </c>
      <c r="G487" s="18">
        <v>0.13</v>
      </c>
      <c r="H487">
        <f>F487*VLOOKUP(B487,產品!$A$2:$H$61,7,FALSE)*(1-銷售總表!G487)</f>
        <v>78300</v>
      </c>
      <c r="I487" s="35">
        <f>H487-F487*VLOOKUP(銷售總表!B487,產品!$A$2:$H$61,8,FALSE)</f>
        <v>15300</v>
      </c>
      <c r="J487" s="20">
        <f t="shared" si="7"/>
        <v>0.19540229885057472</v>
      </c>
    </row>
    <row r="488" spans="1:10" x14ac:dyDescent="0.3">
      <c r="A488" s="33">
        <v>487</v>
      </c>
      <c r="B488" s="4">
        <v>55</v>
      </c>
      <c r="C488" s="15">
        <v>3</v>
      </c>
      <c r="D488" s="16">
        <v>9</v>
      </c>
      <c r="E488" s="22">
        <v>43937</v>
      </c>
      <c r="F488" s="17">
        <v>3</v>
      </c>
      <c r="G488" s="18">
        <v>0.08</v>
      </c>
      <c r="H488">
        <f>F488*VLOOKUP(B488,產品!$A$2:$H$61,7,FALSE)*(1-銷售總表!G488)</f>
        <v>55200</v>
      </c>
      <c r="I488" s="35">
        <f>H488-F488*VLOOKUP(銷售總表!B488,產品!$A$2:$H$61,8,FALSE)</f>
        <v>13200</v>
      </c>
      <c r="J488" s="20">
        <f t="shared" si="7"/>
        <v>0.2391304347826087</v>
      </c>
    </row>
    <row r="489" spans="1:10" x14ac:dyDescent="0.3">
      <c r="A489" s="33">
        <v>488</v>
      </c>
      <c r="B489" s="4">
        <v>41</v>
      </c>
      <c r="C489" s="15">
        <v>271</v>
      </c>
      <c r="D489" s="16">
        <v>3</v>
      </c>
      <c r="E489" s="22">
        <v>43937</v>
      </c>
      <c r="F489" s="17">
        <v>2</v>
      </c>
      <c r="G489" s="18">
        <v>0.12</v>
      </c>
      <c r="H489">
        <f>F489*VLOOKUP(B489,產品!$A$2:$H$61,7,FALSE)*(1-銷售總表!G489)</f>
        <v>21120</v>
      </c>
      <c r="I489" s="35">
        <f>H489-F489*VLOOKUP(銷售總表!B489,產品!$A$2:$H$61,8,FALSE)</f>
        <v>5520</v>
      </c>
      <c r="J489" s="20">
        <f t="shared" si="7"/>
        <v>0.26136363636363635</v>
      </c>
    </row>
    <row r="490" spans="1:10" x14ac:dyDescent="0.3">
      <c r="A490" s="33">
        <v>489</v>
      </c>
      <c r="B490" s="4">
        <v>49</v>
      </c>
      <c r="C490" s="15">
        <v>121</v>
      </c>
      <c r="D490" s="16">
        <v>8</v>
      </c>
      <c r="E490" s="22">
        <v>43938</v>
      </c>
      <c r="F490" s="17">
        <v>20</v>
      </c>
      <c r="G490" s="18">
        <v>0.1</v>
      </c>
      <c r="H490">
        <f>F490*VLOOKUP(B490,產品!$A$2:$H$61,7,FALSE)*(1-銷售總表!G490)</f>
        <v>270000</v>
      </c>
      <c r="I490" s="35">
        <f>H490-F490*VLOOKUP(銷售總表!B490,產品!$A$2:$H$61,8,FALSE)</f>
        <v>60000</v>
      </c>
      <c r="J490" s="20">
        <f t="shared" si="7"/>
        <v>0.22222222222222221</v>
      </c>
    </row>
    <row r="491" spans="1:10" x14ac:dyDescent="0.3">
      <c r="A491" s="33">
        <v>490</v>
      </c>
      <c r="B491" s="4">
        <v>25</v>
      </c>
      <c r="C491" s="15">
        <v>271</v>
      </c>
      <c r="D491" s="16">
        <v>9</v>
      </c>
      <c r="E491" s="22">
        <v>43938</v>
      </c>
      <c r="F491" s="17">
        <v>30</v>
      </c>
      <c r="G491" s="18">
        <v>0.19</v>
      </c>
      <c r="H491">
        <f>F491*VLOOKUP(B491,產品!$A$2:$H$61,7,FALSE)*(1-銷售總表!G491)</f>
        <v>145800</v>
      </c>
      <c r="I491" s="35">
        <f>H491-F491*VLOOKUP(銷售總表!B491,產品!$A$2:$H$61,8,FALSE)</f>
        <v>37800</v>
      </c>
      <c r="J491" s="20">
        <f t="shared" si="7"/>
        <v>0.25925925925925924</v>
      </c>
    </row>
    <row r="492" spans="1:10" x14ac:dyDescent="0.3">
      <c r="A492" s="33">
        <v>491</v>
      </c>
      <c r="B492" s="4">
        <v>12</v>
      </c>
      <c r="C492" s="15">
        <v>294</v>
      </c>
      <c r="D492" s="16">
        <v>10</v>
      </c>
      <c r="E492" s="22">
        <v>43938</v>
      </c>
      <c r="F492" s="19">
        <v>30</v>
      </c>
      <c r="G492" s="18">
        <v>0.2</v>
      </c>
      <c r="H492">
        <f>F492*VLOOKUP(B492,產品!$A$2:$H$61,7,FALSE)*(1-銷售總表!G492)</f>
        <v>24000</v>
      </c>
      <c r="I492" s="35">
        <f>H492-F492*VLOOKUP(銷售總表!B492,產品!$A$2:$H$61,8,FALSE)</f>
        <v>12000</v>
      </c>
      <c r="J492" s="20">
        <f t="shared" si="7"/>
        <v>0.5</v>
      </c>
    </row>
    <row r="493" spans="1:10" x14ac:dyDescent="0.3">
      <c r="A493" s="33">
        <v>492</v>
      </c>
      <c r="B493" s="4">
        <v>31</v>
      </c>
      <c r="C493" s="15">
        <v>284</v>
      </c>
      <c r="D493" s="16">
        <v>6</v>
      </c>
      <c r="E493" s="22">
        <v>43938</v>
      </c>
      <c r="F493" s="17">
        <v>5</v>
      </c>
      <c r="G493" s="18">
        <v>0.06</v>
      </c>
      <c r="H493">
        <f>F493*VLOOKUP(B493,產品!$A$2:$H$61,7,FALSE)*(1-銷售總表!G493)</f>
        <v>32900</v>
      </c>
      <c r="I493" s="35">
        <f>H493-F493*VLOOKUP(銷售總表!B493,產品!$A$2:$H$61,8,FALSE)</f>
        <v>11900</v>
      </c>
      <c r="J493" s="20">
        <f t="shared" si="7"/>
        <v>0.36170212765957449</v>
      </c>
    </row>
    <row r="494" spans="1:10" x14ac:dyDescent="0.3">
      <c r="A494" s="33">
        <v>493</v>
      </c>
      <c r="B494" s="4">
        <v>17</v>
      </c>
      <c r="C494" s="15">
        <v>271</v>
      </c>
      <c r="D494" s="16">
        <v>9</v>
      </c>
      <c r="E494" s="22">
        <v>43938</v>
      </c>
      <c r="F494" s="17">
        <v>10</v>
      </c>
      <c r="G494" s="18">
        <v>0.05</v>
      </c>
      <c r="H494">
        <f>F494*VLOOKUP(B494,產品!$A$2:$H$61,7,FALSE)*(1-銷售總表!G494)</f>
        <v>17100</v>
      </c>
      <c r="I494" s="35">
        <f>H494-F494*VLOOKUP(銷售總表!B494,產品!$A$2:$H$61,8,FALSE)</f>
        <v>9900</v>
      </c>
      <c r="J494" s="20">
        <f t="shared" si="7"/>
        <v>0.57894736842105265</v>
      </c>
    </row>
    <row r="495" spans="1:10" x14ac:dyDescent="0.3">
      <c r="A495" s="33">
        <v>494</v>
      </c>
      <c r="B495" s="4">
        <v>42</v>
      </c>
      <c r="C495" s="15">
        <v>124</v>
      </c>
      <c r="D495" s="16">
        <v>1</v>
      </c>
      <c r="E495" s="22">
        <v>43938</v>
      </c>
      <c r="F495" s="17">
        <v>2</v>
      </c>
      <c r="G495" s="18">
        <v>7.0000000000000007E-2</v>
      </c>
      <c r="H495">
        <f>F495*VLOOKUP(B495,產品!$A$2:$H$61,7,FALSE)*(1-銷售總表!G495)</f>
        <v>27899.999999999996</v>
      </c>
      <c r="I495" s="35">
        <f>H495-F495*VLOOKUP(銷售總表!B495,產品!$A$2:$H$61,8,FALSE)</f>
        <v>8399.9999999999964</v>
      </c>
      <c r="J495" s="20">
        <f t="shared" si="7"/>
        <v>0.3010752688172042</v>
      </c>
    </row>
    <row r="496" spans="1:10" x14ac:dyDescent="0.3">
      <c r="A496" s="33">
        <v>495</v>
      </c>
      <c r="B496" s="4">
        <v>48</v>
      </c>
      <c r="C496" s="15">
        <v>283</v>
      </c>
      <c r="D496" s="16">
        <v>7</v>
      </c>
      <c r="E496" s="22">
        <v>43938</v>
      </c>
      <c r="F496" s="17">
        <v>2</v>
      </c>
      <c r="G496" s="18">
        <v>0.19</v>
      </c>
      <c r="H496">
        <f>F496*VLOOKUP(B496,產品!$A$2:$H$61,7,FALSE)*(1-銷售總表!G496)</f>
        <v>35640</v>
      </c>
      <c r="I496" s="35">
        <f>H496-F496*VLOOKUP(銷售總表!B496,產品!$A$2:$H$61,8,FALSE)</f>
        <v>7040</v>
      </c>
      <c r="J496" s="20">
        <f t="shared" si="7"/>
        <v>0.19753086419753085</v>
      </c>
    </row>
    <row r="497" spans="1:10" x14ac:dyDescent="0.3">
      <c r="A497" s="33">
        <v>496</v>
      </c>
      <c r="B497" s="4">
        <v>50</v>
      </c>
      <c r="C497" s="15">
        <v>280</v>
      </c>
      <c r="D497" s="16">
        <v>2</v>
      </c>
      <c r="E497" s="22">
        <v>43938</v>
      </c>
      <c r="F497" s="17">
        <v>2</v>
      </c>
      <c r="G497" s="18">
        <v>0.15</v>
      </c>
      <c r="H497">
        <f>F497*VLOOKUP(B497,產品!$A$2:$H$61,7,FALSE)*(1-銷售總表!G497)</f>
        <v>30600</v>
      </c>
      <c r="I497" s="35">
        <f>H497-F497*VLOOKUP(銷售總表!B497,產品!$A$2:$H$61,8,FALSE)</f>
        <v>5400</v>
      </c>
      <c r="J497" s="20">
        <f t="shared" si="7"/>
        <v>0.17647058823529413</v>
      </c>
    </row>
    <row r="498" spans="1:10" x14ac:dyDescent="0.3">
      <c r="A498" s="33">
        <v>497</v>
      </c>
      <c r="B498" s="4">
        <v>26</v>
      </c>
      <c r="C498" s="15">
        <v>9</v>
      </c>
      <c r="D498" s="16">
        <v>8</v>
      </c>
      <c r="E498" s="22">
        <v>43938</v>
      </c>
      <c r="F498" s="17">
        <v>4</v>
      </c>
      <c r="G498" s="18">
        <v>0.2</v>
      </c>
      <c r="H498">
        <f>F498*VLOOKUP(B498,產品!$A$2:$H$61,7,FALSE)*(1-銷售總表!G498)</f>
        <v>20800</v>
      </c>
      <c r="I498" s="35">
        <f>H498-F498*VLOOKUP(銷售總表!B498,產品!$A$2:$H$61,8,FALSE)</f>
        <v>5200</v>
      </c>
      <c r="J498" s="20">
        <f t="shared" si="7"/>
        <v>0.25</v>
      </c>
    </row>
    <row r="499" spans="1:10" x14ac:dyDescent="0.3">
      <c r="A499" s="33">
        <v>498</v>
      </c>
      <c r="B499" s="4">
        <v>52</v>
      </c>
      <c r="C499" s="15">
        <v>257</v>
      </c>
      <c r="D499" s="16">
        <v>1</v>
      </c>
      <c r="E499" s="22">
        <v>43938</v>
      </c>
      <c r="F499" s="17">
        <v>2</v>
      </c>
      <c r="G499" s="18">
        <v>0.19</v>
      </c>
      <c r="H499">
        <f>F499*VLOOKUP(B499,產品!$A$2:$H$61,7,FALSE)*(1-銷售總表!G499)</f>
        <v>35640</v>
      </c>
      <c r="I499" s="35">
        <f>H499-F499*VLOOKUP(銷售總表!B499,產品!$A$2:$H$61,8,FALSE)</f>
        <v>4840.0000000000036</v>
      </c>
      <c r="J499" s="20">
        <f t="shared" si="7"/>
        <v>0.13580246913580257</v>
      </c>
    </row>
    <row r="500" spans="1:10" x14ac:dyDescent="0.3">
      <c r="A500" s="33">
        <v>499</v>
      </c>
      <c r="B500" s="4">
        <v>18</v>
      </c>
      <c r="C500" s="15">
        <v>266</v>
      </c>
      <c r="D500" s="16">
        <v>3</v>
      </c>
      <c r="E500" s="22">
        <v>43939</v>
      </c>
      <c r="F500" s="17">
        <v>90</v>
      </c>
      <c r="G500" s="18">
        <v>0.17</v>
      </c>
      <c r="H500">
        <f>F500*VLOOKUP(B500,產品!$A$2:$H$61,7,FALSE)*(1-銷售總表!G500)</f>
        <v>134460</v>
      </c>
      <c r="I500" s="35">
        <f>H500-F500*VLOOKUP(銷售總表!B500,產品!$A$2:$H$61,8,FALSE)</f>
        <v>69660</v>
      </c>
      <c r="J500" s="20">
        <f t="shared" si="7"/>
        <v>0.51807228915662651</v>
      </c>
    </row>
    <row r="501" spans="1:10" x14ac:dyDescent="0.3">
      <c r="A501" s="33">
        <v>500</v>
      </c>
      <c r="B501" s="4">
        <v>58</v>
      </c>
      <c r="C501" s="15">
        <v>4</v>
      </c>
      <c r="D501" s="16">
        <v>1</v>
      </c>
      <c r="E501" s="22">
        <v>43939</v>
      </c>
      <c r="F501" s="17">
        <v>13</v>
      </c>
      <c r="G501" s="18">
        <v>0.08</v>
      </c>
      <c r="H501">
        <f>F501*VLOOKUP(B501,產品!$A$2:$H$61,7,FALSE)*(1-銷售總表!G501)</f>
        <v>251160</v>
      </c>
      <c r="I501" s="35">
        <f>H501-F501*VLOOKUP(銷售總表!B501,產品!$A$2:$H$61,8,FALSE)</f>
        <v>60060.000000000029</v>
      </c>
      <c r="J501" s="20">
        <f t="shared" si="7"/>
        <v>0.23913043478260881</v>
      </c>
    </row>
    <row r="502" spans="1:10" x14ac:dyDescent="0.3">
      <c r="A502" s="33">
        <v>501</v>
      </c>
      <c r="B502" s="4">
        <v>7</v>
      </c>
      <c r="C502" s="15">
        <v>272</v>
      </c>
      <c r="D502" s="16">
        <v>10</v>
      </c>
      <c r="E502" s="22">
        <v>43939</v>
      </c>
      <c r="F502" s="17">
        <v>80</v>
      </c>
      <c r="G502" s="18">
        <v>7.0000000000000007E-2</v>
      </c>
      <c r="H502">
        <f>F502*VLOOKUP(B502,產品!$A$2:$H$61,7,FALSE)*(1-銷售總表!G502)</f>
        <v>74400</v>
      </c>
      <c r="I502" s="35">
        <f>H502-F502*VLOOKUP(銷售總表!B502,產品!$A$2:$H$61,8,FALSE)</f>
        <v>42400</v>
      </c>
      <c r="J502" s="20">
        <f t="shared" si="7"/>
        <v>0.56989247311827962</v>
      </c>
    </row>
    <row r="503" spans="1:10" x14ac:dyDescent="0.3">
      <c r="A503" s="33">
        <v>502</v>
      </c>
      <c r="B503" s="4">
        <v>51</v>
      </c>
      <c r="C503" s="15">
        <v>262</v>
      </c>
      <c r="D503" s="16">
        <v>3</v>
      </c>
      <c r="E503" s="22">
        <v>43939</v>
      </c>
      <c r="F503" s="17">
        <v>8</v>
      </c>
      <c r="G503" s="18">
        <v>0.05</v>
      </c>
      <c r="H503">
        <f>F503*VLOOKUP(B503,產品!$A$2:$H$61,7,FALSE)*(1-銷售總表!G503)</f>
        <v>152000</v>
      </c>
      <c r="I503" s="35">
        <f>H503-F503*VLOOKUP(銷售總表!B503,產品!$A$2:$H$61,8,FALSE)</f>
        <v>40000</v>
      </c>
      <c r="J503" s="20">
        <f t="shared" si="7"/>
        <v>0.26315789473684209</v>
      </c>
    </row>
    <row r="504" spans="1:10" x14ac:dyDescent="0.3">
      <c r="A504" s="33">
        <v>503</v>
      </c>
      <c r="B504" s="4">
        <v>1</v>
      </c>
      <c r="C504" s="15">
        <v>115</v>
      </c>
      <c r="D504" s="16">
        <v>10</v>
      </c>
      <c r="E504" s="22">
        <v>43939</v>
      </c>
      <c r="F504" s="19">
        <v>90</v>
      </c>
      <c r="G504" s="18">
        <v>0.17</v>
      </c>
      <c r="H504">
        <f>F504*VLOOKUP(B504,產品!$A$2:$H$61,7,FALSE)*(1-銷售總表!G504)</f>
        <v>74700</v>
      </c>
      <c r="I504" s="35">
        <f>H504-F504*VLOOKUP(銷售總表!B504,產品!$A$2:$H$61,8,FALSE)</f>
        <v>38700</v>
      </c>
      <c r="J504" s="20">
        <f t="shared" si="7"/>
        <v>0.51807228915662651</v>
      </c>
    </row>
    <row r="505" spans="1:10" x14ac:dyDescent="0.3">
      <c r="A505" s="33">
        <v>504</v>
      </c>
      <c r="B505" s="4">
        <v>29</v>
      </c>
      <c r="C505" s="15">
        <v>257</v>
      </c>
      <c r="D505" s="16">
        <v>2</v>
      </c>
      <c r="E505" s="22">
        <v>43939</v>
      </c>
      <c r="F505" s="17">
        <v>15</v>
      </c>
      <c r="G505" s="18">
        <v>0.06</v>
      </c>
      <c r="H505">
        <f>F505*VLOOKUP(B505,產品!$A$2:$H$61,7,FALSE)*(1-銷售總表!G505)</f>
        <v>84600</v>
      </c>
      <c r="I505" s="35">
        <f>H505-F505*VLOOKUP(銷售總表!B505,產品!$A$2:$H$61,8,FALSE)</f>
        <v>30600</v>
      </c>
      <c r="J505" s="20">
        <f t="shared" si="7"/>
        <v>0.36170212765957449</v>
      </c>
    </row>
    <row r="506" spans="1:10" x14ac:dyDescent="0.3">
      <c r="A506" s="33">
        <v>505</v>
      </c>
      <c r="B506" s="4">
        <v>42</v>
      </c>
      <c r="C506" s="15">
        <v>8</v>
      </c>
      <c r="D506" s="16">
        <v>8</v>
      </c>
      <c r="E506" s="22">
        <v>43939</v>
      </c>
      <c r="F506" s="17">
        <v>5</v>
      </c>
      <c r="G506" s="18">
        <v>0.06</v>
      </c>
      <c r="H506">
        <f>F506*VLOOKUP(B506,產品!$A$2:$H$61,7,FALSE)*(1-銷售總表!G506)</f>
        <v>70500</v>
      </c>
      <c r="I506" s="35">
        <f>H506-F506*VLOOKUP(銷售總表!B506,產品!$A$2:$H$61,8,FALSE)</f>
        <v>21750</v>
      </c>
      <c r="J506" s="20">
        <f t="shared" si="7"/>
        <v>0.30851063829787234</v>
      </c>
    </row>
    <row r="507" spans="1:10" x14ac:dyDescent="0.3">
      <c r="A507" s="33">
        <v>506</v>
      </c>
      <c r="B507" s="4">
        <v>17</v>
      </c>
      <c r="C507" s="15">
        <v>261</v>
      </c>
      <c r="D507" s="16">
        <v>6</v>
      </c>
      <c r="E507" s="22">
        <v>43939</v>
      </c>
      <c r="F507" s="17">
        <v>10</v>
      </c>
      <c r="G507" s="18">
        <v>0.16</v>
      </c>
      <c r="H507">
        <f>F507*VLOOKUP(B507,產品!$A$2:$H$61,7,FALSE)*(1-銷售總表!G507)</f>
        <v>15120</v>
      </c>
      <c r="I507" s="35">
        <f>H507-F507*VLOOKUP(銷售總表!B507,產品!$A$2:$H$61,8,FALSE)</f>
        <v>7920</v>
      </c>
      <c r="J507" s="20">
        <f t="shared" si="7"/>
        <v>0.52380952380952384</v>
      </c>
    </row>
    <row r="508" spans="1:10" x14ac:dyDescent="0.3">
      <c r="A508" s="33">
        <v>507</v>
      </c>
      <c r="B508" s="4">
        <v>31</v>
      </c>
      <c r="C508" s="15">
        <v>9</v>
      </c>
      <c r="D508" s="16">
        <v>4</v>
      </c>
      <c r="E508" s="22">
        <v>43939</v>
      </c>
      <c r="F508" s="17">
        <v>2</v>
      </c>
      <c r="G508" s="18">
        <v>0.1</v>
      </c>
      <c r="H508">
        <f>F508*VLOOKUP(B508,產品!$A$2:$H$61,7,FALSE)*(1-銷售總表!G508)</f>
        <v>12600</v>
      </c>
      <c r="I508" s="35">
        <f>H508-F508*VLOOKUP(銷售總表!B508,產品!$A$2:$H$61,8,FALSE)</f>
        <v>4200</v>
      </c>
      <c r="J508" s="20">
        <f t="shared" si="7"/>
        <v>0.33333333333333331</v>
      </c>
    </row>
    <row r="509" spans="1:10" x14ac:dyDescent="0.3">
      <c r="A509" s="33">
        <v>508</v>
      </c>
      <c r="B509" s="4">
        <v>60</v>
      </c>
      <c r="C509" s="15">
        <v>290</v>
      </c>
      <c r="D509" s="16">
        <v>1</v>
      </c>
      <c r="E509" s="22">
        <v>43940</v>
      </c>
      <c r="F509" s="17">
        <v>8</v>
      </c>
      <c r="G509" s="18">
        <v>0.05</v>
      </c>
      <c r="H509">
        <f>F509*VLOOKUP(B509,產品!$A$2:$H$61,7,FALSE)*(1-銷售總表!G509)</f>
        <v>190000</v>
      </c>
      <c r="I509" s="35">
        <f>H509-F509*VLOOKUP(銷售總表!B509,產品!$A$2:$H$61,8,FALSE)</f>
        <v>50000</v>
      </c>
      <c r="J509" s="20">
        <f t="shared" si="7"/>
        <v>0.26315789473684209</v>
      </c>
    </row>
    <row r="510" spans="1:10" x14ac:dyDescent="0.3">
      <c r="A510" s="33">
        <v>509</v>
      </c>
      <c r="B510" s="4">
        <v>22</v>
      </c>
      <c r="C510" s="15">
        <v>6</v>
      </c>
      <c r="D510" s="16">
        <v>9</v>
      </c>
      <c r="E510" s="22">
        <v>43940</v>
      </c>
      <c r="F510" s="17">
        <v>50</v>
      </c>
      <c r="G510" s="18">
        <v>0.09</v>
      </c>
      <c r="H510">
        <f>F510*VLOOKUP(B510,產品!$A$2:$H$61,7,FALSE)*(1-銷售總表!G510)</f>
        <v>81900</v>
      </c>
      <c r="I510" s="35">
        <f>H510-F510*VLOOKUP(銷售總表!B510,產品!$A$2:$H$61,8,FALSE)</f>
        <v>45900</v>
      </c>
      <c r="J510" s="20">
        <f t="shared" si="7"/>
        <v>0.56043956043956045</v>
      </c>
    </row>
    <row r="511" spans="1:10" x14ac:dyDescent="0.3">
      <c r="A511" s="33">
        <v>510</v>
      </c>
      <c r="B511" s="4">
        <v>22</v>
      </c>
      <c r="C511" s="15">
        <v>7</v>
      </c>
      <c r="D511" s="16">
        <v>2</v>
      </c>
      <c r="E511" s="22">
        <v>43940</v>
      </c>
      <c r="F511" s="17">
        <v>50</v>
      </c>
      <c r="G511" s="18">
        <v>0.2</v>
      </c>
      <c r="H511">
        <f>F511*VLOOKUP(B511,產品!$A$2:$H$61,7,FALSE)*(1-銷售總表!G511)</f>
        <v>72000</v>
      </c>
      <c r="I511" s="35">
        <f>H511-F511*VLOOKUP(銷售總表!B511,產品!$A$2:$H$61,8,FALSE)</f>
        <v>36000</v>
      </c>
      <c r="J511" s="20">
        <f t="shared" si="7"/>
        <v>0.5</v>
      </c>
    </row>
    <row r="512" spans="1:10" x14ac:dyDescent="0.3">
      <c r="A512" s="33">
        <v>511</v>
      </c>
      <c r="B512" s="4">
        <v>12</v>
      </c>
      <c r="C512" s="15">
        <v>271</v>
      </c>
      <c r="D512" s="16">
        <v>8</v>
      </c>
      <c r="E512" s="22">
        <v>43940</v>
      </c>
      <c r="F512" s="17">
        <v>45</v>
      </c>
      <c r="G512" s="18">
        <v>0.09</v>
      </c>
      <c r="H512">
        <f>F512*VLOOKUP(B512,產品!$A$2:$H$61,7,FALSE)*(1-銷售總表!G512)</f>
        <v>40950</v>
      </c>
      <c r="I512" s="35">
        <f>H512-F512*VLOOKUP(銷售總表!B512,產品!$A$2:$H$61,8,FALSE)</f>
        <v>22950</v>
      </c>
      <c r="J512" s="20">
        <f t="shared" si="7"/>
        <v>0.56043956043956045</v>
      </c>
    </row>
    <row r="513" spans="1:10" x14ac:dyDescent="0.3">
      <c r="A513" s="33">
        <v>512</v>
      </c>
      <c r="B513" s="4">
        <v>28</v>
      </c>
      <c r="C513" s="15">
        <v>116</v>
      </c>
      <c r="D513" s="16">
        <v>8</v>
      </c>
      <c r="E513" s="22">
        <v>43940</v>
      </c>
      <c r="F513" s="17">
        <v>10</v>
      </c>
      <c r="G513" s="18">
        <v>0.19</v>
      </c>
      <c r="H513">
        <f>F513*VLOOKUP(B513,產品!$A$2:$H$61,7,FALSE)*(1-銷售總表!G513)</f>
        <v>60750.000000000007</v>
      </c>
      <c r="I513" s="35">
        <f>H513-F513*VLOOKUP(銷售總表!B513,產品!$A$2:$H$61,8,FALSE)</f>
        <v>15750.000000000007</v>
      </c>
      <c r="J513" s="20">
        <f t="shared" si="7"/>
        <v>0.25925925925925936</v>
      </c>
    </row>
    <row r="514" spans="1:10" x14ac:dyDescent="0.3">
      <c r="A514" s="33">
        <v>513</v>
      </c>
      <c r="B514" s="4">
        <v>51</v>
      </c>
      <c r="C514" s="15">
        <v>136</v>
      </c>
      <c r="D514" s="16">
        <v>4</v>
      </c>
      <c r="E514" s="22">
        <v>43940</v>
      </c>
      <c r="F514" s="17">
        <v>2</v>
      </c>
      <c r="G514" s="18">
        <v>0.14000000000000001</v>
      </c>
      <c r="H514">
        <f>F514*VLOOKUP(B514,產品!$A$2:$H$61,7,FALSE)*(1-銷售總表!G514)</f>
        <v>34400</v>
      </c>
      <c r="I514" s="35">
        <f>H514-F514*VLOOKUP(銷售總表!B514,產品!$A$2:$H$61,8,FALSE)</f>
        <v>6400</v>
      </c>
      <c r="J514" s="20">
        <f t="shared" si="7"/>
        <v>0.18604651162790697</v>
      </c>
    </row>
    <row r="515" spans="1:10" x14ac:dyDescent="0.3">
      <c r="A515" s="33">
        <v>514</v>
      </c>
      <c r="B515" s="4">
        <v>2</v>
      </c>
      <c r="C515" s="15">
        <v>292</v>
      </c>
      <c r="D515" s="16">
        <v>5</v>
      </c>
      <c r="E515" s="22">
        <v>43940</v>
      </c>
      <c r="F515" s="17">
        <v>10</v>
      </c>
      <c r="G515" s="18">
        <v>0.14000000000000001</v>
      </c>
      <c r="H515">
        <f>F515*VLOOKUP(B515,產品!$A$2:$H$61,7,FALSE)*(1-銷售總表!G515)</f>
        <v>8600</v>
      </c>
      <c r="I515" s="35">
        <f>H515-F515*VLOOKUP(銷售總表!B515,產品!$A$2:$H$61,8,FALSE)</f>
        <v>4600</v>
      </c>
      <c r="J515" s="20">
        <f t="shared" ref="J515:J578" si="8">I515/H515</f>
        <v>0.53488372093023251</v>
      </c>
    </row>
    <row r="516" spans="1:10" x14ac:dyDescent="0.3">
      <c r="A516" s="33">
        <v>515</v>
      </c>
      <c r="B516" s="4">
        <v>12</v>
      </c>
      <c r="C516" s="15">
        <v>262</v>
      </c>
      <c r="D516" s="16">
        <v>4</v>
      </c>
      <c r="E516" s="22">
        <v>43941</v>
      </c>
      <c r="F516" s="17">
        <v>90</v>
      </c>
      <c r="G516" s="18">
        <v>0.08</v>
      </c>
      <c r="H516">
        <f>F516*VLOOKUP(B516,產品!$A$2:$H$61,7,FALSE)*(1-銷售總表!G516)</f>
        <v>82800</v>
      </c>
      <c r="I516" s="35">
        <f>H516-F516*VLOOKUP(銷售總表!B516,產品!$A$2:$H$61,8,FALSE)</f>
        <v>46800</v>
      </c>
      <c r="J516" s="20">
        <f t="shared" si="8"/>
        <v>0.56521739130434778</v>
      </c>
    </row>
    <row r="517" spans="1:10" x14ac:dyDescent="0.3">
      <c r="A517" s="33">
        <v>516</v>
      </c>
      <c r="B517" s="4">
        <v>52</v>
      </c>
      <c r="C517" s="15">
        <v>258</v>
      </c>
      <c r="D517" s="16">
        <v>5</v>
      </c>
      <c r="E517" s="22">
        <v>43941</v>
      </c>
      <c r="F517" s="17">
        <v>7</v>
      </c>
      <c r="G517" s="18">
        <v>0.05</v>
      </c>
      <c r="H517">
        <f>F517*VLOOKUP(B517,產品!$A$2:$H$61,7,FALSE)*(1-銷售總表!G517)</f>
        <v>146300</v>
      </c>
      <c r="I517" s="35">
        <f>H517-F517*VLOOKUP(銷售總表!B517,產品!$A$2:$H$61,8,FALSE)</f>
        <v>38500.000000000015</v>
      </c>
      <c r="J517" s="20">
        <f t="shared" si="8"/>
        <v>0.2631578947368422</v>
      </c>
    </row>
    <row r="518" spans="1:10" x14ac:dyDescent="0.3">
      <c r="A518" s="33">
        <v>517</v>
      </c>
      <c r="B518" s="4">
        <v>2</v>
      </c>
      <c r="C518" s="15">
        <v>9</v>
      </c>
      <c r="D518" s="16">
        <v>4</v>
      </c>
      <c r="E518" s="22">
        <v>43941</v>
      </c>
      <c r="F518" s="17">
        <v>70</v>
      </c>
      <c r="G518" s="18">
        <v>0.16</v>
      </c>
      <c r="H518">
        <f>F518*VLOOKUP(B518,產品!$A$2:$H$61,7,FALSE)*(1-銷售總表!G518)</f>
        <v>58800</v>
      </c>
      <c r="I518" s="35">
        <f>H518-F518*VLOOKUP(銷售總表!B518,產品!$A$2:$H$61,8,FALSE)</f>
        <v>30800</v>
      </c>
      <c r="J518" s="20">
        <f t="shared" si="8"/>
        <v>0.52380952380952384</v>
      </c>
    </row>
    <row r="519" spans="1:10" x14ac:dyDescent="0.3">
      <c r="A519" s="33">
        <v>518</v>
      </c>
      <c r="B519" s="4">
        <v>43</v>
      </c>
      <c r="C519" s="15">
        <v>10</v>
      </c>
      <c r="D519" s="16">
        <v>7</v>
      </c>
      <c r="E519" s="22">
        <v>43941</v>
      </c>
      <c r="F519" s="17">
        <v>3</v>
      </c>
      <c r="G519" s="18">
        <v>0.16</v>
      </c>
      <c r="H519">
        <f>F519*VLOOKUP(B519,產品!$A$2:$H$61,7,FALSE)*(1-銷售總表!G519)</f>
        <v>45360</v>
      </c>
      <c r="I519" s="35">
        <f>H519-F519*VLOOKUP(銷售總表!B519,產品!$A$2:$H$61,8,FALSE)</f>
        <v>10260</v>
      </c>
      <c r="J519" s="20">
        <f t="shared" si="8"/>
        <v>0.22619047619047619</v>
      </c>
    </row>
    <row r="520" spans="1:10" x14ac:dyDescent="0.3">
      <c r="A520" s="33">
        <v>519</v>
      </c>
      <c r="B520" s="4">
        <v>40</v>
      </c>
      <c r="C520" s="15">
        <v>126</v>
      </c>
      <c r="D520" s="16">
        <v>6</v>
      </c>
      <c r="E520" s="22">
        <v>43942</v>
      </c>
      <c r="F520" s="17">
        <v>13</v>
      </c>
      <c r="G520" s="18">
        <v>0.09</v>
      </c>
      <c r="H520">
        <f>F520*VLOOKUP(B520,產品!$A$2:$H$61,7,FALSE)*(1-銷售總表!G520)</f>
        <v>236600</v>
      </c>
      <c r="I520" s="35">
        <f>H520-F520*VLOOKUP(銷售總表!B520,產品!$A$2:$H$61,8,FALSE)</f>
        <v>67600</v>
      </c>
      <c r="J520" s="20">
        <f t="shared" si="8"/>
        <v>0.2857142857142857</v>
      </c>
    </row>
    <row r="521" spans="1:10" x14ac:dyDescent="0.3">
      <c r="A521" s="33">
        <v>520</v>
      </c>
      <c r="B521" s="4">
        <v>46</v>
      </c>
      <c r="C521" s="15">
        <v>286</v>
      </c>
      <c r="D521" s="16">
        <v>8</v>
      </c>
      <c r="E521" s="22">
        <v>43942</v>
      </c>
      <c r="F521" s="17">
        <v>15</v>
      </c>
      <c r="G521" s="18">
        <v>0.13</v>
      </c>
      <c r="H521">
        <f>F521*VLOOKUP(B521,產品!$A$2:$H$61,7,FALSE)*(1-銷售總表!G521)</f>
        <v>221850</v>
      </c>
      <c r="I521" s="35">
        <f>H521-F521*VLOOKUP(銷售總表!B521,產品!$A$2:$H$61,8,FALSE)</f>
        <v>56100</v>
      </c>
      <c r="J521" s="20">
        <f t="shared" si="8"/>
        <v>0.25287356321839083</v>
      </c>
    </row>
    <row r="522" spans="1:10" x14ac:dyDescent="0.3">
      <c r="A522" s="33">
        <v>521</v>
      </c>
      <c r="B522" s="4">
        <v>25</v>
      </c>
      <c r="C522" s="15">
        <v>6</v>
      </c>
      <c r="D522" s="16">
        <v>8</v>
      </c>
      <c r="E522" s="22">
        <v>43942</v>
      </c>
      <c r="F522" s="17">
        <v>25</v>
      </c>
      <c r="G522" s="18">
        <v>0.09</v>
      </c>
      <c r="H522">
        <f>F522*VLOOKUP(B522,產品!$A$2:$H$61,7,FALSE)*(1-銷售總表!G522)</f>
        <v>136500</v>
      </c>
      <c r="I522" s="35">
        <f>H522-F522*VLOOKUP(銷售總表!B522,產品!$A$2:$H$61,8,FALSE)</f>
        <v>46500</v>
      </c>
      <c r="J522" s="20">
        <f t="shared" si="8"/>
        <v>0.34065934065934067</v>
      </c>
    </row>
    <row r="523" spans="1:10" x14ac:dyDescent="0.3">
      <c r="A523" s="33">
        <v>522</v>
      </c>
      <c r="B523" s="4">
        <v>40</v>
      </c>
      <c r="C523" s="15">
        <v>7</v>
      </c>
      <c r="D523" s="16">
        <v>3</v>
      </c>
      <c r="E523" s="22">
        <v>43943</v>
      </c>
      <c r="F523" s="17">
        <v>8</v>
      </c>
      <c r="G523" s="18">
        <v>0.12</v>
      </c>
      <c r="H523">
        <f>F523*VLOOKUP(B523,產品!$A$2:$H$61,7,FALSE)*(1-銷售總表!G523)</f>
        <v>140800</v>
      </c>
      <c r="I523" s="35">
        <f>H523-F523*VLOOKUP(銷售總表!B523,產品!$A$2:$H$61,8,FALSE)</f>
        <v>36800</v>
      </c>
      <c r="J523" s="20">
        <f t="shared" si="8"/>
        <v>0.26136363636363635</v>
      </c>
    </row>
    <row r="524" spans="1:10" x14ac:dyDescent="0.3">
      <c r="A524" s="33">
        <v>523</v>
      </c>
      <c r="B524" s="4">
        <v>59</v>
      </c>
      <c r="C524" s="15">
        <v>292</v>
      </c>
      <c r="D524" s="16">
        <v>2</v>
      </c>
      <c r="E524" s="22">
        <v>43943</v>
      </c>
      <c r="F524" s="17">
        <v>9</v>
      </c>
      <c r="G524" s="18">
        <v>0.17</v>
      </c>
      <c r="H524">
        <f>F524*VLOOKUP(B524,產品!$A$2:$H$61,7,FALSE)*(1-銷售總表!G524)</f>
        <v>179280</v>
      </c>
      <c r="I524" s="35">
        <f>H524-F524*VLOOKUP(銷售總表!B524,產品!$A$2:$H$61,8,FALSE)</f>
        <v>28080</v>
      </c>
      <c r="J524" s="20">
        <f t="shared" si="8"/>
        <v>0.15662650602409639</v>
      </c>
    </row>
    <row r="525" spans="1:10" x14ac:dyDescent="0.3">
      <c r="A525" s="33">
        <v>524</v>
      </c>
      <c r="B525" s="4">
        <v>19</v>
      </c>
      <c r="C525" s="15">
        <v>136</v>
      </c>
      <c r="D525" s="16">
        <v>1</v>
      </c>
      <c r="E525" s="22">
        <v>43943</v>
      </c>
      <c r="F525" s="17">
        <v>20</v>
      </c>
      <c r="G525" s="18">
        <v>0.06</v>
      </c>
      <c r="H525">
        <f>F525*VLOOKUP(B525,產品!$A$2:$H$61,7,FALSE)*(1-銷售總表!G525)</f>
        <v>33840</v>
      </c>
      <c r="I525" s="35">
        <f>H525-F525*VLOOKUP(銷售總表!B525,產品!$A$2:$H$61,8,FALSE)</f>
        <v>19440</v>
      </c>
      <c r="J525" s="20">
        <f t="shared" si="8"/>
        <v>0.57446808510638303</v>
      </c>
    </row>
    <row r="526" spans="1:10" x14ac:dyDescent="0.3">
      <c r="A526" s="33">
        <v>525</v>
      </c>
      <c r="B526" s="4">
        <v>50</v>
      </c>
      <c r="C526" s="15">
        <v>257</v>
      </c>
      <c r="D526" s="16">
        <v>9</v>
      </c>
      <c r="E526" s="22">
        <v>43943</v>
      </c>
      <c r="F526" s="17">
        <v>3</v>
      </c>
      <c r="G526" s="18">
        <v>0.09</v>
      </c>
      <c r="H526">
        <f>F526*VLOOKUP(B526,產品!$A$2:$H$61,7,FALSE)*(1-銷售總表!G526)</f>
        <v>49140</v>
      </c>
      <c r="I526" s="35">
        <f>H526-F526*VLOOKUP(銷售總表!B526,產品!$A$2:$H$61,8,FALSE)</f>
        <v>11340</v>
      </c>
      <c r="J526" s="20">
        <f t="shared" si="8"/>
        <v>0.23076923076923078</v>
      </c>
    </row>
    <row r="527" spans="1:10" x14ac:dyDescent="0.3">
      <c r="A527" s="33">
        <v>526</v>
      </c>
      <c r="B527" s="4">
        <v>25</v>
      </c>
      <c r="C527" s="15">
        <v>278</v>
      </c>
      <c r="D527" s="16">
        <v>4</v>
      </c>
      <c r="E527" s="22">
        <v>43943</v>
      </c>
      <c r="F527" s="17">
        <v>3</v>
      </c>
      <c r="G527" s="18">
        <v>7.0000000000000007E-2</v>
      </c>
      <c r="H527">
        <f>F527*VLOOKUP(B527,產品!$A$2:$H$61,7,FALSE)*(1-銷售總表!G527)</f>
        <v>16740</v>
      </c>
      <c r="I527" s="35">
        <f>H527-F527*VLOOKUP(銷售總表!B527,產品!$A$2:$H$61,8,FALSE)</f>
        <v>5940</v>
      </c>
      <c r="J527" s="20">
        <f t="shared" si="8"/>
        <v>0.35483870967741937</v>
      </c>
    </row>
    <row r="528" spans="1:10" x14ac:dyDescent="0.3">
      <c r="A528" s="33">
        <v>527</v>
      </c>
      <c r="B528" s="4">
        <v>20</v>
      </c>
      <c r="C528" s="15">
        <v>283</v>
      </c>
      <c r="D528" s="16">
        <v>2</v>
      </c>
      <c r="E528" s="22">
        <v>43944</v>
      </c>
      <c r="F528" s="17">
        <v>150</v>
      </c>
      <c r="G528" s="18">
        <v>0.16</v>
      </c>
      <c r="H528">
        <f>F528*VLOOKUP(B528,產品!$A$2:$H$61,7,FALSE)*(1-銷售總表!G528)</f>
        <v>226800</v>
      </c>
      <c r="I528" s="35">
        <f>H528-F528*VLOOKUP(銷售總表!B528,產品!$A$2:$H$61,8,FALSE)</f>
        <v>118800</v>
      </c>
      <c r="J528" s="20">
        <f t="shared" si="8"/>
        <v>0.52380952380952384</v>
      </c>
    </row>
    <row r="529" spans="1:10" x14ac:dyDescent="0.3">
      <c r="A529" s="33">
        <v>528</v>
      </c>
      <c r="B529" s="4">
        <v>43</v>
      </c>
      <c r="C529" s="15">
        <v>120</v>
      </c>
      <c r="D529" s="16">
        <v>5</v>
      </c>
      <c r="E529" s="22">
        <v>43944</v>
      </c>
      <c r="F529" s="17">
        <v>10</v>
      </c>
      <c r="G529" s="18">
        <v>0.14000000000000001</v>
      </c>
      <c r="H529">
        <f>F529*VLOOKUP(B529,產品!$A$2:$H$61,7,FALSE)*(1-銷售總表!G529)</f>
        <v>154800</v>
      </c>
      <c r="I529" s="35">
        <f>H529-F529*VLOOKUP(銷售總表!B529,產品!$A$2:$H$61,8,FALSE)</f>
        <v>37800</v>
      </c>
      <c r="J529" s="20">
        <f t="shared" si="8"/>
        <v>0.2441860465116279</v>
      </c>
    </row>
    <row r="530" spans="1:10" x14ac:dyDescent="0.3">
      <c r="A530" s="33">
        <v>529</v>
      </c>
      <c r="B530" s="4">
        <v>13</v>
      </c>
      <c r="C530" s="15">
        <v>292</v>
      </c>
      <c r="D530" s="16">
        <v>9</v>
      </c>
      <c r="E530" s="22">
        <v>43944</v>
      </c>
      <c r="F530" s="17">
        <v>20</v>
      </c>
      <c r="G530" s="18">
        <v>0.05</v>
      </c>
      <c r="H530">
        <f>F530*VLOOKUP(B530,產品!$A$2:$H$61,7,FALSE)*(1-銷售總表!G530)</f>
        <v>34200</v>
      </c>
      <c r="I530" s="35">
        <f>H530-F530*VLOOKUP(銷售總表!B530,產品!$A$2:$H$61,8,FALSE)</f>
        <v>19800</v>
      </c>
      <c r="J530" s="20">
        <f t="shared" si="8"/>
        <v>0.57894736842105265</v>
      </c>
    </row>
    <row r="531" spans="1:10" x14ac:dyDescent="0.3">
      <c r="A531" s="33">
        <v>530</v>
      </c>
      <c r="B531" s="4">
        <v>35</v>
      </c>
      <c r="C531" s="15">
        <v>285</v>
      </c>
      <c r="D531" s="16">
        <v>5</v>
      </c>
      <c r="E531" s="22">
        <v>43944</v>
      </c>
      <c r="F531" s="19">
        <v>3</v>
      </c>
      <c r="G531" s="18">
        <v>7.0000000000000007E-2</v>
      </c>
      <c r="H531">
        <f>F531*VLOOKUP(B531,產品!$A$2:$H$61,7,FALSE)*(1-銷售總表!G531)</f>
        <v>23715</v>
      </c>
      <c r="I531" s="35">
        <f>H531-F531*VLOOKUP(銷售總表!B531,產品!$A$2:$H$61,8,FALSE)</f>
        <v>8415</v>
      </c>
      <c r="J531" s="20">
        <f t="shared" si="8"/>
        <v>0.35483870967741937</v>
      </c>
    </row>
    <row r="532" spans="1:10" x14ac:dyDescent="0.3">
      <c r="A532" s="33">
        <v>531</v>
      </c>
      <c r="B532" s="4">
        <v>33</v>
      </c>
      <c r="C532" s="15">
        <v>268</v>
      </c>
      <c r="D532" s="16">
        <v>6</v>
      </c>
      <c r="E532" s="22">
        <v>43944</v>
      </c>
      <c r="F532" s="17">
        <v>4</v>
      </c>
      <c r="G532" s="18">
        <v>0.19</v>
      </c>
      <c r="H532">
        <f>F532*VLOOKUP(B532,產品!$A$2:$H$61,7,FALSE)*(1-銷售總表!G532)</f>
        <v>24300</v>
      </c>
      <c r="I532" s="35">
        <f>H532-F532*VLOOKUP(銷售總表!B532,產品!$A$2:$H$61,8,FALSE)</f>
        <v>6300</v>
      </c>
      <c r="J532" s="20">
        <f t="shared" si="8"/>
        <v>0.25925925925925924</v>
      </c>
    </row>
    <row r="533" spans="1:10" x14ac:dyDescent="0.3">
      <c r="A533" s="33">
        <v>532</v>
      </c>
      <c r="B533" s="4">
        <v>47</v>
      </c>
      <c r="C533" s="15">
        <v>123</v>
      </c>
      <c r="D533" s="16">
        <v>7</v>
      </c>
      <c r="E533" s="22">
        <v>43944</v>
      </c>
      <c r="F533" s="17">
        <v>1</v>
      </c>
      <c r="G533" s="18">
        <v>0.06</v>
      </c>
      <c r="H533">
        <f>F533*VLOOKUP(B533,產品!$A$2:$H$61,7,FALSE)*(1-銷售總表!G533)</f>
        <v>18800</v>
      </c>
      <c r="I533" s="35">
        <f>H533-F533*VLOOKUP(銷售總表!B533,產品!$A$2:$H$61,8,FALSE)</f>
        <v>5800</v>
      </c>
      <c r="J533" s="20">
        <f t="shared" si="8"/>
        <v>0.30851063829787234</v>
      </c>
    </row>
    <row r="534" spans="1:10" x14ac:dyDescent="0.3">
      <c r="A534" s="33">
        <v>533</v>
      </c>
      <c r="B534" s="4">
        <v>17</v>
      </c>
      <c r="C534" s="15">
        <v>10</v>
      </c>
      <c r="D534" s="16">
        <v>7</v>
      </c>
      <c r="E534" s="22">
        <v>43945</v>
      </c>
      <c r="F534" s="17">
        <v>100</v>
      </c>
      <c r="G534" s="18">
        <v>0.17</v>
      </c>
      <c r="H534">
        <f>F534*VLOOKUP(B534,產品!$A$2:$H$61,7,FALSE)*(1-銷售總表!G534)</f>
        <v>149400</v>
      </c>
      <c r="I534" s="35">
        <f>H534-F534*VLOOKUP(銷售總表!B534,產品!$A$2:$H$61,8,FALSE)</f>
        <v>77400</v>
      </c>
      <c r="J534" s="20">
        <f t="shared" si="8"/>
        <v>0.51807228915662651</v>
      </c>
    </row>
    <row r="535" spans="1:10" x14ac:dyDescent="0.3">
      <c r="A535" s="33">
        <v>534</v>
      </c>
      <c r="B535" s="4">
        <v>59</v>
      </c>
      <c r="C535" s="15">
        <v>7</v>
      </c>
      <c r="D535" s="16">
        <v>7</v>
      </c>
      <c r="E535" s="22">
        <v>43945</v>
      </c>
      <c r="F535" s="17">
        <v>5</v>
      </c>
      <c r="G535" s="18">
        <v>0.12</v>
      </c>
      <c r="H535">
        <f>F535*VLOOKUP(B535,產品!$A$2:$H$61,7,FALSE)*(1-銷售總表!G535)</f>
        <v>105600</v>
      </c>
      <c r="I535" s="35">
        <f>H535-F535*VLOOKUP(銷售總表!B535,產品!$A$2:$H$61,8,FALSE)</f>
        <v>21600</v>
      </c>
      <c r="J535" s="20">
        <f t="shared" si="8"/>
        <v>0.20454545454545456</v>
      </c>
    </row>
    <row r="536" spans="1:10" x14ac:dyDescent="0.3">
      <c r="A536" s="33">
        <v>535</v>
      </c>
      <c r="B536" s="4">
        <v>25</v>
      </c>
      <c r="C536" s="15">
        <v>125</v>
      </c>
      <c r="D536" s="16">
        <v>2</v>
      </c>
      <c r="E536" s="22">
        <v>43945</v>
      </c>
      <c r="F536" s="19">
        <v>10</v>
      </c>
      <c r="G536" s="18">
        <v>0.14000000000000001</v>
      </c>
      <c r="H536">
        <f>F536*VLOOKUP(B536,產品!$A$2:$H$61,7,FALSE)*(1-銷售總表!G536)</f>
        <v>51600</v>
      </c>
      <c r="I536" s="35">
        <f>H536-F536*VLOOKUP(銷售總表!B536,產品!$A$2:$H$61,8,FALSE)</f>
        <v>15600</v>
      </c>
      <c r="J536" s="20">
        <f t="shared" si="8"/>
        <v>0.30232558139534882</v>
      </c>
    </row>
    <row r="537" spans="1:10" x14ac:dyDescent="0.3">
      <c r="A537" s="33">
        <v>536</v>
      </c>
      <c r="B537" s="4">
        <v>43</v>
      </c>
      <c r="C537" s="15">
        <v>3</v>
      </c>
      <c r="D537" s="16">
        <v>2</v>
      </c>
      <c r="E537" s="22">
        <v>43945</v>
      </c>
      <c r="F537" s="17">
        <v>2</v>
      </c>
      <c r="G537" s="18">
        <v>0.13</v>
      </c>
      <c r="H537">
        <f>F537*VLOOKUP(B537,產品!$A$2:$H$61,7,FALSE)*(1-銷售總表!G537)</f>
        <v>31320</v>
      </c>
      <c r="I537" s="35">
        <f>H537-F537*VLOOKUP(銷售總表!B537,產品!$A$2:$H$61,8,FALSE)</f>
        <v>7920</v>
      </c>
      <c r="J537" s="20">
        <f t="shared" si="8"/>
        <v>0.25287356321839083</v>
      </c>
    </row>
    <row r="538" spans="1:10" x14ac:dyDescent="0.3">
      <c r="A538" s="33">
        <v>537</v>
      </c>
      <c r="B538" s="4">
        <v>29</v>
      </c>
      <c r="C538" s="15">
        <v>282</v>
      </c>
      <c r="D538" s="16">
        <v>10</v>
      </c>
      <c r="E538" s="22">
        <v>43945</v>
      </c>
      <c r="F538" s="17">
        <v>4</v>
      </c>
      <c r="G538" s="18">
        <v>0.16</v>
      </c>
      <c r="H538">
        <f>F538*VLOOKUP(B538,產品!$A$2:$H$61,7,FALSE)*(1-銷售總表!G538)</f>
        <v>20160</v>
      </c>
      <c r="I538" s="35">
        <f>H538-F538*VLOOKUP(銷售總表!B538,產品!$A$2:$H$61,8,FALSE)</f>
        <v>5760</v>
      </c>
      <c r="J538" s="20">
        <f t="shared" si="8"/>
        <v>0.2857142857142857</v>
      </c>
    </row>
    <row r="539" spans="1:10" x14ac:dyDescent="0.3">
      <c r="A539" s="33">
        <v>538</v>
      </c>
      <c r="B539" s="4">
        <v>59</v>
      </c>
      <c r="C539" s="15">
        <v>284</v>
      </c>
      <c r="D539" s="16">
        <v>9</v>
      </c>
      <c r="E539" s="22">
        <v>43945</v>
      </c>
      <c r="F539" s="17">
        <v>2</v>
      </c>
      <c r="G539" s="18">
        <v>0.18</v>
      </c>
      <c r="H539">
        <f>F539*VLOOKUP(B539,產品!$A$2:$H$61,7,FALSE)*(1-銷售總表!G539)</f>
        <v>39360</v>
      </c>
      <c r="I539" s="35">
        <f>H539-F539*VLOOKUP(銷售總表!B539,產品!$A$2:$H$61,8,FALSE)</f>
        <v>5760</v>
      </c>
      <c r="J539" s="20">
        <f t="shared" si="8"/>
        <v>0.14634146341463414</v>
      </c>
    </row>
    <row r="540" spans="1:10" x14ac:dyDescent="0.3">
      <c r="A540" s="33">
        <v>539</v>
      </c>
      <c r="B540" s="4">
        <v>16</v>
      </c>
      <c r="C540" s="15">
        <v>139</v>
      </c>
      <c r="D540" s="16">
        <v>5</v>
      </c>
      <c r="E540" s="22">
        <v>43946</v>
      </c>
      <c r="F540" s="19">
        <v>150</v>
      </c>
      <c r="G540" s="18">
        <v>0.17</v>
      </c>
      <c r="H540">
        <f>F540*VLOOKUP(B540,產品!$A$2:$H$61,7,FALSE)*(1-銷售總表!G540)</f>
        <v>224100</v>
      </c>
      <c r="I540" s="35">
        <f>H540-F540*VLOOKUP(銷售總表!B540,產品!$A$2:$H$61,8,FALSE)</f>
        <v>116100</v>
      </c>
      <c r="J540" s="20">
        <f t="shared" si="8"/>
        <v>0.51807228915662651</v>
      </c>
    </row>
    <row r="541" spans="1:10" x14ac:dyDescent="0.3">
      <c r="A541" s="33">
        <v>540</v>
      </c>
      <c r="B541" s="4">
        <v>52</v>
      </c>
      <c r="C541" s="15">
        <v>135</v>
      </c>
      <c r="D541" s="16">
        <v>10</v>
      </c>
      <c r="E541" s="22">
        <v>43946</v>
      </c>
      <c r="F541" s="17">
        <v>9</v>
      </c>
      <c r="G541" s="18">
        <v>0.12</v>
      </c>
      <c r="H541">
        <f>F541*VLOOKUP(B541,產品!$A$2:$H$61,7,FALSE)*(1-銷售總表!G541)</f>
        <v>174240</v>
      </c>
      <c r="I541" s="35">
        <f>H541-F541*VLOOKUP(銷售總表!B541,產品!$A$2:$H$61,8,FALSE)</f>
        <v>35640.000000000029</v>
      </c>
      <c r="J541" s="20">
        <f t="shared" si="8"/>
        <v>0.20454545454545472</v>
      </c>
    </row>
    <row r="542" spans="1:10" x14ac:dyDescent="0.3">
      <c r="A542" s="33">
        <v>541</v>
      </c>
      <c r="B542" s="4">
        <v>39</v>
      </c>
      <c r="C542" s="15">
        <v>9</v>
      </c>
      <c r="D542" s="16">
        <v>7</v>
      </c>
      <c r="E542" s="22">
        <v>43946</v>
      </c>
      <c r="F542" s="17">
        <v>9</v>
      </c>
      <c r="G542" s="18">
        <v>0.14000000000000001</v>
      </c>
      <c r="H542">
        <f>F542*VLOOKUP(B542,產品!$A$2:$H$61,7,FALSE)*(1-銷售總表!G542)</f>
        <v>139320</v>
      </c>
      <c r="I542" s="35">
        <f>H542-F542*VLOOKUP(銷售總表!B542,產品!$A$2:$H$61,8,FALSE)</f>
        <v>34020</v>
      </c>
      <c r="J542" s="20">
        <f t="shared" si="8"/>
        <v>0.2441860465116279</v>
      </c>
    </row>
    <row r="543" spans="1:10" x14ac:dyDescent="0.3">
      <c r="A543" s="33">
        <v>542</v>
      </c>
      <c r="B543" s="4">
        <v>23</v>
      </c>
      <c r="C543" s="15">
        <v>7</v>
      </c>
      <c r="D543" s="16">
        <v>5</v>
      </c>
      <c r="E543" s="22">
        <v>43946</v>
      </c>
      <c r="F543" s="17">
        <v>30</v>
      </c>
      <c r="G543" s="18">
        <v>0.1</v>
      </c>
      <c r="H543">
        <f>F543*VLOOKUP(B543,產品!$A$2:$H$61,7,FALSE)*(1-銷售總表!G543)</f>
        <v>48600</v>
      </c>
      <c r="I543" s="35">
        <f>H543-F543*VLOOKUP(銷售總表!B543,產品!$A$2:$H$61,8,FALSE)</f>
        <v>27000</v>
      </c>
      <c r="J543" s="20">
        <f t="shared" si="8"/>
        <v>0.55555555555555558</v>
      </c>
    </row>
    <row r="544" spans="1:10" x14ac:dyDescent="0.3">
      <c r="A544" s="33">
        <v>543</v>
      </c>
      <c r="B544" s="4">
        <v>23</v>
      </c>
      <c r="C544" s="15">
        <v>137</v>
      </c>
      <c r="D544" s="16">
        <v>5</v>
      </c>
      <c r="E544" s="22">
        <v>43946</v>
      </c>
      <c r="F544" s="17">
        <v>14</v>
      </c>
      <c r="G544" s="18">
        <v>0.18</v>
      </c>
      <c r="H544">
        <f>F544*VLOOKUP(B544,產品!$A$2:$H$61,7,FALSE)*(1-銷售總表!G544)</f>
        <v>20664</v>
      </c>
      <c r="I544" s="35">
        <f>H544-F544*VLOOKUP(銷售總表!B544,產品!$A$2:$H$61,8,FALSE)</f>
        <v>10584</v>
      </c>
      <c r="J544" s="20">
        <f t="shared" si="8"/>
        <v>0.51219512195121952</v>
      </c>
    </row>
    <row r="545" spans="1:10" x14ac:dyDescent="0.3">
      <c r="A545" s="33">
        <v>544</v>
      </c>
      <c r="B545" s="4">
        <v>33</v>
      </c>
      <c r="C545" s="15">
        <v>6</v>
      </c>
      <c r="D545" s="16">
        <v>6</v>
      </c>
      <c r="E545" s="22">
        <v>43946</v>
      </c>
      <c r="F545" s="19">
        <v>4</v>
      </c>
      <c r="G545" s="18">
        <v>0.06</v>
      </c>
      <c r="H545">
        <f>F545*VLOOKUP(B545,產品!$A$2:$H$61,7,FALSE)*(1-銷售總表!G545)</f>
        <v>28200</v>
      </c>
      <c r="I545" s="35">
        <f>H545-F545*VLOOKUP(銷售總表!B545,產品!$A$2:$H$61,8,FALSE)</f>
        <v>10200</v>
      </c>
      <c r="J545" s="20">
        <f t="shared" si="8"/>
        <v>0.36170212765957449</v>
      </c>
    </row>
    <row r="546" spans="1:10" x14ac:dyDescent="0.3">
      <c r="A546" s="33">
        <v>545</v>
      </c>
      <c r="B546" s="4">
        <v>7</v>
      </c>
      <c r="C546" s="15">
        <v>268</v>
      </c>
      <c r="D546" s="16">
        <v>5</v>
      </c>
      <c r="E546" s="22">
        <v>43947</v>
      </c>
      <c r="F546" s="17">
        <v>90</v>
      </c>
      <c r="G546" s="18">
        <v>0.12</v>
      </c>
      <c r="H546">
        <f>F546*VLOOKUP(B546,產品!$A$2:$H$61,7,FALSE)*(1-銷售總表!G546)</f>
        <v>79200</v>
      </c>
      <c r="I546" s="35">
        <f>H546-F546*VLOOKUP(銷售總表!B546,產品!$A$2:$H$61,8,FALSE)</f>
        <v>43200</v>
      </c>
      <c r="J546" s="20">
        <f t="shared" si="8"/>
        <v>0.54545454545454541</v>
      </c>
    </row>
    <row r="547" spans="1:10" x14ac:dyDescent="0.3">
      <c r="A547" s="33">
        <v>546</v>
      </c>
      <c r="B547" s="4">
        <v>10</v>
      </c>
      <c r="C547" s="15">
        <v>9</v>
      </c>
      <c r="D547" s="16">
        <v>9</v>
      </c>
      <c r="E547" s="22">
        <v>43947</v>
      </c>
      <c r="F547" s="17">
        <v>80</v>
      </c>
      <c r="G547" s="18">
        <v>0.17</v>
      </c>
      <c r="H547">
        <f>F547*VLOOKUP(B547,產品!$A$2:$H$61,7,FALSE)*(1-銷售總表!G547)</f>
        <v>66400</v>
      </c>
      <c r="I547" s="35">
        <f>H547-F547*VLOOKUP(銷售總表!B547,產品!$A$2:$H$61,8,FALSE)</f>
        <v>34400</v>
      </c>
      <c r="J547" s="20">
        <f t="shared" si="8"/>
        <v>0.51807228915662651</v>
      </c>
    </row>
    <row r="548" spans="1:10" x14ac:dyDescent="0.3">
      <c r="A548" s="33">
        <v>547</v>
      </c>
      <c r="B548" s="4">
        <v>54</v>
      </c>
      <c r="C548" s="15">
        <v>136</v>
      </c>
      <c r="D548" s="16">
        <v>9</v>
      </c>
      <c r="E548" s="22">
        <v>43947</v>
      </c>
      <c r="F548" s="17">
        <v>5</v>
      </c>
      <c r="G548" s="18">
        <v>0.06</v>
      </c>
      <c r="H548">
        <f>F548*VLOOKUP(B548,產品!$A$2:$H$61,7,FALSE)*(1-銷售總表!G548)</f>
        <v>84600</v>
      </c>
      <c r="I548" s="35">
        <f>H548-F548*VLOOKUP(銷售總表!B548,產品!$A$2:$H$61,8,FALSE)</f>
        <v>21600</v>
      </c>
      <c r="J548" s="20">
        <f t="shared" si="8"/>
        <v>0.25531914893617019</v>
      </c>
    </row>
    <row r="549" spans="1:10" x14ac:dyDescent="0.3">
      <c r="A549" s="33">
        <v>548</v>
      </c>
      <c r="B549" s="4">
        <v>1</v>
      </c>
      <c r="C549" s="15">
        <v>4</v>
      </c>
      <c r="D549" s="16">
        <v>6</v>
      </c>
      <c r="E549" s="22">
        <v>43947</v>
      </c>
      <c r="F549" s="17">
        <v>15</v>
      </c>
      <c r="G549" s="18">
        <v>0.05</v>
      </c>
      <c r="H549">
        <f>F549*VLOOKUP(B549,產品!$A$2:$H$61,7,FALSE)*(1-銷售總表!G549)</f>
        <v>14250</v>
      </c>
      <c r="I549" s="35">
        <f>H549-F549*VLOOKUP(銷售總表!B549,產品!$A$2:$H$61,8,FALSE)</f>
        <v>8250</v>
      </c>
      <c r="J549" s="20">
        <f t="shared" si="8"/>
        <v>0.57894736842105265</v>
      </c>
    </row>
    <row r="550" spans="1:10" x14ac:dyDescent="0.3">
      <c r="A550" s="33">
        <v>549</v>
      </c>
      <c r="B550" s="4">
        <v>29</v>
      </c>
      <c r="C550" s="15">
        <v>10</v>
      </c>
      <c r="D550" s="16">
        <v>5</v>
      </c>
      <c r="E550" s="22">
        <v>43947</v>
      </c>
      <c r="F550" s="17">
        <v>5</v>
      </c>
      <c r="G550" s="18">
        <v>0.2</v>
      </c>
      <c r="H550">
        <f>F550*VLOOKUP(B550,產品!$A$2:$H$61,7,FALSE)*(1-銷售總表!G550)</f>
        <v>24000</v>
      </c>
      <c r="I550" s="35">
        <f>H550-F550*VLOOKUP(銷售總表!B550,產品!$A$2:$H$61,8,FALSE)</f>
        <v>6000</v>
      </c>
      <c r="J550" s="20">
        <f t="shared" si="8"/>
        <v>0.25</v>
      </c>
    </row>
    <row r="551" spans="1:10" x14ac:dyDescent="0.3">
      <c r="A551" s="33">
        <v>550</v>
      </c>
      <c r="B551" s="4">
        <v>4</v>
      </c>
      <c r="C551" s="15">
        <v>265</v>
      </c>
      <c r="D551" s="16">
        <v>9</v>
      </c>
      <c r="E551" s="22">
        <v>43948</v>
      </c>
      <c r="F551" s="17">
        <v>90</v>
      </c>
      <c r="G551" s="18">
        <v>0.11</v>
      </c>
      <c r="H551">
        <f>F551*VLOOKUP(B551,產品!$A$2:$H$61,7,FALSE)*(1-銷售總表!G551)</f>
        <v>80100</v>
      </c>
      <c r="I551" s="35">
        <f>H551-F551*VLOOKUP(銷售總表!B551,產品!$A$2:$H$61,8,FALSE)</f>
        <v>44100</v>
      </c>
      <c r="J551" s="20">
        <f t="shared" si="8"/>
        <v>0.550561797752809</v>
      </c>
    </row>
    <row r="552" spans="1:10" x14ac:dyDescent="0.3">
      <c r="A552" s="33">
        <v>551</v>
      </c>
      <c r="B552" s="4">
        <v>7</v>
      </c>
      <c r="C552" s="15">
        <v>112</v>
      </c>
      <c r="D552" s="16">
        <v>4</v>
      </c>
      <c r="E552" s="22">
        <v>43948</v>
      </c>
      <c r="F552" s="17">
        <v>100</v>
      </c>
      <c r="G552" s="18">
        <v>0.19</v>
      </c>
      <c r="H552">
        <f>F552*VLOOKUP(B552,產品!$A$2:$H$61,7,FALSE)*(1-銷售總表!G552)</f>
        <v>81000</v>
      </c>
      <c r="I552" s="35">
        <f>H552-F552*VLOOKUP(銷售總表!B552,產品!$A$2:$H$61,8,FALSE)</f>
        <v>41000</v>
      </c>
      <c r="J552" s="20">
        <f t="shared" si="8"/>
        <v>0.50617283950617287</v>
      </c>
    </row>
    <row r="553" spans="1:10" x14ac:dyDescent="0.3">
      <c r="A553" s="33">
        <v>552</v>
      </c>
      <c r="B553" s="4">
        <v>36</v>
      </c>
      <c r="C553" s="15">
        <v>285</v>
      </c>
      <c r="D553" s="16">
        <v>10</v>
      </c>
      <c r="E553" s="22">
        <v>43948</v>
      </c>
      <c r="F553" s="17">
        <v>20</v>
      </c>
      <c r="G553" s="18">
        <v>0.2</v>
      </c>
      <c r="H553">
        <f>F553*VLOOKUP(B553,產品!$A$2:$H$61,7,FALSE)*(1-銷售總表!G553)</f>
        <v>144000</v>
      </c>
      <c r="I553" s="35">
        <f>H553-F553*VLOOKUP(銷售總表!B553,產品!$A$2:$H$61,8,FALSE)</f>
        <v>36000</v>
      </c>
      <c r="J553" s="20">
        <f t="shared" si="8"/>
        <v>0.25</v>
      </c>
    </row>
    <row r="554" spans="1:10" x14ac:dyDescent="0.3">
      <c r="A554" s="33">
        <v>553</v>
      </c>
      <c r="B554" s="4">
        <v>59</v>
      </c>
      <c r="C554" s="15">
        <v>257</v>
      </c>
      <c r="D554" s="16">
        <v>10</v>
      </c>
      <c r="E554" s="22">
        <v>43948</v>
      </c>
      <c r="F554" s="17">
        <v>5</v>
      </c>
      <c r="G554" s="18">
        <v>0.08</v>
      </c>
      <c r="H554">
        <f>F554*VLOOKUP(B554,產品!$A$2:$H$61,7,FALSE)*(1-銷售總表!G554)</f>
        <v>110400</v>
      </c>
      <c r="I554" s="35">
        <f>H554-F554*VLOOKUP(銷售總表!B554,產品!$A$2:$H$61,8,FALSE)</f>
        <v>26400</v>
      </c>
      <c r="J554" s="20">
        <f t="shared" si="8"/>
        <v>0.2391304347826087</v>
      </c>
    </row>
    <row r="555" spans="1:10" x14ac:dyDescent="0.3">
      <c r="A555" s="33">
        <v>554</v>
      </c>
      <c r="B555" s="4">
        <v>3</v>
      </c>
      <c r="C555" s="15">
        <v>115</v>
      </c>
      <c r="D555" s="16">
        <v>6</v>
      </c>
      <c r="E555" s="22">
        <v>43948</v>
      </c>
      <c r="F555" s="17">
        <v>50</v>
      </c>
      <c r="G555" s="18">
        <v>0.13</v>
      </c>
      <c r="H555">
        <f>F555*VLOOKUP(B555,產品!$A$2:$H$61,7,FALSE)*(1-銷售總表!G555)</f>
        <v>43500</v>
      </c>
      <c r="I555" s="35">
        <f>H555-F555*VLOOKUP(銷售總表!B555,產品!$A$2:$H$61,8,FALSE)</f>
        <v>23500</v>
      </c>
      <c r="J555" s="20">
        <f t="shared" si="8"/>
        <v>0.54022988505747127</v>
      </c>
    </row>
    <row r="556" spans="1:10" x14ac:dyDescent="0.3">
      <c r="A556" s="33">
        <v>555</v>
      </c>
      <c r="B556" s="4">
        <v>51</v>
      </c>
      <c r="C556" s="15">
        <v>261</v>
      </c>
      <c r="D556" s="16">
        <v>5</v>
      </c>
      <c r="E556" s="22">
        <v>43948</v>
      </c>
      <c r="F556" s="17">
        <v>6</v>
      </c>
      <c r="G556" s="18">
        <v>0.17</v>
      </c>
      <c r="H556">
        <f>F556*VLOOKUP(B556,產品!$A$2:$H$61,7,FALSE)*(1-銷售總表!G556)</f>
        <v>99600</v>
      </c>
      <c r="I556" s="35">
        <f>H556-F556*VLOOKUP(銷售總表!B556,產品!$A$2:$H$61,8,FALSE)</f>
        <v>15600</v>
      </c>
      <c r="J556" s="20">
        <f t="shared" si="8"/>
        <v>0.15662650602409639</v>
      </c>
    </row>
    <row r="557" spans="1:10" x14ac:dyDescent="0.3">
      <c r="A557" s="33">
        <v>556</v>
      </c>
      <c r="B557" s="4">
        <v>54</v>
      </c>
      <c r="C557" s="15">
        <v>112</v>
      </c>
      <c r="D557" s="16">
        <v>4</v>
      </c>
      <c r="E557" s="22">
        <v>43948</v>
      </c>
      <c r="F557" s="17">
        <v>4</v>
      </c>
      <c r="G557" s="18">
        <v>0.09</v>
      </c>
      <c r="H557">
        <f>F557*VLOOKUP(B557,產品!$A$2:$H$61,7,FALSE)*(1-銷售總表!G557)</f>
        <v>65520</v>
      </c>
      <c r="I557" s="35">
        <f>H557-F557*VLOOKUP(銷售總表!B557,產品!$A$2:$H$61,8,FALSE)</f>
        <v>15120</v>
      </c>
      <c r="J557" s="20">
        <f t="shared" si="8"/>
        <v>0.23076923076923078</v>
      </c>
    </row>
    <row r="558" spans="1:10" x14ac:dyDescent="0.3">
      <c r="A558" s="33">
        <v>557</v>
      </c>
      <c r="B558" s="4">
        <v>42</v>
      </c>
      <c r="C558" s="15">
        <v>117</v>
      </c>
      <c r="D558" s="16">
        <v>7</v>
      </c>
      <c r="E558" s="22">
        <v>43948</v>
      </c>
      <c r="F558" s="17">
        <v>3</v>
      </c>
      <c r="G558" s="18">
        <v>0.19</v>
      </c>
      <c r="H558">
        <f>F558*VLOOKUP(B558,產品!$A$2:$H$61,7,FALSE)*(1-銷售總表!G558)</f>
        <v>36450</v>
      </c>
      <c r="I558" s="35">
        <f>H558-F558*VLOOKUP(銷售總表!B558,產品!$A$2:$H$61,8,FALSE)</f>
        <v>7200</v>
      </c>
      <c r="J558" s="20">
        <f t="shared" si="8"/>
        <v>0.19753086419753085</v>
      </c>
    </row>
    <row r="559" spans="1:10" x14ac:dyDescent="0.3">
      <c r="A559" s="33">
        <v>558</v>
      </c>
      <c r="B559" s="4">
        <v>53</v>
      </c>
      <c r="C559" s="15">
        <v>272</v>
      </c>
      <c r="D559" s="16">
        <v>1</v>
      </c>
      <c r="E559" s="22">
        <v>43948</v>
      </c>
      <c r="F559" s="17">
        <v>1</v>
      </c>
      <c r="G559" s="18">
        <v>0.09</v>
      </c>
      <c r="H559">
        <f>F559*VLOOKUP(B559,產品!$A$2:$H$61,7,FALSE)*(1-銷售總表!G559)</f>
        <v>13650</v>
      </c>
      <c r="I559" s="35">
        <f>H559-F559*VLOOKUP(銷售總表!B559,產品!$A$2:$H$61,8,FALSE)</f>
        <v>3150</v>
      </c>
      <c r="J559" s="20">
        <f t="shared" si="8"/>
        <v>0.23076923076923078</v>
      </c>
    </row>
    <row r="560" spans="1:10" x14ac:dyDescent="0.3">
      <c r="A560" s="33">
        <v>559</v>
      </c>
      <c r="B560" s="4">
        <v>49</v>
      </c>
      <c r="C560" s="15">
        <v>285</v>
      </c>
      <c r="D560" s="16">
        <v>10</v>
      </c>
      <c r="E560" s="22">
        <v>43948</v>
      </c>
      <c r="F560" s="17">
        <v>1</v>
      </c>
      <c r="G560" s="18">
        <v>0.14000000000000001</v>
      </c>
      <c r="H560">
        <f>F560*VLOOKUP(B560,產品!$A$2:$H$61,7,FALSE)*(1-銷售總表!G560)</f>
        <v>12900</v>
      </c>
      <c r="I560" s="35">
        <f>H560-F560*VLOOKUP(銷售總表!B560,產品!$A$2:$H$61,8,FALSE)</f>
        <v>2400</v>
      </c>
      <c r="J560" s="20">
        <f t="shared" si="8"/>
        <v>0.18604651162790697</v>
      </c>
    </row>
    <row r="561" spans="1:10" x14ac:dyDescent="0.3">
      <c r="A561" s="33">
        <v>560</v>
      </c>
      <c r="B561" s="4">
        <v>7</v>
      </c>
      <c r="C561" s="15">
        <v>123</v>
      </c>
      <c r="D561" s="16">
        <v>7</v>
      </c>
      <c r="E561" s="22">
        <v>43949</v>
      </c>
      <c r="F561" s="17">
        <v>200</v>
      </c>
      <c r="G561" s="18">
        <v>0.06</v>
      </c>
      <c r="H561">
        <f>F561*VLOOKUP(B561,產品!$A$2:$H$61,7,FALSE)*(1-銷售總表!G561)</f>
        <v>188000</v>
      </c>
      <c r="I561" s="35">
        <f>H561-F561*VLOOKUP(銷售總表!B561,產品!$A$2:$H$61,8,FALSE)</f>
        <v>108000</v>
      </c>
      <c r="J561" s="20">
        <f t="shared" si="8"/>
        <v>0.57446808510638303</v>
      </c>
    </row>
    <row r="562" spans="1:10" x14ac:dyDescent="0.3">
      <c r="A562" s="33">
        <v>561</v>
      </c>
      <c r="B562" s="4">
        <v>14</v>
      </c>
      <c r="C562" s="15">
        <v>262</v>
      </c>
      <c r="D562" s="16">
        <v>1</v>
      </c>
      <c r="E562" s="22">
        <v>43949</v>
      </c>
      <c r="F562" s="17">
        <v>60</v>
      </c>
      <c r="G562" s="18">
        <v>0.13</v>
      </c>
      <c r="H562">
        <f>F562*VLOOKUP(B562,產品!$A$2:$H$61,7,FALSE)*(1-銷售總表!G562)</f>
        <v>93960</v>
      </c>
      <c r="I562" s="35">
        <f>H562-F562*VLOOKUP(銷售總表!B562,產品!$A$2:$H$61,8,FALSE)</f>
        <v>50760</v>
      </c>
      <c r="J562" s="20">
        <f t="shared" si="8"/>
        <v>0.54022988505747127</v>
      </c>
    </row>
    <row r="563" spans="1:10" x14ac:dyDescent="0.3">
      <c r="A563" s="33">
        <v>562</v>
      </c>
      <c r="B563" s="4">
        <v>41</v>
      </c>
      <c r="C563" s="15">
        <v>285</v>
      </c>
      <c r="D563" s="16">
        <v>6</v>
      </c>
      <c r="E563" s="22">
        <v>43949</v>
      </c>
      <c r="F563" s="17">
        <v>12</v>
      </c>
      <c r="G563" s="18">
        <v>0.06</v>
      </c>
      <c r="H563">
        <f>F563*VLOOKUP(B563,產品!$A$2:$H$61,7,FALSE)*(1-銷售總表!G563)</f>
        <v>135360</v>
      </c>
      <c r="I563" s="35">
        <f>H563-F563*VLOOKUP(銷售總表!B563,產品!$A$2:$H$61,8,FALSE)</f>
        <v>41760</v>
      </c>
      <c r="J563" s="20">
        <f t="shared" si="8"/>
        <v>0.30851063829787234</v>
      </c>
    </row>
    <row r="564" spans="1:10" x14ac:dyDescent="0.3">
      <c r="A564" s="33">
        <v>563</v>
      </c>
      <c r="B564" s="4">
        <v>48</v>
      </c>
      <c r="C564" s="15">
        <v>257</v>
      </c>
      <c r="D564" s="16">
        <v>3</v>
      </c>
      <c r="E564" s="22">
        <v>43949</v>
      </c>
      <c r="F564" s="17">
        <v>11</v>
      </c>
      <c r="G564" s="18">
        <v>0.16</v>
      </c>
      <c r="H564">
        <f>F564*VLOOKUP(B564,產品!$A$2:$H$61,7,FALSE)*(1-銷售總表!G564)</f>
        <v>203280</v>
      </c>
      <c r="I564" s="35">
        <f>H564-F564*VLOOKUP(銷售總表!B564,產品!$A$2:$H$61,8,FALSE)</f>
        <v>45980</v>
      </c>
      <c r="J564" s="20">
        <f t="shared" si="8"/>
        <v>0.22619047619047619</v>
      </c>
    </row>
    <row r="565" spans="1:10" x14ac:dyDescent="0.3">
      <c r="A565" s="33">
        <v>564</v>
      </c>
      <c r="B565" s="4">
        <v>60</v>
      </c>
      <c r="C565" s="15">
        <v>1</v>
      </c>
      <c r="D565" s="16">
        <v>10</v>
      </c>
      <c r="E565" s="22">
        <v>43949</v>
      </c>
      <c r="F565" s="17">
        <v>8</v>
      </c>
      <c r="G565" s="18">
        <v>0.17</v>
      </c>
      <c r="H565">
        <f>F565*VLOOKUP(B565,產品!$A$2:$H$61,7,FALSE)*(1-銷售總表!G565)</f>
        <v>166000</v>
      </c>
      <c r="I565" s="35">
        <f>H565-F565*VLOOKUP(銷售總表!B565,產品!$A$2:$H$61,8,FALSE)</f>
        <v>26000</v>
      </c>
      <c r="J565" s="20">
        <f t="shared" si="8"/>
        <v>0.15662650602409639</v>
      </c>
    </row>
    <row r="566" spans="1:10" x14ac:dyDescent="0.3">
      <c r="A566" s="33">
        <v>565</v>
      </c>
      <c r="B566" s="4">
        <v>11</v>
      </c>
      <c r="C566" s="15">
        <v>267</v>
      </c>
      <c r="D566" s="16">
        <v>2</v>
      </c>
      <c r="E566" s="22">
        <v>43949</v>
      </c>
      <c r="F566" s="17">
        <v>50</v>
      </c>
      <c r="G566" s="18">
        <v>0.09</v>
      </c>
      <c r="H566">
        <f>F566*VLOOKUP(B566,產品!$A$2:$H$61,7,FALSE)*(1-銷售總表!G566)</f>
        <v>45500</v>
      </c>
      <c r="I566" s="35">
        <f>H566-F566*VLOOKUP(銷售總表!B566,產品!$A$2:$H$61,8,FALSE)</f>
        <v>25500</v>
      </c>
      <c r="J566" s="20">
        <f t="shared" si="8"/>
        <v>0.56043956043956045</v>
      </c>
    </row>
    <row r="567" spans="1:10" x14ac:dyDescent="0.3">
      <c r="A567" s="33">
        <v>566</v>
      </c>
      <c r="B567" s="4">
        <v>18</v>
      </c>
      <c r="C567" s="15">
        <v>5</v>
      </c>
      <c r="D567" s="16">
        <v>8</v>
      </c>
      <c r="E567" s="22">
        <v>43949</v>
      </c>
      <c r="F567" s="19">
        <v>20</v>
      </c>
      <c r="G567" s="18">
        <v>0.05</v>
      </c>
      <c r="H567">
        <f>F567*VLOOKUP(B567,產品!$A$2:$H$61,7,FALSE)*(1-銷售總表!G567)</f>
        <v>34200</v>
      </c>
      <c r="I567" s="35">
        <f>H567-F567*VLOOKUP(銷售總表!B567,產品!$A$2:$H$61,8,FALSE)</f>
        <v>19800</v>
      </c>
      <c r="J567" s="20">
        <f t="shared" si="8"/>
        <v>0.57894736842105265</v>
      </c>
    </row>
    <row r="568" spans="1:10" x14ac:dyDescent="0.3">
      <c r="A568" s="33">
        <v>567</v>
      </c>
      <c r="B568" s="4">
        <v>23</v>
      </c>
      <c r="C568" s="15">
        <v>262</v>
      </c>
      <c r="D568" s="16">
        <v>9</v>
      </c>
      <c r="E568" s="22">
        <v>43949</v>
      </c>
      <c r="F568" s="17">
        <v>15</v>
      </c>
      <c r="G568" s="18">
        <v>0.12</v>
      </c>
      <c r="H568">
        <f>F568*VLOOKUP(B568,產品!$A$2:$H$61,7,FALSE)*(1-銷售總表!G568)</f>
        <v>23760</v>
      </c>
      <c r="I568" s="35">
        <f>H568-F568*VLOOKUP(銷售總表!B568,產品!$A$2:$H$61,8,FALSE)</f>
        <v>12960</v>
      </c>
      <c r="J568" s="20">
        <f t="shared" si="8"/>
        <v>0.54545454545454541</v>
      </c>
    </row>
    <row r="569" spans="1:10" x14ac:dyDescent="0.3">
      <c r="A569" s="33">
        <v>568</v>
      </c>
      <c r="B569" s="4">
        <v>45</v>
      </c>
      <c r="C569" s="15">
        <v>9</v>
      </c>
      <c r="D569" s="16">
        <v>5</v>
      </c>
      <c r="E569" s="22">
        <v>43949</v>
      </c>
      <c r="F569" s="17">
        <v>3</v>
      </c>
      <c r="G569" s="18">
        <v>0.09</v>
      </c>
      <c r="H569">
        <f>F569*VLOOKUP(B569,產品!$A$2:$H$61,7,FALSE)*(1-銷售總表!G569)</f>
        <v>38220</v>
      </c>
      <c r="I569" s="35">
        <f>H569-F569*VLOOKUP(銷售總表!B569,產品!$A$2:$H$61,8,FALSE)</f>
        <v>10920</v>
      </c>
      <c r="J569" s="20">
        <f t="shared" si="8"/>
        <v>0.2857142857142857</v>
      </c>
    </row>
    <row r="570" spans="1:10" x14ac:dyDescent="0.3">
      <c r="A570" s="33">
        <v>569</v>
      </c>
      <c r="B570" s="4">
        <v>53</v>
      </c>
      <c r="C570" s="15">
        <v>5</v>
      </c>
      <c r="D570" s="16">
        <v>3</v>
      </c>
      <c r="E570" s="22">
        <v>43949</v>
      </c>
      <c r="F570" s="17">
        <v>3</v>
      </c>
      <c r="G570" s="18">
        <v>0.15</v>
      </c>
      <c r="H570">
        <f>F570*VLOOKUP(B570,產品!$A$2:$H$61,7,FALSE)*(1-銷售總表!G570)</f>
        <v>38250</v>
      </c>
      <c r="I570" s="35">
        <f>H570-F570*VLOOKUP(銷售總表!B570,產品!$A$2:$H$61,8,FALSE)</f>
        <v>6750</v>
      </c>
      <c r="J570" s="20">
        <f t="shared" si="8"/>
        <v>0.17647058823529413</v>
      </c>
    </row>
    <row r="571" spans="1:10" x14ac:dyDescent="0.3">
      <c r="A571" s="33">
        <v>570</v>
      </c>
      <c r="B571" s="4">
        <v>35</v>
      </c>
      <c r="C571" s="15">
        <v>8</v>
      </c>
      <c r="D571" s="16">
        <v>9</v>
      </c>
      <c r="E571" s="22">
        <v>43949</v>
      </c>
      <c r="F571" s="17">
        <v>2</v>
      </c>
      <c r="G571" s="18">
        <v>0.05</v>
      </c>
      <c r="H571">
        <f>F571*VLOOKUP(B571,產品!$A$2:$H$61,7,FALSE)*(1-銷售總表!G571)</f>
        <v>16150</v>
      </c>
      <c r="I571" s="35">
        <f>H571-F571*VLOOKUP(銷售總表!B571,產品!$A$2:$H$61,8,FALSE)</f>
        <v>5950</v>
      </c>
      <c r="J571" s="20">
        <f t="shared" si="8"/>
        <v>0.36842105263157893</v>
      </c>
    </row>
    <row r="572" spans="1:10" x14ac:dyDescent="0.3">
      <c r="A572" s="33">
        <v>571</v>
      </c>
      <c r="B572" s="4">
        <v>1</v>
      </c>
      <c r="C572" s="15">
        <v>8</v>
      </c>
      <c r="D572" s="16">
        <v>10</v>
      </c>
      <c r="E572" s="22">
        <v>43949</v>
      </c>
      <c r="F572" s="17">
        <v>10</v>
      </c>
      <c r="G572" s="18">
        <v>0.16</v>
      </c>
      <c r="H572">
        <f>F572*VLOOKUP(B572,產品!$A$2:$H$61,7,FALSE)*(1-銷售總表!G572)</f>
        <v>8400</v>
      </c>
      <c r="I572" s="35">
        <f>H572-F572*VLOOKUP(銷售總表!B572,產品!$A$2:$H$61,8,FALSE)</f>
        <v>4400</v>
      </c>
      <c r="J572" s="20">
        <f t="shared" si="8"/>
        <v>0.52380952380952384</v>
      </c>
    </row>
    <row r="573" spans="1:10" x14ac:dyDescent="0.3">
      <c r="A573" s="33">
        <v>572</v>
      </c>
      <c r="B573" s="4">
        <v>8</v>
      </c>
      <c r="C573" s="15">
        <v>4</v>
      </c>
      <c r="D573" s="16">
        <v>9</v>
      </c>
      <c r="E573" s="22">
        <v>43950</v>
      </c>
      <c r="F573" s="17">
        <v>150</v>
      </c>
      <c r="G573" s="18">
        <v>7.0000000000000007E-2</v>
      </c>
      <c r="H573">
        <f>F573*VLOOKUP(B573,產品!$A$2:$H$61,7,FALSE)*(1-銷售總表!G573)</f>
        <v>139500</v>
      </c>
      <c r="I573" s="35">
        <f>H573-F573*VLOOKUP(銷售總表!B573,產品!$A$2:$H$61,8,FALSE)</f>
        <v>79500</v>
      </c>
      <c r="J573" s="20">
        <f t="shared" si="8"/>
        <v>0.56989247311827962</v>
      </c>
    </row>
    <row r="574" spans="1:10" x14ac:dyDescent="0.3">
      <c r="A574" s="33">
        <v>573</v>
      </c>
      <c r="B574" s="4">
        <v>13</v>
      </c>
      <c r="C574" s="15">
        <v>291</v>
      </c>
      <c r="D574" s="16">
        <v>4</v>
      </c>
      <c r="E574" s="22">
        <v>43950</v>
      </c>
      <c r="F574" s="17">
        <v>60</v>
      </c>
      <c r="G574" s="18">
        <v>0.13</v>
      </c>
      <c r="H574">
        <f>F574*VLOOKUP(B574,產品!$A$2:$H$61,7,FALSE)*(1-銷售總表!G574)</f>
        <v>93960</v>
      </c>
      <c r="I574" s="35">
        <f>H574-F574*VLOOKUP(銷售總表!B574,產品!$A$2:$H$61,8,FALSE)</f>
        <v>50760</v>
      </c>
      <c r="J574" s="20">
        <f t="shared" si="8"/>
        <v>0.54022988505747127</v>
      </c>
    </row>
    <row r="575" spans="1:10" x14ac:dyDescent="0.3">
      <c r="A575" s="33">
        <v>574</v>
      </c>
      <c r="B575" s="4">
        <v>3</v>
      </c>
      <c r="C575" s="15">
        <v>4</v>
      </c>
      <c r="D575" s="16">
        <v>2</v>
      </c>
      <c r="E575" s="22">
        <v>43950</v>
      </c>
      <c r="F575" s="19">
        <v>45</v>
      </c>
      <c r="G575" s="18">
        <v>0.11</v>
      </c>
      <c r="H575">
        <f>F575*VLOOKUP(B575,產品!$A$2:$H$61,7,FALSE)*(1-銷售總表!G575)</f>
        <v>40050</v>
      </c>
      <c r="I575" s="35">
        <f>H575-F575*VLOOKUP(銷售總表!B575,產品!$A$2:$H$61,8,FALSE)</f>
        <v>22050</v>
      </c>
      <c r="J575" s="20">
        <f t="shared" si="8"/>
        <v>0.550561797752809</v>
      </c>
    </row>
    <row r="576" spans="1:10" x14ac:dyDescent="0.3">
      <c r="A576" s="33">
        <v>575</v>
      </c>
      <c r="B576" s="4">
        <v>28</v>
      </c>
      <c r="C576" s="15">
        <v>136</v>
      </c>
      <c r="D576" s="16">
        <v>1</v>
      </c>
      <c r="E576" s="22">
        <v>43950</v>
      </c>
      <c r="F576" s="17">
        <v>8</v>
      </c>
      <c r="G576" s="18">
        <v>0.16</v>
      </c>
      <c r="H576">
        <f>F576*VLOOKUP(B576,產品!$A$2:$H$61,7,FALSE)*(1-銷售總表!G576)</f>
        <v>50400</v>
      </c>
      <c r="I576" s="35">
        <f>H576-F576*VLOOKUP(銷售總表!B576,產品!$A$2:$H$61,8,FALSE)</f>
        <v>14400</v>
      </c>
      <c r="J576" s="20">
        <f t="shared" si="8"/>
        <v>0.2857142857142857</v>
      </c>
    </row>
    <row r="577" spans="1:10" x14ac:dyDescent="0.3">
      <c r="A577" s="33">
        <v>576</v>
      </c>
      <c r="B577" s="4">
        <v>58</v>
      </c>
      <c r="C577" s="15">
        <v>6</v>
      </c>
      <c r="D577" s="16">
        <v>9</v>
      </c>
      <c r="E577" s="22">
        <v>43950</v>
      </c>
      <c r="F577" s="17">
        <v>6</v>
      </c>
      <c r="G577" s="18">
        <v>0.2</v>
      </c>
      <c r="H577">
        <f>F577*VLOOKUP(B577,產品!$A$2:$H$61,7,FALSE)*(1-銷售總表!G577)</f>
        <v>100800</v>
      </c>
      <c r="I577" s="35">
        <f>H577-F577*VLOOKUP(銷售總表!B577,產品!$A$2:$H$61,8,FALSE)</f>
        <v>12600.000000000015</v>
      </c>
      <c r="J577" s="20">
        <f t="shared" si="8"/>
        <v>0.12500000000000014</v>
      </c>
    </row>
    <row r="578" spans="1:10" x14ac:dyDescent="0.3">
      <c r="A578" s="33">
        <v>577</v>
      </c>
      <c r="B578" s="4">
        <v>34</v>
      </c>
      <c r="C578" s="15">
        <v>283</v>
      </c>
      <c r="D578" s="16">
        <v>4</v>
      </c>
      <c r="E578" s="22">
        <v>43950</v>
      </c>
      <c r="F578" s="17">
        <v>2</v>
      </c>
      <c r="G578" s="18">
        <v>0.05</v>
      </c>
      <c r="H578">
        <f>F578*VLOOKUP(B578,產品!$A$2:$H$61,7,FALSE)*(1-銷售總表!G578)</f>
        <v>15200</v>
      </c>
      <c r="I578" s="35">
        <f>H578-F578*VLOOKUP(銷售總表!B578,產品!$A$2:$H$61,8,FALSE)</f>
        <v>5600</v>
      </c>
      <c r="J578" s="20">
        <f t="shared" si="8"/>
        <v>0.36842105263157893</v>
      </c>
    </row>
    <row r="579" spans="1:10" x14ac:dyDescent="0.3">
      <c r="A579" s="33">
        <v>578</v>
      </c>
      <c r="B579" s="4">
        <v>7</v>
      </c>
      <c r="C579" s="15">
        <v>269</v>
      </c>
      <c r="D579" s="16">
        <v>4</v>
      </c>
      <c r="E579" s="22">
        <v>43950</v>
      </c>
      <c r="F579" s="19">
        <v>10</v>
      </c>
      <c r="G579" s="18">
        <v>0.08</v>
      </c>
      <c r="H579">
        <f>F579*VLOOKUP(B579,產品!$A$2:$H$61,7,FALSE)*(1-銷售總表!G579)</f>
        <v>9200</v>
      </c>
      <c r="I579" s="35">
        <f>H579-F579*VLOOKUP(銷售總表!B579,產品!$A$2:$H$61,8,FALSE)</f>
        <v>5200</v>
      </c>
      <c r="J579" s="20">
        <f t="shared" ref="J579:J642" si="9">I579/H579</f>
        <v>0.56521739130434778</v>
      </c>
    </row>
    <row r="580" spans="1:10" x14ac:dyDescent="0.3">
      <c r="A580" s="33">
        <v>579</v>
      </c>
      <c r="B580" s="4">
        <v>33</v>
      </c>
      <c r="C580" s="15">
        <v>266</v>
      </c>
      <c r="D580" s="16">
        <v>8</v>
      </c>
      <c r="E580" s="22">
        <v>43950</v>
      </c>
      <c r="F580" s="17">
        <v>3</v>
      </c>
      <c r="G580" s="18">
        <v>0.19</v>
      </c>
      <c r="H580">
        <f>F580*VLOOKUP(B580,產品!$A$2:$H$61,7,FALSE)*(1-銷售總表!G580)</f>
        <v>18225</v>
      </c>
      <c r="I580" s="35">
        <f>H580-F580*VLOOKUP(銷售總表!B580,產品!$A$2:$H$61,8,FALSE)</f>
        <v>4725</v>
      </c>
      <c r="J580" s="20">
        <f t="shared" si="9"/>
        <v>0.25925925925925924</v>
      </c>
    </row>
    <row r="581" spans="1:10" x14ac:dyDescent="0.3">
      <c r="A581" s="33">
        <v>580</v>
      </c>
      <c r="B581" s="4">
        <v>28</v>
      </c>
      <c r="C581" s="15">
        <v>6</v>
      </c>
      <c r="D581" s="16">
        <v>5</v>
      </c>
      <c r="E581" s="22">
        <v>43950</v>
      </c>
      <c r="F581" s="19">
        <v>2</v>
      </c>
      <c r="G581" s="18">
        <v>0.09</v>
      </c>
      <c r="H581">
        <f>F581*VLOOKUP(B581,產品!$A$2:$H$61,7,FALSE)*(1-銷售總表!G581)</f>
        <v>13650</v>
      </c>
      <c r="I581" s="35">
        <f>H581-F581*VLOOKUP(銷售總表!B581,產品!$A$2:$H$61,8,FALSE)</f>
        <v>4650</v>
      </c>
      <c r="J581" s="20">
        <f t="shared" si="9"/>
        <v>0.34065934065934067</v>
      </c>
    </row>
    <row r="582" spans="1:10" x14ac:dyDescent="0.3">
      <c r="A582" s="33">
        <v>581</v>
      </c>
      <c r="B582" s="4">
        <v>31</v>
      </c>
      <c r="C582" s="15">
        <v>261</v>
      </c>
      <c r="D582" s="16">
        <v>1</v>
      </c>
      <c r="E582" s="22">
        <v>43950</v>
      </c>
      <c r="F582" s="17">
        <v>2</v>
      </c>
      <c r="G582" s="18">
        <v>0.2</v>
      </c>
      <c r="H582">
        <f>F582*VLOOKUP(B582,產品!$A$2:$H$61,7,FALSE)*(1-銷售總表!G582)</f>
        <v>11200</v>
      </c>
      <c r="I582" s="35">
        <f>H582-F582*VLOOKUP(銷售總表!B582,產品!$A$2:$H$61,8,FALSE)</f>
        <v>2800</v>
      </c>
      <c r="J582" s="20">
        <f t="shared" si="9"/>
        <v>0.25</v>
      </c>
    </row>
    <row r="583" spans="1:10" x14ac:dyDescent="0.3">
      <c r="A583" s="33">
        <v>582</v>
      </c>
      <c r="B583" s="4">
        <v>49</v>
      </c>
      <c r="C583" s="15">
        <v>259</v>
      </c>
      <c r="D583" s="16">
        <v>5</v>
      </c>
      <c r="E583" s="22">
        <v>43951</v>
      </c>
      <c r="F583" s="17">
        <v>13</v>
      </c>
      <c r="G583" s="18">
        <v>0.09</v>
      </c>
      <c r="H583">
        <f>F583*VLOOKUP(B583,產品!$A$2:$H$61,7,FALSE)*(1-銷售總表!G583)</f>
        <v>177450</v>
      </c>
      <c r="I583" s="35">
        <f>H583-F583*VLOOKUP(銷售總表!B583,產品!$A$2:$H$61,8,FALSE)</f>
        <v>40950</v>
      </c>
      <c r="J583" s="20">
        <f t="shared" si="9"/>
        <v>0.23076923076923078</v>
      </c>
    </row>
    <row r="584" spans="1:10" x14ac:dyDescent="0.3">
      <c r="A584" s="33">
        <v>583</v>
      </c>
      <c r="B584" s="4">
        <v>40</v>
      </c>
      <c r="C584" s="15">
        <v>9</v>
      </c>
      <c r="D584" s="16">
        <v>7</v>
      </c>
      <c r="E584" s="22">
        <v>43951</v>
      </c>
      <c r="F584" s="17">
        <v>6</v>
      </c>
      <c r="G584" s="18">
        <v>0.05</v>
      </c>
      <c r="H584">
        <f>F584*VLOOKUP(B584,產品!$A$2:$H$61,7,FALSE)*(1-銷售總表!G584)</f>
        <v>114000</v>
      </c>
      <c r="I584" s="35">
        <f>H584-F584*VLOOKUP(銷售總表!B584,產品!$A$2:$H$61,8,FALSE)</f>
        <v>36000</v>
      </c>
      <c r="J584" s="20">
        <f t="shared" si="9"/>
        <v>0.31578947368421051</v>
      </c>
    </row>
    <row r="585" spans="1:10" x14ac:dyDescent="0.3">
      <c r="A585" s="33">
        <v>584</v>
      </c>
      <c r="B585" s="4">
        <v>12</v>
      </c>
      <c r="C585" s="15">
        <v>3</v>
      </c>
      <c r="D585" s="16">
        <v>3</v>
      </c>
      <c r="E585" s="22">
        <v>43951</v>
      </c>
      <c r="F585" s="19">
        <v>30</v>
      </c>
      <c r="G585" s="18">
        <v>7.0000000000000007E-2</v>
      </c>
      <c r="H585">
        <f>F585*VLOOKUP(B585,產品!$A$2:$H$61,7,FALSE)*(1-銷售總表!G585)</f>
        <v>27899.999999999996</v>
      </c>
      <c r="I585" s="35">
        <f>H585-F585*VLOOKUP(銷售總表!B585,產品!$A$2:$H$61,8,FALSE)</f>
        <v>15899.999999999996</v>
      </c>
      <c r="J585" s="20">
        <f t="shared" si="9"/>
        <v>0.56989247311827951</v>
      </c>
    </row>
    <row r="586" spans="1:10" x14ac:dyDescent="0.3">
      <c r="A586" s="33">
        <v>585</v>
      </c>
      <c r="B586" s="4">
        <v>6</v>
      </c>
      <c r="C586" s="15">
        <v>271</v>
      </c>
      <c r="D586" s="16">
        <v>3</v>
      </c>
      <c r="E586" s="22">
        <v>43951</v>
      </c>
      <c r="F586" s="17">
        <v>30</v>
      </c>
      <c r="G586" s="18">
        <v>0.09</v>
      </c>
      <c r="H586">
        <f>F586*VLOOKUP(B586,產品!$A$2:$H$61,7,FALSE)*(1-銷售總表!G586)</f>
        <v>27300</v>
      </c>
      <c r="I586" s="35">
        <f>H586-F586*VLOOKUP(銷售總表!B586,產品!$A$2:$H$61,8,FALSE)</f>
        <v>15300</v>
      </c>
      <c r="J586" s="20">
        <f t="shared" si="9"/>
        <v>0.56043956043956045</v>
      </c>
    </row>
    <row r="587" spans="1:10" x14ac:dyDescent="0.3">
      <c r="A587" s="33">
        <v>586</v>
      </c>
      <c r="B587" s="4">
        <v>17</v>
      </c>
      <c r="C587" s="15">
        <v>6</v>
      </c>
      <c r="D587" s="16">
        <v>2</v>
      </c>
      <c r="E587" s="22">
        <v>43951</v>
      </c>
      <c r="F587" s="19">
        <v>20</v>
      </c>
      <c r="G587" s="18">
        <v>0.2</v>
      </c>
      <c r="H587">
        <f>F587*VLOOKUP(B587,產品!$A$2:$H$61,7,FALSE)*(1-銷售總表!G587)</f>
        <v>28800</v>
      </c>
      <c r="I587" s="35">
        <f>H587-F587*VLOOKUP(銷售總表!B587,產品!$A$2:$H$61,8,FALSE)</f>
        <v>14400</v>
      </c>
      <c r="J587" s="20">
        <f t="shared" si="9"/>
        <v>0.5</v>
      </c>
    </row>
    <row r="588" spans="1:10" x14ac:dyDescent="0.3">
      <c r="A588" s="33">
        <v>587</v>
      </c>
      <c r="B588" s="4">
        <v>34</v>
      </c>
      <c r="C588" s="15">
        <v>118</v>
      </c>
      <c r="D588" s="16">
        <v>10</v>
      </c>
      <c r="E588" s="22">
        <v>43951</v>
      </c>
      <c r="F588" s="17">
        <v>2</v>
      </c>
      <c r="G588" s="18">
        <v>0.1</v>
      </c>
      <c r="H588">
        <f>F588*VLOOKUP(B588,產品!$A$2:$H$61,7,FALSE)*(1-銷售總表!G588)</f>
        <v>14400</v>
      </c>
      <c r="I588" s="35">
        <f>H588-F588*VLOOKUP(銷售總表!B588,產品!$A$2:$H$61,8,FALSE)</f>
        <v>4800</v>
      </c>
      <c r="J588" s="20">
        <f t="shared" si="9"/>
        <v>0.33333333333333331</v>
      </c>
    </row>
    <row r="589" spans="1:10" x14ac:dyDescent="0.3">
      <c r="A589" s="33">
        <v>588</v>
      </c>
      <c r="B589" s="4">
        <v>54</v>
      </c>
      <c r="C589" s="15">
        <v>135</v>
      </c>
      <c r="D589" s="16">
        <v>8</v>
      </c>
      <c r="E589" s="22">
        <v>43952</v>
      </c>
      <c r="F589" s="19">
        <v>20</v>
      </c>
      <c r="G589" s="18">
        <v>0.2</v>
      </c>
      <c r="H589">
        <f>F589*VLOOKUP(B589,產品!$A$2:$H$61,7,FALSE)*(1-銷售總表!G589)</f>
        <v>288000</v>
      </c>
      <c r="I589" s="35">
        <f>H589-F589*VLOOKUP(銷售總表!B589,產品!$A$2:$H$61,8,FALSE)</f>
        <v>36000</v>
      </c>
      <c r="J589" s="20">
        <f t="shared" si="9"/>
        <v>0.125</v>
      </c>
    </row>
    <row r="590" spans="1:10" x14ac:dyDescent="0.3">
      <c r="A590" s="33">
        <v>589</v>
      </c>
      <c r="B590" s="4">
        <v>39</v>
      </c>
      <c r="C590" s="15">
        <v>126</v>
      </c>
      <c r="D590" s="16">
        <v>5</v>
      </c>
      <c r="E590" s="22">
        <v>43952</v>
      </c>
      <c r="F590" s="17">
        <v>9</v>
      </c>
      <c r="G590" s="18">
        <v>0.16</v>
      </c>
      <c r="H590">
        <f>F590*VLOOKUP(B590,產品!$A$2:$H$61,7,FALSE)*(1-銷售總表!G590)</f>
        <v>136080</v>
      </c>
      <c r="I590" s="35">
        <f>H590-F590*VLOOKUP(銷售總表!B590,產品!$A$2:$H$61,8,FALSE)</f>
        <v>30780</v>
      </c>
      <c r="J590" s="20">
        <f t="shared" si="9"/>
        <v>0.22619047619047619</v>
      </c>
    </row>
    <row r="591" spans="1:10" x14ac:dyDescent="0.3">
      <c r="A591" s="33">
        <v>590</v>
      </c>
      <c r="B591" s="4">
        <v>48</v>
      </c>
      <c r="C591" s="15">
        <v>12</v>
      </c>
      <c r="D591" s="16">
        <v>9</v>
      </c>
      <c r="E591" s="22">
        <v>43952</v>
      </c>
      <c r="F591" s="17">
        <v>5</v>
      </c>
      <c r="G591" s="18">
        <v>0.12</v>
      </c>
      <c r="H591">
        <f>F591*VLOOKUP(B591,產品!$A$2:$H$61,7,FALSE)*(1-銷售總表!G591)</f>
        <v>96800</v>
      </c>
      <c r="I591" s="35">
        <f>H591-F591*VLOOKUP(銷售總表!B591,產品!$A$2:$H$61,8,FALSE)</f>
        <v>25300</v>
      </c>
      <c r="J591" s="20">
        <f t="shared" si="9"/>
        <v>0.26136363636363635</v>
      </c>
    </row>
    <row r="592" spans="1:10" x14ac:dyDescent="0.3">
      <c r="A592" s="33">
        <v>591</v>
      </c>
      <c r="B592" s="4">
        <v>60</v>
      </c>
      <c r="C592" s="15">
        <v>124</v>
      </c>
      <c r="D592" s="16">
        <v>3</v>
      </c>
      <c r="E592" s="22">
        <v>43952</v>
      </c>
      <c r="F592" s="17">
        <v>8</v>
      </c>
      <c r="G592" s="18">
        <v>0.18</v>
      </c>
      <c r="H592">
        <f>F592*VLOOKUP(B592,產品!$A$2:$H$61,7,FALSE)*(1-銷售總表!G592)</f>
        <v>164000</v>
      </c>
      <c r="I592" s="35">
        <f>H592-F592*VLOOKUP(銷售總表!B592,產品!$A$2:$H$61,8,FALSE)</f>
        <v>24000</v>
      </c>
      <c r="J592" s="20">
        <f t="shared" si="9"/>
        <v>0.14634146341463414</v>
      </c>
    </row>
    <row r="593" spans="1:10" x14ac:dyDescent="0.3">
      <c r="A593" s="33">
        <v>592</v>
      </c>
      <c r="B593" s="4">
        <v>22</v>
      </c>
      <c r="C593" s="15">
        <v>261</v>
      </c>
      <c r="D593" s="16">
        <v>5</v>
      </c>
      <c r="E593" s="22">
        <v>43952</v>
      </c>
      <c r="F593" s="19">
        <v>30</v>
      </c>
      <c r="G593" s="18">
        <v>0.16</v>
      </c>
      <c r="H593">
        <f>F593*VLOOKUP(B593,產品!$A$2:$H$61,7,FALSE)*(1-銷售總表!G593)</f>
        <v>45360</v>
      </c>
      <c r="I593" s="35">
        <f>H593-F593*VLOOKUP(銷售總表!B593,產品!$A$2:$H$61,8,FALSE)</f>
        <v>23760</v>
      </c>
      <c r="J593" s="20">
        <f t="shared" si="9"/>
        <v>0.52380952380952384</v>
      </c>
    </row>
    <row r="594" spans="1:10" x14ac:dyDescent="0.3">
      <c r="A594" s="33">
        <v>593</v>
      </c>
      <c r="B594" s="4">
        <v>10</v>
      </c>
      <c r="C594" s="15">
        <v>134</v>
      </c>
      <c r="D594" s="16">
        <v>10</v>
      </c>
      <c r="E594" s="22">
        <v>43952</v>
      </c>
      <c r="F594" s="17">
        <v>50</v>
      </c>
      <c r="G594" s="18">
        <v>0.18</v>
      </c>
      <c r="H594">
        <f>F594*VLOOKUP(B594,產品!$A$2:$H$61,7,FALSE)*(1-銷售總表!G594)</f>
        <v>41000</v>
      </c>
      <c r="I594" s="35">
        <f>H594-F594*VLOOKUP(銷售總表!B594,產品!$A$2:$H$61,8,FALSE)</f>
        <v>21000</v>
      </c>
      <c r="J594" s="20">
        <f t="shared" si="9"/>
        <v>0.51219512195121952</v>
      </c>
    </row>
    <row r="595" spans="1:10" x14ac:dyDescent="0.3">
      <c r="A595" s="33">
        <v>594</v>
      </c>
      <c r="B595" s="4">
        <v>10</v>
      </c>
      <c r="C595" s="15">
        <v>272</v>
      </c>
      <c r="D595" s="16">
        <v>3</v>
      </c>
      <c r="E595" s="22">
        <v>43952</v>
      </c>
      <c r="F595" s="17">
        <v>20</v>
      </c>
      <c r="G595" s="18">
        <v>0.17</v>
      </c>
      <c r="H595">
        <f>F595*VLOOKUP(B595,產品!$A$2:$H$61,7,FALSE)*(1-銷售總表!G595)</f>
        <v>16600</v>
      </c>
      <c r="I595" s="35">
        <f>H595-F595*VLOOKUP(銷售總表!B595,產品!$A$2:$H$61,8,FALSE)</f>
        <v>8600</v>
      </c>
      <c r="J595" s="20">
        <f t="shared" si="9"/>
        <v>0.51807228915662651</v>
      </c>
    </row>
    <row r="596" spans="1:10" x14ac:dyDescent="0.3">
      <c r="A596" s="33">
        <v>595</v>
      </c>
      <c r="B596" s="4">
        <v>29</v>
      </c>
      <c r="C596" s="15">
        <v>284</v>
      </c>
      <c r="D596" s="16">
        <v>7</v>
      </c>
      <c r="E596" s="22">
        <v>43952</v>
      </c>
      <c r="F596" s="17">
        <v>5</v>
      </c>
      <c r="G596" s="18">
        <v>0.19</v>
      </c>
      <c r="H596">
        <f>F596*VLOOKUP(B596,產品!$A$2:$H$61,7,FALSE)*(1-銷售總表!G596)</f>
        <v>24300</v>
      </c>
      <c r="I596" s="35">
        <f>H596-F596*VLOOKUP(銷售總表!B596,產品!$A$2:$H$61,8,FALSE)</f>
        <v>6300</v>
      </c>
      <c r="J596" s="20">
        <f t="shared" si="9"/>
        <v>0.25925925925925924</v>
      </c>
    </row>
    <row r="597" spans="1:10" x14ac:dyDescent="0.3">
      <c r="A597" s="33">
        <v>596</v>
      </c>
      <c r="B597" s="4">
        <v>31</v>
      </c>
      <c r="C597" s="15">
        <v>271</v>
      </c>
      <c r="D597" s="16">
        <v>2</v>
      </c>
      <c r="E597" s="22">
        <v>43953</v>
      </c>
      <c r="F597" s="17">
        <v>18</v>
      </c>
      <c r="G597" s="18">
        <v>0.2</v>
      </c>
      <c r="H597">
        <f>F597*VLOOKUP(B597,產品!$A$2:$H$61,7,FALSE)*(1-銷售總表!G597)</f>
        <v>100800</v>
      </c>
      <c r="I597" s="35">
        <f>H597-F597*VLOOKUP(銷售總表!B597,產品!$A$2:$H$61,8,FALSE)</f>
        <v>25200</v>
      </c>
      <c r="J597" s="20">
        <f t="shared" si="9"/>
        <v>0.25</v>
      </c>
    </row>
    <row r="598" spans="1:10" x14ac:dyDescent="0.3">
      <c r="A598" s="33">
        <v>597</v>
      </c>
      <c r="B598" s="4">
        <v>32</v>
      </c>
      <c r="C598" s="15">
        <v>272</v>
      </c>
      <c r="D598" s="16">
        <v>2</v>
      </c>
      <c r="E598" s="22">
        <v>43953</v>
      </c>
      <c r="F598" s="17">
        <v>10</v>
      </c>
      <c r="G598" s="18">
        <v>0.18</v>
      </c>
      <c r="H598">
        <f>F598*VLOOKUP(B598,產品!$A$2:$H$61,7,FALSE)*(1-銷售總表!G598)</f>
        <v>61500.000000000007</v>
      </c>
      <c r="I598" s="35">
        <f>H598-F598*VLOOKUP(銷售總表!B598,產品!$A$2:$H$61,8,FALSE)</f>
        <v>16500.000000000007</v>
      </c>
      <c r="J598" s="20">
        <f t="shared" si="9"/>
        <v>0.26829268292682934</v>
      </c>
    </row>
    <row r="599" spans="1:10" x14ac:dyDescent="0.3">
      <c r="A599" s="33">
        <v>598</v>
      </c>
      <c r="B599" s="4">
        <v>52</v>
      </c>
      <c r="C599" s="15">
        <v>116</v>
      </c>
      <c r="D599" s="16">
        <v>1</v>
      </c>
      <c r="E599" s="22">
        <v>43953</v>
      </c>
      <c r="F599" s="19">
        <v>3</v>
      </c>
      <c r="G599" s="18">
        <v>0.14000000000000001</v>
      </c>
      <c r="H599">
        <f>F599*VLOOKUP(B599,產品!$A$2:$H$61,7,FALSE)*(1-銷售總表!G599)</f>
        <v>56760</v>
      </c>
      <c r="I599" s="35">
        <f>H599-F599*VLOOKUP(銷售總表!B599,產品!$A$2:$H$61,8,FALSE)</f>
        <v>10560.000000000007</v>
      </c>
      <c r="J599" s="20">
        <f t="shared" si="9"/>
        <v>0.18604651162790711</v>
      </c>
    </row>
    <row r="600" spans="1:10" x14ac:dyDescent="0.3">
      <c r="A600" s="33">
        <v>599</v>
      </c>
      <c r="B600" s="4">
        <v>32</v>
      </c>
      <c r="C600" s="15">
        <v>273</v>
      </c>
      <c r="D600" s="16">
        <v>3</v>
      </c>
      <c r="E600" s="22">
        <v>43953</v>
      </c>
      <c r="F600" s="17">
        <v>6</v>
      </c>
      <c r="G600" s="18">
        <v>0.17</v>
      </c>
      <c r="H600">
        <f>F600*VLOOKUP(B600,產品!$A$2:$H$61,7,FALSE)*(1-銷售總表!G600)</f>
        <v>37350</v>
      </c>
      <c r="I600" s="35">
        <f>H600-F600*VLOOKUP(銷售總表!B600,產品!$A$2:$H$61,8,FALSE)</f>
        <v>10350</v>
      </c>
      <c r="J600" s="20">
        <f t="shared" si="9"/>
        <v>0.27710843373493976</v>
      </c>
    </row>
    <row r="601" spans="1:10" x14ac:dyDescent="0.3">
      <c r="A601" s="33">
        <v>600</v>
      </c>
      <c r="B601" s="4">
        <v>31</v>
      </c>
      <c r="C601" s="15">
        <v>4</v>
      </c>
      <c r="D601" s="16">
        <v>10</v>
      </c>
      <c r="E601" s="22">
        <v>43953</v>
      </c>
      <c r="F601" s="17">
        <v>3</v>
      </c>
      <c r="G601" s="18">
        <v>0.2</v>
      </c>
      <c r="H601">
        <f>F601*VLOOKUP(B601,產品!$A$2:$H$61,7,FALSE)*(1-銷售總表!G601)</f>
        <v>16800</v>
      </c>
      <c r="I601" s="35">
        <f>H601-F601*VLOOKUP(銷售總表!B601,產品!$A$2:$H$61,8,FALSE)</f>
        <v>4200</v>
      </c>
      <c r="J601" s="20">
        <f t="shared" si="9"/>
        <v>0.25</v>
      </c>
    </row>
    <row r="602" spans="1:10" x14ac:dyDescent="0.3">
      <c r="A602" s="33">
        <v>601</v>
      </c>
      <c r="B602" s="4">
        <v>39</v>
      </c>
      <c r="C602" s="15">
        <v>285</v>
      </c>
      <c r="D602" s="16">
        <v>9</v>
      </c>
      <c r="E602" s="22">
        <v>43954</v>
      </c>
      <c r="F602" s="17">
        <v>10</v>
      </c>
      <c r="G602" s="18">
        <v>0.09</v>
      </c>
      <c r="H602">
        <f>F602*VLOOKUP(B602,產品!$A$2:$H$61,7,FALSE)*(1-銷售總表!G602)</f>
        <v>163800</v>
      </c>
      <c r="I602" s="35">
        <f>H602-F602*VLOOKUP(銷售總表!B602,產品!$A$2:$H$61,8,FALSE)</f>
        <v>46800</v>
      </c>
      <c r="J602" s="20">
        <f t="shared" si="9"/>
        <v>0.2857142857142857</v>
      </c>
    </row>
    <row r="603" spans="1:10" x14ac:dyDescent="0.3">
      <c r="A603" s="33">
        <v>602</v>
      </c>
      <c r="B603" s="4">
        <v>60</v>
      </c>
      <c r="C603" s="15">
        <v>291</v>
      </c>
      <c r="D603" s="16">
        <v>5</v>
      </c>
      <c r="E603" s="22">
        <v>43954</v>
      </c>
      <c r="F603" s="17">
        <v>8</v>
      </c>
      <c r="G603" s="18">
        <v>0.11</v>
      </c>
      <c r="H603">
        <f>F603*VLOOKUP(B603,產品!$A$2:$H$61,7,FALSE)*(1-銷售總表!G603)</f>
        <v>178000</v>
      </c>
      <c r="I603" s="35">
        <f>H603-F603*VLOOKUP(銷售總表!B603,產品!$A$2:$H$61,8,FALSE)</f>
        <v>38000</v>
      </c>
      <c r="J603" s="20">
        <f t="shared" si="9"/>
        <v>0.21348314606741572</v>
      </c>
    </row>
    <row r="604" spans="1:10" x14ac:dyDescent="0.3">
      <c r="A604" s="33">
        <v>603</v>
      </c>
      <c r="B604" s="4">
        <v>7</v>
      </c>
      <c r="C604" s="15">
        <v>8</v>
      </c>
      <c r="D604" s="16">
        <v>1</v>
      </c>
      <c r="E604" s="22">
        <v>43954</v>
      </c>
      <c r="F604" s="17">
        <v>50</v>
      </c>
      <c r="G604" s="18">
        <v>0.1</v>
      </c>
      <c r="H604">
        <f>F604*VLOOKUP(B604,產品!$A$2:$H$61,7,FALSE)*(1-銷售總表!G604)</f>
        <v>45000</v>
      </c>
      <c r="I604" s="35">
        <f>H604-F604*VLOOKUP(銷售總表!B604,產品!$A$2:$H$61,8,FALSE)</f>
        <v>25000</v>
      </c>
      <c r="J604" s="20">
        <f t="shared" si="9"/>
        <v>0.55555555555555558</v>
      </c>
    </row>
    <row r="605" spans="1:10" x14ac:dyDescent="0.3">
      <c r="A605" s="33">
        <v>604</v>
      </c>
      <c r="B605" s="4">
        <v>30</v>
      </c>
      <c r="C605" s="15">
        <v>138</v>
      </c>
      <c r="D605" s="16">
        <v>9</v>
      </c>
      <c r="E605" s="22">
        <v>43954</v>
      </c>
      <c r="F605" s="17">
        <v>15</v>
      </c>
      <c r="G605" s="18">
        <v>0.2</v>
      </c>
      <c r="H605">
        <f>F605*VLOOKUP(B605,產品!$A$2:$H$61,7,FALSE)*(1-銷售總表!G605)</f>
        <v>78000</v>
      </c>
      <c r="I605" s="35">
        <f>H605-F605*VLOOKUP(銷售總表!B605,產品!$A$2:$H$61,8,FALSE)</f>
        <v>19500</v>
      </c>
      <c r="J605" s="20">
        <f t="shared" si="9"/>
        <v>0.25</v>
      </c>
    </row>
    <row r="606" spans="1:10" x14ac:dyDescent="0.3">
      <c r="A606" s="33">
        <v>605</v>
      </c>
      <c r="B606" s="4">
        <v>23</v>
      </c>
      <c r="C606" s="15">
        <v>4</v>
      </c>
      <c r="D606" s="16">
        <v>2</v>
      </c>
      <c r="E606" s="22">
        <v>43954</v>
      </c>
      <c r="F606" s="17">
        <v>20</v>
      </c>
      <c r="G606" s="18">
        <v>0.16</v>
      </c>
      <c r="H606">
        <f>F606*VLOOKUP(B606,產品!$A$2:$H$61,7,FALSE)*(1-銷售總表!G606)</f>
        <v>30240</v>
      </c>
      <c r="I606" s="35">
        <f>H606-F606*VLOOKUP(銷售總表!B606,產品!$A$2:$H$61,8,FALSE)</f>
        <v>15840</v>
      </c>
      <c r="J606" s="20">
        <f t="shared" si="9"/>
        <v>0.52380952380952384</v>
      </c>
    </row>
    <row r="607" spans="1:10" x14ac:dyDescent="0.3">
      <c r="A607" s="33">
        <v>606</v>
      </c>
      <c r="B607" s="4">
        <v>33</v>
      </c>
      <c r="C607" s="15">
        <v>287</v>
      </c>
      <c r="D607" s="16">
        <v>1</v>
      </c>
      <c r="E607" s="22">
        <v>43954</v>
      </c>
      <c r="F607" s="17">
        <v>2</v>
      </c>
      <c r="G607" s="18">
        <v>0.09</v>
      </c>
      <c r="H607">
        <f>F607*VLOOKUP(B607,產品!$A$2:$H$61,7,FALSE)*(1-銷售總表!G607)</f>
        <v>13650</v>
      </c>
      <c r="I607" s="35">
        <f>H607-F607*VLOOKUP(銷售總表!B607,產品!$A$2:$H$61,8,FALSE)</f>
        <v>4650</v>
      </c>
      <c r="J607" s="20">
        <f t="shared" si="9"/>
        <v>0.34065934065934067</v>
      </c>
    </row>
    <row r="608" spans="1:10" x14ac:dyDescent="0.3">
      <c r="A608" s="33">
        <v>607</v>
      </c>
      <c r="B608" s="4">
        <v>13</v>
      </c>
      <c r="C608" s="15">
        <v>257</v>
      </c>
      <c r="D608" s="16">
        <v>5</v>
      </c>
      <c r="E608" s="22">
        <v>43955</v>
      </c>
      <c r="F608" s="17">
        <v>100</v>
      </c>
      <c r="G608" s="18">
        <v>0.15</v>
      </c>
      <c r="H608">
        <f>F608*VLOOKUP(B608,產品!$A$2:$H$61,7,FALSE)*(1-銷售總表!G608)</f>
        <v>153000</v>
      </c>
      <c r="I608" s="35">
        <f>H608-F608*VLOOKUP(銷售總表!B608,產品!$A$2:$H$61,8,FALSE)</f>
        <v>81000</v>
      </c>
      <c r="J608" s="20">
        <f t="shared" si="9"/>
        <v>0.52941176470588236</v>
      </c>
    </row>
    <row r="609" spans="1:10" x14ac:dyDescent="0.3">
      <c r="A609" s="33">
        <v>608</v>
      </c>
      <c r="B609" s="4">
        <v>58</v>
      </c>
      <c r="C609" s="15">
        <v>123</v>
      </c>
      <c r="D609" s="16">
        <v>8</v>
      </c>
      <c r="E609" s="22">
        <v>43955</v>
      </c>
      <c r="F609" s="17">
        <v>8</v>
      </c>
      <c r="G609" s="18">
        <v>0.12</v>
      </c>
      <c r="H609">
        <f>F609*VLOOKUP(B609,產品!$A$2:$H$61,7,FALSE)*(1-銷售總表!G609)</f>
        <v>147840</v>
      </c>
      <c r="I609" s="35">
        <f>H609-F609*VLOOKUP(銷售總表!B609,產品!$A$2:$H$61,8,FALSE)</f>
        <v>30240.000000000015</v>
      </c>
      <c r="J609" s="20">
        <f t="shared" si="9"/>
        <v>0.20454545454545464</v>
      </c>
    </row>
    <row r="610" spans="1:10" x14ac:dyDescent="0.3">
      <c r="A610" s="33">
        <v>609</v>
      </c>
      <c r="B610" s="4">
        <v>26</v>
      </c>
      <c r="C610" s="15">
        <v>10</v>
      </c>
      <c r="D610" s="16">
        <v>4</v>
      </c>
      <c r="E610" s="22">
        <v>43955</v>
      </c>
      <c r="F610" s="17">
        <v>20</v>
      </c>
      <c r="G610" s="18">
        <v>0.2</v>
      </c>
      <c r="H610">
        <f>F610*VLOOKUP(B610,產品!$A$2:$H$61,7,FALSE)*(1-銷售總表!G610)</f>
        <v>104000</v>
      </c>
      <c r="I610" s="35">
        <f>H610-F610*VLOOKUP(銷售總表!B610,產品!$A$2:$H$61,8,FALSE)</f>
        <v>26000</v>
      </c>
      <c r="J610" s="20">
        <f t="shared" si="9"/>
        <v>0.25</v>
      </c>
    </row>
    <row r="611" spans="1:10" x14ac:dyDescent="0.3">
      <c r="A611" s="33">
        <v>610</v>
      </c>
      <c r="B611" s="4">
        <v>4</v>
      </c>
      <c r="C611" s="15">
        <v>267</v>
      </c>
      <c r="D611" s="16">
        <v>5</v>
      </c>
      <c r="E611" s="22">
        <v>43955</v>
      </c>
      <c r="F611" s="19">
        <v>30</v>
      </c>
      <c r="G611" s="18">
        <v>0.11</v>
      </c>
      <c r="H611">
        <f>F611*VLOOKUP(B611,產品!$A$2:$H$61,7,FALSE)*(1-銷售總表!G611)</f>
        <v>26700</v>
      </c>
      <c r="I611" s="35">
        <f>H611-F611*VLOOKUP(銷售總表!B611,產品!$A$2:$H$61,8,FALSE)</f>
        <v>14700</v>
      </c>
      <c r="J611" s="20">
        <f t="shared" si="9"/>
        <v>0.550561797752809</v>
      </c>
    </row>
    <row r="612" spans="1:10" x14ac:dyDescent="0.3">
      <c r="A612" s="33">
        <v>611</v>
      </c>
      <c r="B612" s="4">
        <v>5</v>
      </c>
      <c r="C612" s="15">
        <v>140</v>
      </c>
      <c r="D612" s="16">
        <v>8</v>
      </c>
      <c r="E612" s="22">
        <v>43955</v>
      </c>
      <c r="F612" s="17">
        <v>30</v>
      </c>
      <c r="G612" s="18">
        <v>0.15</v>
      </c>
      <c r="H612">
        <f>F612*VLOOKUP(B612,產品!$A$2:$H$61,7,FALSE)*(1-銷售總表!G612)</f>
        <v>25500</v>
      </c>
      <c r="I612" s="35">
        <f>H612-F612*VLOOKUP(銷售總表!B612,產品!$A$2:$H$61,8,FALSE)</f>
        <v>13500</v>
      </c>
      <c r="J612" s="20">
        <f t="shared" si="9"/>
        <v>0.52941176470588236</v>
      </c>
    </row>
    <row r="613" spans="1:10" x14ac:dyDescent="0.3">
      <c r="A613" s="33">
        <v>612</v>
      </c>
      <c r="B613" s="4">
        <v>48</v>
      </c>
      <c r="C613" s="15">
        <v>292</v>
      </c>
      <c r="D613" s="16">
        <v>6</v>
      </c>
      <c r="E613" s="22">
        <v>43955</v>
      </c>
      <c r="F613" s="17">
        <v>3</v>
      </c>
      <c r="G613" s="18">
        <v>0.15</v>
      </c>
      <c r="H613">
        <f>F613*VLOOKUP(B613,產品!$A$2:$H$61,7,FALSE)*(1-銷售總表!G613)</f>
        <v>56100</v>
      </c>
      <c r="I613" s="35">
        <f>H613-F613*VLOOKUP(銷售總表!B613,產品!$A$2:$H$61,8,FALSE)</f>
        <v>13200</v>
      </c>
      <c r="J613" s="20">
        <f t="shared" si="9"/>
        <v>0.23529411764705882</v>
      </c>
    </row>
    <row r="614" spans="1:10" x14ac:dyDescent="0.3">
      <c r="A614" s="33">
        <v>613</v>
      </c>
      <c r="B614" s="4">
        <v>4</v>
      </c>
      <c r="C614" s="15">
        <v>8</v>
      </c>
      <c r="D614" s="16">
        <v>5</v>
      </c>
      <c r="E614" s="22">
        <v>43955</v>
      </c>
      <c r="F614" s="17">
        <v>10</v>
      </c>
      <c r="G614" s="18">
        <v>0.12</v>
      </c>
      <c r="H614">
        <f>F614*VLOOKUP(B614,產品!$A$2:$H$61,7,FALSE)*(1-銷售總表!G614)</f>
        <v>8800</v>
      </c>
      <c r="I614" s="35">
        <f>H614-F614*VLOOKUP(銷售總表!B614,產品!$A$2:$H$61,8,FALSE)</f>
        <v>4800</v>
      </c>
      <c r="J614" s="20">
        <f t="shared" si="9"/>
        <v>0.54545454545454541</v>
      </c>
    </row>
    <row r="615" spans="1:10" x14ac:dyDescent="0.3">
      <c r="A615" s="33">
        <v>614</v>
      </c>
      <c r="B615" s="4">
        <v>6</v>
      </c>
      <c r="C615" s="15">
        <v>282</v>
      </c>
      <c r="D615" s="16">
        <v>1</v>
      </c>
      <c r="E615" s="22">
        <v>43955</v>
      </c>
      <c r="F615" s="17">
        <v>10</v>
      </c>
      <c r="G615" s="18">
        <v>0.16</v>
      </c>
      <c r="H615">
        <f>F615*VLOOKUP(B615,產品!$A$2:$H$61,7,FALSE)*(1-銷售總表!G615)</f>
        <v>8400</v>
      </c>
      <c r="I615" s="35">
        <f>H615-F615*VLOOKUP(銷售總表!B615,產品!$A$2:$H$61,8,FALSE)</f>
        <v>4400</v>
      </c>
      <c r="J615" s="20">
        <f t="shared" si="9"/>
        <v>0.52380952380952384</v>
      </c>
    </row>
    <row r="616" spans="1:10" x14ac:dyDescent="0.3">
      <c r="A616" s="33">
        <v>615</v>
      </c>
      <c r="B616" s="4">
        <v>32</v>
      </c>
      <c r="C616" s="15">
        <v>2</v>
      </c>
      <c r="D616" s="16">
        <v>5</v>
      </c>
      <c r="E616" s="22">
        <v>43956</v>
      </c>
      <c r="F616" s="17">
        <v>15</v>
      </c>
      <c r="G616" s="18">
        <v>0.2</v>
      </c>
      <c r="H616">
        <f>F616*VLOOKUP(B616,產品!$A$2:$H$61,7,FALSE)*(1-銷售總表!G616)</f>
        <v>90000</v>
      </c>
      <c r="I616" s="35">
        <f>H616-F616*VLOOKUP(銷售總表!B616,產品!$A$2:$H$61,8,FALSE)</f>
        <v>22500</v>
      </c>
      <c r="J616" s="20">
        <f t="shared" si="9"/>
        <v>0.25</v>
      </c>
    </row>
    <row r="617" spans="1:10" x14ac:dyDescent="0.3">
      <c r="A617" s="33">
        <v>616</v>
      </c>
      <c r="B617" s="4">
        <v>52</v>
      </c>
      <c r="C617" s="15">
        <v>137</v>
      </c>
      <c r="D617" s="16">
        <v>5</v>
      </c>
      <c r="E617" s="22">
        <v>43956</v>
      </c>
      <c r="F617" s="17">
        <v>2</v>
      </c>
      <c r="G617" s="18">
        <v>0.06</v>
      </c>
      <c r="H617">
        <f>F617*VLOOKUP(B617,產品!$A$2:$H$61,7,FALSE)*(1-銷售總表!G617)</f>
        <v>41360</v>
      </c>
      <c r="I617" s="35">
        <f>H617-F617*VLOOKUP(銷售總表!B617,產品!$A$2:$H$61,8,FALSE)</f>
        <v>10560.000000000004</v>
      </c>
      <c r="J617" s="20">
        <f t="shared" si="9"/>
        <v>0.2553191489361703</v>
      </c>
    </row>
    <row r="618" spans="1:10" x14ac:dyDescent="0.3">
      <c r="A618" s="33">
        <v>617</v>
      </c>
      <c r="B618" s="4">
        <v>47</v>
      </c>
      <c r="C618" s="15">
        <v>136</v>
      </c>
      <c r="D618" s="16">
        <v>7</v>
      </c>
      <c r="E618" s="22">
        <v>43956</v>
      </c>
      <c r="F618" s="17">
        <v>2</v>
      </c>
      <c r="G618" s="18">
        <v>0.1</v>
      </c>
      <c r="H618">
        <f>F618*VLOOKUP(B618,產品!$A$2:$H$61,7,FALSE)*(1-銷售總表!G618)</f>
        <v>36000</v>
      </c>
      <c r="I618" s="35">
        <f>H618-F618*VLOOKUP(銷售總表!B618,產品!$A$2:$H$61,8,FALSE)</f>
        <v>10000</v>
      </c>
      <c r="J618" s="20">
        <f t="shared" si="9"/>
        <v>0.27777777777777779</v>
      </c>
    </row>
    <row r="619" spans="1:10" x14ac:dyDescent="0.3">
      <c r="A619" s="33">
        <v>618</v>
      </c>
      <c r="B619" s="4">
        <v>42</v>
      </c>
      <c r="C619" s="15">
        <v>258</v>
      </c>
      <c r="D619" s="16">
        <v>7</v>
      </c>
      <c r="E619" s="22">
        <v>43956</v>
      </c>
      <c r="F619" s="17">
        <v>3</v>
      </c>
      <c r="G619" s="18">
        <v>0.18</v>
      </c>
      <c r="H619">
        <f>F619*VLOOKUP(B619,產品!$A$2:$H$61,7,FALSE)*(1-銷售總表!G619)</f>
        <v>36900</v>
      </c>
      <c r="I619" s="35">
        <f>H619-F619*VLOOKUP(銷售總表!B619,產品!$A$2:$H$61,8,FALSE)</f>
        <v>7650</v>
      </c>
      <c r="J619" s="20">
        <f t="shared" si="9"/>
        <v>0.2073170731707317</v>
      </c>
    </row>
    <row r="620" spans="1:10" x14ac:dyDescent="0.3">
      <c r="A620" s="33">
        <v>619</v>
      </c>
      <c r="B620" s="4">
        <v>2</v>
      </c>
      <c r="C620" s="15">
        <v>114</v>
      </c>
      <c r="D620" s="16">
        <v>5</v>
      </c>
      <c r="E620" s="22">
        <v>43956</v>
      </c>
      <c r="F620" s="17">
        <v>10</v>
      </c>
      <c r="G620" s="18">
        <v>0.15</v>
      </c>
      <c r="H620">
        <f>F620*VLOOKUP(B620,產品!$A$2:$H$61,7,FALSE)*(1-銷售總表!G620)</f>
        <v>8500</v>
      </c>
      <c r="I620" s="35">
        <f>H620-F620*VLOOKUP(銷售總表!B620,產品!$A$2:$H$61,8,FALSE)</f>
        <v>4500</v>
      </c>
      <c r="J620" s="20">
        <f t="shared" si="9"/>
        <v>0.52941176470588236</v>
      </c>
    </row>
    <row r="621" spans="1:10" x14ac:dyDescent="0.3">
      <c r="A621" s="33">
        <v>620</v>
      </c>
      <c r="B621" s="4">
        <v>43</v>
      </c>
      <c r="C621" s="15">
        <v>284</v>
      </c>
      <c r="D621" s="16">
        <v>10</v>
      </c>
      <c r="E621" s="22">
        <v>43956</v>
      </c>
      <c r="F621" s="17">
        <v>1</v>
      </c>
      <c r="G621" s="18">
        <v>0.16</v>
      </c>
      <c r="H621">
        <f>F621*VLOOKUP(B621,產品!$A$2:$H$61,7,FALSE)*(1-銷售總表!G621)</f>
        <v>15120</v>
      </c>
      <c r="I621" s="35">
        <f>H621-F621*VLOOKUP(銷售總表!B621,產品!$A$2:$H$61,8,FALSE)</f>
        <v>3420</v>
      </c>
      <c r="J621" s="20">
        <f t="shared" si="9"/>
        <v>0.22619047619047619</v>
      </c>
    </row>
    <row r="622" spans="1:10" x14ac:dyDescent="0.3">
      <c r="A622" s="33">
        <v>621</v>
      </c>
      <c r="B622" s="4">
        <v>6</v>
      </c>
      <c r="C622" s="15">
        <v>120</v>
      </c>
      <c r="D622" s="16">
        <v>3</v>
      </c>
      <c r="E622" s="22">
        <v>43957</v>
      </c>
      <c r="F622" s="17">
        <v>150</v>
      </c>
      <c r="G622" s="18">
        <v>0.08</v>
      </c>
      <c r="H622">
        <f>F622*VLOOKUP(B622,產品!$A$2:$H$61,7,FALSE)*(1-銷售總表!G622)</f>
        <v>138000</v>
      </c>
      <c r="I622" s="35">
        <f>H622-F622*VLOOKUP(銷售總表!B622,產品!$A$2:$H$61,8,FALSE)</f>
        <v>78000</v>
      </c>
      <c r="J622" s="20">
        <f t="shared" si="9"/>
        <v>0.56521739130434778</v>
      </c>
    </row>
    <row r="623" spans="1:10" x14ac:dyDescent="0.3">
      <c r="A623" s="33">
        <v>622</v>
      </c>
      <c r="B623" s="4">
        <v>47</v>
      </c>
      <c r="C623" s="15">
        <v>113</v>
      </c>
      <c r="D623" s="16">
        <v>1</v>
      </c>
      <c r="E623" s="22">
        <v>43957</v>
      </c>
      <c r="F623" s="17">
        <v>12</v>
      </c>
      <c r="G623" s="18">
        <v>0.12</v>
      </c>
      <c r="H623">
        <f>F623*VLOOKUP(B623,產品!$A$2:$H$61,7,FALSE)*(1-銷售總表!G623)</f>
        <v>211200</v>
      </c>
      <c r="I623" s="35">
        <f>H623-F623*VLOOKUP(銷售總表!B623,產品!$A$2:$H$61,8,FALSE)</f>
        <v>55200</v>
      </c>
      <c r="J623" s="20">
        <f t="shared" si="9"/>
        <v>0.26136363636363635</v>
      </c>
    </row>
    <row r="624" spans="1:10" x14ac:dyDescent="0.3">
      <c r="A624" s="33">
        <v>623</v>
      </c>
      <c r="B624" s="4">
        <v>41</v>
      </c>
      <c r="C624" s="15">
        <v>3</v>
      </c>
      <c r="D624" s="16">
        <v>4</v>
      </c>
      <c r="E624" s="22">
        <v>43957</v>
      </c>
      <c r="F624" s="19">
        <v>11</v>
      </c>
      <c r="G624" s="18">
        <v>0.06</v>
      </c>
      <c r="H624">
        <f>F624*VLOOKUP(B624,產品!$A$2:$H$61,7,FALSE)*(1-銷售總表!G624)</f>
        <v>124080</v>
      </c>
      <c r="I624" s="35">
        <f>H624-F624*VLOOKUP(銷售總表!B624,產品!$A$2:$H$61,8,FALSE)</f>
        <v>38280</v>
      </c>
      <c r="J624" s="20">
        <f t="shared" si="9"/>
        <v>0.30851063829787234</v>
      </c>
    </row>
    <row r="625" spans="1:10" x14ac:dyDescent="0.3">
      <c r="A625" s="33">
        <v>624</v>
      </c>
      <c r="B625" s="4">
        <v>27</v>
      </c>
      <c r="C625" s="15">
        <v>264</v>
      </c>
      <c r="D625" s="16">
        <v>8</v>
      </c>
      <c r="E625" s="22">
        <v>43957</v>
      </c>
      <c r="F625" s="17">
        <v>12</v>
      </c>
      <c r="G625" s="18">
        <v>0.05</v>
      </c>
      <c r="H625">
        <f>F625*VLOOKUP(B625,產品!$A$2:$H$61,7,FALSE)*(1-銷售總表!G625)</f>
        <v>79800</v>
      </c>
      <c r="I625" s="35">
        <f>H625-F625*VLOOKUP(銷售總表!B625,產品!$A$2:$H$61,8,FALSE)</f>
        <v>29400</v>
      </c>
      <c r="J625" s="20">
        <f t="shared" si="9"/>
        <v>0.36842105263157893</v>
      </c>
    </row>
    <row r="626" spans="1:10" x14ac:dyDescent="0.3">
      <c r="A626" s="33">
        <v>625</v>
      </c>
      <c r="B626" s="4">
        <v>26</v>
      </c>
      <c r="C626" s="15">
        <v>116</v>
      </c>
      <c r="D626" s="16">
        <v>1</v>
      </c>
      <c r="E626" s="22">
        <v>43957</v>
      </c>
      <c r="F626" s="17">
        <v>15</v>
      </c>
      <c r="G626" s="18">
        <v>0.11</v>
      </c>
      <c r="H626">
        <f>F626*VLOOKUP(B626,產品!$A$2:$H$61,7,FALSE)*(1-銷售總表!G626)</f>
        <v>86775</v>
      </c>
      <c r="I626" s="35">
        <f>H626-F626*VLOOKUP(銷售總表!B626,產品!$A$2:$H$61,8,FALSE)</f>
        <v>28275</v>
      </c>
      <c r="J626" s="20">
        <f t="shared" si="9"/>
        <v>0.3258426966292135</v>
      </c>
    </row>
    <row r="627" spans="1:10" x14ac:dyDescent="0.3">
      <c r="A627" s="33">
        <v>626</v>
      </c>
      <c r="B627" s="4">
        <v>13</v>
      </c>
      <c r="C627" s="15">
        <v>114</v>
      </c>
      <c r="D627" s="16">
        <v>9</v>
      </c>
      <c r="E627" s="22">
        <v>43957</v>
      </c>
      <c r="F627" s="17">
        <v>30</v>
      </c>
      <c r="G627" s="18">
        <v>0.1</v>
      </c>
      <c r="H627">
        <f>F627*VLOOKUP(B627,產品!$A$2:$H$61,7,FALSE)*(1-銷售總表!G627)</f>
        <v>48600</v>
      </c>
      <c r="I627" s="35">
        <f>H627-F627*VLOOKUP(銷售總表!B627,產品!$A$2:$H$61,8,FALSE)</f>
        <v>27000</v>
      </c>
      <c r="J627" s="20">
        <f t="shared" si="9"/>
        <v>0.55555555555555558</v>
      </c>
    </row>
    <row r="628" spans="1:10" x14ac:dyDescent="0.3">
      <c r="A628" s="33">
        <v>627</v>
      </c>
      <c r="B628" s="4">
        <v>42</v>
      </c>
      <c r="C628" s="15">
        <v>4</v>
      </c>
      <c r="D628" s="16">
        <v>2</v>
      </c>
      <c r="E628" s="22">
        <v>43957</v>
      </c>
      <c r="F628" s="17">
        <v>5</v>
      </c>
      <c r="G628" s="18">
        <v>0.06</v>
      </c>
      <c r="H628">
        <f>F628*VLOOKUP(B628,產品!$A$2:$H$61,7,FALSE)*(1-銷售總表!G628)</f>
        <v>70500</v>
      </c>
      <c r="I628" s="35">
        <f>H628-F628*VLOOKUP(銷售總表!B628,產品!$A$2:$H$61,8,FALSE)</f>
        <v>21750</v>
      </c>
      <c r="J628" s="20">
        <f t="shared" si="9"/>
        <v>0.30851063829787234</v>
      </c>
    </row>
    <row r="629" spans="1:10" x14ac:dyDescent="0.3">
      <c r="A629" s="33">
        <v>628</v>
      </c>
      <c r="B629" s="4">
        <v>50</v>
      </c>
      <c r="C629" s="15">
        <v>7</v>
      </c>
      <c r="D629" s="16">
        <v>10</v>
      </c>
      <c r="E629" s="22">
        <v>43957</v>
      </c>
      <c r="F629" s="17">
        <v>9</v>
      </c>
      <c r="G629" s="18">
        <v>0.19</v>
      </c>
      <c r="H629">
        <f>F629*VLOOKUP(B629,產品!$A$2:$H$61,7,FALSE)*(1-銷售總表!G629)</f>
        <v>131220</v>
      </c>
      <c r="I629" s="35">
        <f>H629-F629*VLOOKUP(銷售總表!B629,產品!$A$2:$H$61,8,FALSE)</f>
        <v>17820</v>
      </c>
      <c r="J629" s="20">
        <f t="shared" si="9"/>
        <v>0.13580246913580246</v>
      </c>
    </row>
    <row r="630" spans="1:10" x14ac:dyDescent="0.3">
      <c r="A630" s="33">
        <v>629</v>
      </c>
      <c r="B630" s="4">
        <v>59</v>
      </c>
      <c r="C630" s="15">
        <v>5</v>
      </c>
      <c r="D630" s="16">
        <v>2</v>
      </c>
      <c r="E630" s="22">
        <v>43957</v>
      </c>
      <c r="F630" s="19">
        <v>3</v>
      </c>
      <c r="G630" s="18">
        <v>0.14000000000000001</v>
      </c>
      <c r="H630">
        <f>F630*VLOOKUP(B630,產品!$A$2:$H$61,7,FALSE)*(1-銷售總表!G630)</f>
        <v>61920</v>
      </c>
      <c r="I630" s="35">
        <f>H630-F630*VLOOKUP(銷售總表!B630,產品!$A$2:$H$61,8,FALSE)</f>
        <v>11520</v>
      </c>
      <c r="J630" s="20">
        <f t="shared" si="9"/>
        <v>0.18604651162790697</v>
      </c>
    </row>
    <row r="631" spans="1:10" x14ac:dyDescent="0.3">
      <c r="A631" s="33">
        <v>630</v>
      </c>
      <c r="B631" s="4">
        <v>5</v>
      </c>
      <c r="C631" s="15">
        <v>6</v>
      </c>
      <c r="D631" s="16">
        <v>3</v>
      </c>
      <c r="E631" s="22">
        <v>43958</v>
      </c>
      <c r="F631" s="17">
        <v>200</v>
      </c>
      <c r="G631" s="18">
        <v>0.09</v>
      </c>
      <c r="H631">
        <f>F631*VLOOKUP(B631,產品!$A$2:$H$61,7,FALSE)*(1-銷售總表!G631)</f>
        <v>182000</v>
      </c>
      <c r="I631" s="35">
        <f>H631-F631*VLOOKUP(銷售總表!B631,產品!$A$2:$H$61,8,FALSE)</f>
        <v>102000</v>
      </c>
      <c r="J631" s="20">
        <f t="shared" si="9"/>
        <v>0.56043956043956045</v>
      </c>
    </row>
    <row r="632" spans="1:10" x14ac:dyDescent="0.3">
      <c r="A632" s="33">
        <v>631</v>
      </c>
      <c r="B632" s="4">
        <v>5</v>
      </c>
      <c r="C632" s="15">
        <v>8</v>
      </c>
      <c r="D632" s="16">
        <v>6</v>
      </c>
      <c r="E632" s="22">
        <v>43958</v>
      </c>
      <c r="F632" s="17">
        <v>120</v>
      </c>
      <c r="G632" s="18">
        <v>0.13</v>
      </c>
      <c r="H632">
        <f>F632*VLOOKUP(B632,產品!$A$2:$H$61,7,FALSE)*(1-銷售總表!G632)</f>
        <v>104400</v>
      </c>
      <c r="I632" s="35">
        <f>H632-F632*VLOOKUP(銷售總表!B632,產品!$A$2:$H$61,8,FALSE)</f>
        <v>56400</v>
      </c>
      <c r="J632" s="20">
        <f t="shared" si="9"/>
        <v>0.54022988505747127</v>
      </c>
    </row>
    <row r="633" spans="1:10" x14ac:dyDescent="0.3">
      <c r="A633" s="33">
        <v>632</v>
      </c>
      <c r="B633" s="4">
        <v>56</v>
      </c>
      <c r="C633" s="15">
        <v>8</v>
      </c>
      <c r="D633" s="16">
        <v>4</v>
      </c>
      <c r="E633" s="22">
        <v>43958</v>
      </c>
      <c r="F633" s="17">
        <v>8</v>
      </c>
      <c r="G633" s="18">
        <v>0.09</v>
      </c>
      <c r="H633">
        <f>F633*VLOOKUP(B633,產品!$A$2:$H$61,7,FALSE)*(1-銷售總表!G633)</f>
        <v>160160</v>
      </c>
      <c r="I633" s="35">
        <f>H633-F633*VLOOKUP(銷售總表!B633,產品!$A$2:$H$61,8,FALSE)</f>
        <v>36960.000000000015</v>
      </c>
      <c r="J633" s="20">
        <f t="shared" si="9"/>
        <v>0.23076923076923087</v>
      </c>
    </row>
    <row r="634" spans="1:10" x14ac:dyDescent="0.3">
      <c r="A634" s="33">
        <v>633</v>
      </c>
      <c r="B634" s="4">
        <v>6</v>
      </c>
      <c r="C634" s="15">
        <v>121</v>
      </c>
      <c r="D634" s="16">
        <v>4</v>
      </c>
      <c r="E634" s="22">
        <v>43958</v>
      </c>
      <c r="F634" s="17">
        <v>50</v>
      </c>
      <c r="G634" s="18">
        <v>0.09</v>
      </c>
      <c r="H634">
        <f>F634*VLOOKUP(B634,產品!$A$2:$H$61,7,FALSE)*(1-銷售總表!G634)</f>
        <v>45500</v>
      </c>
      <c r="I634" s="35">
        <f>H634-F634*VLOOKUP(銷售總表!B634,產品!$A$2:$H$61,8,FALSE)</f>
        <v>25500</v>
      </c>
      <c r="J634" s="20">
        <f t="shared" si="9"/>
        <v>0.56043956043956045</v>
      </c>
    </row>
    <row r="635" spans="1:10" x14ac:dyDescent="0.3">
      <c r="A635" s="33">
        <v>634</v>
      </c>
      <c r="B635" s="4">
        <v>41</v>
      </c>
      <c r="C635" s="15">
        <v>265</v>
      </c>
      <c r="D635" s="16">
        <v>4</v>
      </c>
      <c r="E635" s="22">
        <v>43958</v>
      </c>
      <c r="F635" s="17">
        <v>4</v>
      </c>
      <c r="G635" s="18">
        <v>0.06</v>
      </c>
      <c r="H635">
        <f>F635*VLOOKUP(B635,產品!$A$2:$H$61,7,FALSE)*(1-銷售總表!G635)</f>
        <v>45120</v>
      </c>
      <c r="I635" s="35">
        <f>H635-F635*VLOOKUP(銷售總表!B635,產品!$A$2:$H$61,8,FALSE)</f>
        <v>13920</v>
      </c>
      <c r="J635" s="20">
        <f t="shared" si="9"/>
        <v>0.30851063829787234</v>
      </c>
    </row>
    <row r="636" spans="1:10" x14ac:dyDescent="0.3">
      <c r="A636" s="33">
        <v>635</v>
      </c>
      <c r="B636" s="4">
        <v>4</v>
      </c>
      <c r="C636" s="15">
        <v>115</v>
      </c>
      <c r="D636" s="16">
        <v>7</v>
      </c>
      <c r="E636" s="22">
        <v>43958</v>
      </c>
      <c r="F636" s="17">
        <v>30</v>
      </c>
      <c r="G636" s="18">
        <v>0.17</v>
      </c>
      <c r="H636">
        <f>F636*VLOOKUP(B636,產品!$A$2:$H$61,7,FALSE)*(1-銷售總表!G636)</f>
        <v>24900</v>
      </c>
      <c r="I636" s="35">
        <f>H636-F636*VLOOKUP(銷售總表!B636,產品!$A$2:$H$61,8,FALSE)</f>
        <v>12900</v>
      </c>
      <c r="J636" s="20">
        <f t="shared" si="9"/>
        <v>0.51807228915662651</v>
      </c>
    </row>
    <row r="637" spans="1:10" x14ac:dyDescent="0.3">
      <c r="A637" s="33">
        <v>636</v>
      </c>
      <c r="B637" s="4">
        <v>37</v>
      </c>
      <c r="C637" s="15">
        <v>121</v>
      </c>
      <c r="D637" s="16">
        <v>8</v>
      </c>
      <c r="E637" s="22">
        <v>43958</v>
      </c>
      <c r="F637" s="17">
        <v>6</v>
      </c>
      <c r="G637" s="18">
        <v>0.18</v>
      </c>
      <c r="H637">
        <f>F637*VLOOKUP(B637,產品!$A$2:$H$61,7,FALSE)*(1-銷售總表!G637)</f>
        <v>59040.000000000007</v>
      </c>
      <c r="I637" s="35">
        <f>H637-F637*VLOOKUP(銷售總表!B637,產品!$A$2:$H$61,8,FALSE)</f>
        <v>12240.000000000007</v>
      </c>
      <c r="J637" s="20">
        <f t="shared" si="9"/>
        <v>0.20731707317073181</v>
      </c>
    </row>
    <row r="638" spans="1:10" x14ac:dyDescent="0.3">
      <c r="A638" s="33">
        <v>637</v>
      </c>
      <c r="B638" s="4">
        <v>36</v>
      </c>
      <c r="C638" s="15">
        <v>4</v>
      </c>
      <c r="D638" s="16">
        <v>6</v>
      </c>
      <c r="E638" s="22">
        <v>43958</v>
      </c>
      <c r="F638" s="17">
        <v>4</v>
      </c>
      <c r="G638" s="18">
        <v>0.16</v>
      </c>
      <c r="H638">
        <f>F638*VLOOKUP(B638,產品!$A$2:$H$61,7,FALSE)*(1-銷售總表!G638)</f>
        <v>30240</v>
      </c>
      <c r="I638" s="35">
        <f>H638-F638*VLOOKUP(銷售總表!B638,產品!$A$2:$H$61,8,FALSE)</f>
        <v>8640</v>
      </c>
      <c r="J638" s="20">
        <f t="shared" si="9"/>
        <v>0.2857142857142857</v>
      </c>
    </row>
    <row r="639" spans="1:10" x14ac:dyDescent="0.3">
      <c r="A639" s="33">
        <v>638</v>
      </c>
      <c r="B639" s="4">
        <v>53</v>
      </c>
      <c r="C639" s="15">
        <v>112</v>
      </c>
      <c r="D639" s="16">
        <v>3</v>
      </c>
      <c r="E639" s="22">
        <v>43958</v>
      </c>
      <c r="F639" s="17">
        <v>2</v>
      </c>
      <c r="G639" s="18">
        <v>7.0000000000000007E-2</v>
      </c>
      <c r="H639">
        <f>F639*VLOOKUP(B639,產品!$A$2:$H$61,7,FALSE)*(1-銷售總表!G639)</f>
        <v>27899.999999999996</v>
      </c>
      <c r="I639" s="35">
        <f>H639-F639*VLOOKUP(銷售總表!B639,產品!$A$2:$H$61,8,FALSE)</f>
        <v>6899.9999999999964</v>
      </c>
      <c r="J639" s="20">
        <f t="shared" si="9"/>
        <v>0.24731182795698914</v>
      </c>
    </row>
    <row r="640" spans="1:10" x14ac:dyDescent="0.3">
      <c r="A640" s="33">
        <v>639</v>
      </c>
      <c r="B640" s="4">
        <v>53</v>
      </c>
      <c r="C640" s="15">
        <v>274</v>
      </c>
      <c r="D640" s="16">
        <v>9</v>
      </c>
      <c r="E640" s="22">
        <v>43958</v>
      </c>
      <c r="F640" s="17">
        <v>2</v>
      </c>
      <c r="G640" s="18">
        <v>0.1</v>
      </c>
      <c r="H640">
        <f>F640*VLOOKUP(B640,產品!$A$2:$H$61,7,FALSE)*(1-銷售總表!G640)</f>
        <v>27000</v>
      </c>
      <c r="I640" s="35">
        <f>H640-F640*VLOOKUP(銷售總表!B640,產品!$A$2:$H$61,8,FALSE)</f>
        <v>6000</v>
      </c>
      <c r="J640" s="20">
        <f t="shared" si="9"/>
        <v>0.22222222222222221</v>
      </c>
    </row>
    <row r="641" spans="1:10" x14ac:dyDescent="0.3">
      <c r="A641" s="33">
        <v>640</v>
      </c>
      <c r="B641" s="4">
        <v>29</v>
      </c>
      <c r="C641" s="15">
        <v>271</v>
      </c>
      <c r="D641" s="16">
        <v>5</v>
      </c>
      <c r="E641" s="22">
        <v>43959</v>
      </c>
      <c r="F641" s="19">
        <v>35</v>
      </c>
      <c r="G641" s="18">
        <v>0.08</v>
      </c>
      <c r="H641">
        <f>F641*VLOOKUP(B641,產品!$A$2:$H$61,7,FALSE)*(1-銷售總表!G641)</f>
        <v>193200</v>
      </c>
      <c r="I641" s="35">
        <f>H641-F641*VLOOKUP(銷售總表!B641,產品!$A$2:$H$61,8,FALSE)</f>
        <v>67200</v>
      </c>
      <c r="J641" s="20">
        <f t="shared" si="9"/>
        <v>0.34782608695652173</v>
      </c>
    </row>
    <row r="642" spans="1:10" x14ac:dyDescent="0.3">
      <c r="A642" s="33">
        <v>641</v>
      </c>
      <c r="B642" s="4">
        <v>45</v>
      </c>
      <c r="C642" s="15">
        <v>7</v>
      </c>
      <c r="D642" s="16">
        <v>9</v>
      </c>
      <c r="E642" s="22">
        <v>43959</v>
      </c>
      <c r="F642" s="17">
        <v>19</v>
      </c>
      <c r="G642" s="18">
        <v>0.15</v>
      </c>
      <c r="H642">
        <f>F642*VLOOKUP(B642,產品!$A$2:$H$61,7,FALSE)*(1-銷售總表!G642)</f>
        <v>226100</v>
      </c>
      <c r="I642" s="35">
        <f>H642-F642*VLOOKUP(銷售總表!B642,產品!$A$2:$H$61,8,FALSE)</f>
        <v>53200</v>
      </c>
      <c r="J642" s="20">
        <f t="shared" si="9"/>
        <v>0.23529411764705882</v>
      </c>
    </row>
    <row r="643" spans="1:10" x14ac:dyDescent="0.3">
      <c r="A643" s="33">
        <v>642</v>
      </c>
      <c r="B643" s="4">
        <v>11</v>
      </c>
      <c r="C643" s="15">
        <v>12</v>
      </c>
      <c r="D643" s="16">
        <v>7</v>
      </c>
      <c r="E643" s="22">
        <v>43959</v>
      </c>
      <c r="F643" s="17">
        <v>30</v>
      </c>
      <c r="G643" s="18">
        <v>0.05</v>
      </c>
      <c r="H643">
        <f>F643*VLOOKUP(B643,產品!$A$2:$H$61,7,FALSE)*(1-銷售總表!G643)</f>
        <v>28500</v>
      </c>
      <c r="I643" s="35">
        <f>H643-F643*VLOOKUP(銷售總表!B643,產品!$A$2:$H$61,8,FALSE)</f>
        <v>16500</v>
      </c>
      <c r="J643" s="20">
        <f t="shared" ref="J643:J706" si="10">I643/H643</f>
        <v>0.57894736842105265</v>
      </c>
    </row>
    <row r="644" spans="1:10" x14ac:dyDescent="0.3">
      <c r="A644" s="33">
        <v>643</v>
      </c>
      <c r="B644" s="4">
        <v>54</v>
      </c>
      <c r="C644" s="15">
        <v>284</v>
      </c>
      <c r="D644" s="16">
        <v>8</v>
      </c>
      <c r="E644" s="22">
        <v>43959</v>
      </c>
      <c r="F644" s="17">
        <v>4</v>
      </c>
      <c r="G644" s="18">
        <v>0.15</v>
      </c>
      <c r="H644">
        <f>F644*VLOOKUP(B644,產品!$A$2:$H$61,7,FALSE)*(1-銷售總表!G644)</f>
        <v>61200</v>
      </c>
      <c r="I644" s="35">
        <f>H644-F644*VLOOKUP(銷售總表!B644,產品!$A$2:$H$61,8,FALSE)</f>
        <v>10800</v>
      </c>
      <c r="J644" s="20">
        <f t="shared" si="10"/>
        <v>0.17647058823529413</v>
      </c>
    </row>
    <row r="645" spans="1:10" x14ac:dyDescent="0.3">
      <c r="A645" s="33">
        <v>644</v>
      </c>
      <c r="B645" s="4">
        <v>12</v>
      </c>
      <c r="C645" s="15">
        <v>268</v>
      </c>
      <c r="D645" s="16">
        <v>9</v>
      </c>
      <c r="E645" s="22">
        <v>43959</v>
      </c>
      <c r="F645" s="17">
        <v>10</v>
      </c>
      <c r="G645" s="18">
        <v>0.2</v>
      </c>
      <c r="H645">
        <f>F645*VLOOKUP(B645,產品!$A$2:$H$61,7,FALSE)*(1-銷售總表!G645)</f>
        <v>8000</v>
      </c>
      <c r="I645" s="35">
        <f>H645-F645*VLOOKUP(銷售總表!B645,產品!$A$2:$H$61,8,FALSE)</f>
        <v>4000</v>
      </c>
      <c r="J645" s="20">
        <f t="shared" si="10"/>
        <v>0.5</v>
      </c>
    </row>
    <row r="646" spans="1:10" x14ac:dyDescent="0.3">
      <c r="A646" s="33">
        <v>645</v>
      </c>
      <c r="B646" s="4">
        <v>30</v>
      </c>
      <c r="C646" s="15">
        <v>6</v>
      </c>
      <c r="D646" s="16">
        <v>8</v>
      </c>
      <c r="E646" s="22">
        <v>43959</v>
      </c>
      <c r="F646" s="17">
        <v>2</v>
      </c>
      <c r="G646" s="18">
        <v>0.14000000000000001</v>
      </c>
      <c r="H646">
        <f>F646*VLOOKUP(B646,產品!$A$2:$H$61,7,FALSE)*(1-銷售總表!G646)</f>
        <v>11180</v>
      </c>
      <c r="I646" s="35">
        <f>H646-F646*VLOOKUP(銷售總表!B646,產品!$A$2:$H$61,8,FALSE)</f>
        <v>3380</v>
      </c>
      <c r="J646" s="20">
        <f t="shared" si="10"/>
        <v>0.30232558139534882</v>
      </c>
    </row>
    <row r="647" spans="1:10" x14ac:dyDescent="0.3">
      <c r="A647" s="33">
        <v>646</v>
      </c>
      <c r="B647" s="4">
        <v>44</v>
      </c>
      <c r="C647" s="15">
        <v>271</v>
      </c>
      <c r="D647" s="16">
        <v>2</v>
      </c>
      <c r="E647" s="22">
        <v>43960</v>
      </c>
      <c r="F647" s="17">
        <v>15</v>
      </c>
      <c r="G647" s="18">
        <v>0.15</v>
      </c>
      <c r="H647">
        <f>F647*VLOOKUP(B647,產品!$A$2:$H$61,7,FALSE)*(1-銷售總表!G647)</f>
        <v>255000</v>
      </c>
      <c r="I647" s="35">
        <f>H647-F647*VLOOKUP(銷售總表!B647,產品!$A$2:$H$61,8,FALSE)</f>
        <v>60000</v>
      </c>
      <c r="J647" s="20">
        <f t="shared" si="10"/>
        <v>0.23529411764705882</v>
      </c>
    </row>
    <row r="648" spans="1:10" x14ac:dyDescent="0.3">
      <c r="A648" s="33">
        <v>647</v>
      </c>
      <c r="B648" s="4">
        <v>48</v>
      </c>
      <c r="C648" s="15">
        <v>262</v>
      </c>
      <c r="D648" s="16">
        <v>9</v>
      </c>
      <c r="E648" s="22">
        <v>43960</v>
      </c>
      <c r="F648" s="17">
        <v>6</v>
      </c>
      <c r="G648" s="18">
        <v>7.0000000000000007E-2</v>
      </c>
      <c r="H648">
        <f>F648*VLOOKUP(B648,產品!$A$2:$H$61,7,FALSE)*(1-銷售總表!G648)</f>
        <v>122759.99999999999</v>
      </c>
      <c r="I648" s="35">
        <f>H648-F648*VLOOKUP(銷售總表!B648,產品!$A$2:$H$61,8,FALSE)</f>
        <v>36959.999999999985</v>
      </c>
      <c r="J648" s="20">
        <f t="shared" si="10"/>
        <v>0.3010752688172042</v>
      </c>
    </row>
    <row r="649" spans="1:10" x14ac:dyDescent="0.3">
      <c r="A649" s="33">
        <v>648</v>
      </c>
      <c r="B649" s="4">
        <v>54</v>
      </c>
      <c r="C649" s="15">
        <v>293</v>
      </c>
      <c r="D649" s="16">
        <v>5</v>
      </c>
      <c r="E649" s="22">
        <v>43960</v>
      </c>
      <c r="F649" s="17">
        <v>4</v>
      </c>
      <c r="G649" s="18">
        <v>0.06</v>
      </c>
      <c r="H649">
        <f>F649*VLOOKUP(B649,產品!$A$2:$H$61,7,FALSE)*(1-銷售總表!G649)</f>
        <v>67680</v>
      </c>
      <c r="I649" s="35">
        <f>H649-F649*VLOOKUP(銷售總表!B649,產品!$A$2:$H$61,8,FALSE)</f>
        <v>17280</v>
      </c>
      <c r="J649" s="20">
        <f t="shared" si="10"/>
        <v>0.25531914893617019</v>
      </c>
    </row>
    <row r="650" spans="1:10" x14ac:dyDescent="0.3">
      <c r="A650" s="33">
        <v>649</v>
      </c>
      <c r="B650" s="4">
        <v>36</v>
      </c>
      <c r="C650" s="15">
        <v>258</v>
      </c>
      <c r="D650" s="16">
        <v>6</v>
      </c>
      <c r="E650" s="22">
        <v>43960</v>
      </c>
      <c r="F650" s="17">
        <v>6</v>
      </c>
      <c r="G650" s="18">
        <v>0.18</v>
      </c>
      <c r="H650">
        <f>F650*VLOOKUP(B650,產品!$A$2:$H$61,7,FALSE)*(1-銷售總表!G650)</f>
        <v>44280</v>
      </c>
      <c r="I650" s="35">
        <f>H650-F650*VLOOKUP(銷售總表!B650,產品!$A$2:$H$61,8,FALSE)</f>
        <v>11880</v>
      </c>
      <c r="J650" s="20">
        <f t="shared" si="10"/>
        <v>0.26829268292682928</v>
      </c>
    </row>
    <row r="651" spans="1:10" x14ac:dyDescent="0.3">
      <c r="A651" s="33">
        <v>650</v>
      </c>
      <c r="B651" s="4">
        <v>56</v>
      </c>
      <c r="C651" s="15">
        <v>268</v>
      </c>
      <c r="D651" s="16">
        <v>2</v>
      </c>
      <c r="E651" s="22">
        <v>43960</v>
      </c>
      <c r="F651" s="17">
        <v>4</v>
      </c>
      <c r="G651" s="18">
        <v>0.18</v>
      </c>
      <c r="H651">
        <f>F651*VLOOKUP(B651,產品!$A$2:$H$61,7,FALSE)*(1-銷售總表!G651)</f>
        <v>72160</v>
      </c>
      <c r="I651" s="35">
        <f>H651-F651*VLOOKUP(銷售總表!B651,產品!$A$2:$H$61,8,FALSE)</f>
        <v>10560.000000000007</v>
      </c>
      <c r="J651" s="20">
        <f t="shared" si="10"/>
        <v>0.14634146341463425</v>
      </c>
    </row>
    <row r="652" spans="1:10" x14ac:dyDescent="0.3">
      <c r="A652" s="33">
        <v>651</v>
      </c>
      <c r="B652" s="4">
        <v>48</v>
      </c>
      <c r="C652" s="15">
        <v>137</v>
      </c>
      <c r="D652" s="16">
        <v>5</v>
      </c>
      <c r="E652" s="22">
        <v>43960</v>
      </c>
      <c r="F652" s="17">
        <v>2</v>
      </c>
      <c r="G652" s="18">
        <v>0.11</v>
      </c>
      <c r="H652">
        <f>F652*VLOOKUP(B652,產品!$A$2:$H$61,7,FALSE)*(1-銷售總表!G652)</f>
        <v>39160</v>
      </c>
      <c r="I652" s="35">
        <f>H652-F652*VLOOKUP(銷售總表!B652,產品!$A$2:$H$61,8,FALSE)</f>
        <v>10560</v>
      </c>
      <c r="J652" s="20">
        <f t="shared" si="10"/>
        <v>0.2696629213483146</v>
      </c>
    </row>
    <row r="653" spans="1:10" x14ac:dyDescent="0.3">
      <c r="A653" s="33">
        <v>652</v>
      </c>
      <c r="B653" s="4">
        <v>34</v>
      </c>
      <c r="C653" s="15">
        <v>294</v>
      </c>
      <c r="D653" s="16">
        <v>4</v>
      </c>
      <c r="E653" s="22">
        <v>43960</v>
      </c>
      <c r="F653" s="19">
        <v>3</v>
      </c>
      <c r="G653" s="18">
        <v>0.09</v>
      </c>
      <c r="H653">
        <f>F653*VLOOKUP(B653,產品!$A$2:$H$61,7,FALSE)*(1-銷售總表!G653)</f>
        <v>21840</v>
      </c>
      <c r="I653" s="35">
        <f>H653-F653*VLOOKUP(銷售總表!B653,產品!$A$2:$H$61,8,FALSE)</f>
        <v>7440</v>
      </c>
      <c r="J653" s="20">
        <f t="shared" si="10"/>
        <v>0.34065934065934067</v>
      </c>
    </row>
    <row r="654" spans="1:10" x14ac:dyDescent="0.3">
      <c r="A654" s="33">
        <v>653</v>
      </c>
      <c r="B654" s="4">
        <v>39</v>
      </c>
      <c r="C654" s="15">
        <v>274</v>
      </c>
      <c r="D654" s="16">
        <v>5</v>
      </c>
      <c r="E654" s="22">
        <v>43960</v>
      </c>
      <c r="F654" s="17">
        <v>2</v>
      </c>
      <c r="G654" s="18">
        <v>0.2</v>
      </c>
      <c r="H654">
        <f>F654*VLOOKUP(B654,產品!$A$2:$H$61,7,FALSE)*(1-銷售總表!G654)</f>
        <v>28800</v>
      </c>
      <c r="I654" s="35">
        <f>H654-F654*VLOOKUP(銷售總表!B654,產品!$A$2:$H$61,8,FALSE)</f>
        <v>5400</v>
      </c>
      <c r="J654" s="20">
        <f t="shared" si="10"/>
        <v>0.1875</v>
      </c>
    </row>
    <row r="655" spans="1:10" x14ac:dyDescent="0.3">
      <c r="A655" s="33">
        <v>654</v>
      </c>
      <c r="B655" s="4">
        <v>58</v>
      </c>
      <c r="C655" s="15">
        <v>118</v>
      </c>
      <c r="D655" s="16">
        <v>3</v>
      </c>
      <c r="E655" s="22">
        <v>43961</v>
      </c>
      <c r="F655" s="17">
        <v>15</v>
      </c>
      <c r="G655" s="18">
        <v>0.12</v>
      </c>
      <c r="H655">
        <f>F655*VLOOKUP(B655,產品!$A$2:$H$61,7,FALSE)*(1-銷售總表!G655)</f>
        <v>277200</v>
      </c>
      <c r="I655" s="35">
        <f>H655-F655*VLOOKUP(銷售總表!B655,產品!$A$2:$H$61,8,FALSE)</f>
        <v>56700.000000000029</v>
      </c>
      <c r="J655" s="20">
        <f t="shared" si="10"/>
        <v>0.20454545454545464</v>
      </c>
    </row>
    <row r="656" spans="1:10" x14ac:dyDescent="0.3">
      <c r="A656" s="33">
        <v>655</v>
      </c>
      <c r="B656" s="4">
        <v>44</v>
      </c>
      <c r="C656" s="15">
        <v>7</v>
      </c>
      <c r="D656" s="16">
        <v>8</v>
      </c>
      <c r="E656" s="22">
        <v>43961</v>
      </c>
      <c r="F656" s="17">
        <v>10</v>
      </c>
      <c r="G656" s="18">
        <v>0.13</v>
      </c>
      <c r="H656">
        <f>F656*VLOOKUP(B656,產品!$A$2:$H$61,7,FALSE)*(1-銷售總表!G656)</f>
        <v>174000</v>
      </c>
      <c r="I656" s="35">
        <f>H656-F656*VLOOKUP(銷售總表!B656,產品!$A$2:$H$61,8,FALSE)</f>
        <v>44000</v>
      </c>
      <c r="J656" s="20">
        <f t="shared" si="10"/>
        <v>0.25287356321839083</v>
      </c>
    </row>
    <row r="657" spans="1:10" x14ac:dyDescent="0.3">
      <c r="A657" s="33">
        <v>656</v>
      </c>
      <c r="B657" s="4">
        <v>34</v>
      </c>
      <c r="C657" s="15">
        <v>285</v>
      </c>
      <c r="D657" s="16">
        <v>1</v>
      </c>
      <c r="E657" s="22">
        <v>43961</v>
      </c>
      <c r="F657" s="17">
        <v>17</v>
      </c>
      <c r="G657" s="18">
        <v>0.14000000000000001</v>
      </c>
      <c r="H657">
        <f>F657*VLOOKUP(B657,產品!$A$2:$H$61,7,FALSE)*(1-銷售總表!G657)</f>
        <v>116960</v>
      </c>
      <c r="I657" s="35">
        <f>H657-F657*VLOOKUP(銷售總表!B657,產品!$A$2:$H$61,8,FALSE)</f>
        <v>35360</v>
      </c>
      <c r="J657" s="20">
        <f t="shared" si="10"/>
        <v>0.30232558139534882</v>
      </c>
    </row>
    <row r="658" spans="1:10" x14ac:dyDescent="0.3">
      <c r="A658" s="33">
        <v>657</v>
      </c>
      <c r="B658" s="4">
        <v>49</v>
      </c>
      <c r="C658" s="15">
        <v>112</v>
      </c>
      <c r="D658" s="16">
        <v>3</v>
      </c>
      <c r="E658" s="22">
        <v>43961</v>
      </c>
      <c r="F658" s="17">
        <v>8</v>
      </c>
      <c r="G658" s="18">
        <v>0.12</v>
      </c>
      <c r="H658">
        <f>F658*VLOOKUP(B658,產品!$A$2:$H$61,7,FALSE)*(1-銷售總表!G658)</f>
        <v>105600</v>
      </c>
      <c r="I658" s="35">
        <f>H658-F658*VLOOKUP(銷售總表!B658,產品!$A$2:$H$61,8,FALSE)</f>
        <v>21600</v>
      </c>
      <c r="J658" s="20">
        <f t="shared" si="10"/>
        <v>0.20454545454545456</v>
      </c>
    </row>
    <row r="659" spans="1:10" x14ac:dyDescent="0.3">
      <c r="A659" s="33">
        <v>658</v>
      </c>
      <c r="B659" s="4">
        <v>3</v>
      </c>
      <c r="C659" s="15">
        <v>119</v>
      </c>
      <c r="D659" s="16">
        <v>6</v>
      </c>
      <c r="E659" s="22">
        <v>43961</v>
      </c>
      <c r="F659" s="17">
        <v>40</v>
      </c>
      <c r="G659" s="18">
        <v>0.11</v>
      </c>
      <c r="H659">
        <f>F659*VLOOKUP(B659,產品!$A$2:$H$61,7,FALSE)*(1-銷售總表!G659)</f>
        <v>35600</v>
      </c>
      <c r="I659" s="35">
        <f>H659-F659*VLOOKUP(銷售總表!B659,產品!$A$2:$H$61,8,FALSE)</f>
        <v>19600</v>
      </c>
      <c r="J659" s="20">
        <f t="shared" si="10"/>
        <v>0.550561797752809</v>
      </c>
    </row>
    <row r="660" spans="1:10" x14ac:dyDescent="0.3">
      <c r="A660" s="33">
        <v>659</v>
      </c>
      <c r="B660" s="4">
        <v>4</v>
      </c>
      <c r="C660" s="15">
        <v>2</v>
      </c>
      <c r="D660" s="16">
        <v>2</v>
      </c>
      <c r="E660" s="22">
        <v>43961</v>
      </c>
      <c r="F660" s="17">
        <v>30</v>
      </c>
      <c r="G660" s="18">
        <v>7.0000000000000007E-2</v>
      </c>
      <c r="H660">
        <f>F660*VLOOKUP(B660,產品!$A$2:$H$61,7,FALSE)*(1-銷售總表!G660)</f>
        <v>27899.999999999996</v>
      </c>
      <c r="I660" s="35">
        <f>H660-F660*VLOOKUP(銷售總表!B660,產品!$A$2:$H$61,8,FALSE)</f>
        <v>15899.999999999996</v>
      </c>
      <c r="J660" s="20">
        <f t="shared" si="10"/>
        <v>0.56989247311827951</v>
      </c>
    </row>
    <row r="661" spans="1:10" x14ac:dyDescent="0.3">
      <c r="A661" s="33">
        <v>660</v>
      </c>
      <c r="B661" s="4">
        <v>13</v>
      </c>
      <c r="C661" s="15">
        <v>115</v>
      </c>
      <c r="D661" s="16">
        <v>8</v>
      </c>
      <c r="E661" s="22">
        <v>43961</v>
      </c>
      <c r="F661" s="17">
        <v>16</v>
      </c>
      <c r="G661" s="18">
        <v>0.12</v>
      </c>
      <c r="H661">
        <f>F661*VLOOKUP(B661,產品!$A$2:$H$61,7,FALSE)*(1-銷售總表!G661)</f>
        <v>25344</v>
      </c>
      <c r="I661" s="35">
        <f>H661-F661*VLOOKUP(銷售總表!B661,產品!$A$2:$H$61,8,FALSE)</f>
        <v>13824</v>
      </c>
      <c r="J661" s="20">
        <f t="shared" si="10"/>
        <v>0.54545454545454541</v>
      </c>
    </row>
    <row r="662" spans="1:10" x14ac:dyDescent="0.3">
      <c r="A662" s="33">
        <v>661</v>
      </c>
      <c r="B662" s="4">
        <v>51</v>
      </c>
      <c r="C662" s="15">
        <v>11</v>
      </c>
      <c r="D662" s="16">
        <v>9</v>
      </c>
      <c r="E662" s="22">
        <v>43961</v>
      </c>
      <c r="F662" s="17">
        <v>2</v>
      </c>
      <c r="G662" s="18">
        <v>0.12</v>
      </c>
      <c r="H662">
        <f>F662*VLOOKUP(B662,產品!$A$2:$H$61,7,FALSE)*(1-銷售總表!G662)</f>
        <v>35200</v>
      </c>
      <c r="I662" s="35">
        <f>H662-F662*VLOOKUP(銷售總表!B662,產品!$A$2:$H$61,8,FALSE)</f>
        <v>7200</v>
      </c>
      <c r="J662" s="20">
        <f t="shared" si="10"/>
        <v>0.20454545454545456</v>
      </c>
    </row>
    <row r="663" spans="1:10" x14ac:dyDescent="0.3">
      <c r="A663" s="33">
        <v>662</v>
      </c>
      <c r="B663" s="4">
        <v>10</v>
      </c>
      <c r="C663" s="15">
        <v>285</v>
      </c>
      <c r="D663" s="16">
        <v>6</v>
      </c>
      <c r="E663" s="22">
        <v>43962</v>
      </c>
      <c r="F663" s="19">
        <v>60</v>
      </c>
      <c r="G663" s="18">
        <v>0.16</v>
      </c>
      <c r="H663">
        <f>F663*VLOOKUP(B663,產品!$A$2:$H$61,7,FALSE)*(1-銷售總表!G663)</f>
        <v>50400</v>
      </c>
      <c r="I663" s="35">
        <f>H663-F663*VLOOKUP(銷售總表!B663,產品!$A$2:$H$61,8,FALSE)</f>
        <v>26400</v>
      </c>
      <c r="J663" s="20">
        <f t="shared" si="10"/>
        <v>0.52380952380952384</v>
      </c>
    </row>
    <row r="664" spans="1:10" x14ac:dyDescent="0.3">
      <c r="A664" s="33">
        <v>663</v>
      </c>
      <c r="B664" s="4">
        <v>22</v>
      </c>
      <c r="C664" s="15">
        <v>117</v>
      </c>
      <c r="D664" s="16">
        <v>6</v>
      </c>
      <c r="E664" s="22">
        <v>43962</v>
      </c>
      <c r="F664" s="17">
        <v>10</v>
      </c>
      <c r="G664" s="18">
        <v>0.19</v>
      </c>
      <c r="H664">
        <f>F664*VLOOKUP(B664,產品!$A$2:$H$61,7,FALSE)*(1-銷售總表!G664)</f>
        <v>14580.000000000002</v>
      </c>
      <c r="I664" s="35">
        <f>H664-F664*VLOOKUP(銷售總表!B664,產品!$A$2:$H$61,8,FALSE)</f>
        <v>7380.0000000000018</v>
      </c>
      <c r="J664" s="20">
        <f t="shared" si="10"/>
        <v>0.50617283950617287</v>
      </c>
    </row>
    <row r="665" spans="1:10" x14ac:dyDescent="0.3">
      <c r="A665" s="33">
        <v>664</v>
      </c>
      <c r="B665" s="4">
        <v>34</v>
      </c>
      <c r="C665" s="15">
        <v>266</v>
      </c>
      <c r="D665" s="16">
        <v>5</v>
      </c>
      <c r="E665" s="22">
        <v>43962</v>
      </c>
      <c r="F665" s="17">
        <v>2</v>
      </c>
      <c r="G665" s="18">
        <v>0.17</v>
      </c>
      <c r="H665">
        <f>F665*VLOOKUP(B665,產品!$A$2:$H$61,7,FALSE)*(1-銷售總表!G665)</f>
        <v>13280</v>
      </c>
      <c r="I665" s="35">
        <f>H665-F665*VLOOKUP(銷售總表!B665,產品!$A$2:$H$61,8,FALSE)</f>
        <v>3680</v>
      </c>
      <c r="J665" s="20">
        <f t="shared" si="10"/>
        <v>0.27710843373493976</v>
      </c>
    </row>
    <row r="666" spans="1:10" x14ac:dyDescent="0.3">
      <c r="A666" s="33">
        <v>665</v>
      </c>
      <c r="B666" s="4">
        <v>12</v>
      </c>
      <c r="C666" s="15">
        <v>9</v>
      </c>
      <c r="D666" s="16">
        <v>2</v>
      </c>
      <c r="E666" s="22">
        <v>43963</v>
      </c>
      <c r="F666" s="19">
        <v>250</v>
      </c>
      <c r="G666" s="18">
        <v>0.16</v>
      </c>
      <c r="H666">
        <f>F666*VLOOKUP(B666,產品!$A$2:$H$61,7,FALSE)*(1-銷售總表!G666)</f>
        <v>210000</v>
      </c>
      <c r="I666" s="35">
        <f>H666-F666*VLOOKUP(銷售總表!B666,產品!$A$2:$H$61,8,FALSE)</f>
        <v>110000</v>
      </c>
      <c r="J666" s="20">
        <f t="shared" si="10"/>
        <v>0.52380952380952384</v>
      </c>
    </row>
    <row r="667" spans="1:10" x14ac:dyDescent="0.3">
      <c r="A667" s="33">
        <v>666</v>
      </c>
      <c r="B667" s="4">
        <v>22</v>
      </c>
      <c r="C667" s="15">
        <v>8</v>
      </c>
      <c r="D667" s="16">
        <v>10</v>
      </c>
      <c r="E667" s="22">
        <v>43963</v>
      </c>
      <c r="F667" s="17">
        <v>100</v>
      </c>
      <c r="G667" s="18">
        <v>0.17</v>
      </c>
      <c r="H667">
        <f>F667*VLOOKUP(B667,產品!$A$2:$H$61,7,FALSE)*(1-銷售總表!G667)</f>
        <v>149400</v>
      </c>
      <c r="I667" s="35">
        <f>H667-F667*VLOOKUP(銷售總表!B667,產品!$A$2:$H$61,8,FALSE)</f>
        <v>77400</v>
      </c>
      <c r="J667" s="20">
        <f t="shared" si="10"/>
        <v>0.51807228915662651</v>
      </c>
    </row>
    <row r="668" spans="1:10" x14ac:dyDescent="0.3">
      <c r="A668" s="33">
        <v>667</v>
      </c>
      <c r="B668" s="4">
        <v>15</v>
      </c>
      <c r="C668" s="15">
        <v>10</v>
      </c>
      <c r="D668" s="16">
        <v>7</v>
      </c>
      <c r="E668" s="22">
        <v>43963</v>
      </c>
      <c r="F668" s="17">
        <v>75</v>
      </c>
      <c r="G668" s="18">
        <v>0.2</v>
      </c>
      <c r="H668">
        <f>F668*VLOOKUP(B668,產品!$A$2:$H$61,7,FALSE)*(1-銷售總表!G668)</f>
        <v>108000</v>
      </c>
      <c r="I668" s="35">
        <f>H668-F668*VLOOKUP(銷售總表!B668,產品!$A$2:$H$61,8,FALSE)</f>
        <v>54000</v>
      </c>
      <c r="J668" s="20">
        <f t="shared" si="10"/>
        <v>0.5</v>
      </c>
    </row>
    <row r="669" spans="1:10" x14ac:dyDescent="0.3">
      <c r="A669" s="33">
        <v>668</v>
      </c>
      <c r="B669" s="4">
        <v>20</v>
      </c>
      <c r="C669" s="15">
        <v>138</v>
      </c>
      <c r="D669" s="16">
        <v>7</v>
      </c>
      <c r="E669" s="22">
        <v>43963</v>
      </c>
      <c r="F669" s="17">
        <v>50</v>
      </c>
      <c r="G669" s="18">
        <v>0.15</v>
      </c>
      <c r="H669">
        <f>F669*VLOOKUP(B669,產品!$A$2:$H$61,7,FALSE)*(1-銷售總表!G669)</f>
        <v>76500</v>
      </c>
      <c r="I669" s="35">
        <f>H669-F669*VLOOKUP(銷售總表!B669,產品!$A$2:$H$61,8,FALSE)</f>
        <v>40500</v>
      </c>
      <c r="J669" s="20">
        <f t="shared" si="10"/>
        <v>0.52941176470588236</v>
      </c>
    </row>
    <row r="670" spans="1:10" x14ac:dyDescent="0.3">
      <c r="A670" s="33">
        <v>669</v>
      </c>
      <c r="B670" s="4">
        <v>60</v>
      </c>
      <c r="C670" s="15">
        <v>281</v>
      </c>
      <c r="D670" s="16">
        <v>10</v>
      </c>
      <c r="E670" s="22">
        <v>43963</v>
      </c>
      <c r="F670" s="19">
        <v>8</v>
      </c>
      <c r="G670" s="18">
        <v>0.12</v>
      </c>
      <c r="H670">
        <f>F670*VLOOKUP(B670,產品!$A$2:$H$61,7,FALSE)*(1-銷售總表!G670)</f>
        <v>176000</v>
      </c>
      <c r="I670" s="35">
        <f>H670-F670*VLOOKUP(銷售總表!B670,產品!$A$2:$H$61,8,FALSE)</f>
        <v>36000</v>
      </c>
      <c r="J670" s="20">
        <f t="shared" si="10"/>
        <v>0.20454545454545456</v>
      </c>
    </row>
    <row r="671" spans="1:10" x14ac:dyDescent="0.3">
      <c r="A671" s="33">
        <v>670</v>
      </c>
      <c r="B671" s="4">
        <v>41</v>
      </c>
      <c r="C671" s="15">
        <v>125</v>
      </c>
      <c r="D671" s="16">
        <v>7</v>
      </c>
      <c r="E671" s="22">
        <v>43963</v>
      </c>
      <c r="F671" s="17">
        <v>8</v>
      </c>
      <c r="G671" s="18">
        <v>0.18</v>
      </c>
      <c r="H671">
        <f>F671*VLOOKUP(B671,產品!$A$2:$H$61,7,FALSE)*(1-銷售總表!G671)</f>
        <v>78720</v>
      </c>
      <c r="I671" s="35">
        <f>H671-F671*VLOOKUP(銷售總表!B671,產品!$A$2:$H$61,8,FALSE)</f>
        <v>16320</v>
      </c>
      <c r="J671" s="20">
        <f t="shared" si="10"/>
        <v>0.2073170731707317</v>
      </c>
    </row>
    <row r="672" spans="1:10" x14ac:dyDescent="0.3">
      <c r="A672" s="33">
        <v>671</v>
      </c>
      <c r="B672" s="4">
        <v>20</v>
      </c>
      <c r="C672" s="15">
        <v>266</v>
      </c>
      <c r="D672" s="16">
        <v>6</v>
      </c>
      <c r="E672" s="22">
        <v>43963</v>
      </c>
      <c r="F672" s="17">
        <v>20</v>
      </c>
      <c r="G672" s="18">
        <v>0.17</v>
      </c>
      <c r="H672">
        <f>F672*VLOOKUP(B672,產品!$A$2:$H$61,7,FALSE)*(1-銷售總表!G672)</f>
        <v>29880</v>
      </c>
      <c r="I672" s="35">
        <f>H672-F672*VLOOKUP(銷售總表!B672,產品!$A$2:$H$61,8,FALSE)</f>
        <v>15480</v>
      </c>
      <c r="J672" s="20">
        <f t="shared" si="10"/>
        <v>0.51807228915662651</v>
      </c>
    </row>
    <row r="673" spans="1:10" x14ac:dyDescent="0.3">
      <c r="A673" s="33">
        <v>672</v>
      </c>
      <c r="B673" s="4">
        <v>13</v>
      </c>
      <c r="C673" s="15">
        <v>1</v>
      </c>
      <c r="D673" s="16">
        <v>1</v>
      </c>
      <c r="E673" s="22">
        <v>43963</v>
      </c>
      <c r="F673" s="17">
        <v>20</v>
      </c>
      <c r="G673" s="18">
        <v>0.19</v>
      </c>
      <c r="H673">
        <f>F673*VLOOKUP(B673,產品!$A$2:$H$61,7,FALSE)*(1-銷售總表!G673)</f>
        <v>29160.000000000004</v>
      </c>
      <c r="I673" s="35">
        <f>H673-F673*VLOOKUP(銷售總表!B673,產品!$A$2:$H$61,8,FALSE)</f>
        <v>14760.000000000004</v>
      </c>
      <c r="J673" s="20">
        <f t="shared" si="10"/>
        <v>0.50617283950617287</v>
      </c>
    </row>
    <row r="674" spans="1:10" x14ac:dyDescent="0.3">
      <c r="A674" s="33">
        <v>673</v>
      </c>
      <c r="B674" s="4">
        <v>60</v>
      </c>
      <c r="C674" s="15">
        <v>277</v>
      </c>
      <c r="D674" s="16">
        <v>4</v>
      </c>
      <c r="E674" s="22">
        <v>43963</v>
      </c>
      <c r="F674" s="17">
        <v>2</v>
      </c>
      <c r="G674" s="18">
        <v>0.11</v>
      </c>
      <c r="H674">
        <f>F674*VLOOKUP(B674,產品!$A$2:$H$61,7,FALSE)*(1-銷售總表!G674)</f>
        <v>44500</v>
      </c>
      <c r="I674" s="35">
        <f>H674-F674*VLOOKUP(銷售總表!B674,產品!$A$2:$H$61,8,FALSE)</f>
        <v>9500</v>
      </c>
      <c r="J674" s="20">
        <f t="shared" si="10"/>
        <v>0.21348314606741572</v>
      </c>
    </row>
    <row r="675" spans="1:10" x14ac:dyDescent="0.3">
      <c r="A675" s="33">
        <v>674</v>
      </c>
      <c r="B675" s="4">
        <v>4</v>
      </c>
      <c r="C675" s="15">
        <v>136</v>
      </c>
      <c r="D675" s="16">
        <v>8</v>
      </c>
      <c r="E675" s="22">
        <v>43963</v>
      </c>
      <c r="F675" s="17">
        <v>13</v>
      </c>
      <c r="G675" s="18">
        <v>0.2</v>
      </c>
      <c r="H675">
        <f>F675*VLOOKUP(B675,產品!$A$2:$H$61,7,FALSE)*(1-銷售總表!G675)</f>
        <v>10400</v>
      </c>
      <c r="I675" s="35">
        <f>H675-F675*VLOOKUP(銷售總表!B675,產品!$A$2:$H$61,8,FALSE)</f>
        <v>5200</v>
      </c>
      <c r="J675" s="20">
        <f t="shared" si="10"/>
        <v>0.5</v>
      </c>
    </row>
    <row r="676" spans="1:10" x14ac:dyDescent="0.3">
      <c r="A676" s="33">
        <v>675</v>
      </c>
      <c r="B676" s="4">
        <v>37</v>
      </c>
      <c r="C676" s="15">
        <v>272</v>
      </c>
      <c r="D676" s="16">
        <v>1</v>
      </c>
      <c r="E676" s="22">
        <v>43964</v>
      </c>
      <c r="F676" s="17">
        <v>15</v>
      </c>
      <c r="G676" s="18">
        <v>0.1</v>
      </c>
      <c r="H676">
        <f>F676*VLOOKUP(B676,產品!$A$2:$H$61,7,FALSE)*(1-銷售總表!G676)</f>
        <v>162000</v>
      </c>
      <c r="I676" s="35">
        <f>H676-F676*VLOOKUP(銷售總表!B676,產品!$A$2:$H$61,8,FALSE)</f>
        <v>45000</v>
      </c>
      <c r="J676" s="20">
        <f t="shared" si="10"/>
        <v>0.27777777777777779</v>
      </c>
    </row>
    <row r="677" spans="1:10" x14ac:dyDescent="0.3">
      <c r="A677" s="33">
        <v>676</v>
      </c>
      <c r="B677" s="4">
        <v>9</v>
      </c>
      <c r="C677" s="15">
        <v>116</v>
      </c>
      <c r="D677" s="16">
        <v>2</v>
      </c>
      <c r="E677" s="22">
        <v>43964</v>
      </c>
      <c r="F677" s="17">
        <v>50</v>
      </c>
      <c r="G677" s="18">
        <v>0.08</v>
      </c>
      <c r="H677">
        <f>F677*VLOOKUP(B677,產品!$A$2:$H$61,7,FALSE)*(1-銷售總表!G677)</f>
        <v>46000</v>
      </c>
      <c r="I677" s="35">
        <f>H677-F677*VLOOKUP(銷售總表!B677,產品!$A$2:$H$61,8,FALSE)</f>
        <v>26000</v>
      </c>
      <c r="J677" s="20">
        <f t="shared" si="10"/>
        <v>0.56521739130434778</v>
      </c>
    </row>
    <row r="678" spans="1:10" x14ac:dyDescent="0.3">
      <c r="A678" s="33">
        <v>677</v>
      </c>
      <c r="B678" s="4">
        <v>18</v>
      </c>
      <c r="C678" s="15">
        <v>7</v>
      </c>
      <c r="D678" s="16">
        <v>8</v>
      </c>
      <c r="E678" s="22">
        <v>43964</v>
      </c>
      <c r="F678" s="17">
        <v>30</v>
      </c>
      <c r="G678" s="18">
        <v>0.15</v>
      </c>
      <c r="H678">
        <f>F678*VLOOKUP(B678,產品!$A$2:$H$61,7,FALSE)*(1-銷售總表!G678)</f>
        <v>45900</v>
      </c>
      <c r="I678" s="35">
        <f>H678-F678*VLOOKUP(銷售總表!B678,產品!$A$2:$H$61,8,FALSE)</f>
        <v>24300</v>
      </c>
      <c r="J678" s="20">
        <f t="shared" si="10"/>
        <v>0.52941176470588236</v>
      </c>
    </row>
    <row r="679" spans="1:10" x14ac:dyDescent="0.3">
      <c r="A679" s="33">
        <v>678</v>
      </c>
      <c r="B679" s="4">
        <v>42</v>
      </c>
      <c r="C679" s="15">
        <v>4</v>
      </c>
      <c r="D679" s="16">
        <v>2</v>
      </c>
      <c r="E679" s="22">
        <v>43964</v>
      </c>
      <c r="F679" s="17">
        <v>3</v>
      </c>
      <c r="G679" s="18">
        <v>0.09</v>
      </c>
      <c r="H679">
        <f>F679*VLOOKUP(B679,產品!$A$2:$H$61,7,FALSE)*(1-銷售總表!G679)</f>
        <v>40950</v>
      </c>
      <c r="I679" s="35">
        <f>H679-F679*VLOOKUP(銷售總表!B679,產品!$A$2:$H$61,8,FALSE)</f>
        <v>11700</v>
      </c>
      <c r="J679" s="20">
        <f t="shared" si="10"/>
        <v>0.2857142857142857</v>
      </c>
    </row>
    <row r="680" spans="1:10" x14ac:dyDescent="0.3">
      <c r="A680" s="33">
        <v>679</v>
      </c>
      <c r="B680" s="4">
        <v>6</v>
      </c>
      <c r="C680" s="15">
        <v>121</v>
      </c>
      <c r="D680" s="16">
        <v>9</v>
      </c>
      <c r="E680" s="22">
        <v>43964</v>
      </c>
      <c r="F680" s="19">
        <v>20</v>
      </c>
      <c r="G680" s="18">
        <v>0.12</v>
      </c>
      <c r="H680">
        <f>F680*VLOOKUP(B680,產品!$A$2:$H$61,7,FALSE)*(1-銷售總表!G680)</f>
        <v>17600</v>
      </c>
      <c r="I680" s="35">
        <f>H680-F680*VLOOKUP(銷售總表!B680,產品!$A$2:$H$61,8,FALSE)</f>
        <v>9600</v>
      </c>
      <c r="J680" s="20">
        <f t="shared" si="10"/>
        <v>0.54545454545454541</v>
      </c>
    </row>
    <row r="681" spans="1:10" x14ac:dyDescent="0.3">
      <c r="A681" s="33">
        <v>680</v>
      </c>
      <c r="B681" s="4">
        <v>35</v>
      </c>
      <c r="C681" s="15">
        <v>277</v>
      </c>
      <c r="D681" s="16">
        <v>2</v>
      </c>
      <c r="E681" s="22">
        <v>43964</v>
      </c>
      <c r="F681" s="17">
        <v>3</v>
      </c>
      <c r="G681" s="18">
        <v>0.16</v>
      </c>
      <c r="H681">
        <f>F681*VLOOKUP(B681,產品!$A$2:$H$61,7,FALSE)*(1-銷售總表!G681)</f>
        <v>21420</v>
      </c>
      <c r="I681" s="35">
        <f>H681-F681*VLOOKUP(銷售總表!B681,產品!$A$2:$H$61,8,FALSE)</f>
        <v>6120</v>
      </c>
      <c r="J681" s="20">
        <f t="shared" si="10"/>
        <v>0.2857142857142857</v>
      </c>
    </row>
    <row r="682" spans="1:10" x14ac:dyDescent="0.3">
      <c r="A682" s="33">
        <v>681</v>
      </c>
      <c r="B682" s="4">
        <v>35</v>
      </c>
      <c r="C682" s="15">
        <v>264</v>
      </c>
      <c r="D682" s="16">
        <v>1</v>
      </c>
      <c r="E682" s="22">
        <v>43964</v>
      </c>
      <c r="F682" s="17">
        <v>2</v>
      </c>
      <c r="G682" s="18">
        <v>0.17</v>
      </c>
      <c r="H682">
        <f>F682*VLOOKUP(B682,產品!$A$2:$H$61,7,FALSE)*(1-銷售總表!G682)</f>
        <v>14110</v>
      </c>
      <c r="I682" s="35">
        <f>H682-F682*VLOOKUP(銷售總表!B682,產品!$A$2:$H$61,8,FALSE)</f>
        <v>3910</v>
      </c>
      <c r="J682" s="20">
        <f t="shared" si="10"/>
        <v>0.27710843373493976</v>
      </c>
    </row>
    <row r="683" spans="1:10" x14ac:dyDescent="0.3">
      <c r="A683" s="33">
        <v>682</v>
      </c>
      <c r="B683" s="4">
        <v>17</v>
      </c>
      <c r="C683" s="15">
        <v>113</v>
      </c>
      <c r="D683" s="16">
        <v>7</v>
      </c>
      <c r="E683" s="22">
        <v>43965</v>
      </c>
      <c r="F683" s="17">
        <v>100</v>
      </c>
      <c r="G683" s="18">
        <v>7.0000000000000007E-2</v>
      </c>
      <c r="H683">
        <f>F683*VLOOKUP(B683,產品!$A$2:$H$61,7,FALSE)*(1-銷售總表!G683)</f>
        <v>167400</v>
      </c>
      <c r="I683" s="35">
        <f>H683-F683*VLOOKUP(銷售總表!B683,產品!$A$2:$H$61,8,FALSE)</f>
        <v>95400</v>
      </c>
      <c r="J683" s="20">
        <f t="shared" si="10"/>
        <v>0.56989247311827962</v>
      </c>
    </row>
    <row r="684" spans="1:10" x14ac:dyDescent="0.3">
      <c r="A684" s="33">
        <v>683</v>
      </c>
      <c r="B684" s="4">
        <v>17</v>
      </c>
      <c r="C684" s="15">
        <v>120</v>
      </c>
      <c r="D684" s="16">
        <v>8</v>
      </c>
      <c r="E684" s="22">
        <v>43965</v>
      </c>
      <c r="F684" s="17">
        <v>50</v>
      </c>
      <c r="G684" s="18">
        <v>0.11</v>
      </c>
      <c r="H684">
        <f>F684*VLOOKUP(B684,產品!$A$2:$H$61,7,FALSE)*(1-銷售總表!G684)</f>
        <v>80100</v>
      </c>
      <c r="I684" s="35">
        <f>H684-F684*VLOOKUP(銷售總表!B684,產品!$A$2:$H$61,8,FALSE)</f>
        <v>44100</v>
      </c>
      <c r="J684" s="20">
        <f t="shared" si="10"/>
        <v>0.550561797752809</v>
      </c>
    </row>
    <row r="685" spans="1:10" x14ac:dyDescent="0.3">
      <c r="A685" s="33">
        <v>684</v>
      </c>
      <c r="B685" s="4">
        <v>35</v>
      </c>
      <c r="C685" s="15">
        <v>112</v>
      </c>
      <c r="D685" s="16">
        <v>7</v>
      </c>
      <c r="E685" s="22">
        <v>43965</v>
      </c>
      <c r="F685" s="17">
        <v>10</v>
      </c>
      <c r="G685" s="18">
        <v>0.06</v>
      </c>
      <c r="H685">
        <f>F685*VLOOKUP(B685,產品!$A$2:$H$61,7,FALSE)*(1-銷售總表!G685)</f>
        <v>79900</v>
      </c>
      <c r="I685" s="35">
        <f>H685-F685*VLOOKUP(銷售總表!B685,產品!$A$2:$H$61,8,FALSE)</f>
        <v>28900</v>
      </c>
      <c r="J685" s="20">
        <f t="shared" si="10"/>
        <v>0.36170212765957449</v>
      </c>
    </row>
    <row r="686" spans="1:10" x14ac:dyDescent="0.3">
      <c r="A686" s="33">
        <v>685</v>
      </c>
      <c r="B686" s="4">
        <v>29</v>
      </c>
      <c r="C686" s="15">
        <v>4</v>
      </c>
      <c r="D686" s="16">
        <v>10</v>
      </c>
      <c r="E686" s="22">
        <v>43965</v>
      </c>
      <c r="F686" s="17">
        <v>20</v>
      </c>
      <c r="G686" s="18">
        <v>0.1</v>
      </c>
      <c r="H686">
        <f>F686*VLOOKUP(B686,產品!$A$2:$H$61,7,FALSE)*(1-銷售總表!G686)</f>
        <v>108000</v>
      </c>
      <c r="I686" s="35">
        <f>H686-F686*VLOOKUP(銷售總表!B686,產品!$A$2:$H$61,8,FALSE)</f>
        <v>36000</v>
      </c>
      <c r="J686" s="20">
        <f t="shared" si="10"/>
        <v>0.33333333333333331</v>
      </c>
    </row>
    <row r="687" spans="1:10" x14ac:dyDescent="0.3">
      <c r="A687" s="33">
        <v>686</v>
      </c>
      <c r="B687" s="4">
        <v>26</v>
      </c>
      <c r="C687" s="15">
        <v>258</v>
      </c>
      <c r="D687" s="16">
        <v>7</v>
      </c>
      <c r="E687" s="22">
        <v>43965</v>
      </c>
      <c r="F687" s="17">
        <v>14</v>
      </c>
      <c r="G687" s="18">
        <v>0.08</v>
      </c>
      <c r="H687">
        <f>F687*VLOOKUP(B687,產品!$A$2:$H$61,7,FALSE)*(1-銷售總表!G687)</f>
        <v>83720</v>
      </c>
      <c r="I687" s="35">
        <f>H687-F687*VLOOKUP(銷售總表!B687,產品!$A$2:$H$61,8,FALSE)</f>
        <v>29120</v>
      </c>
      <c r="J687" s="20">
        <f t="shared" si="10"/>
        <v>0.34782608695652173</v>
      </c>
    </row>
    <row r="688" spans="1:10" x14ac:dyDescent="0.3">
      <c r="A688" s="33">
        <v>687</v>
      </c>
      <c r="B688" s="4">
        <v>27</v>
      </c>
      <c r="C688" s="15">
        <v>293</v>
      </c>
      <c r="D688" s="16">
        <v>2</v>
      </c>
      <c r="E688" s="22">
        <v>43965</v>
      </c>
      <c r="F688" s="17">
        <v>10</v>
      </c>
      <c r="G688" s="18">
        <v>0.12</v>
      </c>
      <c r="H688">
        <f>F688*VLOOKUP(B688,產品!$A$2:$H$61,7,FALSE)*(1-銷售總表!G688)</f>
        <v>61600</v>
      </c>
      <c r="I688" s="35">
        <f>H688-F688*VLOOKUP(銷售總表!B688,產品!$A$2:$H$61,8,FALSE)</f>
        <v>19600</v>
      </c>
      <c r="J688" s="20">
        <f t="shared" si="10"/>
        <v>0.31818181818181818</v>
      </c>
    </row>
    <row r="689" spans="1:10" x14ac:dyDescent="0.3">
      <c r="A689" s="33">
        <v>688</v>
      </c>
      <c r="B689" s="4">
        <v>54</v>
      </c>
      <c r="C689" s="15">
        <v>140</v>
      </c>
      <c r="D689" s="16">
        <v>8</v>
      </c>
      <c r="E689" s="22">
        <v>43965</v>
      </c>
      <c r="F689" s="17">
        <v>1</v>
      </c>
      <c r="G689" s="18">
        <v>0.06</v>
      </c>
      <c r="H689">
        <f>F689*VLOOKUP(B689,產品!$A$2:$H$61,7,FALSE)*(1-銷售總表!G689)</f>
        <v>16920</v>
      </c>
      <c r="I689" s="35">
        <f>H689-F689*VLOOKUP(銷售總表!B689,產品!$A$2:$H$61,8,FALSE)</f>
        <v>4320</v>
      </c>
      <c r="J689" s="20">
        <f t="shared" si="10"/>
        <v>0.25531914893617019</v>
      </c>
    </row>
    <row r="690" spans="1:10" x14ac:dyDescent="0.3">
      <c r="A690" s="33">
        <v>689</v>
      </c>
      <c r="B690" s="4">
        <v>59</v>
      </c>
      <c r="C690" s="15">
        <v>136</v>
      </c>
      <c r="D690" s="16">
        <v>2</v>
      </c>
      <c r="E690" s="22">
        <v>43965</v>
      </c>
      <c r="F690" s="19">
        <v>1</v>
      </c>
      <c r="G690" s="18">
        <v>0.16</v>
      </c>
      <c r="H690">
        <f>F690*VLOOKUP(B690,產品!$A$2:$H$61,7,FALSE)*(1-銷售總表!G690)</f>
        <v>20160</v>
      </c>
      <c r="I690" s="35">
        <f>H690-F690*VLOOKUP(銷售總表!B690,產品!$A$2:$H$61,8,FALSE)</f>
        <v>3360</v>
      </c>
      <c r="J690" s="20">
        <f t="shared" si="10"/>
        <v>0.16666666666666666</v>
      </c>
    </row>
    <row r="691" spans="1:10" x14ac:dyDescent="0.3">
      <c r="A691" s="33">
        <v>690</v>
      </c>
      <c r="B691" s="4">
        <v>9</v>
      </c>
      <c r="C691" s="15">
        <v>272</v>
      </c>
      <c r="D691" s="16">
        <v>6</v>
      </c>
      <c r="E691" s="22">
        <v>43966</v>
      </c>
      <c r="F691" s="17">
        <v>100</v>
      </c>
      <c r="G691" s="18">
        <v>0.05</v>
      </c>
      <c r="H691">
        <f>F691*VLOOKUP(B691,產品!$A$2:$H$61,7,FALSE)*(1-銷售總表!G691)</f>
        <v>95000</v>
      </c>
      <c r="I691" s="35">
        <f>H691-F691*VLOOKUP(銷售總表!B691,產品!$A$2:$H$61,8,FALSE)</f>
        <v>55000</v>
      </c>
      <c r="J691" s="20">
        <f t="shared" si="10"/>
        <v>0.57894736842105265</v>
      </c>
    </row>
    <row r="692" spans="1:10" x14ac:dyDescent="0.3">
      <c r="A692" s="33">
        <v>691</v>
      </c>
      <c r="B692" s="4">
        <v>39</v>
      </c>
      <c r="C692" s="15">
        <v>3</v>
      </c>
      <c r="D692" s="16">
        <v>1</v>
      </c>
      <c r="E692" s="22">
        <v>43966</v>
      </c>
      <c r="F692" s="17">
        <v>6</v>
      </c>
      <c r="G692" s="18">
        <v>7.0000000000000007E-2</v>
      </c>
      <c r="H692">
        <f>F692*VLOOKUP(B692,產品!$A$2:$H$61,7,FALSE)*(1-銷售總表!G692)</f>
        <v>100440</v>
      </c>
      <c r="I692" s="35">
        <f>H692-F692*VLOOKUP(銷售總表!B692,產品!$A$2:$H$61,8,FALSE)</f>
        <v>30240</v>
      </c>
      <c r="J692" s="20">
        <f t="shared" si="10"/>
        <v>0.30107526881720431</v>
      </c>
    </row>
    <row r="693" spans="1:10" x14ac:dyDescent="0.3">
      <c r="A693" s="33">
        <v>692</v>
      </c>
      <c r="B693" s="4">
        <v>15</v>
      </c>
      <c r="C693" s="15">
        <v>116</v>
      </c>
      <c r="D693" s="16">
        <v>9</v>
      </c>
      <c r="E693" s="22">
        <v>43966</v>
      </c>
      <c r="F693" s="17">
        <v>20</v>
      </c>
      <c r="G693" s="18">
        <v>0.16</v>
      </c>
      <c r="H693">
        <f>F693*VLOOKUP(B693,產品!$A$2:$H$61,7,FALSE)*(1-銷售總表!G693)</f>
        <v>30240</v>
      </c>
      <c r="I693" s="35">
        <f>H693-F693*VLOOKUP(銷售總表!B693,產品!$A$2:$H$61,8,FALSE)</f>
        <v>15840</v>
      </c>
      <c r="J693" s="20">
        <f t="shared" si="10"/>
        <v>0.52380952380952384</v>
      </c>
    </row>
    <row r="694" spans="1:10" x14ac:dyDescent="0.3">
      <c r="A694" s="33">
        <v>693</v>
      </c>
      <c r="B694" s="4">
        <v>40</v>
      </c>
      <c r="C694" s="15">
        <v>285</v>
      </c>
      <c r="D694" s="16">
        <v>4</v>
      </c>
      <c r="E694" s="22">
        <v>43966</v>
      </c>
      <c r="F694" s="17">
        <v>4</v>
      </c>
      <c r="G694" s="18">
        <v>0.18</v>
      </c>
      <c r="H694">
        <f>F694*VLOOKUP(B694,產品!$A$2:$H$61,7,FALSE)*(1-銷售總表!G694)</f>
        <v>65600</v>
      </c>
      <c r="I694" s="35">
        <f>H694-F694*VLOOKUP(銷售總表!B694,產品!$A$2:$H$61,8,FALSE)</f>
        <v>13600</v>
      </c>
      <c r="J694" s="20">
        <f t="shared" si="10"/>
        <v>0.2073170731707317</v>
      </c>
    </row>
    <row r="695" spans="1:10" x14ac:dyDescent="0.3">
      <c r="A695" s="33">
        <v>694</v>
      </c>
      <c r="B695" s="4">
        <v>59</v>
      </c>
      <c r="C695" s="15">
        <v>5</v>
      </c>
      <c r="D695" s="16">
        <v>8</v>
      </c>
      <c r="E695" s="22">
        <v>43966</v>
      </c>
      <c r="F695" s="17">
        <v>1</v>
      </c>
      <c r="G695" s="18">
        <v>0.06</v>
      </c>
      <c r="H695">
        <f>F695*VLOOKUP(B695,產品!$A$2:$H$61,7,FALSE)*(1-銷售總表!G695)</f>
        <v>22560</v>
      </c>
      <c r="I695" s="35">
        <f>H695-F695*VLOOKUP(銷售總表!B695,產品!$A$2:$H$61,8,FALSE)</f>
        <v>5760</v>
      </c>
      <c r="J695" s="20">
        <f t="shared" si="10"/>
        <v>0.25531914893617019</v>
      </c>
    </row>
    <row r="696" spans="1:10" x14ac:dyDescent="0.3">
      <c r="A696" s="33">
        <v>695</v>
      </c>
      <c r="B696" s="4">
        <v>14</v>
      </c>
      <c r="C696" s="15">
        <v>115</v>
      </c>
      <c r="D696" s="16">
        <v>7</v>
      </c>
      <c r="E696" s="22">
        <v>43967</v>
      </c>
      <c r="F696" s="17">
        <v>60</v>
      </c>
      <c r="G696" s="18">
        <v>0.06</v>
      </c>
      <c r="H696">
        <f>F696*VLOOKUP(B696,產品!$A$2:$H$61,7,FALSE)*(1-銷售總表!G696)</f>
        <v>101520</v>
      </c>
      <c r="I696" s="35">
        <f>H696-F696*VLOOKUP(銷售總表!B696,產品!$A$2:$H$61,8,FALSE)</f>
        <v>58320</v>
      </c>
      <c r="J696" s="20">
        <f t="shared" si="10"/>
        <v>0.57446808510638303</v>
      </c>
    </row>
    <row r="697" spans="1:10" x14ac:dyDescent="0.3">
      <c r="A697" s="33">
        <v>696</v>
      </c>
      <c r="B697" s="4">
        <v>17</v>
      </c>
      <c r="C697" s="15">
        <v>267</v>
      </c>
      <c r="D697" s="16">
        <v>7</v>
      </c>
      <c r="E697" s="22">
        <v>43967</v>
      </c>
      <c r="F697" s="19">
        <v>10</v>
      </c>
      <c r="G697" s="18">
        <v>0.08</v>
      </c>
      <c r="H697">
        <f>F697*VLOOKUP(B697,產品!$A$2:$H$61,7,FALSE)*(1-銷售總表!G697)</f>
        <v>16560</v>
      </c>
      <c r="I697" s="35">
        <f>H697-F697*VLOOKUP(銷售總表!B697,產品!$A$2:$H$61,8,FALSE)</f>
        <v>9360</v>
      </c>
      <c r="J697" s="20">
        <f t="shared" si="10"/>
        <v>0.56521739130434778</v>
      </c>
    </row>
    <row r="698" spans="1:10" x14ac:dyDescent="0.3">
      <c r="A698" s="33">
        <v>697</v>
      </c>
      <c r="B698" s="4">
        <v>35</v>
      </c>
      <c r="C698" s="15">
        <v>257</v>
      </c>
      <c r="D698" s="16">
        <v>9</v>
      </c>
      <c r="E698" s="22">
        <v>43967</v>
      </c>
      <c r="F698" s="17">
        <v>3</v>
      </c>
      <c r="G698" s="18">
        <v>0.18</v>
      </c>
      <c r="H698">
        <f>F698*VLOOKUP(B698,產品!$A$2:$H$61,7,FALSE)*(1-銷售總表!G698)</f>
        <v>20910</v>
      </c>
      <c r="I698" s="35">
        <f>H698-F698*VLOOKUP(銷售總表!B698,產品!$A$2:$H$61,8,FALSE)</f>
        <v>5610</v>
      </c>
      <c r="J698" s="20">
        <f t="shared" si="10"/>
        <v>0.26829268292682928</v>
      </c>
    </row>
    <row r="699" spans="1:10" x14ac:dyDescent="0.3">
      <c r="A699" s="33">
        <v>698</v>
      </c>
      <c r="B699" s="4">
        <v>26</v>
      </c>
      <c r="C699" s="15">
        <v>272</v>
      </c>
      <c r="D699" s="16">
        <v>1</v>
      </c>
      <c r="E699" s="22">
        <v>43967</v>
      </c>
      <c r="F699" s="17">
        <v>2</v>
      </c>
      <c r="G699" s="18">
        <v>0.05</v>
      </c>
      <c r="H699">
        <f>F699*VLOOKUP(B699,產品!$A$2:$H$61,7,FALSE)*(1-銷售總表!G699)</f>
        <v>12350</v>
      </c>
      <c r="I699" s="35">
        <f>H699-F699*VLOOKUP(銷售總表!B699,產品!$A$2:$H$61,8,FALSE)</f>
        <v>4550</v>
      </c>
      <c r="J699" s="20">
        <f t="shared" si="10"/>
        <v>0.36842105263157893</v>
      </c>
    </row>
    <row r="700" spans="1:10" x14ac:dyDescent="0.3">
      <c r="A700" s="33">
        <v>699</v>
      </c>
      <c r="B700" s="4">
        <v>44</v>
      </c>
      <c r="C700" s="15">
        <v>126</v>
      </c>
      <c r="D700" s="16">
        <v>7</v>
      </c>
      <c r="E700" s="22">
        <v>43967</v>
      </c>
      <c r="F700" s="17">
        <v>1</v>
      </c>
      <c r="G700" s="18">
        <v>0.16</v>
      </c>
      <c r="H700">
        <f>F700*VLOOKUP(B700,產品!$A$2:$H$61,7,FALSE)*(1-銷售總表!G700)</f>
        <v>16800</v>
      </c>
      <c r="I700" s="35">
        <f>H700-F700*VLOOKUP(銷售總表!B700,產品!$A$2:$H$61,8,FALSE)</f>
        <v>3800</v>
      </c>
      <c r="J700" s="20">
        <f t="shared" si="10"/>
        <v>0.22619047619047619</v>
      </c>
    </row>
    <row r="701" spans="1:10" x14ac:dyDescent="0.3">
      <c r="A701" s="33">
        <v>700</v>
      </c>
      <c r="B701" s="4">
        <v>19</v>
      </c>
      <c r="C701" s="15">
        <v>134</v>
      </c>
      <c r="D701" s="16">
        <v>9</v>
      </c>
      <c r="E701" s="22">
        <v>43968</v>
      </c>
      <c r="F701" s="19">
        <v>150</v>
      </c>
      <c r="G701" s="18">
        <v>0.13</v>
      </c>
      <c r="H701">
        <f>F701*VLOOKUP(B701,產品!$A$2:$H$61,7,FALSE)*(1-銷售總表!G701)</f>
        <v>234900</v>
      </c>
      <c r="I701" s="35">
        <f>H701-F701*VLOOKUP(銷售總表!B701,產品!$A$2:$H$61,8,FALSE)</f>
        <v>126900</v>
      </c>
      <c r="J701" s="20">
        <f t="shared" si="10"/>
        <v>0.54022988505747127</v>
      </c>
    </row>
    <row r="702" spans="1:10" x14ac:dyDescent="0.3">
      <c r="A702" s="33">
        <v>701</v>
      </c>
      <c r="B702" s="4">
        <v>25</v>
      </c>
      <c r="C702" s="15">
        <v>7</v>
      </c>
      <c r="D702" s="16">
        <v>10</v>
      </c>
      <c r="E702" s="22">
        <v>43968</v>
      </c>
      <c r="F702" s="17">
        <v>30</v>
      </c>
      <c r="G702" s="18">
        <v>0.19</v>
      </c>
      <c r="H702">
        <f>F702*VLOOKUP(B702,產品!$A$2:$H$61,7,FALSE)*(1-銷售總表!G702)</f>
        <v>145800</v>
      </c>
      <c r="I702" s="35">
        <f>H702-F702*VLOOKUP(銷售總表!B702,產品!$A$2:$H$61,8,FALSE)</f>
        <v>37800</v>
      </c>
      <c r="J702" s="20">
        <f t="shared" si="10"/>
        <v>0.25925925925925924</v>
      </c>
    </row>
    <row r="703" spans="1:10" x14ac:dyDescent="0.3">
      <c r="A703" s="33">
        <v>702</v>
      </c>
      <c r="B703" s="4">
        <v>18</v>
      </c>
      <c r="C703" s="15">
        <v>285</v>
      </c>
      <c r="D703" s="16">
        <v>3</v>
      </c>
      <c r="E703" s="22">
        <v>43968</v>
      </c>
      <c r="F703" s="17">
        <v>40</v>
      </c>
      <c r="G703" s="18">
        <v>0.16</v>
      </c>
      <c r="H703">
        <f>F703*VLOOKUP(B703,產品!$A$2:$H$61,7,FALSE)*(1-銷售總表!G703)</f>
        <v>60480</v>
      </c>
      <c r="I703" s="35">
        <f>H703-F703*VLOOKUP(銷售總表!B703,產品!$A$2:$H$61,8,FALSE)</f>
        <v>31680</v>
      </c>
      <c r="J703" s="20">
        <f t="shared" si="10"/>
        <v>0.52380952380952384</v>
      </c>
    </row>
    <row r="704" spans="1:10" x14ac:dyDescent="0.3">
      <c r="A704" s="33">
        <v>703</v>
      </c>
      <c r="B704" s="4">
        <v>6</v>
      </c>
      <c r="C704" s="15">
        <v>11</v>
      </c>
      <c r="D704" s="16">
        <v>8</v>
      </c>
      <c r="E704" s="22">
        <v>43968</v>
      </c>
      <c r="F704" s="17">
        <v>40</v>
      </c>
      <c r="G704" s="18">
        <v>0.12</v>
      </c>
      <c r="H704">
        <f>F704*VLOOKUP(B704,產品!$A$2:$H$61,7,FALSE)*(1-銷售總表!G704)</f>
        <v>35200</v>
      </c>
      <c r="I704" s="35">
        <f>H704-F704*VLOOKUP(銷售總表!B704,產品!$A$2:$H$61,8,FALSE)</f>
        <v>19200</v>
      </c>
      <c r="J704" s="20">
        <f t="shared" si="10"/>
        <v>0.54545454545454541</v>
      </c>
    </row>
    <row r="705" spans="1:10" x14ac:dyDescent="0.3">
      <c r="A705" s="33">
        <v>704</v>
      </c>
      <c r="B705" s="4">
        <v>22</v>
      </c>
      <c r="C705" s="15">
        <v>134</v>
      </c>
      <c r="D705" s="16">
        <v>2</v>
      </c>
      <c r="E705" s="22">
        <v>43968</v>
      </c>
      <c r="F705" s="17">
        <v>16</v>
      </c>
      <c r="G705" s="18">
        <v>0.18</v>
      </c>
      <c r="H705">
        <f>F705*VLOOKUP(B705,產品!$A$2:$H$61,7,FALSE)*(1-銷售總表!G705)</f>
        <v>23616</v>
      </c>
      <c r="I705" s="35">
        <f>H705-F705*VLOOKUP(銷售總表!B705,產品!$A$2:$H$61,8,FALSE)</f>
        <v>12096</v>
      </c>
      <c r="J705" s="20">
        <f t="shared" si="10"/>
        <v>0.51219512195121952</v>
      </c>
    </row>
    <row r="706" spans="1:10" x14ac:dyDescent="0.3">
      <c r="A706" s="33">
        <v>705</v>
      </c>
      <c r="B706" s="4">
        <v>10</v>
      </c>
      <c r="C706" s="15">
        <v>6</v>
      </c>
      <c r="D706" s="16">
        <v>10</v>
      </c>
      <c r="E706" s="22">
        <v>43968</v>
      </c>
      <c r="F706" s="17">
        <v>20</v>
      </c>
      <c r="G706" s="18">
        <v>0.11</v>
      </c>
      <c r="H706">
        <f>F706*VLOOKUP(B706,產品!$A$2:$H$61,7,FALSE)*(1-銷售總表!G706)</f>
        <v>17800</v>
      </c>
      <c r="I706" s="35">
        <f>H706-F706*VLOOKUP(銷售總表!B706,產品!$A$2:$H$61,8,FALSE)</f>
        <v>9800</v>
      </c>
      <c r="J706" s="20">
        <f t="shared" si="10"/>
        <v>0.550561797752809</v>
      </c>
    </row>
    <row r="707" spans="1:10" x14ac:dyDescent="0.3">
      <c r="A707" s="33">
        <v>706</v>
      </c>
      <c r="B707" s="4">
        <v>6</v>
      </c>
      <c r="C707" s="15">
        <v>286</v>
      </c>
      <c r="D707" s="16">
        <v>3</v>
      </c>
      <c r="E707" s="22">
        <v>43968</v>
      </c>
      <c r="F707" s="17">
        <v>20</v>
      </c>
      <c r="G707" s="18">
        <v>0.12</v>
      </c>
      <c r="H707">
        <f>F707*VLOOKUP(B707,產品!$A$2:$H$61,7,FALSE)*(1-銷售總表!G707)</f>
        <v>17600</v>
      </c>
      <c r="I707" s="35">
        <f>H707-F707*VLOOKUP(銷售總表!B707,產品!$A$2:$H$61,8,FALSE)</f>
        <v>9600</v>
      </c>
      <c r="J707" s="20">
        <f t="shared" ref="J707:J770" si="11">I707/H707</f>
        <v>0.54545454545454541</v>
      </c>
    </row>
    <row r="708" spans="1:10" x14ac:dyDescent="0.3">
      <c r="A708" s="33">
        <v>707</v>
      </c>
      <c r="B708" s="4">
        <v>14</v>
      </c>
      <c r="C708" s="15">
        <v>137</v>
      </c>
      <c r="D708" s="16">
        <v>9</v>
      </c>
      <c r="E708" s="22">
        <v>43968</v>
      </c>
      <c r="F708" s="19">
        <v>10</v>
      </c>
      <c r="G708" s="18">
        <v>0.09</v>
      </c>
      <c r="H708">
        <f>F708*VLOOKUP(B708,產品!$A$2:$H$61,7,FALSE)*(1-銷售總表!G708)</f>
        <v>16380</v>
      </c>
      <c r="I708" s="35">
        <f>H708-F708*VLOOKUP(銷售總表!B708,產品!$A$2:$H$61,8,FALSE)</f>
        <v>9180</v>
      </c>
      <c r="J708" s="20">
        <f t="shared" si="11"/>
        <v>0.56043956043956045</v>
      </c>
    </row>
    <row r="709" spans="1:10" x14ac:dyDescent="0.3">
      <c r="A709" s="33">
        <v>708</v>
      </c>
      <c r="B709" s="4">
        <v>22</v>
      </c>
      <c r="C709" s="15">
        <v>4</v>
      </c>
      <c r="D709" s="16">
        <v>1</v>
      </c>
      <c r="E709" s="22">
        <v>43968</v>
      </c>
      <c r="F709" s="19">
        <v>10</v>
      </c>
      <c r="G709" s="18">
        <v>0.1</v>
      </c>
      <c r="H709">
        <f>F709*VLOOKUP(B709,產品!$A$2:$H$61,7,FALSE)*(1-銷售總表!G709)</f>
        <v>16200</v>
      </c>
      <c r="I709" s="35">
        <f>H709-F709*VLOOKUP(銷售總表!B709,產品!$A$2:$H$61,8,FALSE)</f>
        <v>9000</v>
      </c>
      <c r="J709" s="20">
        <f t="shared" si="11"/>
        <v>0.55555555555555558</v>
      </c>
    </row>
    <row r="710" spans="1:10" x14ac:dyDescent="0.3">
      <c r="A710" s="33">
        <v>709</v>
      </c>
      <c r="B710" s="4">
        <v>31</v>
      </c>
      <c r="C710" s="15">
        <v>277</v>
      </c>
      <c r="D710" s="16">
        <v>9</v>
      </c>
      <c r="E710" s="22">
        <v>43968</v>
      </c>
      <c r="F710" s="17">
        <v>3</v>
      </c>
      <c r="G710" s="18">
        <v>0.12</v>
      </c>
      <c r="H710">
        <f>F710*VLOOKUP(B710,產品!$A$2:$H$61,7,FALSE)*(1-銷售總表!G710)</f>
        <v>18480</v>
      </c>
      <c r="I710" s="35">
        <f>H710-F710*VLOOKUP(銷售總表!B710,產品!$A$2:$H$61,8,FALSE)</f>
        <v>5880</v>
      </c>
      <c r="J710" s="20">
        <f t="shared" si="11"/>
        <v>0.31818181818181818</v>
      </c>
    </row>
    <row r="711" spans="1:10" x14ac:dyDescent="0.3">
      <c r="A711" s="33">
        <v>710</v>
      </c>
      <c r="B711" s="4">
        <v>4</v>
      </c>
      <c r="C711" s="15">
        <v>138</v>
      </c>
      <c r="D711" s="16">
        <v>3</v>
      </c>
      <c r="E711" s="22">
        <v>43969</v>
      </c>
      <c r="F711" s="17">
        <v>175</v>
      </c>
      <c r="G711" s="18">
        <v>0.1</v>
      </c>
      <c r="H711">
        <f>F711*VLOOKUP(B711,產品!$A$2:$H$61,7,FALSE)*(1-銷售總表!G711)</f>
        <v>157500</v>
      </c>
      <c r="I711" s="35">
        <f>H711-F711*VLOOKUP(銷售總表!B711,產品!$A$2:$H$61,8,FALSE)</f>
        <v>87500</v>
      </c>
      <c r="J711" s="20">
        <f t="shared" si="11"/>
        <v>0.55555555555555558</v>
      </c>
    </row>
    <row r="712" spans="1:10" x14ac:dyDescent="0.3">
      <c r="A712" s="33">
        <v>711</v>
      </c>
      <c r="B712" s="4">
        <v>54</v>
      </c>
      <c r="C712" s="15">
        <v>273</v>
      </c>
      <c r="D712" s="16">
        <v>1</v>
      </c>
      <c r="E712" s="22">
        <v>43969</v>
      </c>
      <c r="F712" s="17">
        <v>15</v>
      </c>
      <c r="G712" s="18">
        <v>0.13</v>
      </c>
      <c r="H712">
        <f>F712*VLOOKUP(B712,產品!$A$2:$H$61,7,FALSE)*(1-銷售總表!G712)</f>
        <v>234900</v>
      </c>
      <c r="I712" s="35">
        <f>H712-F712*VLOOKUP(銷售總表!B712,產品!$A$2:$H$61,8,FALSE)</f>
        <v>45900</v>
      </c>
      <c r="J712" s="20">
        <f t="shared" si="11"/>
        <v>0.19540229885057472</v>
      </c>
    </row>
    <row r="713" spans="1:10" x14ac:dyDescent="0.3">
      <c r="A713" s="33">
        <v>712</v>
      </c>
      <c r="B713" s="4">
        <v>37</v>
      </c>
      <c r="C713" s="15">
        <v>265</v>
      </c>
      <c r="D713" s="16">
        <v>8</v>
      </c>
      <c r="E713" s="22">
        <v>43969</v>
      </c>
      <c r="F713" s="19">
        <v>10</v>
      </c>
      <c r="G713" s="18">
        <v>0.1</v>
      </c>
      <c r="H713">
        <f>F713*VLOOKUP(B713,產品!$A$2:$H$61,7,FALSE)*(1-銷售總表!G713)</f>
        <v>108000</v>
      </c>
      <c r="I713" s="35">
        <f>H713-F713*VLOOKUP(銷售總表!B713,產品!$A$2:$H$61,8,FALSE)</f>
        <v>30000</v>
      </c>
      <c r="J713" s="20">
        <f t="shared" si="11"/>
        <v>0.27777777777777779</v>
      </c>
    </row>
    <row r="714" spans="1:10" x14ac:dyDescent="0.3">
      <c r="A714" s="33">
        <v>713</v>
      </c>
      <c r="B714" s="4">
        <v>27</v>
      </c>
      <c r="C714" s="15">
        <v>272</v>
      </c>
      <c r="D714" s="16">
        <v>7</v>
      </c>
      <c r="E714" s="22">
        <v>43969</v>
      </c>
      <c r="F714" s="17">
        <v>9</v>
      </c>
      <c r="G714" s="18">
        <v>0.11</v>
      </c>
      <c r="H714">
        <f>F714*VLOOKUP(B714,產品!$A$2:$H$61,7,FALSE)*(1-銷售總表!G714)</f>
        <v>56070</v>
      </c>
      <c r="I714" s="35">
        <f>H714-F714*VLOOKUP(銷售總表!B714,產品!$A$2:$H$61,8,FALSE)</f>
        <v>18270</v>
      </c>
      <c r="J714" s="20">
        <f t="shared" si="11"/>
        <v>0.3258426966292135</v>
      </c>
    </row>
    <row r="715" spans="1:10" x14ac:dyDescent="0.3">
      <c r="A715" s="33">
        <v>714</v>
      </c>
      <c r="B715" s="4">
        <v>25</v>
      </c>
      <c r="C715" s="15">
        <v>282</v>
      </c>
      <c r="D715" s="16">
        <v>5</v>
      </c>
      <c r="E715" s="22">
        <v>43969</v>
      </c>
      <c r="F715" s="17">
        <v>4</v>
      </c>
      <c r="G715" s="18">
        <v>0.1</v>
      </c>
      <c r="H715">
        <f>F715*VLOOKUP(B715,產品!$A$2:$H$61,7,FALSE)*(1-銷售總表!G715)</f>
        <v>21600</v>
      </c>
      <c r="I715" s="35">
        <f>H715-F715*VLOOKUP(銷售總表!B715,產品!$A$2:$H$61,8,FALSE)</f>
        <v>7200</v>
      </c>
      <c r="J715" s="20">
        <f t="shared" si="11"/>
        <v>0.33333333333333331</v>
      </c>
    </row>
    <row r="716" spans="1:10" x14ac:dyDescent="0.3">
      <c r="A716" s="33">
        <v>715</v>
      </c>
      <c r="B716" s="4">
        <v>21</v>
      </c>
      <c r="C716" s="15">
        <v>292</v>
      </c>
      <c r="D716" s="16">
        <v>4</v>
      </c>
      <c r="E716" s="22">
        <v>43969</v>
      </c>
      <c r="F716" s="17">
        <v>10</v>
      </c>
      <c r="G716" s="18">
        <v>0.2</v>
      </c>
      <c r="H716">
        <f>F716*VLOOKUP(B716,產品!$A$2:$H$61,7,FALSE)*(1-銷售總表!G716)</f>
        <v>14400</v>
      </c>
      <c r="I716" s="35">
        <f>H716-F716*VLOOKUP(銷售總表!B716,產品!$A$2:$H$61,8,FALSE)</f>
        <v>7200</v>
      </c>
      <c r="J716" s="20">
        <f t="shared" si="11"/>
        <v>0.5</v>
      </c>
    </row>
    <row r="717" spans="1:10" x14ac:dyDescent="0.3">
      <c r="A717" s="33">
        <v>716</v>
      </c>
      <c r="B717" s="4">
        <v>54</v>
      </c>
      <c r="C717" s="15">
        <v>286</v>
      </c>
      <c r="D717" s="16">
        <v>7</v>
      </c>
      <c r="E717" s="22">
        <v>43969</v>
      </c>
      <c r="F717" s="17">
        <v>3</v>
      </c>
      <c r="G717" s="18">
        <v>0.17</v>
      </c>
      <c r="H717">
        <f>F717*VLOOKUP(B717,產品!$A$2:$H$61,7,FALSE)*(1-銷售總表!G717)</f>
        <v>44820</v>
      </c>
      <c r="I717" s="35">
        <f>H717-F717*VLOOKUP(銷售總表!B717,產品!$A$2:$H$61,8,FALSE)</f>
        <v>7020</v>
      </c>
      <c r="J717" s="20">
        <f t="shared" si="11"/>
        <v>0.15662650602409639</v>
      </c>
    </row>
    <row r="718" spans="1:10" x14ac:dyDescent="0.3">
      <c r="A718" s="33">
        <v>717</v>
      </c>
      <c r="B718" s="4">
        <v>6</v>
      </c>
      <c r="C718" s="15">
        <v>263</v>
      </c>
      <c r="D718" s="16">
        <v>5</v>
      </c>
      <c r="E718" s="22">
        <v>43969</v>
      </c>
      <c r="F718" s="17">
        <v>10</v>
      </c>
      <c r="G718" s="18">
        <v>0.05</v>
      </c>
      <c r="H718">
        <f>F718*VLOOKUP(B718,產品!$A$2:$H$61,7,FALSE)*(1-銷售總表!G718)</f>
        <v>9500</v>
      </c>
      <c r="I718" s="35">
        <f>H718-F718*VLOOKUP(銷售總表!B718,產品!$A$2:$H$61,8,FALSE)</f>
        <v>5500</v>
      </c>
      <c r="J718" s="20">
        <f t="shared" si="11"/>
        <v>0.57894736842105265</v>
      </c>
    </row>
    <row r="719" spans="1:10" x14ac:dyDescent="0.3">
      <c r="A719" s="33">
        <v>718</v>
      </c>
      <c r="B719" s="4">
        <v>34</v>
      </c>
      <c r="C719" s="15">
        <v>140</v>
      </c>
      <c r="D719" s="16">
        <v>9</v>
      </c>
      <c r="E719" s="22">
        <v>43969</v>
      </c>
      <c r="F719" s="17">
        <v>2</v>
      </c>
      <c r="G719" s="18">
        <v>0.12</v>
      </c>
      <c r="H719">
        <f>F719*VLOOKUP(B719,產品!$A$2:$H$61,7,FALSE)*(1-銷售總表!G719)</f>
        <v>14080</v>
      </c>
      <c r="I719" s="35">
        <f>H719-F719*VLOOKUP(銷售總表!B719,產品!$A$2:$H$61,8,FALSE)</f>
        <v>4480</v>
      </c>
      <c r="J719" s="20">
        <f t="shared" si="11"/>
        <v>0.31818181818181818</v>
      </c>
    </row>
    <row r="720" spans="1:10" x14ac:dyDescent="0.3">
      <c r="A720" s="33">
        <v>719</v>
      </c>
      <c r="B720" s="4">
        <v>23</v>
      </c>
      <c r="C720" s="15">
        <v>138</v>
      </c>
      <c r="D720" s="16">
        <v>6</v>
      </c>
      <c r="E720" s="22">
        <v>43970</v>
      </c>
      <c r="F720" s="17">
        <v>80</v>
      </c>
      <c r="G720" s="18">
        <v>0.05</v>
      </c>
      <c r="H720">
        <f>F720*VLOOKUP(B720,產品!$A$2:$H$61,7,FALSE)*(1-銷售總表!G720)</f>
        <v>136800</v>
      </c>
      <c r="I720" s="35">
        <f>H720-F720*VLOOKUP(銷售總表!B720,產品!$A$2:$H$61,8,FALSE)</f>
        <v>79200</v>
      </c>
      <c r="J720" s="20">
        <f t="shared" si="11"/>
        <v>0.57894736842105265</v>
      </c>
    </row>
    <row r="721" spans="1:10" x14ac:dyDescent="0.3">
      <c r="A721" s="33">
        <v>720</v>
      </c>
      <c r="B721" s="4">
        <v>12</v>
      </c>
      <c r="C721" s="15">
        <v>257</v>
      </c>
      <c r="D721" s="16">
        <v>9</v>
      </c>
      <c r="E721" s="22">
        <v>43970</v>
      </c>
      <c r="F721" s="19">
        <v>100</v>
      </c>
      <c r="G721" s="18">
        <v>0.05</v>
      </c>
      <c r="H721">
        <f>F721*VLOOKUP(B721,產品!$A$2:$H$61,7,FALSE)*(1-銷售總表!G721)</f>
        <v>95000</v>
      </c>
      <c r="I721" s="35">
        <f>H721-F721*VLOOKUP(銷售總表!B721,產品!$A$2:$H$61,8,FALSE)</f>
        <v>55000</v>
      </c>
      <c r="J721" s="20">
        <f t="shared" si="11"/>
        <v>0.57894736842105265</v>
      </c>
    </row>
    <row r="722" spans="1:10" x14ac:dyDescent="0.3">
      <c r="A722" s="33">
        <v>721</v>
      </c>
      <c r="B722" s="4">
        <v>28</v>
      </c>
      <c r="C722" s="15">
        <v>4</v>
      </c>
      <c r="D722" s="16">
        <v>2</v>
      </c>
      <c r="E722" s="22">
        <v>43971</v>
      </c>
      <c r="F722" s="17">
        <v>15</v>
      </c>
      <c r="G722" s="18">
        <v>0.09</v>
      </c>
      <c r="H722">
        <f>F722*VLOOKUP(B722,產品!$A$2:$H$61,7,FALSE)*(1-銷售總表!G722)</f>
        <v>102375</v>
      </c>
      <c r="I722" s="35">
        <f>H722-F722*VLOOKUP(銷售總表!B722,產品!$A$2:$H$61,8,FALSE)</f>
        <v>34875</v>
      </c>
      <c r="J722" s="20">
        <f t="shared" si="11"/>
        <v>0.34065934065934067</v>
      </c>
    </row>
    <row r="723" spans="1:10" x14ac:dyDescent="0.3">
      <c r="A723" s="33">
        <v>722</v>
      </c>
      <c r="B723" s="4">
        <v>29</v>
      </c>
      <c r="C723" s="15">
        <v>135</v>
      </c>
      <c r="D723" s="16">
        <v>10</v>
      </c>
      <c r="E723" s="22">
        <v>43971</v>
      </c>
      <c r="F723" s="19">
        <v>20</v>
      </c>
      <c r="G723" s="18">
        <v>0.12</v>
      </c>
      <c r="H723">
        <f>F723*VLOOKUP(B723,產品!$A$2:$H$61,7,FALSE)*(1-銷售總表!G723)</f>
        <v>105600</v>
      </c>
      <c r="I723" s="35">
        <f>H723-F723*VLOOKUP(銷售總表!B723,產品!$A$2:$H$61,8,FALSE)</f>
        <v>33600</v>
      </c>
      <c r="J723" s="20">
        <f t="shared" si="11"/>
        <v>0.31818181818181818</v>
      </c>
    </row>
    <row r="724" spans="1:10" x14ac:dyDescent="0.3">
      <c r="A724" s="33">
        <v>723</v>
      </c>
      <c r="B724" s="4">
        <v>26</v>
      </c>
      <c r="C724" s="15">
        <v>7</v>
      </c>
      <c r="D724" s="16">
        <v>4</v>
      </c>
      <c r="E724" s="22">
        <v>43971</v>
      </c>
      <c r="F724" s="17">
        <v>20</v>
      </c>
      <c r="G724" s="18">
        <v>0.19</v>
      </c>
      <c r="H724">
        <f>F724*VLOOKUP(B724,產品!$A$2:$H$61,7,FALSE)*(1-銷售總表!G724)</f>
        <v>105300</v>
      </c>
      <c r="I724" s="35">
        <f>H724-F724*VLOOKUP(銷售總表!B724,產品!$A$2:$H$61,8,FALSE)</f>
        <v>27300</v>
      </c>
      <c r="J724" s="20">
        <f t="shared" si="11"/>
        <v>0.25925925925925924</v>
      </c>
    </row>
    <row r="725" spans="1:10" x14ac:dyDescent="0.3">
      <c r="A725" s="33">
        <v>724</v>
      </c>
      <c r="B725" s="4">
        <v>3</v>
      </c>
      <c r="C725" s="15">
        <v>257</v>
      </c>
      <c r="D725" s="16">
        <v>4</v>
      </c>
      <c r="E725" s="22">
        <v>43971</v>
      </c>
      <c r="F725" s="19">
        <v>30</v>
      </c>
      <c r="G725" s="18">
        <v>0.16</v>
      </c>
      <c r="H725">
        <f>F725*VLOOKUP(B725,產品!$A$2:$H$61,7,FALSE)*(1-銷售總表!G725)</f>
        <v>25200</v>
      </c>
      <c r="I725" s="35">
        <f>H725-F725*VLOOKUP(銷售總表!B725,產品!$A$2:$H$61,8,FALSE)</f>
        <v>13200</v>
      </c>
      <c r="J725" s="20">
        <f t="shared" si="11"/>
        <v>0.52380952380952384</v>
      </c>
    </row>
    <row r="726" spans="1:10" x14ac:dyDescent="0.3">
      <c r="A726" s="33">
        <v>725</v>
      </c>
      <c r="B726" s="4">
        <v>6</v>
      </c>
      <c r="C726" s="15">
        <v>258</v>
      </c>
      <c r="D726" s="16">
        <v>9</v>
      </c>
      <c r="E726" s="22">
        <v>43971</v>
      </c>
      <c r="F726" s="17">
        <v>15</v>
      </c>
      <c r="G726" s="18">
        <v>0.16</v>
      </c>
      <c r="H726">
        <f>F726*VLOOKUP(B726,產品!$A$2:$H$61,7,FALSE)*(1-銷售總表!G726)</f>
        <v>12600</v>
      </c>
      <c r="I726" s="35">
        <f>H726-F726*VLOOKUP(銷售總表!B726,產品!$A$2:$H$61,8,FALSE)</f>
        <v>6600</v>
      </c>
      <c r="J726" s="20">
        <f t="shared" si="11"/>
        <v>0.52380952380952384</v>
      </c>
    </row>
    <row r="727" spans="1:10" x14ac:dyDescent="0.3">
      <c r="A727" s="33">
        <v>726</v>
      </c>
      <c r="B727" s="4">
        <v>25</v>
      </c>
      <c r="C727" s="15">
        <v>5</v>
      </c>
      <c r="D727" s="16">
        <v>6</v>
      </c>
      <c r="E727" s="22">
        <v>43971</v>
      </c>
      <c r="F727" s="19">
        <v>2</v>
      </c>
      <c r="G727" s="18">
        <v>0.2</v>
      </c>
      <c r="H727">
        <f>F727*VLOOKUP(B727,產品!$A$2:$H$61,7,FALSE)*(1-銷售總表!G727)</f>
        <v>9600</v>
      </c>
      <c r="I727" s="35">
        <f>H727-F727*VLOOKUP(銷售總表!B727,產品!$A$2:$H$61,8,FALSE)</f>
        <v>2400</v>
      </c>
      <c r="J727" s="20">
        <f t="shared" si="11"/>
        <v>0.25</v>
      </c>
    </row>
    <row r="728" spans="1:10" x14ac:dyDescent="0.3">
      <c r="A728" s="33">
        <v>727</v>
      </c>
      <c r="B728" s="4">
        <v>21</v>
      </c>
      <c r="C728" s="15">
        <v>289</v>
      </c>
      <c r="D728" s="16">
        <v>7</v>
      </c>
      <c r="E728" s="22">
        <v>43972</v>
      </c>
      <c r="F728" s="17">
        <v>70</v>
      </c>
      <c r="G728" s="18">
        <v>0.11</v>
      </c>
      <c r="H728">
        <f>F728*VLOOKUP(B728,產品!$A$2:$H$61,7,FALSE)*(1-銷售總表!G728)</f>
        <v>112140</v>
      </c>
      <c r="I728" s="35">
        <f>H728-F728*VLOOKUP(銷售總表!B728,產品!$A$2:$H$61,8,FALSE)</f>
        <v>61740</v>
      </c>
      <c r="J728" s="20">
        <f t="shared" si="11"/>
        <v>0.550561797752809</v>
      </c>
    </row>
    <row r="729" spans="1:10" x14ac:dyDescent="0.3">
      <c r="A729" s="33">
        <v>728</v>
      </c>
      <c r="B729" s="4">
        <v>17</v>
      </c>
      <c r="C729" s="15">
        <v>121</v>
      </c>
      <c r="D729" s="16">
        <v>7</v>
      </c>
      <c r="E729" s="22">
        <v>43972</v>
      </c>
      <c r="F729" s="17">
        <v>40</v>
      </c>
      <c r="G729" s="18">
        <v>0.11</v>
      </c>
      <c r="H729">
        <f>F729*VLOOKUP(B729,產品!$A$2:$H$61,7,FALSE)*(1-銷售總表!G729)</f>
        <v>64080</v>
      </c>
      <c r="I729" s="35">
        <f>H729-F729*VLOOKUP(銷售總表!B729,產品!$A$2:$H$61,8,FALSE)</f>
        <v>35280</v>
      </c>
      <c r="J729" s="20">
        <f t="shared" si="11"/>
        <v>0.550561797752809</v>
      </c>
    </row>
    <row r="730" spans="1:10" x14ac:dyDescent="0.3">
      <c r="A730" s="33">
        <v>729</v>
      </c>
      <c r="B730" s="4">
        <v>22</v>
      </c>
      <c r="C730" s="15">
        <v>261</v>
      </c>
      <c r="D730" s="16">
        <v>2</v>
      </c>
      <c r="E730" s="22">
        <v>43972</v>
      </c>
      <c r="F730" s="17">
        <v>40</v>
      </c>
      <c r="G730" s="18">
        <v>0.11</v>
      </c>
      <c r="H730">
        <f>F730*VLOOKUP(B730,產品!$A$2:$H$61,7,FALSE)*(1-銷售總表!G730)</f>
        <v>64080</v>
      </c>
      <c r="I730" s="35">
        <f>H730-F730*VLOOKUP(銷售總表!B730,產品!$A$2:$H$61,8,FALSE)</f>
        <v>35280</v>
      </c>
      <c r="J730" s="20">
        <f t="shared" si="11"/>
        <v>0.550561797752809</v>
      </c>
    </row>
    <row r="731" spans="1:10" x14ac:dyDescent="0.3">
      <c r="A731" s="33">
        <v>730</v>
      </c>
      <c r="B731" s="4">
        <v>41</v>
      </c>
      <c r="C731" s="15">
        <v>6</v>
      </c>
      <c r="D731" s="16">
        <v>2</v>
      </c>
      <c r="E731" s="22">
        <v>43972</v>
      </c>
      <c r="F731" s="17">
        <v>8</v>
      </c>
      <c r="G731" s="18">
        <v>0.08</v>
      </c>
      <c r="H731">
        <f>F731*VLOOKUP(B731,產品!$A$2:$H$61,7,FALSE)*(1-銷售總表!G731)</f>
        <v>88320</v>
      </c>
      <c r="I731" s="35">
        <f>H731-F731*VLOOKUP(銷售總表!B731,產品!$A$2:$H$61,8,FALSE)</f>
        <v>25920</v>
      </c>
      <c r="J731" s="20">
        <f t="shared" si="11"/>
        <v>0.29347826086956524</v>
      </c>
    </row>
    <row r="732" spans="1:10" x14ac:dyDescent="0.3">
      <c r="A732" s="33">
        <v>731</v>
      </c>
      <c r="B732" s="4">
        <v>18</v>
      </c>
      <c r="C732" s="15">
        <v>273</v>
      </c>
      <c r="D732" s="16">
        <v>7</v>
      </c>
      <c r="E732" s="22">
        <v>43972</v>
      </c>
      <c r="F732" s="17">
        <v>20</v>
      </c>
      <c r="G732" s="18">
        <v>0.12</v>
      </c>
      <c r="H732">
        <f>F732*VLOOKUP(B732,產品!$A$2:$H$61,7,FALSE)*(1-銷售總表!G732)</f>
        <v>31680</v>
      </c>
      <c r="I732" s="35">
        <f>H732-F732*VLOOKUP(銷售總表!B732,產品!$A$2:$H$61,8,FALSE)</f>
        <v>17280</v>
      </c>
      <c r="J732" s="20">
        <f t="shared" si="11"/>
        <v>0.54545454545454541</v>
      </c>
    </row>
    <row r="733" spans="1:10" x14ac:dyDescent="0.3">
      <c r="A733" s="33">
        <v>732</v>
      </c>
      <c r="B733" s="4">
        <v>44</v>
      </c>
      <c r="C733" s="15">
        <v>2</v>
      </c>
      <c r="D733" s="16">
        <v>8</v>
      </c>
      <c r="E733" s="22">
        <v>43972</v>
      </c>
      <c r="F733" s="17">
        <v>3</v>
      </c>
      <c r="G733" s="18">
        <v>0.12</v>
      </c>
      <c r="H733">
        <f>F733*VLOOKUP(B733,產品!$A$2:$H$61,7,FALSE)*(1-銷售總表!G733)</f>
        <v>52800</v>
      </c>
      <c r="I733" s="35">
        <f>H733-F733*VLOOKUP(銷售總表!B733,產品!$A$2:$H$61,8,FALSE)</f>
        <v>13800</v>
      </c>
      <c r="J733" s="20">
        <f t="shared" si="11"/>
        <v>0.26136363636363635</v>
      </c>
    </row>
    <row r="734" spans="1:10" x14ac:dyDescent="0.3">
      <c r="A734" s="33">
        <v>733</v>
      </c>
      <c r="B734" s="4">
        <v>55</v>
      </c>
      <c r="C734" s="15">
        <v>282</v>
      </c>
      <c r="D734" s="16">
        <v>9</v>
      </c>
      <c r="E734" s="22">
        <v>43972</v>
      </c>
      <c r="F734" s="17">
        <v>5</v>
      </c>
      <c r="G734" s="18">
        <v>0.15</v>
      </c>
      <c r="H734">
        <f>F734*VLOOKUP(B734,產品!$A$2:$H$61,7,FALSE)*(1-銷售總表!G734)</f>
        <v>85000</v>
      </c>
      <c r="I734" s="35">
        <f>H734-F734*VLOOKUP(銷售總表!B734,產品!$A$2:$H$61,8,FALSE)</f>
        <v>15000</v>
      </c>
      <c r="J734" s="20">
        <f t="shared" si="11"/>
        <v>0.17647058823529413</v>
      </c>
    </row>
    <row r="735" spans="1:10" x14ac:dyDescent="0.3">
      <c r="A735" s="33">
        <v>734</v>
      </c>
      <c r="B735" s="4">
        <v>26</v>
      </c>
      <c r="C735" s="15">
        <v>3</v>
      </c>
      <c r="D735" s="16">
        <v>9</v>
      </c>
      <c r="E735" s="22">
        <v>43972</v>
      </c>
      <c r="F735" s="17">
        <v>8</v>
      </c>
      <c r="G735" s="18">
        <v>0.16</v>
      </c>
      <c r="H735">
        <f>F735*VLOOKUP(B735,產品!$A$2:$H$61,7,FALSE)*(1-銷售總表!G735)</f>
        <v>43680</v>
      </c>
      <c r="I735" s="35">
        <f>H735-F735*VLOOKUP(銷售總表!B735,產品!$A$2:$H$61,8,FALSE)</f>
        <v>12480</v>
      </c>
      <c r="J735" s="20">
        <f t="shared" si="11"/>
        <v>0.2857142857142857</v>
      </c>
    </row>
    <row r="736" spans="1:10" x14ac:dyDescent="0.3">
      <c r="A736" s="33">
        <v>735</v>
      </c>
      <c r="B736" s="4">
        <v>26</v>
      </c>
      <c r="C736" s="15">
        <v>280</v>
      </c>
      <c r="D736" s="16">
        <v>2</v>
      </c>
      <c r="E736" s="22">
        <v>43972</v>
      </c>
      <c r="F736" s="19">
        <v>4</v>
      </c>
      <c r="G736" s="18">
        <v>0.1</v>
      </c>
      <c r="H736">
        <f>F736*VLOOKUP(B736,產品!$A$2:$H$61,7,FALSE)*(1-銷售總表!G736)</f>
        <v>23400</v>
      </c>
      <c r="I736" s="35">
        <f>H736-F736*VLOOKUP(銷售總表!B736,產品!$A$2:$H$61,8,FALSE)</f>
        <v>7800</v>
      </c>
      <c r="J736" s="20">
        <f t="shared" si="11"/>
        <v>0.33333333333333331</v>
      </c>
    </row>
    <row r="737" spans="1:10" x14ac:dyDescent="0.3">
      <c r="A737" s="33">
        <v>736</v>
      </c>
      <c r="B737" s="4">
        <v>25</v>
      </c>
      <c r="C737" s="15">
        <v>4</v>
      </c>
      <c r="D737" s="16">
        <v>7</v>
      </c>
      <c r="E737" s="22">
        <v>43972</v>
      </c>
      <c r="F737" s="17">
        <v>5</v>
      </c>
      <c r="G737" s="18">
        <v>0.18</v>
      </c>
      <c r="H737">
        <f>F737*VLOOKUP(B737,產品!$A$2:$H$61,7,FALSE)*(1-銷售總表!G737)</f>
        <v>24600.000000000004</v>
      </c>
      <c r="I737" s="35">
        <f>H737-F737*VLOOKUP(銷售總表!B737,產品!$A$2:$H$61,8,FALSE)</f>
        <v>6600.0000000000036</v>
      </c>
      <c r="J737" s="20">
        <f t="shared" si="11"/>
        <v>0.2682926829268294</v>
      </c>
    </row>
    <row r="738" spans="1:10" x14ac:dyDescent="0.3">
      <c r="A738" s="33">
        <v>737</v>
      </c>
      <c r="B738" s="4">
        <v>49</v>
      </c>
      <c r="C738" s="15">
        <v>126</v>
      </c>
      <c r="D738" s="16">
        <v>8</v>
      </c>
      <c r="E738" s="22">
        <v>43972</v>
      </c>
      <c r="F738" s="17">
        <v>1</v>
      </c>
      <c r="G738" s="18">
        <v>0.12</v>
      </c>
      <c r="H738">
        <f>F738*VLOOKUP(B738,產品!$A$2:$H$61,7,FALSE)*(1-銷售總表!G738)</f>
        <v>13200</v>
      </c>
      <c r="I738" s="35">
        <f>H738-F738*VLOOKUP(銷售總表!B738,產品!$A$2:$H$61,8,FALSE)</f>
        <v>2700</v>
      </c>
      <c r="J738" s="20">
        <f t="shared" si="11"/>
        <v>0.20454545454545456</v>
      </c>
    </row>
    <row r="739" spans="1:10" x14ac:dyDescent="0.3">
      <c r="A739" s="33">
        <v>738</v>
      </c>
      <c r="B739" s="4">
        <v>55</v>
      </c>
      <c r="C739" s="15">
        <v>281</v>
      </c>
      <c r="D739" s="16">
        <v>6</v>
      </c>
      <c r="E739" s="22">
        <v>43973</v>
      </c>
      <c r="F739" s="17">
        <v>15</v>
      </c>
      <c r="G739" s="18">
        <v>7.0000000000000007E-2</v>
      </c>
      <c r="H739">
        <f>F739*VLOOKUP(B739,產品!$A$2:$H$61,7,FALSE)*(1-銷售總表!G739)</f>
        <v>279000</v>
      </c>
      <c r="I739" s="35">
        <f>H739-F739*VLOOKUP(銷售總表!B739,產品!$A$2:$H$61,8,FALSE)</f>
        <v>69000</v>
      </c>
      <c r="J739" s="20">
        <f t="shared" si="11"/>
        <v>0.24731182795698925</v>
      </c>
    </row>
    <row r="740" spans="1:10" x14ac:dyDescent="0.3">
      <c r="A740" s="33">
        <v>739</v>
      </c>
      <c r="B740" s="4">
        <v>17</v>
      </c>
      <c r="C740" s="15">
        <v>7</v>
      </c>
      <c r="D740" s="16">
        <v>3</v>
      </c>
      <c r="E740" s="22">
        <v>43973</v>
      </c>
      <c r="F740" s="17">
        <v>30</v>
      </c>
      <c r="G740" s="18">
        <v>0.17</v>
      </c>
      <c r="H740">
        <f>F740*VLOOKUP(B740,產品!$A$2:$H$61,7,FALSE)*(1-銷售總表!G740)</f>
        <v>44820</v>
      </c>
      <c r="I740" s="35">
        <f>H740-F740*VLOOKUP(銷售總表!B740,產品!$A$2:$H$61,8,FALSE)</f>
        <v>23220</v>
      </c>
      <c r="J740" s="20">
        <f t="shared" si="11"/>
        <v>0.51807228915662651</v>
      </c>
    </row>
    <row r="741" spans="1:10" x14ac:dyDescent="0.3">
      <c r="A741" s="33">
        <v>740</v>
      </c>
      <c r="B741" s="4">
        <v>9</v>
      </c>
      <c r="C741" s="15">
        <v>4</v>
      </c>
      <c r="D741" s="16">
        <v>9</v>
      </c>
      <c r="E741" s="22">
        <v>43973</v>
      </c>
      <c r="F741" s="17">
        <v>45</v>
      </c>
      <c r="G741" s="18">
        <v>0.1</v>
      </c>
      <c r="H741">
        <f>F741*VLOOKUP(B741,產品!$A$2:$H$61,7,FALSE)*(1-銷售總表!G741)</f>
        <v>40500</v>
      </c>
      <c r="I741" s="35">
        <f>H741-F741*VLOOKUP(銷售總表!B741,產品!$A$2:$H$61,8,FALSE)</f>
        <v>22500</v>
      </c>
      <c r="J741" s="20">
        <f t="shared" si="11"/>
        <v>0.55555555555555558</v>
      </c>
    </row>
    <row r="742" spans="1:10" x14ac:dyDescent="0.3">
      <c r="A742" s="33">
        <v>741</v>
      </c>
      <c r="B742" s="4">
        <v>5</v>
      </c>
      <c r="C742" s="15">
        <v>273</v>
      </c>
      <c r="D742" s="16">
        <v>10</v>
      </c>
      <c r="E742" s="22">
        <v>43973</v>
      </c>
      <c r="F742" s="17">
        <v>40</v>
      </c>
      <c r="G742" s="18">
        <v>0.15</v>
      </c>
      <c r="H742">
        <f>F742*VLOOKUP(B742,產品!$A$2:$H$61,7,FALSE)*(1-銷售總表!G742)</f>
        <v>34000</v>
      </c>
      <c r="I742" s="35">
        <f>H742-F742*VLOOKUP(銷售總表!B742,產品!$A$2:$H$61,8,FALSE)</f>
        <v>18000</v>
      </c>
      <c r="J742" s="20">
        <f t="shared" si="11"/>
        <v>0.52941176470588236</v>
      </c>
    </row>
    <row r="743" spans="1:10" x14ac:dyDescent="0.3">
      <c r="A743" s="33">
        <v>742</v>
      </c>
      <c r="B743" s="4">
        <v>36</v>
      </c>
      <c r="C743" s="15">
        <v>273</v>
      </c>
      <c r="D743" s="16">
        <v>7</v>
      </c>
      <c r="E743" s="22">
        <v>43973</v>
      </c>
      <c r="F743" s="17">
        <v>4</v>
      </c>
      <c r="G743" s="18">
        <v>7.0000000000000007E-2</v>
      </c>
      <c r="H743">
        <f>F743*VLOOKUP(B743,產品!$A$2:$H$61,7,FALSE)*(1-銷售總表!G743)</f>
        <v>33480</v>
      </c>
      <c r="I743" s="35">
        <f>H743-F743*VLOOKUP(銷售總表!B743,產品!$A$2:$H$61,8,FALSE)</f>
        <v>11880</v>
      </c>
      <c r="J743" s="20">
        <f t="shared" si="11"/>
        <v>0.35483870967741937</v>
      </c>
    </row>
    <row r="744" spans="1:10" x14ac:dyDescent="0.3">
      <c r="A744" s="33">
        <v>743</v>
      </c>
      <c r="B744" s="4">
        <v>14</v>
      </c>
      <c r="C744" s="15">
        <v>10</v>
      </c>
      <c r="D744" s="16">
        <v>3</v>
      </c>
      <c r="E744" s="22">
        <v>43973</v>
      </c>
      <c r="F744" s="17">
        <v>10</v>
      </c>
      <c r="G744" s="18">
        <v>7.0000000000000007E-2</v>
      </c>
      <c r="H744">
        <f>F744*VLOOKUP(B744,產品!$A$2:$H$61,7,FALSE)*(1-銷售總表!G744)</f>
        <v>16740</v>
      </c>
      <c r="I744" s="35">
        <f>H744-F744*VLOOKUP(銷售總表!B744,產品!$A$2:$H$61,8,FALSE)</f>
        <v>9540</v>
      </c>
      <c r="J744" s="20">
        <f t="shared" si="11"/>
        <v>0.56989247311827962</v>
      </c>
    </row>
    <row r="745" spans="1:10" x14ac:dyDescent="0.3">
      <c r="A745" s="33">
        <v>744</v>
      </c>
      <c r="B745" s="4">
        <v>24</v>
      </c>
      <c r="C745" s="15">
        <v>263</v>
      </c>
      <c r="D745" s="16">
        <v>7</v>
      </c>
      <c r="E745" s="22">
        <v>43973</v>
      </c>
      <c r="F745" s="17">
        <v>10</v>
      </c>
      <c r="G745" s="18">
        <v>0.17</v>
      </c>
      <c r="H745">
        <f>F745*VLOOKUP(B745,產品!$A$2:$H$61,7,FALSE)*(1-銷售總表!G745)</f>
        <v>14940</v>
      </c>
      <c r="I745" s="35">
        <f>H745-F745*VLOOKUP(銷售總表!B745,產品!$A$2:$H$61,8,FALSE)</f>
        <v>7740</v>
      </c>
      <c r="J745" s="20">
        <f t="shared" si="11"/>
        <v>0.51807228915662651</v>
      </c>
    </row>
    <row r="746" spans="1:10" x14ac:dyDescent="0.3">
      <c r="A746" s="33">
        <v>745</v>
      </c>
      <c r="B746" s="4">
        <v>35</v>
      </c>
      <c r="C746" s="15">
        <v>12</v>
      </c>
      <c r="D746" s="16">
        <v>8</v>
      </c>
      <c r="E746" s="22">
        <v>43973</v>
      </c>
      <c r="F746" s="17">
        <v>4</v>
      </c>
      <c r="G746" s="18">
        <v>0.19</v>
      </c>
      <c r="H746">
        <f>F746*VLOOKUP(B746,產品!$A$2:$H$61,7,FALSE)*(1-銷售總表!G746)</f>
        <v>27540</v>
      </c>
      <c r="I746" s="35">
        <f>H746-F746*VLOOKUP(銷售總表!B746,產品!$A$2:$H$61,8,FALSE)</f>
        <v>7140</v>
      </c>
      <c r="J746" s="20">
        <f t="shared" si="11"/>
        <v>0.25925925925925924</v>
      </c>
    </row>
    <row r="747" spans="1:10" x14ac:dyDescent="0.3">
      <c r="A747" s="33">
        <v>746</v>
      </c>
      <c r="B747" s="4">
        <v>60</v>
      </c>
      <c r="C747" s="15">
        <v>113</v>
      </c>
      <c r="D747" s="16">
        <v>10</v>
      </c>
      <c r="E747" s="22">
        <v>43974</v>
      </c>
      <c r="F747" s="17">
        <v>12</v>
      </c>
      <c r="G747" s="18">
        <v>0.17</v>
      </c>
      <c r="H747">
        <f>F747*VLOOKUP(B747,產品!$A$2:$H$61,7,FALSE)*(1-銷售總表!G747)</f>
        <v>249000</v>
      </c>
      <c r="I747" s="35">
        <f>H747-F747*VLOOKUP(銷售總表!B747,產品!$A$2:$H$61,8,FALSE)</f>
        <v>39000</v>
      </c>
      <c r="J747" s="20">
        <f t="shared" si="11"/>
        <v>0.15662650602409639</v>
      </c>
    </row>
    <row r="748" spans="1:10" x14ac:dyDescent="0.3">
      <c r="A748" s="33">
        <v>747</v>
      </c>
      <c r="B748" s="4">
        <v>50</v>
      </c>
      <c r="C748" s="15">
        <v>273</v>
      </c>
      <c r="D748" s="16">
        <v>5</v>
      </c>
      <c r="E748" s="22">
        <v>43974</v>
      </c>
      <c r="F748" s="19">
        <v>8</v>
      </c>
      <c r="G748" s="18">
        <v>0.09</v>
      </c>
      <c r="H748">
        <f>F748*VLOOKUP(B748,產品!$A$2:$H$61,7,FALSE)*(1-銷售總表!G748)</f>
        <v>131040</v>
      </c>
      <c r="I748" s="35">
        <f>H748-F748*VLOOKUP(銷售總表!B748,產品!$A$2:$H$61,8,FALSE)</f>
        <v>30240</v>
      </c>
      <c r="J748" s="20">
        <f t="shared" si="11"/>
        <v>0.23076923076923078</v>
      </c>
    </row>
    <row r="749" spans="1:10" x14ac:dyDescent="0.3">
      <c r="A749" s="33">
        <v>748</v>
      </c>
      <c r="B749" s="4">
        <v>45</v>
      </c>
      <c r="C749" s="15">
        <v>276</v>
      </c>
      <c r="D749" s="16">
        <v>6</v>
      </c>
      <c r="E749" s="22">
        <v>43974</v>
      </c>
      <c r="F749" s="19">
        <v>9</v>
      </c>
      <c r="G749" s="18">
        <v>0.13</v>
      </c>
      <c r="H749">
        <f>F749*VLOOKUP(B749,產品!$A$2:$H$61,7,FALSE)*(1-銷售總表!G749)</f>
        <v>109620</v>
      </c>
      <c r="I749" s="35">
        <f>H749-F749*VLOOKUP(銷售總表!B749,產品!$A$2:$H$61,8,FALSE)</f>
        <v>27720</v>
      </c>
      <c r="J749" s="20">
        <f t="shared" si="11"/>
        <v>0.25287356321839083</v>
      </c>
    </row>
    <row r="750" spans="1:10" x14ac:dyDescent="0.3">
      <c r="A750" s="33">
        <v>749</v>
      </c>
      <c r="B750" s="4">
        <v>14</v>
      </c>
      <c r="C750" s="15">
        <v>11</v>
      </c>
      <c r="D750" s="16">
        <v>8</v>
      </c>
      <c r="E750" s="22">
        <v>43974</v>
      </c>
      <c r="F750" s="17">
        <v>28</v>
      </c>
      <c r="G750" s="18">
        <v>0.13</v>
      </c>
      <c r="H750">
        <f>F750*VLOOKUP(B750,產品!$A$2:$H$61,7,FALSE)*(1-銷售總表!G750)</f>
        <v>43848</v>
      </c>
      <c r="I750" s="35">
        <f>H750-F750*VLOOKUP(銷售總表!B750,產品!$A$2:$H$61,8,FALSE)</f>
        <v>23688</v>
      </c>
      <c r="J750" s="20">
        <f t="shared" si="11"/>
        <v>0.54022988505747127</v>
      </c>
    </row>
    <row r="751" spans="1:10" x14ac:dyDescent="0.3">
      <c r="A751" s="33">
        <v>750</v>
      </c>
      <c r="B751" s="4">
        <v>36</v>
      </c>
      <c r="C751" s="15">
        <v>272</v>
      </c>
      <c r="D751" s="16">
        <v>5</v>
      </c>
      <c r="E751" s="22">
        <v>43974</v>
      </c>
      <c r="F751" s="17">
        <v>5</v>
      </c>
      <c r="G751" s="18">
        <v>0.16</v>
      </c>
      <c r="H751">
        <f>F751*VLOOKUP(B751,產品!$A$2:$H$61,7,FALSE)*(1-銷售總表!G751)</f>
        <v>37800</v>
      </c>
      <c r="I751" s="35">
        <f>H751-F751*VLOOKUP(銷售總表!B751,產品!$A$2:$H$61,8,FALSE)</f>
        <v>10800</v>
      </c>
      <c r="J751" s="20">
        <f t="shared" si="11"/>
        <v>0.2857142857142857</v>
      </c>
    </row>
    <row r="752" spans="1:10" x14ac:dyDescent="0.3">
      <c r="A752" s="33">
        <v>751</v>
      </c>
      <c r="B752" s="4">
        <v>48</v>
      </c>
      <c r="C752" s="15">
        <v>11</v>
      </c>
      <c r="D752" s="16">
        <v>4</v>
      </c>
      <c r="E752" s="22">
        <v>43974</v>
      </c>
      <c r="F752" s="19">
        <v>3</v>
      </c>
      <c r="G752" s="18">
        <v>0.19</v>
      </c>
      <c r="H752">
        <f>F752*VLOOKUP(B752,產品!$A$2:$H$61,7,FALSE)*(1-銷售總表!G752)</f>
        <v>53460</v>
      </c>
      <c r="I752" s="35">
        <f>H752-F752*VLOOKUP(銷售總表!B752,產品!$A$2:$H$61,8,FALSE)</f>
        <v>10560</v>
      </c>
      <c r="J752" s="20">
        <f t="shared" si="11"/>
        <v>0.19753086419753085</v>
      </c>
    </row>
    <row r="753" spans="1:10" x14ac:dyDescent="0.3">
      <c r="A753" s="33">
        <v>752</v>
      </c>
      <c r="B753" s="4">
        <v>56</v>
      </c>
      <c r="C753" s="15">
        <v>257</v>
      </c>
      <c r="D753" s="16">
        <v>6</v>
      </c>
      <c r="E753" s="22">
        <v>43975</v>
      </c>
      <c r="F753" s="17">
        <v>8</v>
      </c>
      <c r="G753" s="18">
        <v>0.08</v>
      </c>
      <c r="H753">
        <f>F753*VLOOKUP(B753,產品!$A$2:$H$61,7,FALSE)*(1-銷售總表!G753)</f>
        <v>161920</v>
      </c>
      <c r="I753" s="35">
        <f>H753-F753*VLOOKUP(銷售總表!B753,產品!$A$2:$H$61,8,FALSE)</f>
        <v>38720.000000000015</v>
      </c>
      <c r="J753" s="20">
        <f t="shared" si="11"/>
        <v>0.23913043478260879</v>
      </c>
    </row>
    <row r="754" spans="1:10" x14ac:dyDescent="0.3">
      <c r="A754" s="33">
        <v>753</v>
      </c>
      <c r="B754" s="4">
        <v>60</v>
      </c>
      <c r="C754" s="15">
        <v>257</v>
      </c>
      <c r="D754" s="16">
        <v>6</v>
      </c>
      <c r="E754" s="22">
        <v>43975</v>
      </c>
      <c r="F754" s="19">
        <v>9</v>
      </c>
      <c r="G754" s="18">
        <v>0.14000000000000001</v>
      </c>
      <c r="H754">
        <f>F754*VLOOKUP(B754,產品!$A$2:$H$61,7,FALSE)*(1-銷售總表!G754)</f>
        <v>193500</v>
      </c>
      <c r="I754" s="35">
        <f>H754-F754*VLOOKUP(銷售總表!B754,產品!$A$2:$H$61,8,FALSE)</f>
        <v>36000</v>
      </c>
      <c r="J754" s="20">
        <f t="shared" si="11"/>
        <v>0.18604651162790697</v>
      </c>
    </row>
    <row r="755" spans="1:10" x14ac:dyDescent="0.3">
      <c r="A755" s="33">
        <v>754</v>
      </c>
      <c r="B755" s="4">
        <v>17</v>
      </c>
      <c r="C755" s="15">
        <v>5</v>
      </c>
      <c r="D755" s="16">
        <v>7</v>
      </c>
      <c r="E755" s="22">
        <v>43975</v>
      </c>
      <c r="F755" s="19">
        <v>30</v>
      </c>
      <c r="G755" s="18">
        <v>0.06</v>
      </c>
      <c r="H755">
        <f>F755*VLOOKUP(B755,產品!$A$2:$H$61,7,FALSE)*(1-銷售總表!G755)</f>
        <v>50760</v>
      </c>
      <c r="I755" s="35">
        <f>H755-F755*VLOOKUP(銷售總表!B755,產品!$A$2:$H$61,8,FALSE)</f>
        <v>29160</v>
      </c>
      <c r="J755" s="20">
        <f t="shared" si="11"/>
        <v>0.57446808510638303</v>
      </c>
    </row>
    <row r="756" spans="1:10" x14ac:dyDescent="0.3">
      <c r="A756" s="33">
        <v>755</v>
      </c>
      <c r="B756" s="4">
        <v>57</v>
      </c>
      <c r="C756" s="15">
        <v>112</v>
      </c>
      <c r="D756" s="16">
        <v>6</v>
      </c>
      <c r="E756" s="22">
        <v>43975</v>
      </c>
      <c r="F756" s="17">
        <v>12</v>
      </c>
      <c r="G756" s="18">
        <v>0.17</v>
      </c>
      <c r="H756">
        <f>F756*VLOOKUP(B756,產品!$A$2:$H$61,7,FALSE)*(1-銷售總表!G756)</f>
        <v>179280</v>
      </c>
      <c r="I756" s="35">
        <f>H756-F756*VLOOKUP(銷售總表!B756,產品!$A$2:$H$61,8,FALSE)</f>
        <v>28080</v>
      </c>
      <c r="J756" s="20">
        <f t="shared" si="11"/>
        <v>0.15662650602409639</v>
      </c>
    </row>
    <row r="757" spans="1:10" x14ac:dyDescent="0.3">
      <c r="A757" s="33">
        <v>756</v>
      </c>
      <c r="B757" s="4">
        <v>37</v>
      </c>
      <c r="C757" s="15">
        <v>273</v>
      </c>
      <c r="D757" s="16">
        <v>2</v>
      </c>
      <c r="E757" s="22">
        <v>43975</v>
      </c>
      <c r="F757" s="17">
        <v>9</v>
      </c>
      <c r="G757" s="18">
        <v>0.15</v>
      </c>
      <c r="H757">
        <f>F757*VLOOKUP(B757,產品!$A$2:$H$61,7,FALSE)*(1-銷售總表!G757)</f>
        <v>91800</v>
      </c>
      <c r="I757" s="35">
        <f>H757-F757*VLOOKUP(銷售總表!B757,產品!$A$2:$H$61,8,FALSE)</f>
        <v>21600</v>
      </c>
      <c r="J757" s="20">
        <f t="shared" si="11"/>
        <v>0.23529411764705882</v>
      </c>
    </row>
    <row r="758" spans="1:10" x14ac:dyDescent="0.3">
      <c r="A758" s="33">
        <v>757</v>
      </c>
      <c r="B758" s="4">
        <v>28</v>
      </c>
      <c r="C758" s="15">
        <v>5</v>
      </c>
      <c r="D758" s="16">
        <v>8</v>
      </c>
      <c r="E758" s="22">
        <v>43975</v>
      </c>
      <c r="F758" s="19">
        <v>8</v>
      </c>
      <c r="G758" s="18">
        <v>0.1</v>
      </c>
      <c r="H758">
        <f>F758*VLOOKUP(B758,產品!$A$2:$H$61,7,FALSE)*(1-銷售總表!G758)</f>
        <v>54000</v>
      </c>
      <c r="I758" s="35">
        <f>H758-F758*VLOOKUP(銷售總表!B758,產品!$A$2:$H$61,8,FALSE)</f>
        <v>18000</v>
      </c>
      <c r="J758" s="20">
        <f t="shared" si="11"/>
        <v>0.33333333333333331</v>
      </c>
    </row>
    <row r="759" spans="1:10" x14ac:dyDescent="0.3">
      <c r="A759" s="33">
        <v>758</v>
      </c>
      <c r="B759" s="4">
        <v>5</v>
      </c>
      <c r="C759" s="15">
        <v>10</v>
      </c>
      <c r="D759" s="16">
        <v>3</v>
      </c>
      <c r="E759" s="22">
        <v>43975</v>
      </c>
      <c r="F759" s="17">
        <v>40</v>
      </c>
      <c r="G759" s="18">
        <v>0.2</v>
      </c>
      <c r="H759">
        <f>F759*VLOOKUP(B759,產品!$A$2:$H$61,7,FALSE)*(1-銷售總表!G759)</f>
        <v>32000</v>
      </c>
      <c r="I759" s="35">
        <f>H759-F759*VLOOKUP(銷售總表!B759,產品!$A$2:$H$61,8,FALSE)</f>
        <v>16000</v>
      </c>
      <c r="J759" s="20">
        <f t="shared" si="11"/>
        <v>0.5</v>
      </c>
    </row>
    <row r="760" spans="1:10" x14ac:dyDescent="0.3">
      <c r="A760" s="33">
        <v>759</v>
      </c>
      <c r="B760" s="4">
        <v>29</v>
      </c>
      <c r="C760" s="15">
        <v>123</v>
      </c>
      <c r="D760" s="16">
        <v>8</v>
      </c>
      <c r="E760" s="22">
        <v>43975</v>
      </c>
      <c r="F760" s="17">
        <v>6</v>
      </c>
      <c r="G760" s="18">
        <v>0.1</v>
      </c>
      <c r="H760">
        <f>F760*VLOOKUP(B760,產品!$A$2:$H$61,7,FALSE)*(1-銷售總表!G760)</f>
        <v>32400</v>
      </c>
      <c r="I760" s="35">
        <f>H760-F760*VLOOKUP(銷售總表!B760,產品!$A$2:$H$61,8,FALSE)</f>
        <v>10800</v>
      </c>
      <c r="J760" s="20">
        <f t="shared" si="11"/>
        <v>0.33333333333333331</v>
      </c>
    </row>
    <row r="761" spans="1:10" x14ac:dyDescent="0.3">
      <c r="A761" s="33">
        <v>760</v>
      </c>
      <c r="B761" s="4">
        <v>1</v>
      </c>
      <c r="C761" s="15">
        <v>9</v>
      </c>
      <c r="D761" s="16">
        <v>5</v>
      </c>
      <c r="E761" s="22">
        <v>43975</v>
      </c>
      <c r="F761" s="17">
        <v>10</v>
      </c>
      <c r="G761" s="18">
        <v>0.11</v>
      </c>
      <c r="H761">
        <f>F761*VLOOKUP(B761,產品!$A$2:$H$61,7,FALSE)*(1-銷售總表!G761)</f>
        <v>8900</v>
      </c>
      <c r="I761" s="35">
        <f>H761-F761*VLOOKUP(銷售總表!B761,產品!$A$2:$H$61,8,FALSE)</f>
        <v>4900</v>
      </c>
      <c r="J761" s="20">
        <f t="shared" si="11"/>
        <v>0.550561797752809</v>
      </c>
    </row>
    <row r="762" spans="1:10" x14ac:dyDescent="0.3">
      <c r="A762" s="33">
        <v>761</v>
      </c>
      <c r="B762" s="4">
        <v>55</v>
      </c>
      <c r="C762" s="15">
        <v>123</v>
      </c>
      <c r="D762" s="16">
        <v>9</v>
      </c>
      <c r="E762" s="22">
        <v>43976</v>
      </c>
      <c r="F762" s="17">
        <v>13</v>
      </c>
      <c r="G762" s="18">
        <v>0.06</v>
      </c>
      <c r="H762">
        <f>F762*VLOOKUP(B762,產品!$A$2:$H$61,7,FALSE)*(1-銷售總表!G762)</f>
        <v>244400</v>
      </c>
      <c r="I762" s="35">
        <f>H762-F762*VLOOKUP(銷售總表!B762,產品!$A$2:$H$61,8,FALSE)</f>
        <v>62400</v>
      </c>
      <c r="J762" s="20">
        <f t="shared" si="11"/>
        <v>0.25531914893617019</v>
      </c>
    </row>
    <row r="763" spans="1:10" x14ac:dyDescent="0.3">
      <c r="A763" s="33">
        <v>762</v>
      </c>
      <c r="B763" s="4">
        <v>24</v>
      </c>
      <c r="C763" s="15">
        <v>136</v>
      </c>
      <c r="D763" s="16">
        <v>8</v>
      </c>
      <c r="E763" s="22">
        <v>43976</v>
      </c>
      <c r="F763" s="19">
        <v>60</v>
      </c>
      <c r="G763" s="18">
        <v>0.11</v>
      </c>
      <c r="H763">
        <f>F763*VLOOKUP(B763,產品!$A$2:$H$61,7,FALSE)*(1-銷售總表!G763)</f>
        <v>96120</v>
      </c>
      <c r="I763" s="35">
        <f>H763-F763*VLOOKUP(銷售總表!B763,產品!$A$2:$H$61,8,FALSE)</f>
        <v>52920</v>
      </c>
      <c r="J763" s="20">
        <f t="shared" si="11"/>
        <v>0.550561797752809</v>
      </c>
    </row>
    <row r="764" spans="1:10" x14ac:dyDescent="0.3">
      <c r="A764" s="33">
        <v>763</v>
      </c>
      <c r="B764" s="4">
        <v>46</v>
      </c>
      <c r="C764" s="15">
        <v>280</v>
      </c>
      <c r="D764" s="16">
        <v>7</v>
      </c>
      <c r="E764" s="22">
        <v>43976</v>
      </c>
      <c r="F764" s="17">
        <v>10</v>
      </c>
      <c r="G764" s="18">
        <v>0.13</v>
      </c>
      <c r="H764">
        <f>F764*VLOOKUP(B764,產品!$A$2:$H$61,7,FALSE)*(1-銷售總表!G764)</f>
        <v>147900</v>
      </c>
      <c r="I764" s="35">
        <f>H764-F764*VLOOKUP(銷售總表!B764,產品!$A$2:$H$61,8,FALSE)</f>
        <v>37400</v>
      </c>
      <c r="J764" s="20">
        <f t="shared" si="11"/>
        <v>0.25287356321839083</v>
      </c>
    </row>
    <row r="765" spans="1:10" x14ac:dyDescent="0.3">
      <c r="A765" s="33">
        <v>764</v>
      </c>
      <c r="B765" s="4">
        <v>25</v>
      </c>
      <c r="C765" s="15">
        <v>121</v>
      </c>
      <c r="D765" s="16">
        <v>10</v>
      </c>
      <c r="E765" s="22">
        <v>43976</v>
      </c>
      <c r="F765" s="17">
        <v>20</v>
      </c>
      <c r="G765" s="18">
        <v>0.18</v>
      </c>
      <c r="H765">
        <f>F765*VLOOKUP(B765,產品!$A$2:$H$61,7,FALSE)*(1-銷售總表!G765)</f>
        <v>98400.000000000015</v>
      </c>
      <c r="I765" s="35">
        <f>H765-F765*VLOOKUP(銷售總表!B765,產品!$A$2:$H$61,8,FALSE)</f>
        <v>26400.000000000015</v>
      </c>
      <c r="J765" s="20">
        <f t="shared" si="11"/>
        <v>0.2682926829268294</v>
      </c>
    </row>
    <row r="766" spans="1:10" x14ac:dyDescent="0.3">
      <c r="A766" s="33">
        <v>765</v>
      </c>
      <c r="B766" s="4">
        <v>54</v>
      </c>
      <c r="C766" s="15">
        <v>264</v>
      </c>
      <c r="D766" s="16">
        <v>4</v>
      </c>
      <c r="E766" s="22">
        <v>43976</v>
      </c>
      <c r="F766" s="17">
        <v>4</v>
      </c>
      <c r="G766" s="18">
        <v>0.06</v>
      </c>
      <c r="H766">
        <f>F766*VLOOKUP(B766,產品!$A$2:$H$61,7,FALSE)*(1-銷售總表!G766)</f>
        <v>67680</v>
      </c>
      <c r="I766" s="35">
        <f>H766-F766*VLOOKUP(銷售總表!B766,產品!$A$2:$H$61,8,FALSE)</f>
        <v>17280</v>
      </c>
      <c r="J766" s="20">
        <f t="shared" si="11"/>
        <v>0.25531914893617019</v>
      </c>
    </row>
    <row r="767" spans="1:10" x14ac:dyDescent="0.3">
      <c r="A767" s="33">
        <v>766</v>
      </c>
      <c r="B767" s="4">
        <v>50</v>
      </c>
      <c r="C767" s="15">
        <v>118</v>
      </c>
      <c r="D767" s="16">
        <v>3</v>
      </c>
      <c r="E767" s="22">
        <v>43976</v>
      </c>
      <c r="F767" s="17">
        <v>6</v>
      </c>
      <c r="G767" s="18">
        <v>0.16</v>
      </c>
      <c r="H767">
        <f>F767*VLOOKUP(B767,產品!$A$2:$H$61,7,FALSE)*(1-銷售總表!G767)</f>
        <v>90720</v>
      </c>
      <c r="I767" s="35">
        <f>H767-F767*VLOOKUP(銷售總表!B767,產品!$A$2:$H$61,8,FALSE)</f>
        <v>15120</v>
      </c>
      <c r="J767" s="20">
        <f t="shared" si="11"/>
        <v>0.16666666666666666</v>
      </c>
    </row>
    <row r="768" spans="1:10" x14ac:dyDescent="0.3">
      <c r="A768" s="33">
        <v>767</v>
      </c>
      <c r="B768" s="4">
        <v>17</v>
      </c>
      <c r="C768" s="15">
        <v>265</v>
      </c>
      <c r="D768" s="16">
        <v>6</v>
      </c>
      <c r="E768" s="22">
        <v>43976</v>
      </c>
      <c r="F768" s="17">
        <v>14</v>
      </c>
      <c r="G768" s="18">
        <v>0.18</v>
      </c>
      <c r="H768">
        <f>F768*VLOOKUP(B768,產品!$A$2:$H$61,7,FALSE)*(1-銷售總表!G768)</f>
        <v>20664</v>
      </c>
      <c r="I768" s="35">
        <f>H768-F768*VLOOKUP(銷售總表!B768,產品!$A$2:$H$61,8,FALSE)</f>
        <v>10584</v>
      </c>
      <c r="J768" s="20">
        <f t="shared" si="11"/>
        <v>0.51219512195121952</v>
      </c>
    </row>
    <row r="769" spans="1:10" x14ac:dyDescent="0.3">
      <c r="A769" s="33">
        <v>768</v>
      </c>
      <c r="B769" s="4">
        <v>40</v>
      </c>
      <c r="C769" s="15">
        <v>291</v>
      </c>
      <c r="D769" s="16">
        <v>6</v>
      </c>
      <c r="E769" s="22">
        <v>43976</v>
      </c>
      <c r="F769" s="17">
        <v>2</v>
      </c>
      <c r="G769" s="18">
        <v>0.12</v>
      </c>
      <c r="H769">
        <f>F769*VLOOKUP(B769,產品!$A$2:$H$61,7,FALSE)*(1-銷售總表!G769)</f>
        <v>35200</v>
      </c>
      <c r="I769" s="35">
        <f>H769-F769*VLOOKUP(銷售總表!B769,產品!$A$2:$H$61,8,FALSE)</f>
        <v>9200</v>
      </c>
      <c r="J769" s="20">
        <f t="shared" si="11"/>
        <v>0.26136363636363635</v>
      </c>
    </row>
    <row r="770" spans="1:10" x14ac:dyDescent="0.3">
      <c r="A770" s="33">
        <v>769</v>
      </c>
      <c r="B770" s="4">
        <v>18</v>
      </c>
      <c r="C770" s="15">
        <v>124</v>
      </c>
      <c r="D770" s="16">
        <v>4</v>
      </c>
      <c r="E770" s="22">
        <v>43977</v>
      </c>
      <c r="F770" s="19">
        <v>150</v>
      </c>
      <c r="G770" s="18">
        <v>0.18</v>
      </c>
      <c r="H770">
        <f>F770*VLOOKUP(B770,產品!$A$2:$H$61,7,FALSE)*(1-銷售總表!G770)</f>
        <v>221400.00000000003</v>
      </c>
      <c r="I770" s="35">
        <f>H770-F770*VLOOKUP(銷售總表!B770,產品!$A$2:$H$61,8,FALSE)</f>
        <v>113400.00000000003</v>
      </c>
      <c r="J770" s="20">
        <f t="shared" si="11"/>
        <v>0.51219512195121952</v>
      </c>
    </row>
    <row r="771" spans="1:10" x14ac:dyDescent="0.3">
      <c r="A771" s="33">
        <v>770</v>
      </c>
      <c r="B771" s="4">
        <v>29</v>
      </c>
      <c r="C771" s="15">
        <v>6</v>
      </c>
      <c r="D771" s="16">
        <v>2</v>
      </c>
      <c r="E771" s="22">
        <v>43977</v>
      </c>
      <c r="F771" s="17">
        <v>40</v>
      </c>
      <c r="G771" s="18">
        <v>0.13</v>
      </c>
      <c r="H771">
        <f>F771*VLOOKUP(B771,產品!$A$2:$H$61,7,FALSE)*(1-銷售總表!G771)</f>
        <v>208800</v>
      </c>
      <c r="I771" s="35">
        <f>H771-F771*VLOOKUP(銷售總表!B771,產品!$A$2:$H$61,8,FALSE)</f>
        <v>64800</v>
      </c>
      <c r="J771" s="20">
        <f t="shared" ref="J771:J834" si="12">I771/H771</f>
        <v>0.31034482758620691</v>
      </c>
    </row>
    <row r="772" spans="1:10" x14ac:dyDescent="0.3">
      <c r="A772" s="33">
        <v>771</v>
      </c>
      <c r="B772" s="4">
        <v>55</v>
      </c>
      <c r="C772" s="15">
        <v>116</v>
      </c>
      <c r="D772" s="16">
        <v>4</v>
      </c>
      <c r="E772" s="22">
        <v>43977</v>
      </c>
      <c r="F772" s="17">
        <v>6</v>
      </c>
      <c r="G772" s="18">
        <v>0.05</v>
      </c>
      <c r="H772">
        <f>F772*VLOOKUP(B772,產品!$A$2:$H$61,7,FALSE)*(1-銷售總表!G772)</f>
        <v>114000</v>
      </c>
      <c r="I772" s="35">
        <f>H772-F772*VLOOKUP(銷售總表!B772,產品!$A$2:$H$61,8,FALSE)</f>
        <v>30000</v>
      </c>
      <c r="J772" s="20">
        <f t="shared" si="12"/>
        <v>0.26315789473684209</v>
      </c>
    </row>
    <row r="773" spans="1:10" x14ac:dyDescent="0.3">
      <c r="A773" s="33">
        <v>772</v>
      </c>
      <c r="B773" s="4">
        <v>37</v>
      </c>
      <c r="C773" s="15">
        <v>6</v>
      </c>
      <c r="D773" s="16">
        <v>10</v>
      </c>
      <c r="E773" s="22">
        <v>43977</v>
      </c>
      <c r="F773" s="19">
        <v>7</v>
      </c>
      <c r="G773" s="18">
        <v>0.08</v>
      </c>
      <c r="H773">
        <f>F773*VLOOKUP(B773,產品!$A$2:$H$61,7,FALSE)*(1-銷售總表!G773)</f>
        <v>77280</v>
      </c>
      <c r="I773" s="35">
        <f>H773-F773*VLOOKUP(銷售總表!B773,產品!$A$2:$H$61,8,FALSE)</f>
        <v>22680</v>
      </c>
      <c r="J773" s="20">
        <f t="shared" si="12"/>
        <v>0.29347826086956524</v>
      </c>
    </row>
    <row r="774" spans="1:10" x14ac:dyDescent="0.3">
      <c r="A774" s="33">
        <v>773</v>
      </c>
      <c r="B774" s="4">
        <v>31</v>
      </c>
      <c r="C774" s="15">
        <v>283</v>
      </c>
      <c r="D774" s="16">
        <v>7</v>
      </c>
      <c r="E774" s="22">
        <v>43977</v>
      </c>
      <c r="F774" s="17">
        <v>5</v>
      </c>
      <c r="G774" s="18">
        <v>0.19</v>
      </c>
      <c r="H774">
        <f>F774*VLOOKUP(B774,產品!$A$2:$H$61,7,FALSE)*(1-銷售總表!G774)</f>
        <v>28350.000000000004</v>
      </c>
      <c r="I774" s="35">
        <f>H774-F774*VLOOKUP(銷售總表!B774,產品!$A$2:$H$61,8,FALSE)</f>
        <v>7350.0000000000036</v>
      </c>
      <c r="J774" s="20">
        <f t="shared" si="12"/>
        <v>0.25925925925925936</v>
      </c>
    </row>
    <row r="775" spans="1:10" x14ac:dyDescent="0.3">
      <c r="A775" s="33">
        <v>774</v>
      </c>
      <c r="B775" s="4">
        <v>2</v>
      </c>
      <c r="C775" s="15">
        <v>290</v>
      </c>
      <c r="D775" s="16">
        <v>10</v>
      </c>
      <c r="E775" s="22">
        <v>43977</v>
      </c>
      <c r="F775" s="17">
        <v>14</v>
      </c>
      <c r="G775" s="18">
        <v>0.17</v>
      </c>
      <c r="H775">
        <f>F775*VLOOKUP(B775,產品!$A$2:$H$61,7,FALSE)*(1-銷售總表!G775)</f>
        <v>11620</v>
      </c>
      <c r="I775" s="35">
        <f>H775-F775*VLOOKUP(銷售總表!B775,產品!$A$2:$H$61,8,FALSE)</f>
        <v>6020</v>
      </c>
      <c r="J775" s="20">
        <f t="shared" si="12"/>
        <v>0.51807228915662651</v>
      </c>
    </row>
    <row r="776" spans="1:10" x14ac:dyDescent="0.3">
      <c r="A776" s="33">
        <v>775</v>
      </c>
      <c r="B776" s="4">
        <v>3</v>
      </c>
      <c r="C776" s="15">
        <v>275</v>
      </c>
      <c r="D776" s="16">
        <v>6</v>
      </c>
      <c r="E776" s="22">
        <v>43978</v>
      </c>
      <c r="F776" s="19">
        <v>80</v>
      </c>
      <c r="G776" s="18">
        <v>0.13</v>
      </c>
      <c r="H776">
        <f>F776*VLOOKUP(B776,產品!$A$2:$H$61,7,FALSE)*(1-銷售總表!G776)</f>
        <v>69600</v>
      </c>
      <c r="I776" s="35">
        <f>H776-F776*VLOOKUP(銷售總表!B776,產品!$A$2:$H$61,8,FALSE)</f>
        <v>37600</v>
      </c>
      <c r="J776" s="20">
        <f t="shared" si="12"/>
        <v>0.54022988505747127</v>
      </c>
    </row>
    <row r="777" spans="1:10" x14ac:dyDescent="0.3">
      <c r="A777" s="33">
        <v>776</v>
      </c>
      <c r="B777" s="4">
        <v>58</v>
      </c>
      <c r="C777" s="15">
        <v>271</v>
      </c>
      <c r="D777" s="16">
        <v>10</v>
      </c>
      <c r="E777" s="22">
        <v>43978</v>
      </c>
      <c r="F777" s="17">
        <v>10</v>
      </c>
      <c r="G777" s="18">
        <v>0.18</v>
      </c>
      <c r="H777">
        <f>F777*VLOOKUP(B777,產品!$A$2:$H$61,7,FALSE)*(1-銷售總表!G777)</f>
        <v>172200</v>
      </c>
      <c r="I777" s="35">
        <f>H777-F777*VLOOKUP(銷售總表!B777,產品!$A$2:$H$61,8,FALSE)</f>
        <v>25200.000000000029</v>
      </c>
      <c r="J777" s="20">
        <f t="shared" si="12"/>
        <v>0.1463414634146343</v>
      </c>
    </row>
    <row r="778" spans="1:10" x14ac:dyDescent="0.3">
      <c r="A778" s="33">
        <v>777</v>
      </c>
      <c r="B778" s="4">
        <v>17</v>
      </c>
      <c r="C778" s="15">
        <v>2</v>
      </c>
      <c r="D778" s="16">
        <v>3</v>
      </c>
      <c r="E778" s="22">
        <v>43979</v>
      </c>
      <c r="F778" s="17">
        <v>70</v>
      </c>
      <c r="G778" s="18">
        <v>0.06</v>
      </c>
      <c r="H778">
        <f>F778*VLOOKUP(B778,產品!$A$2:$H$61,7,FALSE)*(1-銷售總表!G778)</f>
        <v>118440</v>
      </c>
      <c r="I778" s="35">
        <f>H778-F778*VLOOKUP(銷售總表!B778,產品!$A$2:$H$61,8,FALSE)</f>
        <v>68040</v>
      </c>
      <c r="J778" s="20">
        <f t="shared" si="12"/>
        <v>0.57446808510638303</v>
      </c>
    </row>
    <row r="779" spans="1:10" x14ac:dyDescent="0.3">
      <c r="A779" s="33">
        <v>778</v>
      </c>
      <c r="B779" s="4">
        <v>56</v>
      </c>
      <c r="C779" s="15">
        <v>269</v>
      </c>
      <c r="D779" s="16">
        <v>1</v>
      </c>
      <c r="E779" s="22">
        <v>43979</v>
      </c>
      <c r="F779" s="17">
        <v>15</v>
      </c>
      <c r="G779" s="18">
        <v>0.11</v>
      </c>
      <c r="H779">
        <f>F779*VLOOKUP(B779,產品!$A$2:$H$61,7,FALSE)*(1-銷售總表!G779)</f>
        <v>293700</v>
      </c>
      <c r="I779" s="35">
        <f>H779-F779*VLOOKUP(銷售總表!B779,產品!$A$2:$H$61,8,FALSE)</f>
        <v>62700.000000000029</v>
      </c>
      <c r="J779" s="20">
        <f t="shared" si="12"/>
        <v>0.21348314606741584</v>
      </c>
    </row>
    <row r="780" spans="1:10" x14ac:dyDescent="0.3">
      <c r="A780" s="33">
        <v>779</v>
      </c>
      <c r="B780" s="4">
        <v>14</v>
      </c>
      <c r="C780" s="15">
        <v>257</v>
      </c>
      <c r="D780" s="16">
        <v>10</v>
      </c>
      <c r="E780" s="22">
        <v>43979</v>
      </c>
      <c r="F780" s="17">
        <v>70</v>
      </c>
      <c r="G780" s="18">
        <v>0.2</v>
      </c>
      <c r="H780">
        <f>F780*VLOOKUP(B780,產品!$A$2:$H$61,7,FALSE)*(1-銷售總表!G780)</f>
        <v>100800</v>
      </c>
      <c r="I780" s="35">
        <f>H780-F780*VLOOKUP(銷售總表!B780,產品!$A$2:$H$61,8,FALSE)</f>
        <v>50400</v>
      </c>
      <c r="J780" s="20">
        <f t="shared" si="12"/>
        <v>0.5</v>
      </c>
    </row>
    <row r="781" spans="1:10" x14ac:dyDescent="0.3">
      <c r="A781" s="33">
        <v>780</v>
      </c>
      <c r="B781" s="4">
        <v>15</v>
      </c>
      <c r="C781" s="15">
        <v>282</v>
      </c>
      <c r="D781" s="16">
        <v>9</v>
      </c>
      <c r="E781" s="22">
        <v>43979</v>
      </c>
      <c r="F781" s="17">
        <v>40</v>
      </c>
      <c r="G781" s="18">
        <v>0.09</v>
      </c>
      <c r="H781">
        <f>F781*VLOOKUP(B781,產品!$A$2:$H$61,7,FALSE)*(1-銷售總表!G781)</f>
        <v>65520</v>
      </c>
      <c r="I781" s="35">
        <f>H781-F781*VLOOKUP(銷售總表!B781,產品!$A$2:$H$61,8,FALSE)</f>
        <v>36720</v>
      </c>
      <c r="J781" s="20">
        <f t="shared" si="12"/>
        <v>0.56043956043956045</v>
      </c>
    </row>
    <row r="782" spans="1:10" x14ac:dyDescent="0.3">
      <c r="A782" s="33">
        <v>781</v>
      </c>
      <c r="B782" s="4">
        <v>54</v>
      </c>
      <c r="C782" s="15">
        <v>5</v>
      </c>
      <c r="D782" s="16">
        <v>9</v>
      </c>
      <c r="E782" s="22">
        <v>43979</v>
      </c>
      <c r="F782" s="19">
        <v>4</v>
      </c>
      <c r="G782" s="18">
        <v>0.12</v>
      </c>
      <c r="H782">
        <f>F782*VLOOKUP(B782,產品!$A$2:$H$61,7,FALSE)*(1-銷售總表!G782)</f>
        <v>63360</v>
      </c>
      <c r="I782" s="35">
        <f>H782-F782*VLOOKUP(銷售總表!B782,產品!$A$2:$H$61,8,FALSE)</f>
        <v>12960</v>
      </c>
      <c r="J782" s="20">
        <f t="shared" si="12"/>
        <v>0.20454545454545456</v>
      </c>
    </row>
    <row r="783" spans="1:10" x14ac:dyDescent="0.3">
      <c r="A783" s="33">
        <v>782</v>
      </c>
      <c r="B783" s="4">
        <v>10</v>
      </c>
      <c r="C783" s="15">
        <v>269</v>
      </c>
      <c r="D783" s="16">
        <v>10</v>
      </c>
      <c r="E783" s="22">
        <v>43979</v>
      </c>
      <c r="F783" s="17">
        <v>20</v>
      </c>
      <c r="G783" s="18">
        <v>0.11</v>
      </c>
      <c r="H783">
        <f>F783*VLOOKUP(B783,產品!$A$2:$H$61,7,FALSE)*(1-銷售總表!G783)</f>
        <v>17800</v>
      </c>
      <c r="I783" s="35">
        <f>H783-F783*VLOOKUP(銷售總表!B783,產品!$A$2:$H$61,8,FALSE)</f>
        <v>9800</v>
      </c>
      <c r="J783" s="20">
        <f t="shared" si="12"/>
        <v>0.550561797752809</v>
      </c>
    </row>
    <row r="784" spans="1:10" x14ac:dyDescent="0.3">
      <c r="A784" s="33">
        <v>783</v>
      </c>
      <c r="B784" s="4">
        <v>52</v>
      </c>
      <c r="C784" s="15">
        <v>136</v>
      </c>
      <c r="D784" s="16">
        <v>1</v>
      </c>
      <c r="E784" s="22">
        <v>43979</v>
      </c>
      <c r="F784" s="17">
        <v>3</v>
      </c>
      <c r="G784" s="18">
        <v>0.19</v>
      </c>
      <c r="H784">
        <f>F784*VLOOKUP(B784,產品!$A$2:$H$61,7,FALSE)*(1-銷售總表!G784)</f>
        <v>53460</v>
      </c>
      <c r="I784" s="35">
        <f>H784-F784*VLOOKUP(銷售總表!B784,產品!$A$2:$H$61,8,FALSE)</f>
        <v>7260.0000000000073</v>
      </c>
      <c r="J784" s="20">
        <f t="shared" si="12"/>
        <v>0.1358024691358026</v>
      </c>
    </row>
    <row r="785" spans="1:10" x14ac:dyDescent="0.3">
      <c r="A785" s="33">
        <v>784</v>
      </c>
      <c r="B785" s="4">
        <v>49</v>
      </c>
      <c r="C785" s="15">
        <v>291</v>
      </c>
      <c r="D785" s="16">
        <v>5</v>
      </c>
      <c r="E785" s="22">
        <v>43979</v>
      </c>
      <c r="F785" s="19">
        <v>3</v>
      </c>
      <c r="G785" s="18">
        <v>0.17</v>
      </c>
      <c r="H785">
        <f>F785*VLOOKUP(B785,產品!$A$2:$H$61,7,FALSE)*(1-銷售總表!G785)</f>
        <v>37350</v>
      </c>
      <c r="I785" s="35">
        <f>H785-F785*VLOOKUP(銷售總表!B785,產品!$A$2:$H$61,8,FALSE)</f>
        <v>5850</v>
      </c>
      <c r="J785" s="20">
        <f t="shared" si="12"/>
        <v>0.15662650602409639</v>
      </c>
    </row>
    <row r="786" spans="1:10" x14ac:dyDescent="0.3">
      <c r="A786" s="33">
        <v>785</v>
      </c>
      <c r="B786" s="4">
        <v>41</v>
      </c>
      <c r="C786" s="15">
        <v>115</v>
      </c>
      <c r="D786" s="16">
        <v>5</v>
      </c>
      <c r="E786" s="22">
        <v>43979</v>
      </c>
      <c r="F786" s="17">
        <v>2</v>
      </c>
      <c r="G786" s="18">
        <v>0.18</v>
      </c>
      <c r="H786">
        <f>F786*VLOOKUP(B786,產品!$A$2:$H$61,7,FALSE)*(1-銷售總表!G786)</f>
        <v>19680</v>
      </c>
      <c r="I786" s="35">
        <f>H786-F786*VLOOKUP(銷售總表!B786,產品!$A$2:$H$61,8,FALSE)</f>
        <v>4080</v>
      </c>
      <c r="J786" s="20">
        <f t="shared" si="12"/>
        <v>0.2073170731707317</v>
      </c>
    </row>
    <row r="787" spans="1:10" x14ac:dyDescent="0.3">
      <c r="A787" s="33">
        <v>786</v>
      </c>
      <c r="B787" s="4">
        <v>26</v>
      </c>
      <c r="C787" s="15">
        <v>275</v>
      </c>
      <c r="D787" s="16">
        <v>5</v>
      </c>
      <c r="E787" s="22">
        <v>43979</v>
      </c>
      <c r="F787" s="17">
        <v>2</v>
      </c>
      <c r="G787" s="18">
        <v>0.12</v>
      </c>
      <c r="H787">
        <f>F787*VLOOKUP(B787,產品!$A$2:$H$61,7,FALSE)*(1-銷售總表!G787)</f>
        <v>11440</v>
      </c>
      <c r="I787" s="35">
        <f>H787-F787*VLOOKUP(銷售總表!B787,產品!$A$2:$H$61,8,FALSE)</f>
        <v>3640</v>
      </c>
      <c r="J787" s="20">
        <f t="shared" si="12"/>
        <v>0.31818181818181818</v>
      </c>
    </row>
    <row r="788" spans="1:10" x14ac:dyDescent="0.3">
      <c r="A788" s="33">
        <v>787</v>
      </c>
      <c r="B788" s="4">
        <v>14</v>
      </c>
      <c r="C788" s="15">
        <v>125</v>
      </c>
      <c r="D788" s="16">
        <v>7</v>
      </c>
      <c r="E788" s="22">
        <v>43980</v>
      </c>
      <c r="F788" s="17">
        <v>150</v>
      </c>
      <c r="G788" s="18">
        <v>0.14000000000000001</v>
      </c>
      <c r="H788">
        <f>F788*VLOOKUP(B788,產品!$A$2:$H$61,7,FALSE)*(1-銷售總表!G788)</f>
        <v>232200</v>
      </c>
      <c r="I788" s="35">
        <f>H788-F788*VLOOKUP(銷售總表!B788,產品!$A$2:$H$61,8,FALSE)</f>
        <v>124200</v>
      </c>
      <c r="J788" s="20">
        <f t="shared" si="12"/>
        <v>0.53488372093023251</v>
      </c>
    </row>
    <row r="789" spans="1:10" x14ac:dyDescent="0.3">
      <c r="A789" s="33">
        <v>788</v>
      </c>
      <c r="B789" s="4">
        <v>13</v>
      </c>
      <c r="C789" s="15">
        <v>116</v>
      </c>
      <c r="D789" s="16">
        <v>7</v>
      </c>
      <c r="E789" s="22">
        <v>43980</v>
      </c>
      <c r="F789" s="17">
        <v>100</v>
      </c>
      <c r="G789" s="18">
        <v>0.16</v>
      </c>
      <c r="H789">
        <f>F789*VLOOKUP(B789,產品!$A$2:$H$61,7,FALSE)*(1-銷售總表!G789)</f>
        <v>151200</v>
      </c>
      <c r="I789" s="35">
        <f>H789-F789*VLOOKUP(銷售總表!B789,產品!$A$2:$H$61,8,FALSE)</f>
        <v>79200</v>
      </c>
      <c r="J789" s="20">
        <f t="shared" si="12"/>
        <v>0.52380952380952384</v>
      </c>
    </row>
    <row r="790" spans="1:10" x14ac:dyDescent="0.3">
      <c r="A790" s="33">
        <v>789</v>
      </c>
      <c r="B790" s="4">
        <v>54</v>
      </c>
      <c r="C790" s="15">
        <v>263</v>
      </c>
      <c r="D790" s="16">
        <v>9</v>
      </c>
      <c r="E790" s="22">
        <v>43980</v>
      </c>
      <c r="F790" s="17">
        <v>9</v>
      </c>
      <c r="G790" s="18">
        <v>0.12</v>
      </c>
      <c r="H790">
        <f>F790*VLOOKUP(B790,產品!$A$2:$H$61,7,FALSE)*(1-銷售總表!G790)</f>
        <v>142560</v>
      </c>
      <c r="I790" s="35">
        <f>H790-F790*VLOOKUP(銷售總表!B790,產品!$A$2:$H$61,8,FALSE)</f>
        <v>29160</v>
      </c>
      <c r="J790" s="20">
        <f t="shared" si="12"/>
        <v>0.20454545454545456</v>
      </c>
    </row>
    <row r="791" spans="1:10" x14ac:dyDescent="0.3">
      <c r="A791" s="33">
        <v>790</v>
      </c>
      <c r="B791" s="4">
        <v>39</v>
      </c>
      <c r="C791" s="15">
        <v>115</v>
      </c>
      <c r="D791" s="16">
        <v>10</v>
      </c>
      <c r="E791" s="22">
        <v>43980</v>
      </c>
      <c r="F791" s="17">
        <v>5</v>
      </c>
      <c r="G791" s="18">
        <v>0.11</v>
      </c>
      <c r="H791">
        <f>F791*VLOOKUP(B791,產品!$A$2:$H$61,7,FALSE)*(1-銷售總表!G791)</f>
        <v>80100</v>
      </c>
      <c r="I791" s="35">
        <f>H791-F791*VLOOKUP(銷售總表!B791,產品!$A$2:$H$61,8,FALSE)</f>
        <v>21600</v>
      </c>
      <c r="J791" s="20">
        <f t="shared" si="12"/>
        <v>0.2696629213483146</v>
      </c>
    </row>
    <row r="792" spans="1:10" x14ac:dyDescent="0.3">
      <c r="A792" s="33">
        <v>791</v>
      </c>
      <c r="B792" s="4">
        <v>30</v>
      </c>
      <c r="C792" s="15">
        <v>5</v>
      </c>
      <c r="D792" s="16">
        <v>8</v>
      </c>
      <c r="E792" s="22">
        <v>43980</v>
      </c>
      <c r="F792" s="17">
        <v>2</v>
      </c>
      <c r="G792" s="18">
        <v>0.08</v>
      </c>
      <c r="H792">
        <f>F792*VLOOKUP(B792,產品!$A$2:$H$61,7,FALSE)*(1-銷售總表!G792)</f>
        <v>11960</v>
      </c>
      <c r="I792" s="35">
        <f>H792-F792*VLOOKUP(銷售總表!B792,產品!$A$2:$H$61,8,FALSE)</f>
        <v>4160</v>
      </c>
      <c r="J792" s="20">
        <f t="shared" si="12"/>
        <v>0.34782608695652173</v>
      </c>
    </row>
    <row r="793" spans="1:10" x14ac:dyDescent="0.3">
      <c r="A793" s="33">
        <v>792</v>
      </c>
      <c r="B793" s="4">
        <v>53</v>
      </c>
      <c r="C793" s="15">
        <v>8</v>
      </c>
      <c r="D793" s="16">
        <v>10</v>
      </c>
      <c r="E793" s="22">
        <v>43980</v>
      </c>
      <c r="F793" s="17">
        <v>6</v>
      </c>
      <c r="G793" s="18">
        <v>0.18</v>
      </c>
      <c r="H793">
        <f>F793*VLOOKUP(B793,產品!$A$2:$H$61,7,FALSE)*(1-銷售總表!G793)</f>
        <v>73800</v>
      </c>
      <c r="I793" s="35">
        <f>H793-F793*VLOOKUP(銷售總表!B793,產品!$A$2:$H$61,8,FALSE)</f>
        <v>10800</v>
      </c>
      <c r="J793" s="20">
        <f t="shared" si="12"/>
        <v>0.14634146341463414</v>
      </c>
    </row>
    <row r="794" spans="1:10" x14ac:dyDescent="0.3">
      <c r="A794" s="33">
        <v>793</v>
      </c>
      <c r="B794" s="4">
        <v>35</v>
      </c>
      <c r="C794" s="15">
        <v>263</v>
      </c>
      <c r="D794" s="16">
        <v>9</v>
      </c>
      <c r="E794" s="22">
        <v>43980</v>
      </c>
      <c r="F794" s="17">
        <v>3</v>
      </c>
      <c r="G794" s="18">
        <v>0.16</v>
      </c>
      <c r="H794">
        <f>F794*VLOOKUP(B794,產品!$A$2:$H$61,7,FALSE)*(1-銷售總表!G794)</f>
        <v>21420</v>
      </c>
      <c r="I794" s="35">
        <f>H794-F794*VLOOKUP(銷售總表!B794,產品!$A$2:$H$61,8,FALSE)</f>
        <v>6120</v>
      </c>
      <c r="J794" s="20">
        <f t="shared" si="12"/>
        <v>0.2857142857142857</v>
      </c>
    </row>
    <row r="795" spans="1:10" x14ac:dyDescent="0.3">
      <c r="A795" s="33">
        <v>794</v>
      </c>
      <c r="B795" s="4">
        <v>37</v>
      </c>
      <c r="C795" s="15">
        <v>2</v>
      </c>
      <c r="D795" s="16">
        <v>9</v>
      </c>
      <c r="E795" s="22">
        <v>43980</v>
      </c>
      <c r="F795" s="17">
        <v>2</v>
      </c>
      <c r="G795" s="18">
        <v>0.12</v>
      </c>
      <c r="H795">
        <f>F795*VLOOKUP(B795,產品!$A$2:$H$61,7,FALSE)*(1-銷售總表!G795)</f>
        <v>21120</v>
      </c>
      <c r="I795" s="35">
        <f>H795-F795*VLOOKUP(銷售總表!B795,產品!$A$2:$H$61,8,FALSE)</f>
        <v>5520</v>
      </c>
      <c r="J795" s="20">
        <f t="shared" si="12"/>
        <v>0.26136363636363635</v>
      </c>
    </row>
    <row r="796" spans="1:10" x14ac:dyDescent="0.3">
      <c r="A796" s="33">
        <v>795</v>
      </c>
      <c r="B796" s="4">
        <v>33</v>
      </c>
      <c r="C796" s="15">
        <v>257</v>
      </c>
      <c r="D796" s="16">
        <v>4</v>
      </c>
      <c r="E796" s="22">
        <v>43981</v>
      </c>
      <c r="F796" s="17">
        <v>16</v>
      </c>
      <c r="G796" s="18">
        <v>0.17</v>
      </c>
      <c r="H796">
        <f>F796*VLOOKUP(B796,產品!$A$2:$H$61,7,FALSE)*(1-銷售總表!G796)</f>
        <v>99600</v>
      </c>
      <c r="I796" s="35">
        <f>H796-F796*VLOOKUP(銷售總表!B796,產品!$A$2:$H$61,8,FALSE)</f>
        <v>27600</v>
      </c>
      <c r="J796" s="20">
        <f t="shared" si="12"/>
        <v>0.27710843373493976</v>
      </c>
    </row>
    <row r="797" spans="1:10" x14ac:dyDescent="0.3">
      <c r="A797" s="33">
        <v>796</v>
      </c>
      <c r="B797" s="4">
        <v>26</v>
      </c>
      <c r="C797" s="15">
        <v>273</v>
      </c>
      <c r="D797" s="16">
        <v>4</v>
      </c>
      <c r="E797" s="22">
        <v>43981</v>
      </c>
      <c r="F797" s="17">
        <v>10</v>
      </c>
      <c r="G797" s="18">
        <v>7.0000000000000007E-2</v>
      </c>
      <c r="H797">
        <f>F797*VLOOKUP(B797,產品!$A$2:$H$61,7,FALSE)*(1-銷售總表!G797)</f>
        <v>60449.999999999993</v>
      </c>
      <c r="I797" s="35">
        <f>H797-F797*VLOOKUP(銷售總表!B797,產品!$A$2:$H$61,8,FALSE)</f>
        <v>21449.999999999993</v>
      </c>
      <c r="J797" s="20">
        <f t="shared" si="12"/>
        <v>0.35483870967741926</v>
      </c>
    </row>
    <row r="798" spans="1:10" x14ac:dyDescent="0.3">
      <c r="A798" s="33">
        <v>797</v>
      </c>
      <c r="B798" s="4">
        <v>51</v>
      </c>
      <c r="C798" s="15">
        <v>283</v>
      </c>
      <c r="D798" s="16">
        <v>7</v>
      </c>
      <c r="E798" s="22">
        <v>43981</v>
      </c>
      <c r="F798" s="19">
        <v>3</v>
      </c>
      <c r="G798" s="18">
        <v>0.09</v>
      </c>
      <c r="H798">
        <f>F798*VLOOKUP(B798,產品!$A$2:$H$61,7,FALSE)*(1-銷售總表!G798)</f>
        <v>54600</v>
      </c>
      <c r="I798" s="35">
        <f>H798-F798*VLOOKUP(銷售總表!B798,產品!$A$2:$H$61,8,FALSE)</f>
        <v>12600</v>
      </c>
      <c r="J798" s="20">
        <f t="shared" si="12"/>
        <v>0.23076923076923078</v>
      </c>
    </row>
    <row r="799" spans="1:10" x14ac:dyDescent="0.3">
      <c r="A799" s="33">
        <v>798</v>
      </c>
      <c r="B799" s="4">
        <v>25</v>
      </c>
      <c r="C799" s="15">
        <v>12</v>
      </c>
      <c r="D799" s="16">
        <v>1</v>
      </c>
      <c r="E799" s="22">
        <v>43982</v>
      </c>
      <c r="F799" s="19">
        <v>12</v>
      </c>
      <c r="G799" s="18">
        <v>0.1</v>
      </c>
      <c r="H799">
        <f>F799*VLOOKUP(B799,產品!$A$2:$H$61,7,FALSE)*(1-銷售總表!G799)</f>
        <v>64800</v>
      </c>
      <c r="I799" s="35">
        <f>H799-F799*VLOOKUP(銷售總表!B799,產品!$A$2:$H$61,8,FALSE)</f>
        <v>21600</v>
      </c>
      <c r="J799" s="20">
        <f t="shared" si="12"/>
        <v>0.33333333333333331</v>
      </c>
    </row>
    <row r="800" spans="1:10" x14ac:dyDescent="0.3">
      <c r="A800" s="33">
        <v>799</v>
      </c>
      <c r="B800" s="4">
        <v>40</v>
      </c>
      <c r="C800" s="15">
        <v>278</v>
      </c>
      <c r="D800" s="16">
        <v>5</v>
      </c>
      <c r="E800" s="22">
        <v>43982</v>
      </c>
      <c r="F800" s="17">
        <v>2</v>
      </c>
      <c r="G800" s="18">
        <v>0.18</v>
      </c>
      <c r="H800">
        <f>F800*VLOOKUP(B800,產品!$A$2:$H$61,7,FALSE)*(1-銷售總表!G800)</f>
        <v>32800</v>
      </c>
      <c r="I800" s="35">
        <f>H800-F800*VLOOKUP(銷售總表!B800,產品!$A$2:$H$61,8,FALSE)</f>
        <v>6800</v>
      </c>
      <c r="J800" s="20">
        <f t="shared" si="12"/>
        <v>0.2073170731707317</v>
      </c>
    </row>
    <row r="801" spans="1:10" x14ac:dyDescent="0.3">
      <c r="A801" s="33">
        <v>800</v>
      </c>
      <c r="B801" s="4">
        <v>34</v>
      </c>
      <c r="C801" s="15">
        <v>115</v>
      </c>
      <c r="D801" s="16">
        <v>4</v>
      </c>
      <c r="E801" s="22">
        <v>43983</v>
      </c>
      <c r="F801" s="17">
        <v>25</v>
      </c>
      <c r="G801" s="18">
        <v>0.06</v>
      </c>
      <c r="H801">
        <f>F801*VLOOKUP(B801,產品!$A$2:$H$61,7,FALSE)*(1-銷售總表!G801)</f>
        <v>188000</v>
      </c>
      <c r="I801" s="35">
        <f>H801-F801*VLOOKUP(銷售總表!B801,產品!$A$2:$H$61,8,FALSE)</f>
        <v>68000</v>
      </c>
      <c r="J801" s="20">
        <f t="shared" si="12"/>
        <v>0.36170212765957449</v>
      </c>
    </row>
    <row r="802" spans="1:10" x14ac:dyDescent="0.3">
      <c r="A802" s="33">
        <v>801</v>
      </c>
      <c r="B802" s="4">
        <v>56</v>
      </c>
      <c r="C802" s="15">
        <v>260</v>
      </c>
      <c r="D802" s="16">
        <v>3</v>
      </c>
      <c r="E802" s="22">
        <v>43983</v>
      </c>
      <c r="F802" s="19">
        <v>5</v>
      </c>
      <c r="G802" s="18">
        <v>0.17</v>
      </c>
      <c r="H802">
        <f>F802*VLOOKUP(B802,產品!$A$2:$H$61,7,FALSE)*(1-銷售總表!G802)</f>
        <v>91300</v>
      </c>
      <c r="I802" s="35">
        <f>H802-F802*VLOOKUP(銷售總表!B802,產品!$A$2:$H$61,8,FALSE)</f>
        <v>14300.000000000015</v>
      </c>
      <c r="J802" s="20">
        <f t="shared" si="12"/>
        <v>0.15662650602409656</v>
      </c>
    </row>
    <row r="803" spans="1:10" x14ac:dyDescent="0.3">
      <c r="A803" s="33">
        <v>802</v>
      </c>
      <c r="B803" s="4">
        <v>9</v>
      </c>
      <c r="C803" s="15">
        <v>1</v>
      </c>
      <c r="D803" s="16">
        <v>9</v>
      </c>
      <c r="E803" s="22">
        <v>43984</v>
      </c>
      <c r="F803" s="17">
        <v>200</v>
      </c>
      <c r="G803" s="18">
        <v>0.05</v>
      </c>
      <c r="H803">
        <f>F803*VLOOKUP(B803,產品!$A$2:$H$61,7,FALSE)*(1-銷售總表!G803)</f>
        <v>190000</v>
      </c>
      <c r="I803" s="35">
        <f>H803-F803*VLOOKUP(銷售總表!B803,產品!$A$2:$H$61,8,FALSE)</f>
        <v>110000</v>
      </c>
      <c r="J803" s="20">
        <f t="shared" si="12"/>
        <v>0.57894736842105265</v>
      </c>
    </row>
    <row r="804" spans="1:10" x14ac:dyDescent="0.3">
      <c r="A804" s="33">
        <v>803</v>
      </c>
      <c r="B804" s="4">
        <v>7</v>
      </c>
      <c r="C804" s="15">
        <v>139</v>
      </c>
      <c r="D804" s="16">
        <v>7</v>
      </c>
      <c r="E804" s="22">
        <v>43984</v>
      </c>
      <c r="F804" s="19">
        <v>90</v>
      </c>
      <c r="G804" s="18">
        <v>0.06</v>
      </c>
      <c r="H804">
        <f>F804*VLOOKUP(B804,產品!$A$2:$H$61,7,FALSE)*(1-銷售總表!G804)</f>
        <v>84600</v>
      </c>
      <c r="I804" s="35">
        <f>H804-F804*VLOOKUP(銷售總表!B804,產品!$A$2:$H$61,8,FALSE)</f>
        <v>48600</v>
      </c>
      <c r="J804" s="20">
        <f t="shared" si="12"/>
        <v>0.57446808510638303</v>
      </c>
    </row>
    <row r="805" spans="1:10" x14ac:dyDescent="0.3">
      <c r="A805" s="33">
        <v>804</v>
      </c>
      <c r="B805" s="4">
        <v>36</v>
      </c>
      <c r="C805" s="15">
        <v>2</v>
      </c>
      <c r="D805" s="16">
        <v>10</v>
      </c>
      <c r="E805" s="22">
        <v>43984</v>
      </c>
      <c r="F805" s="17">
        <v>3</v>
      </c>
      <c r="G805" s="18">
        <v>0.17</v>
      </c>
      <c r="H805">
        <f>F805*VLOOKUP(B805,產品!$A$2:$H$61,7,FALSE)*(1-銷售總表!G805)</f>
        <v>22410</v>
      </c>
      <c r="I805" s="35">
        <f>H805-F805*VLOOKUP(銷售總表!B805,產品!$A$2:$H$61,8,FALSE)</f>
        <v>6210</v>
      </c>
      <c r="J805" s="20">
        <f t="shared" si="12"/>
        <v>0.27710843373493976</v>
      </c>
    </row>
    <row r="806" spans="1:10" x14ac:dyDescent="0.3">
      <c r="A806" s="33">
        <v>805</v>
      </c>
      <c r="B806" s="4">
        <v>31</v>
      </c>
      <c r="C806" s="15">
        <v>125</v>
      </c>
      <c r="D806" s="16">
        <v>1</v>
      </c>
      <c r="E806" s="22">
        <v>43984</v>
      </c>
      <c r="F806" s="17">
        <v>3</v>
      </c>
      <c r="G806" s="18">
        <v>0.14000000000000001</v>
      </c>
      <c r="H806">
        <f>F806*VLOOKUP(B806,產品!$A$2:$H$61,7,FALSE)*(1-銷售總表!G806)</f>
        <v>18060</v>
      </c>
      <c r="I806" s="35">
        <f>H806-F806*VLOOKUP(銷售總表!B806,產品!$A$2:$H$61,8,FALSE)</f>
        <v>5460</v>
      </c>
      <c r="J806" s="20">
        <f t="shared" si="12"/>
        <v>0.30232558139534882</v>
      </c>
    </row>
    <row r="807" spans="1:10" x14ac:dyDescent="0.3">
      <c r="A807" s="33">
        <v>806</v>
      </c>
      <c r="B807" s="4">
        <v>4</v>
      </c>
      <c r="C807" s="15">
        <v>11</v>
      </c>
      <c r="D807" s="16">
        <v>3</v>
      </c>
      <c r="E807" s="22">
        <v>43984</v>
      </c>
      <c r="F807" s="17">
        <v>11</v>
      </c>
      <c r="G807" s="18">
        <v>0.2</v>
      </c>
      <c r="H807">
        <f>F807*VLOOKUP(B807,產品!$A$2:$H$61,7,FALSE)*(1-銷售總表!G807)</f>
        <v>8800</v>
      </c>
      <c r="I807" s="35">
        <f>H807-F807*VLOOKUP(銷售總表!B807,產品!$A$2:$H$61,8,FALSE)</f>
        <v>4400</v>
      </c>
      <c r="J807" s="20">
        <f t="shared" si="12"/>
        <v>0.5</v>
      </c>
    </row>
    <row r="808" spans="1:10" x14ac:dyDescent="0.3">
      <c r="A808" s="33">
        <v>807</v>
      </c>
      <c r="B808" s="4">
        <v>5</v>
      </c>
      <c r="C808" s="15">
        <v>5</v>
      </c>
      <c r="D808" s="16">
        <v>10</v>
      </c>
      <c r="E808" s="22">
        <v>43985</v>
      </c>
      <c r="F808" s="17">
        <v>40</v>
      </c>
      <c r="G808" s="18">
        <v>0.09</v>
      </c>
      <c r="H808">
        <f>F808*VLOOKUP(B808,產品!$A$2:$H$61,7,FALSE)*(1-銷售總表!G808)</f>
        <v>36400</v>
      </c>
      <c r="I808" s="35">
        <f>H808-F808*VLOOKUP(銷售總表!B808,產品!$A$2:$H$61,8,FALSE)</f>
        <v>20400</v>
      </c>
      <c r="J808" s="20">
        <f t="shared" si="12"/>
        <v>0.56043956043956045</v>
      </c>
    </row>
    <row r="809" spans="1:10" x14ac:dyDescent="0.3">
      <c r="A809" s="33">
        <v>808</v>
      </c>
      <c r="B809" s="4">
        <v>7</v>
      </c>
      <c r="C809" s="15">
        <v>271</v>
      </c>
      <c r="D809" s="16">
        <v>10</v>
      </c>
      <c r="E809" s="22">
        <v>43985</v>
      </c>
      <c r="F809" s="17">
        <v>30</v>
      </c>
      <c r="G809" s="18">
        <v>7.0000000000000007E-2</v>
      </c>
      <c r="H809">
        <f>F809*VLOOKUP(B809,產品!$A$2:$H$61,7,FALSE)*(1-銷售總表!G809)</f>
        <v>27899.999999999996</v>
      </c>
      <c r="I809" s="35">
        <f>H809-F809*VLOOKUP(銷售總表!B809,產品!$A$2:$H$61,8,FALSE)</f>
        <v>15899.999999999996</v>
      </c>
      <c r="J809" s="20">
        <f t="shared" si="12"/>
        <v>0.56989247311827951</v>
      </c>
    </row>
    <row r="810" spans="1:10" x14ac:dyDescent="0.3">
      <c r="A810" s="33">
        <v>809</v>
      </c>
      <c r="B810" s="4">
        <v>42</v>
      </c>
      <c r="C810" s="15">
        <v>10</v>
      </c>
      <c r="D810" s="16">
        <v>3</v>
      </c>
      <c r="E810" s="22">
        <v>43985</v>
      </c>
      <c r="F810" s="17">
        <v>4</v>
      </c>
      <c r="G810" s="18">
        <v>0.09</v>
      </c>
      <c r="H810">
        <f>F810*VLOOKUP(B810,產品!$A$2:$H$61,7,FALSE)*(1-銷售總表!G810)</f>
        <v>54600</v>
      </c>
      <c r="I810" s="35">
        <f>H810-F810*VLOOKUP(銷售總表!B810,產品!$A$2:$H$61,8,FALSE)</f>
        <v>15600</v>
      </c>
      <c r="J810" s="20">
        <f t="shared" si="12"/>
        <v>0.2857142857142857</v>
      </c>
    </row>
    <row r="811" spans="1:10" x14ac:dyDescent="0.3">
      <c r="A811" s="33">
        <v>810</v>
      </c>
      <c r="B811" s="4">
        <v>19</v>
      </c>
      <c r="C811" s="15">
        <v>2</v>
      </c>
      <c r="D811" s="16">
        <v>5</v>
      </c>
      <c r="E811" s="22">
        <v>43986</v>
      </c>
      <c r="F811" s="19">
        <v>150</v>
      </c>
      <c r="G811" s="18">
        <v>0.12</v>
      </c>
      <c r="H811">
        <f>F811*VLOOKUP(B811,產品!$A$2:$H$61,7,FALSE)*(1-銷售總表!G811)</f>
        <v>237600</v>
      </c>
      <c r="I811" s="35">
        <f>H811-F811*VLOOKUP(銷售總表!B811,產品!$A$2:$H$61,8,FALSE)</f>
        <v>129600</v>
      </c>
      <c r="J811" s="20">
        <f t="shared" si="12"/>
        <v>0.54545454545454541</v>
      </c>
    </row>
    <row r="812" spans="1:10" x14ac:dyDescent="0.3">
      <c r="A812" s="33">
        <v>811</v>
      </c>
      <c r="B812" s="4">
        <v>21</v>
      </c>
      <c r="C812" s="15">
        <v>124</v>
      </c>
      <c r="D812" s="16">
        <v>6</v>
      </c>
      <c r="E812" s="22">
        <v>43986</v>
      </c>
      <c r="F812" s="17">
        <v>80</v>
      </c>
      <c r="G812" s="18">
        <v>0.19</v>
      </c>
      <c r="H812">
        <f>F812*VLOOKUP(B812,產品!$A$2:$H$61,7,FALSE)*(1-銷售總表!G812)</f>
        <v>116640.00000000001</v>
      </c>
      <c r="I812" s="35">
        <f>H812-F812*VLOOKUP(銷售總表!B812,產品!$A$2:$H$61,8,FALSE)</f>
        <v>59040.000000000015</v>
      </c>
      <c r="J812" s="20">
        <f t="shared" si="12"/>
        <v>0.50617283950617287</v>
      </c>
    </row>
    <row r="813" spans="1:10" x14ac:dyDescent="0.3">
      <c r="A813" s="33">
        <v>812</v>
      </c>
      <c r="B813" s="4">
        <v>28</v>
      </c>
      <c r="C813" s="15">
        <v>140</v>
      </c>
      <c r="D813" s="16">
        <v>2</v>
      </c>
      <c r="E813" s="22">
        <v>43986</v>
      </c>
      <c r="F813" s="19">
        <v>3</v>
      </c>
      <c r="G813" s="18">
        <v>0.05</v>
      </c>
      <c r="H813">
        <f>F813*VLOOKUP(B813,產品!$A$2:$H$61,7,FALSE)*(1-銷售總表!G813)</f>
        <v>21375</v>
      </c>
      <c r="I813" s="35">
        <f>H813-F813*VLOOKUP(銷售總表!B813,產品!$A$2:$H$61,8,FALSE)</f>
        <v>7875</v>
      </c>
      <c r="J813" s="20">
        <f t="shared" si="12"/>
        <v>0.36842105263157893</v>
      </c>
    </row>
    <row r="814" spans="1:10" x14ac:dyDescent="0.3">
      <c r="A814" s="33">
        <v>813</v>
      </c>
      <c r="B814" s="4">
        <v>4</v>
      </c>
      <c r="C814" s="15">
        <v>6</v>
      </c>
      <c r="D814" s="16">
        <v>8</v>
      </c>
      <c r="E814" s="22">
        <v>43986</v>
      </c>
      <c r="F814" s="17">
        <v>10</v>
      </c>
      <c r="G814" s="18">
        <v>0.12</v>
      </c>
      <c r="H814">
        <f>F814*VLOOKUP(B814,產品!$A$2:$H$61,7,FALSE)*(1-銷售總表!G814)</f>
        <v>8800</v>
      </c>
      <c r="I814" s="35">
        <f>H814-F814*VLOOKUP(銷售總表!B814,產品!$A$2:$H$61,8,FALSE)</f>
        <v>4800</v>
      </c>
      <c r="J814" s="20">
        <f t="shared" si="12"/>
        <v>0.54545454545454541</v>
      </c>
    </row>
    <row r="815" spans="1:10" x14ac:dyDescent="0.3">
      <c r="A815" s="33">
        <v>814</v>
      </c>
      <c r="B815" s="4">
        <v>7</v>
      </c>
      <c r="C815" s="15">
        <v>118</v>
      </c>
      <c r="D815" s="16">
        <v>2</v>
      </c>
      <c r="E815" s="22">
        <v>43986</v>
      </c>
      <c r="F815" s="19">
        <v>10</v>
      </c>
      <c r="G815" s="18">
        <v>0.15</v>
      </c>
      <c r="H815">
        <f>F815*VLOOKUP(B815,產品!$A$2:$H$61,7,FALSE)*(1-銷售總表!G815)</f>
        <v>8500</v>
      </c>
      <c r="I815" s="35">
        <f>H815-F815*VLOOKUP(銷售總表!B815,產品!$A$2:$H$61,8,FALSE)</f>
        <v>4500</v>
      </c>
      <c r="J815" s="20">
        <f t="shared" si="12"/>
        <v>0.52941176470588236</v>
      </c>
    </row>
    <row r="816" spans="1:10" x14ac:dyDescent="0.3">
      <c r="A816" s="33">
        <v>815</v>
      </c>
      <c r="B816" s="4">
        <v>22</v>
      </c>
      <c r="C816" s="15">
        <v>116</v>
      </c>
      <c r="D816" s="16">
        <v>7</v>
      </c>
      <c r="E816" s="22">
        <v>43987</v>
      </c>
      <c r="F816" s="17">
        <v>100</v>
      </c>
      <c r="G816" s="18">
        <v>0.05</v>
      </c>
      <c r="H816">
        <f>F816*VLOOKUP(B816,產品!$A$2:$H$61,7,FALSE)*(1-銷售總表!G816)</f>
        <v>171000</v>
      </c>
      <c r="I816" s="35">
        <f>H816-F816*VLOOKUP(銷售總表!B816,產品!$A$2:$H$61,8,FALSE)</f>
        <v>99000</v>
      </c>
      <c r="J816" s="20">
        <f t="shared" si="12"/>
        <v>0.57894736842105265</v>
      </c>
    </row>
    <row r="817" spans="1:10" x14ac:dyDescent="0.3">
      <c r="A817" s="33">
        <v>816</v>
      </c>
      <c r="B817" s="4">
        <v>15</v>
      </c>
      <c r="C817" s="15">
        <v>8</v>
      </c>
      <c r="D817" s="16">
        <v>9</v>
      </c>
      <c r="E817" s="22">
        <v>43987</v>
      </c>
      <c r="F817" s="17">
        <v>45</v>
      </c>
      <c r="G817" s="18">
        <v>0.17</v>
      </c>
      <c r="H817">
        <f>F817*VLOOKUP(B817,產品!$A$2:$H$61,7,FALSE)*(1-銷售總表!G817)</f>
        <v>67230</v>
      </c>
      <c r="I817" s="35">
        <f>H817-F817*VLOOKUP(銷售總表!B817,產品!$A$2:$H$61,8,FALSE)</f>
        <v>34830</v>
      </c>
      <c r="J817" s="20">
        <f t="shared" si="12"/>
        <v>0.51807228915662651</v>
      </c>
    </row>
    <row r="818" spans="1:10" x14ac:dyDescent="0.3">
      <c r="A818" s="33">
        <v>817</v>
      </c>
      <c r="B818" s="4">
        <v>5</v>
      </c>
      <c r="C818" s="15">
        <v>276</v>
      </c>
      <c r="D818" s="16">
        <v>9</v>
      </c>
      <c r="E818" s="22">
        <v>43987</v>
      </c>
      <c r="F818" s="19">
        <v>30</v>
      </c>
      <c r="G818" s="18">
        <v>0.05</v>
      </c>
      <c r="H818">
        <f>F818*VLOOKUP(B818,產品!$A$2:$H$61,7,FALSE)*(1-銷售總表!G818)</f>
        <v>28500</v>
      </c>
      <c r="I818" s="35">
        <f>H818-F818*VLOOKUP(銷售總表!B818,產品!$A$2:$H$61,8,FALSE)</f>
        <v>16500</v>
      </c>
      <c r="J818" s="20">
        <f t="shared" si="12"/>
        <v>0.57894736842105265</v>
      </c>
    </row>
    <row r="819" spans="1:10" x14ac:dyDescent="0.3">
      <c r="A819" s="33">
        <v>818</v>
      </c>
      <c r="B819" s="4">
        <v>52</v>
      </c>
      <c r="C819" s="15">
        <v>5</v>
      </c>
      <c r="D819" s="16">
        <v>9</v>
      </c>
      <c r="E819" s="22">
        <v>43987</v>
      </c>
      <c r="F819" s="19">
        <v>2</v>
      </c>
      <c r="G819" s="18">
        <v>0.15</v>
      </c>
      <c r="H819">
        <f>F819*VLOOKUP(B819,產品!$A$2:$H$61,7,FALSE)*(1-銷售總表!G819)</f>
        <v>37400</v>
      </c>
      <c r="I819" s="35">
        <f>H819-F819*VLOOKUP(銷售總表!B819,產品!$A$2:$H$61,8,FALSE)</f>
        <v>6600.0000000000036</v>
      </c>
      <c r="J819" s="20">
        <f t="shared" si="12"/>
        <v>0.17647058823529421</v>
      </c>
    </row>
    <row r="820" spans="1:10" x14ac:dyDescent="0.3">
      <c r="A820" s="33">
        <v>819</v>
      </c>
      <c r="B820" s="4">
        <v>35</v>
      </c>
      <c r="C820" s="15">
        <v>266</v>
      </c>
      <c r="D820" s="16">
        <v>3</v>
      </c>
      <c r="E820" s="22">
        <v>43987</v>
      </c>
      <c r="F820" s="17">
        <v>1</v>
      </c>
      <c r="G820" s="18">
        <v>0.13</v>
      </c>
      <c r="H820">
        <f>F820*VLOOKUP(B820,產品!$A$2:$H$61,7,FALSE)*(1-銷售總表!G820)</f>
        <v>7395</v>
      </c>
      <c r="I820" s="35">
        <f>H820-F820*VLOOKUP(銷售總表!B820,產品!$A$2:$H$61,8,FALSE)</f>
        <v>2295</v>
      </c>
      <c r="J820" s="20">
        <f t="shared" si="12"/>
        <v>0.31034482758620691</v>
      </c>
    </row>
    <row r="821" spans="1:10" x14ac:dyDescent="0.3">
      <c r="A821" s="33">
        <v>820</v>
      </c>
      <c r="B821" s="4">
        <v>37</v>
      </c>
      <c r="C821" s="15">
        <v>7</v>
      </c>
      <c r="D821" s="16">
        <v>2</v>
      </c>
      <c r="E821" s="22">
        <v>43988</v>
      </c>
      <c r="F821" s="17">
        <v>25</v>
      </c>
      <c r="G821" s="18">
        <v>0.05</v>
      </c>
      <c r="H821">
        <f>F821*VLOOKUP(B821,產品!$A$2:$H$61,7,FALSE)*(1-銷售總表!G821)</f>
        <v>285000</v>
      </c>
      <c r="I821" s="35">
        <f>H821-F821*VLOOKUP(銷售總表!B821,產品!$A$2:$H$61,8,FALSE)</f>
        <v>90000</v>
      </c>
      <c r="J821" s="20">
        <f t="shared" si="12"/>
        <v>0.31578947368421051</v>
      </c>
    </row>
    <row r="822" spans="1:10" x14ac:dyDescent="0.3">
      <c r="A822" s="33">
        <v>821</v>
      </c>
      <c r="B822" s="4">
        <v>46</v>
      </c>
      <c r="C822" s="15">
        <v>290</v>
      </c>
      <c r="D822" s="16">
        <v>2</v>
      </c>
      <c r="E822" s="22">
        <v>43988</v>
      </c>
      <c r="F822" s="17">
        <v>12</v>
      </c>
      <c r="G822" s="18">
        <v>0.09</v>
      </c>
      <c r="H822">
        <f>F822*VLOOKUP(B822,產品!$A$2:$H$61,7,FALSE)*(1-銷售總表!G822)</f>
        <v>185640</v>
      </c>
      <c r="I822" s="35">
        <f>H822-F822*VLOOKUP(銷售總表!B822,產品!$A$2:$H$61,8,FALSE)</f>
        <v>53040</v>
      </c>
      <c r="J822" s="20">
        <f t="shared" si="12"/>
        <v>0.2857142857142857</v>
      </c>
    </row>
    <row r="823" spans="1:10" x14ac:dyDescent="0.3">
      <c r="A823" s="33">
        <v>822</v>
      </c>
      <c r="B823" s="4">
        <v>50</v>
      </c>
      <c r="C823" s="15">
        <v>5</v>
      </c>
      <c r="D823" s="16">
        <v>1</v>
      </c>
      <c r="E823" s="22">
        <v>43988</v>
      </c>
      <c r="F823" s="17">
        <v>15</v>
      </c>
      <c r="G823" s="18">
        <v>0.11</v>
      </c>
      <c r="H823">
        <f>F823*VLOOKUP(B823,產品!$A$2:$H$61,7,FALSE)*(1-銷售總表!G823)</f>
        <v>240300</v>
      </c>
      <c r="I823" s="35">
        <f>H823-F823*VLOOKUP(銷售總表!B823,產品!$A$2:$H$61,8,FALSE)</f>
        <v>51300</v>
      </c>
      <c r="J823" s="20">
        <f t="shared" si="12"/>
        <v>0.21348314606741572</v>
      </c>
    </row>
    <row r="824" spans="1:10" x14ac:dyDescent="0.3">
      <c r="A824" s="33">
        <v>823</v>
      </c>
      <c r="B824" s="4">
        <v>41</v>
      </c>
      <c r="C824" s="15">
        <v>7</v>
      </c>
      <c r="D824" s="16">
        <v>2</v>
      </c>
      <c r="E824" s="22">
        <v>43988</v>
      </c>
      <c r="F824" s="17">
        <v>9</v>
      </c>
      <c r="G824" s="18">
        <v>0.19</v>
      </c>
      <c r="H824">
        <f>F824*VLOOKUP(B824,產品!$A$2:$H$61,7,FALSE)*(1-銷售總表!G824)</f>
        <v>87480</v>
      </c>
      <c r="I824" s="35">
        <f>H824-F824*VLOOKUP(銷售總表!B824,產品!$A$2:$H$61,8,FALSE)</f>
        <v>17280</v>
      </c>
      <c r="J824" s="20">
        <f t="shared" si="12"/>
        <v>0.19753086419753085</v>
      </c>
    </row>
    <row r="825" spans="1:10" x14ac:dyDescent="0.3">
      <c r="A825" s="33">
        <v>824</v>
      </c>
      <c r="B825" s="4">
        <v>59</v>
      </c>
      <c r="C825" s="15">
        <v>258</v>
      </c>
      <c r="D825" s="16">
        <v>9</v>
      </c>
      <c r="E825" s="22">
        <v>43989</v>
      </c>
      <c r="F825" s="19">
        <v>8</v>
      </c>
      <c r="G825" s="18">
        <v>0.1</v>
      </c>
      <c r="H825">
        <f>F825*VLOOKUP(B825,產品!$A$2:$H$61,7,FALSE)*(1-銷售總表!G825)</f>
        <v>172800</v>
      </c>
      <c r="I825" s="35">
        <f>H825-F825*VLOOKUP(銷售總表!B825,產品!$A$2:$H$61,8,FALSE)</f>
        <v>38400</v>
      </c>
      <c r="J825" s="20">
        <f t="shared" si="12"/>
        <v>0.22222222222222221</v>
      </c>
    </row>
    <row r="826" spans="1:10" x14ac:dyDescent="0.3">
      <c r="A826" s="33">
        <v>825</v>
      </c>
      <c r="B826" s="4">
        <v>11</v>
      </c>
      <c r="C826" s="15">
        <v>262</v>
      </c>
      <c r="D826" s="16">
        <v>6</v>
      </c>
      <c r="E826" s="22">
        <v>43989</v>
      </c>
      <c r="F826" s="17">
        <v>80</v>
      </c>
      <c r="G826" s="18">
        <v>0.16</v>
      </c>
      <c r="H826">
        <f>F826*VLOOKUP(B826,產品!$A$2:$H$61,7,FALSE)*(1-銷售總表!G826)</f>
        <v>67200</v>
      </c>
      <c r="I826" s="35">
        <f>H826-F826*VLOOKUP(銷售總表!B826,產品!$A$2:$H$61,8,FALSE)</f>
        <v>35200</v>
      </c>
      <c r="J826" s="20">
        <f t="shared" si="12"/>
        <v>0.52380952380952384</v>
      </c>
    </row>
    <row r="827" spans="1:10" x14ac:dyDescent="0.3">
      <c r="A827" s="33">
        <v>826</v>
      </c>
      <c r="B827" s="4">
        <v>50</v>
      </c>
      <c r="C827" s="15">
        <v>2</v>
      </c>
      <c r="D827" s="16">
        <v>4</v>
      </c>
      <c r="E827" s="22">
        <v>43989</v>
      </c>
      <c r="F827" s="17">
        <v>5</v>
      </c>
      <c r="G827" s="18">
        <v>0.17</v>
      </c>
      <c r="H827">
        <f>F827*VLOOKUP(B827,產品!$A$2:$H$61,7,FALSE)*(1-銷售總表!G827)</f>
        <v>74700</v>
      </c>
      <c r="I827" s="35">
        <f>H827-F827*VLOOKUP(銷售總表!B827,產品!$A$2:$H$61,8,FALSE)</f>
        <v>11700</v>
      </c>
      <c r="J827" s="20">
        <f t="shared" si="12"/>
        <v>0.15662650602409639</v>
      </c>
    </row>
    <row r="828" spans="1:10" x14ac:dyDescent="0.3">
      <c r="A828" s="33">
        <v>827</v>
      </c>
      <c r="B828" s="4">
        <v>41</v>
      </c>
      <c r="C828" s="15">
        <v>11</v>
      </c>
      <c r="D828" s="16">
        <v>3</v>
      </c>
      <c r="E828" s="22">
        <v>43989</v>
      </c>
      <c r="F828" s="17">
        <v>3</v>
      </c>
      <c r="G828" s="18">
        <v>0.11</v>
      </c>
      <c r="H828">
        <f>F828*VLOOKUP(B828,產品!$A$2:$H$61,7,FALSE)*(1-銷售總表!G828)</f>
        <v>32040</v>
      </c>
      <c r="I828" s="35">
        <f>H828-F828*VLOOKUP(銷售總表!B828,產品!$A$2:$H$61,8,FALSE)</f>
        <v>8640</v>
      </c>
      <c r="J828" s="20">
        <f t="shared" si="12"/>
        <v>0.2696629213483146</v>
      </c>
    </row>
    <row r="829" spans="1:10" x14ac:dyDescent="0.3">
      <c r="A829" s="33">
        <v>828</v>
      </c>
      <c r="B829" s="4">
        <v>22</v>
      </c>
      <c r="C829" s="15">
        <v>260</v>
      </c>
      <c r="D829" s="16">
        <v>2</v>
      </c>
      <c r="E829" s="22">
        <v>43989</v>
      </c>
      <c r="F829" s="17">
        <v>10</v>
      </c>
      <c r="G829" s="18">
        <v>0.19</v>
      </c>
      <c r="H829">
        <f>F829*VLOOKUP(B829,產品!$A$2:$H$61,7,FALSE)*(1-銷售總表!G829)</f>
        <v>14580.000000000002</v>
      </c>
      <c r="I829" s="35">
        <f>H829-F829*VLOOKUP(銷售總表!B829,產品!$A$2:$H$61,8,FALSE)</f>
        <v>7380.0000000000018</v>
      </c>
      <c r="J829" s="20">
        <f t="shared" si="12"/>
        <v>0.50617283950617287</v>
      </c>
    </row>
    <row r="830" spans="1:10" x14ac:dyDescent="0.3">
      <c r="A830" s="33">
        <v>829</v>
      </c>
      <c r="B830" s="4">
        <v>14</v>
      </c>
      <c r="C830" s="15">
        <v>12</v>
      </c>
      <c r="D830" s="16">
        <v>6</v>
      </c>
      <c r="E830" s="22">
        <v>43990</v>
      </c>
      <c r="F830" s="19">
        <v>60</v>
      </c>
      <c r="G830" s="18">
        <v>0.19</v>
      </c>
      <c r="H830">
        <f>F830*VLOOKUP(B830,產品!$A$2:$H$61,7,FALSE)*(1-銷售總表!G830)</f>
        <v>87480</v>
      </c>
      <c r="I830" s="35">
        <f>H830-F830*VLOOKUP(銷售總表!B830,產品!$A$2:$H$61,8,FALSE)</f>
        <v>44280</v>
      </c>
      <c r="J830" s="20">
        <f t="shared" si="12"/>
        <v>0.50617283950617287</v>
      </c>
    </row>
    <row r="831" spans="1:10" x14ac:dyDescent="0.3">
      <c r="A831" s="33">
        <v>830</v>
      </c>
      <c r="B831" s="4">
        <v>55</v>
      </c>
      <c r="C831" s="15">
        <v>121</v>
      </c>
      <c r="D831" s="16">
        <v>6</v>
      </c>
      <c r="E831" s="22">
        <v>43990</v>
      </c>
      <c r="F831" s="19">
        <v>2</v>
      </c>
      <c r="G831" s="18">
        <v>0.08</v>
      </c>
      <c r="H831">
        <f>F831*VLOOKUP(B831,產品!$A$2:$H$61,7,FALSE)*(1-銷售總表!G831)</f>
        <v>36800</v>
      </c>
      <c r="I831" s="35">
        <f>H831-F831*VLOOKUP(銷售總表!B831,產品!$A$2:$H$61,8,FALSE)</f>
        <v>8800</v>
      </c>
      <c r="J831" s="20">
        <f t="shared" si="12"/>
        <v>0.2391304347826087</v>
      </c>
    </row>
    <row r="832" spans="1:10" x14ac:dyDescent="0.3">
      <c r="A832" s="33">
        <v>831</v>
      </c>
      <c r="B832" s="4">
        <v>16</v>
      </c>
      <c r="C832" s="15">
        <v>264</v>
      </c>
      <c r="D832" s="16">
        <v>5</v>
      </c>
      <c r="E832" s="22">
        <v>43990</v>
      </c>
      <c r="F832" s="17">
        <v>10</v>
      </c>
      <c r="G832" s="18">
        <v>0.17</v>
      </c>
      <c r="H832">
        <f>F832*VLOOKUP(B832,產品!$A$2:$H$61,7,FALSE)*(1-銷售總表!G832)</f>
        <v>14940</v>
      </c>
      <c r="I832" s="35">
        <f>H832-F832*VLOOKUP(銷售總表!B832,產品!$A$2:$H$61,8,FALSE)</f>
        <v>7740</v>
      </c>
      <c r="J832" s="20">
        <f t="shared" si="12"/>
        <v>0.51807228915662651</v>
      </c>
    </row>
    <row r="833" spans="1:10" x14ac:dyDescent="0.3">
      <c r="A833" s="33">
        <v>832</v>
      </c>
      <c r="B833" s="4">
        <v>1</v>
      </c>
      <c r="C833" s="15">
        <v>266</v>
      </c>
      <c r="D833" s="16">
        <v>9</v>
      </c>
      <c r="E833" s="22">
        <v>43990</v>
      </c>
      <c r="F833" s="17">
        <v>12</v>
      </c>
      <c r="G833" s="18">
        <v>0.13</v>
      </c>
      <c r="H833">
        <f>F833*VLOOKUP(B833,產品!$A$2:$H$61,7,FALSE)*(1-銷售總表!G833)</f>
        <v>10440</v>
      </c>
      <c r="I833" s="35">
        <f>H833-F833*VLOOKUP(銷售總表!B833,產品!$A$2:$H$61,8,FALSE)</f>
        <v>5640</v>
      </c>
      <c r="J833" s="20">
        <f t="shared" si="12"/>
        <v>0.54022988505747127</v>
      </c>
    </row>
    <row r="834" spans="1:10" x14ac:dyDescent="0.3">
      <c r="A834" s="33">
        <v>833</v>
      </c>
      <c r="B834" s="4">
        <v>46</v>
      </c>
      <c r="C834" s="15">
        <v>8</v>
      </c>
      <c r="D834" s="16">
        <v>10</v>
      </c>
      <c r="E834" s="22">
        <v>43991</v>
      </c>
      <c r="F834" s="17">
        <v>9</v>
      </c>
      <c r="G834" s="18">
        <v>0.16</v>
      </c>
      <c r="H834">
        <f>F834*VLOOKUP(B834,產品!$A$2:$H$61,7,FALSE)*(1-銷售總表!G834)</f>
        <v>128520</v>
      </c>
      <c r="I834" s="35">
        <f>H834-F834*VLOOKUP(銷售總表!B834,產品!$A$2:$H$61,8,FALSE)</f>
        <v>29070</v>
      </c>
      <c r="J834" s="20">
        <f t="shared" si="12"/>
        <v>0.22619047619047619</v>
      </c>
    </row>
    <row r="835" spans="1:10" x14ac:dyDescent="0.3">
      <c r="A835" s="33">
        <v>834</v>
      </c>
      <c r="B835" s="4">
        <v>50</v>
      </c>
      <c r="C835" s="15">
        <v>122</v>
      </c>
      <c r="D835" s="16">
        <v>7</v>
      </c>
      <c r="E835" s="22">
        <v>43991</v>
      </c>
      <c r="F835" s="17">
        <v>15</v>
      </c>
      <c r="G835" s="18">
        <v>0.2</v>
      </c>
      <c r="H835">
        <f>F835*VLOOKUP(B835,產品!$A$2:$H$61,7,FALSE)*(1-銷售總表!G835)</f>
        <v>216000</v>
      </c>
      <c r="I835" s="35">
        <f>H835-F835*VLOOKUP(銷售總表!B835,產品!$A$2:$H$61,8,FALSE)</f>
        <v>27000</v>
      </c>
      <c r="J835" s="20">
        <f t="shared" ref="J835:J898" si="13">I835/H835</f>
        <v>0.125</v>
      </c>
    </row>
    <row r="836" spans="1:10" x14ac:dyDescent="0.3">
      <c r="A836" s="33">
        <v>835</v>
      </c>
      <c r="B836" s="4">
        <v>29</v>
      </c>
      <c r="C836" s="15">
        <v>4</v>
      </c>
      <c r="D836" s="16">
        <v>1</v>
      </c>
      <c r="E836" s="22">
        <v>43991</v>
      </c>
      <c r="F836" s="17">
        <v>6</v>
      </c>
      <c r="G836" s="18">
        <v>0.06</v>
      </c>
      <c r="H836">
        <f>F836*VLOOKUP(B836,產品!$A$2:$H$61,7,FALSE)*(1-銷售總表!G836)</f>
        <v>33840</v>
      </c>
      <c r="I836" s="35">
        <f>H836-F836*VLOOKUP(銷售總表!B836,產品!$A$2:$H$61,8,FALSE)</f>
        <v>12240</v>
      </c>
      <c r="J836" s="20">
        <f t="shared" si="13"/>
        <v>0.36170212765957449</v>
      </c>
    </row>
    <row r="837" spans="1:10" x14ac:dyDescent="0.3">
      <c r="A837" s="33">
        <v>836</v>
      </c>
      <c r="B837" s="4">
        <v>25</v>
      </c>
      <c r="C837" s="15">
        <v>262</v>
      </c>
      <c r="D837" s="16">
        <v>5</v>
      </c>
      <c r="E837" s="22">
        <v>43992</v>
      </c>
      <c r="F837" s="17">
        <v>16</v>
      </c>
      <c r="G837" s="18">
        <v>0.05</v>
      </c>
      <c r="H837">
        <f>F837*VLOOKUP(B837,產品!$A$2:$H$61,7,FALSE)*(1-銷售總表!G837)</f>
        <v>91200</v>
      </c>
      <c r="I837" s="35">
        <f>H837-F837*VLOOKUP(銷售總表!B837,產品!$A$2:$H$61,8,FALSE)</f>
        <v>33600</v>
      </c>
      <c r="J837" s="20">
        <f t="shared" si="13"/>
        <v>0.36842105263157893</v>
      </c>
    </row>
    <row r="838" spans="1:10" x14ac:dyDescent="0.3">
      <c r="A838" s="33">
        <v>837</v>
      </c>
      <c r="B838" s="4">
        <v>2</v>
      </c>
      <c r="C838" s="15">
        <v>260</v>
      </c>
      <c r="D838" s="16">
        <v>10</v>
      </c>
      <c r="E838" s="22">
        <v>43992</v>
      </c>
      <c r="F838" s="19">
        <v>50</v>
      </c>
      <c r="G838" s="18">
        <v>0.11</v>
      </c>
      <c r="H838">
        <f>F838*VLOOKUP(B838,產品!$A$2:$H$61,7,FALSE)*(1-銷售總表!G838)</f>
        <v>44500</v>
      </c>
      <c r="I838" s="35">
        <f>H838-F838*VLOOKUP(銷售總表!B838,產品!$A$2:$H$61,8,FALSE)</f>
        <v>24500</v>
      </c>
      <c r="J838" s="20">
        <f t="shared" si="13"/>
        <v>0.550561797752809</v>
      </c>
    </row>
    <row r="839" spans="1:10" x14ac:dyDescent="0.3">
      <c r="A839" s="33">
        <v>838</v>
      </c>
      <c r="B839" s="4">
        <v>12</v>
      </c>
      <c r="C839" s="15">
        <v>272</v>
      </c>
      <c r="D839" s="16">
        <v>7</v>
      </c>
      <c r="E839" s="22">
        <v>43992</v>
      </c>
      <c r="F839" s="19">
        <v>50</v>
      </c>
      <c r="G839" s="18">
        <v>0.14000000000000001</v>
      </c>
      <c r="H839">
        <f>F839*VLOOKUP(B839,產品!$A$2:$H$61,7,FALSE)*(1-銷售總表!G839)</f>
        <v>43000</v>
      </c>
      <c r="I839" s="35">
        <f>H839-F839*VLOOKUP(銷售總表!B839,產品!$A$2:$H$61,8,FALSE)</f>
        <v>23000</v>
      </c>
      <c r="J839" s="20">
        <f t="shared" si="13"/>
        <v>0.53488372093023251</v>
      </c>
    </row>
    <row r="840" spans="1:10" x14ac:dyDescent="0.3">
      <c r="A840" s="33">
        <v>839</v>
      </c>
      <c r="B840" s="4">
        <v>12</v>
      </c>
      <c r="C840" s="15">
        <v>259</v>
      </c>
      <c r="D840" s="16">
        <v>1</v>
      </c>
      <c r="E840" s="22">
        <v>43992</v>
      </c>
      <c r="F840" s="17">
        <v>20</v>
      </c>
      <c r="G840" s="18">
        <v>0.09</v>
      </c>
      <c r="H840">
        <f>F840*VLOOKUP(B840,產品!$A$2:$H$61,7,FALSE)*(1-銷售總表!G840)</f>
        <v>18200</v>
      </c>
      <c r="I840" s="35">
        <f>H840-F840*VLOOKUP(銷售總表!B840,產品!$A$2:$H$61,8,FALSE)</f>
        <v>10200</v>
      </c>
      <c r="J840" s="20">
        <f t="shared" si="13"/>
        <v>0.56043956043956045</v>
      </c>
    </row>
    <row r="841" spans="1:10" x14ac:dyDescent="0.3">
      <c r="A841" s="33">
        <v>840</v>
      </c>
      <c r="B841" s="4">
        <v>8</v>
      </c>
      <c r="C841" s="15">
        <v>288</v>
      </c>
      <c r="D841" s="16">
        <v>10</v>
      </c>
      <c r="E841" s="22">
        <v>43992</v>
      </c>
      <c r="F841" s="17">
        <v>20</v>
      </c>
      <c r="G841" s="18">
        <v>0.17</v>
      </c>
      <c r="H841">
        <f>F841*VLOOKUP(B841,產品!$A$2:$H$61,7,FALSE)*(1-銷售總表!G841)</f>
        <v>16600</v>
      </c>
      <c r="I841" s="35">
        <f>H841-F841*VLOOKUP(銷售總表!B841,產品!$A$2:$H$61,8,FALSE)</f>
        <v>8600</v>
      </c>
      <c r="J841" s="20">
        <f t="shared" si="13"/>
        <v>0.51807228915662651</v>
      </c>
    </row>
    <row r="842" spans="1:10" x14ac:dyDescent="0.3">
      <c r="A842" s="33">
        <v>841</v>
      </c>
      <c r="B842" s="4">
        <v>31</v>
      </c>
      <c r="C842" s="15">
        <v>10</v>
      </c>
      <c r="D842" s="16">
        <v>4</v>
      </c>
      <c r="E842" s="22">
        <v>43993</v>
      </c>
      <c r="F842" s="19">
        <v>30</v>
      </c>
      <c r="G842" s="18">
        <v>0.14000000000000001</v>
      </c>
      <c r="H842">
        <f>F842*VLOOKUP(B842,產品!$A$2:$H$61,7,FALSE)*(1-銷售總表!G842)</f>
        <v>180600</v>
      </c>
      <c r="I842" s="35">
        <f>H842-F842*VLOOKUP(銷售總表!B842,產品!$A$2:$H$61,8,FALSE)</f>
        <v>54600</v>
      </c>
      <c r="J842" s="20">
        <f t="shared" si="13"/>
        <v>0.30232558139534882</v>
      </c>
    </row>
    <row r="843" spans="1:10" x14ac:dyDescent="0.3">
      <c r="A843" s="33">
        <v>842</v>
      </c>
      <c r="B843" s="4">
        <v>55</v>
      </c>
      <c r="C843" s="15">
        <v>257</v>
      </c>
      <c r="D843" s="16">
        <v>4</v>
      </c>
      <c r="E843" s="22">
        <v>43993</v>
      </c>
      <c r="F843" s="17">
        <v>8</v>
      </c>
      <c r="G843" s="18">
        <v>0.12</v>
      </c>
      <c r="H843">
        <f>F843*VLOOKUP(B843,產品!$A$2:$H$61,7,FALSE)*(1-銷售總表!G843)</f>
        <v>140800</v>
      </c>
      <c r="I843" s="35">
        <f>H843-F843*VLOOKUP(銷售總表!B843,產品!$A$2:$H$61,8,FALSE)</f>
        <v>28800</v>
      </c>
      <c r="J843" s="20">
        <f t="shared" si="13"/>
        <v>0.20454545454545456</v>
      </c>
    </row>
    <row r="844" spans="1:10" x14ac:dyDescent="0.3">
      <c r="A844" s="33">
        <v>843</v>
      </c>
      <c r="B844" s="4">
        <v>19</v>
      </c>
      <c r="C844" s="15">
        <v>268</v>
      </c>
      <c r="D844" s="16">
        <v>5</v>
      </c>
      <c r="E844" s="22">
        <v>43993</v>
      </c>
      <c r="F844" s="17">
        <v>30</v>
      </c>
      <c r="G844" s="18">
        <v>0.17</v>
      </c>
      <c r="H844">
        <f>F844*VLOOKUP(B844,產品!$A$2:$H$61,7,FALSE)*(1-銷售總表!G844)</f>
        <v>44820</v>
      </c>
      <c r="I844" s="35">
        <f>H844-F844*VLOOKUP(銷售總表!B844,產品!$A$2:$H$61,8,FALSE)</f>
        <v>23220</v>
      </c>
      <c r="J844" s="20">
        <f t="shared" si="13"/>
        <v>0.51807228915662651</v>
      </c>
    </row>
    <row r="845" spans="1:10" x14ac:dyDescent="0.3">
      <c r="A845" s="33">
        <v>844</v>
      </c>
      <c r="B845" s="4">
        <v>1</v>
      </c>
      <c r="C845" s="15">
        <v>281</v>
      </c>
      <c r="D845" s="16">
        <v>8</v>
      </c>
      <c r="E845" s="22">
        <v>43993</v>
      </c>
      <c r="F845" s="17">
        <v>30</v>
      </c>
      <c r="G845" s="18">
        <v>0.17</v>
      </c>
      <c r="H845">
        <f>F845*VLOOKUP(B845,產品!$A$2:$H$61,7,FALSE)*(1-銷售總表!G845)</f>
        <v>24900</v>
      </c>
      <c r="I845" s="35">
        <f>H845-F845*VLOOKUP(銷售總表!B845,產品!$A$2:$H$61,8,FALSE)</f>
        <v>12900</v>
      </c>
      <c r="J845" s="20">
        <f t="shared" si="13"/>
        <v>0.51807228915662651</v>
      </c>
    </row>
    <row r="846" spans="1:10" x14ac:dyDescent="0.3">
      <c r="A846" s="33">
        <v>845</v>
      </c>
      <c r="B846" s="4">
        <v>46</v>
      </c>
      <c r="C846" s="15">
        <v>260</v>
      </c>
      <c r="D846" s="16">
        <v>9</v>
      </c>
      <c r="E846" s="22">
        <v>43993</v>
      </c>
      <c r="F846" s="17">
        <v>1</v>
      </c>
      <c r="G846" s="18">
        <v>0.05</v>
      </c>
      <c r="H846">
        <f>F846*VLOOKUP(B846,產品!$A$2:$H$61,7,FALSE)*(1-銷售總表!G846)</f>
        <v>16150</v>
      </c>
      <c r="I846" s="35">
        <f>H846-F846*VLOOKUP(銷售總表!B846,產品!$A$2:$H$61,8,FALSE)</f>
        <v>5100</v>
      </c>
      <c r="J846" s="20">
        <f t="shared" si="13"/>
        <v>0.31578947368421051</v>
      </c>
    </row>
    <row r="847" spans="1:10" x14ac:dyDescent="0.3">
      <c r="A847" s="33">
        <v>846</v>
      </c>
      <c r="B847" s="4">
        <v>2</v>
      </c>
      <c r="C847" s="15">
        <v>5</v>
      </c>
      <c r="D847" s="16">
        <v>9</v>
      </c>
      <c r="E847" s="22">
        <v>43994</v>
      </c>
      <c r="F847" s="17">
        <v>200</v>
      </c>
      <c r="G847" s="18">
        <v>0.15</v>
      </c>
      <c r="H847">
        <f>F847*VLOOKUP(B847,產品!$A$2:$H$61,7,FALSE)*(1-銷售總表!G847)</f>
        <v>170000</v>
      </c>
      <c r="I847" s="35">
        <f>H847-F847*VLOOKUP(銷售總表!B847,產品!$A$2:$H$61,8,FALSE)</f>
        <v>90000</v>
      </c>
      <c r="J847" s="20">
        <f t="shared" si="13"/>
        <v>0.52941176470588236</v>
      </c>
    </row>
    <row r="848" spans="1:10" x14ac:dyDescent="0.3">
      <c r="A848" s="33">
        <v>847</v>
      </c>
      <c r="B848" s="4">
        <v>11</v>
      </c>
      <c r="C848" s="15">
        <v>259</v>
      </c>
      <c r="D848" s="16">
        <v>1</v>
      </c>
      <c r="E848" s="22">
        <v>43994</v>
      </c>
      <c r="F848" s="19">
        <v>70</v>
      </c>
      <c r="G848" s="18">
        <v>0.09</v>
      </c>
      <c r="H848">
        <f>F848*VLOOKUP(B848,產品!$A$2:$H$61,7,FALSE)*(1-銷售總表!G848)</f>
        <v>63700</v>
      </c>
      <c r="I848" s="35">
        <f>H848-F848*VLOOKUP(銷售總表!B848,產品!$A$2:$H$61,8,FALSE)</f>
        <v>35700</v>
      </c>
      <c r="J848" s="20">
        <f t="shared" si="13"/>
        <v>0.56043956043956045</v>
      </c>
    </row>
    <row r="849" spans="1:10" x14ac:dyDescent="0.3">
      <c r="A849" s="33">
        <v>848</v>
      </c>
      <c r="B849" s="4">
        <v>47</v>
      </c>
      <c r="C849" s="15">
        <v>7</v>
      </c>
      <c r="D849" s="16">
        <v>10</v>
      </c>
      <c r="E849" s="22">
        <v>43994</v>
      </c>
      <c r="F849" s="17">
        <v>10</v>
      </c>
      <c r="G849" s="18">
        <v>0.19</v>
      </c>
      <c r="H849">
        <f>F849*VLOOKUP(B849,產品!$A$2:$H$61,7,FALSE)*(1-銷售總表!G849)</f>
        <v>162000</v>
      </c>
      <c r="I849" s="35">
        <f>H849-F849*VLOOKUP(銷售總表!B849,產品!$A$2:$H$61,8,FALSE)</f>
        <v>32000</v>
      </c>
      <c r="J849" s="20">
        <f t="shared" si="13"/>
        <v>0.19753086419753085</v>
      </c>
    </row>
    <row r="850" spans="1:10" x14ac:dyDescent="0.3">
      <c r="A850" s="33">
        <v>849</v>
      </c>
      <c r="B850" s="4">
        <v>42</v>
      </c>
      <c r="C850" s="15">
        <v>114</v>
      </c>
      <c r="D850" s="16">
        <v>9</v>
      </c>
      <c r="E850" s="22">
        <v>43994</v>
      </c>
      <c r="F850" s="17">
        <v>3</v>
      </c>
      <c r="G850" s="18">
        <v>0.1</v>
      </c>
      <c r="H850">
        <f>F850*VLOOKUP(B850,產品!$A$2:$H$61,7,FALSE)*(1-銷售總表!G850)</f>
        <v>40500</v>
      </c>
      <c r="I850" s="35">
        <f>H850-F850*VLOOKUP(銷售總表!B850,產品!$A$2:$H$61,8,FALSE)</f>
        <v>11250</v>
      </c>
      <c r="J850" s="20">
        <f t="shared" si="13"/>
        <v>0.27777777777777779</v>
      </c>
    </row>
    <row r="851" spans="1:10" x14ac:dyDescent="0.3">
      <c r="A851" s="33">
        <v>850</v>
      </c>
      <c r="B851" s="4">
        <v>48</v>
      </c>
      <c r="C851" s="15">
        <v>11</v>
      </c>
      <c r="D851" s="16">
        <v>6</v>
      </c>
      <c r="E851" s="22">
        <v>43994</v>
      </c>
      <c r="F851" s="17">
        <v>1</v>
      </c>
      <c r="G851" s="18">
        <v>7.0000000000000007E-2</v>
      </c>
      <c r="H851">
        <f>F851*VLOOKUP(B851,產品!$A$2:$H$61,7,FALSE)*(1-銷售總表!G851)</f>
        <v>20460</v>
      </c>
      <c r="I851" s="35">
        <f>H851-F851*VLOOKUP(銷售總表!B851,產品!$A$2:$H$61,8,FALSE)</f>
        <v>6160</v>
      </c>
      <c r="J851" s="20">
        <f t="shared" si="13"/>
        <v>0.30107526881720431</v>
      </c>
    </row>
    <row r="852" spans="1:10" x14ac:dyDescent="0.3">
      <c r="A852" s="33">
        <v>851</v>
      </c>
      <c r="B852" s="4">
        <v>58</v>
      </c>
      <c r="C852" s="15">
        <v>5</v>
      </c>
      <c r="D852" s="16">
        <v>3</v>
      </c>
      <c r="E852" s="22">
        <v>43995</v>
      </c>
      <c r="F852" s="17">
        <v>12</v>
      </c>
      <c r="G852" s="18">
        <v>0.08</v>
      </c>
      <c r="H852">
        <f>F852*VLOOKUP(B852,產品!$A$2:$H$61,7,FALSE)*(1-銷售總表!G852)</f>
        <v>231840</v>
      </c>
      <c r="I852" s="35">
        <f>H852-F852*VLOOKUP(銷售總表!B852,產品!$A$2:$H$61,8,FALSE)</f>
        <v>55440.000000000029</v>
      </c>
      <c r="J852" s="20">
        <f t="shared" si="13"/>
        <v>0.23913043478260881</v>
      </c>
    </row>
    <row r="853" spans="1:10" x14ac:dyDescent="0.3">
      <c r="A853" s="33">
        <v>852</v>
      </c>
      <c r="B853" s="4">
        <v>33</v>
      </c>
      <c r="C853" s="15">
        <v>261</v>
      </c>
      <c r="D853" s="16">
        <v>8</v>
      </c>
      <c r="E853" s="22">
        <v>43995</v>
      </c>
      <c r="F853" s="17">
        <v>10</v>
      </c>
      <c r="G853" s="18">
        <v>0.15</v>
      </c>
      <c r="H853">
        <f>F853*VLOOKUP(B853,產品!$A$2:$H$61,7,FALSE)*(1-銷售總表!G853)</f>
        <v>63750</v>
      </c>
      <c r="I853" s="35">
        <f>H853-F853*VLOOKUP(銷售總表!B853,產品!$A$2:$H$61,8,FALSE)</f>
        <v>18750</v>
      </c>
      <c r="J853" s="20">
        <f t="shared" si="13"/>
        <v>0.29411764705882354</v>
      </c>
    </row>
    <row r="854" spans="1:10" x14ac:dyDescent="0.3">
      <c r="A854" s="33">
        <v>853</v>
      </c>
      <c r="B854" s="4">
        <v>7</v>
      </c>
      <c r="C854" s="15">
        <v>265</v>
      </c>
      <c r="D854" s="16">
        <v>7</v>
      </c>
      <c r="E854" s="22">
        <v>43995</v>
      </c>
      <c r="F854" s="17">
        <v>40</v>
      </c>
      <c r="G854" s="18">
        <v>0.17</v>
      </c>
      <c r="H854">
        <f>F854*VLOOKUP(B854,產品!$A$2:$H$61,7,FALSE)*(1-銷售總表!G854)</f>
        <v>33200</v>
      </c>
      <c r="I854" s="35">
        <f>H854-F854*VLOOKUP(銷售總表!B854,產品!$A$2:$H$61,8,FALSE)</f>
        <v>17200</v>
      </c>
      <c r="J854" s="20">
        <f t="shared" si="13"/>
        <v>0.51807228915662651</v>
      </c>
    </row>
    <row r="855" spans="1:10" x14ac:dyDescent="0.3">
      <c r="A855" s="33">
        <v>854</v>
      </c>
      <c r="B855" s="4">
        <v>26</v>
      </c>
      <c r="C855" s="15">
        <v>261</v>
      </c>
      <c r="D855" s="16">
        <v>1</v>
      </c>
      <c r="E855" s="22">
        <v>43995</v>
      </c>
      <c r="F855" s="19">
        <v>3</v>
      </c>
      <c r="G855" s="18">
        <v>0.1</v>
      </c>
      <c r="H855">
        <f>F855*VLOOKUP(B855,產品!$A$2:$H$61,7,FALSE)*(1-銷售總表!G855)</f>
        <v>17550</v>
      </c>
      <c r="I855" s="35">
        <f>H855-F855*VLOOKUP(銷售總表!B855,產品!$A$2:$H$61,8,FALSE)</f>
        <v>5850</v>
      </c>
      <c r="J855" s="20">
        <f t="shared" si="13"/>
        <v>0.33333333333333331</v>
      </c>
    </row>
    <row r="856" spans="1:10" x14ac:dyDescent="0.3">
      <c r="A856" s="33">
        <v>855</v>
      </c>
      <c r="B856" s="4">
        <v>27</v>
      </c>
      <c r="C856" s="15">
        <v>259</v>
      </c>
      <c r="D856" s="16">
        <v>6</v>
      </c>
      <c r="E856" s="22">
        <v>43995</v>
      </c>
      <c r="F856" s="19">
        <v>3</v>
      </c>
      <c r="G856" s="18">
        <v>0.14000000000000001</v>
      </c>
      <c r="H856">
        <f>F856*VLOOKUP(B856,產品!$A$2:$H$61,7,FALSE)*(1-銷售總表!G856)</f>
        <v>18060</v>
      </c>
      <c r="I856" s="35">
        <f>H856-F856*VLOOKUP(銷售總表!B856,產品!$A$2:$H$61,8,FALSE)</f>
        <v>5460</v>
      </c>
      <c r="J856" s="20">
        <f t="shared" si="13"/>
        <v>0.30232558139534882</v>
      </c>
    </row>
    <row r="857" spans="1:10" x14ac:dyDescent="0.3">
      <c r="A857" s="33">
        <v>856</v>
      </c>
      <c r="B857" s="4">
        <v>58</v>
      </c>
      <c r="C857" s="15">
        <v>116</v>
      </c>
      <c r="D857" s="16">
        <v>6</v>
      </c>
      <c r="E857" s="22">
        <v>43995</v>
      </c>
      <c r="F857" s="17">
        <v>2</v>
      </c>
      <c r="G857" s="18">
        <v>0.18</v>
      </c>
      <c r="H857">
        <f>F857*VLOOKUP(B857,產品!$A$2:$H$61,7,FALSE)*(1-銷售總表!G857)</f>
        <v>34440</v>
      </c>
      <c r="I857" s="35">
        <f>H857-F857*VLOOKUP(銷售總表!B857,產品!$A$2:$H$61,8,FALSE)</f>
        <v>5040.0000000000036</v>
      </c>
      <c r="J857" s="20">
        <f t="shared" si="13"/>
        <v>0.14634146341463425</v>
      </c>
    </row>
    <row r="858" spans="1:10" x14ac:dyDescent="0.3">
      <c r="A858" s="33">
        <v>857</v>
      </c>
      <c r="B858" s="4">
        <v>23</v>
      </c>
      <c r="C858" s="15">
        <v>11</v>
      </c>
      <c r="D858" s="16">
        <v>5</v>
      </c>
      <c r="E858" s="22">
        <v>43996</v>
      </c>
      <c r="F858" s="17">
        <v>60</v>
      </c>
      <c r="G858" s="18">
        <v>0.17</v>
      </c>
      <c r="H858">
        <f>F858*VLOOKUP(B858,產品!$A$2:$H$61,7,FALSE)*(1-銷售總表!G858)</f>
        <v>89640</v>
      </c>
      <c r="I858" s="35">
        <f>H858-F858*VLOOKUP(銷售總表!B858,產品!$A$2:$H$61,8,FALSE)</f>
        <v>46440</v>
      </c>
      <c r="J858" s="20">
        <f t="shared" si="13"/>
        <v>0.51807228915662651</v>
      </c>
    </row>
    <row r="859" spans="1:10" x14ac:dyDescent="0.3">
      <c r="A859" s="33">
        <v>858</v>
      </c>
      <c r="B859" s="4">
        <v>30</v>
      </c>
      <c r="C859" s="15">
        <v>139</v>
      </c>
      <c r="D859" s="16">
        <v>4</v>
      </c>
      <c r="E859" s="22">
        <v>43996</v>
      </c>
      <c r="F859" s="17">
        <v>7</v>
      </c>
      <c r="G859" s="18">
        <v>0.1</v>
      </c>
      <c r="H859">
        <f>F859*VLOOKUP(B859,產品!$A$2:$H$61,7,FALSE)*(1-銷售總表!G859)</f>
        <v>40950</v>
      </c>
      <c r="I859" s="35">
        <f>H859-F859*VLOOKUP(銷售總表!B859,產品!$A$2:$H$61,8,FALSE)</f>
        <v>13650</v>
      </c>
      <c r="J859" s="20">
        <f t="shared" si="13"/>
        <v>0.33333333333333331</v>
      </c>
    </row>
    <row r="860" spans="1:10" x14ac:dyDescent="0.3">
      <c r="A860" s="33">
        <v>859</v>
      </c>
      <c r="B860" s="4">
        <v>38</v>
      </c>
      <c r="C860" s="15">
        <v>134</v>
      </c>
      <c r="D860" s="16">
        <v>1</v>
      </c>
      <c r="E860" s="22">
        <v>43996</v>
      </c>
      <c r="F860" s="17">
        <v>5</v>
      </c>
      <c r="G860" s="18">
        <v>0.2</v>
      </c>
      <c r="H860">
        <f>F860*VLOOKUP(B860,產品!$A$2:$H$61,7,FALSE)*(1-銷售總表!G860)</f>
        <v>60000</v>
      </c>
      <c r="I860" s="35">
        <f>H860-F860*VLOOKUP(銷售總表!B860,產品!$A$2:$H$61,8,FALSE)</f>
        <v>11250</v>
      </c>
      <c r="J860" s="20">
        <f t="shared" si="13"/>
        <v>0.1875</v>
      </c>
    </row>
    <row r="861" spans="1:10" x14ac:dyDescent="0.3">
      <c r="A861" s="33">
        <v>860</v>
      </c>
      <c r="B861" s="4">
        <v>42</v>
      </c>
      <c r="C861" s="15">
        <v>12</v>
      </c>
      <c r="D861" s="16">
        <v>5</v>
      </c>
      <c r="E861" s="22">
        <v>43997</v>
      </c>
      <c r="F861" s="19">
        <v>9</v>
      </c>
      <c r="G861" s="18">
        <v>0.08</v>
      </c>
      <c r="H861">
        <f>F861*VLOOKUP(B861,產品!$A$2:$H$61,7,FALSE)*(1-銷售總表!G861)</f>
        <v>124200</v>
      </c>
      <c r="I861" s="35">
        <f>H861-F861*VLOOKUP(銷售總表!B861,產品!$A$2:$H$61,8,FALSE)</f>
        <v>36450</v>
      </c>
      <c r="J861" s="20">
        <f t="shared" si="13"/>
        <v>0.29347826086956524</v>
      </c>
    </row>
    <row r="862" spans="1:10" x14ac:dyDescent="0.3">
      <c r="A862" s="33">
        <v>861</v>
      </c>
      <c r="B862" s="4">
        <v>43</v>
      </c>
      <c r="C862" s="15">
        <v>287</v>
      </c>
      <c r="D862" s="16">
        <v>6</v>
      </c>
      <c r="E862" s="22">
        <v>43997</v>
      </c>
      <c r="F862" s="17">
        <v>6</v>
      </c>
      <c r="G862" s="18">
        <v>0.13</v>
      </c>
      <c r="H862">
        <f>F862*VLOOKUP(B862,產品!$A$2:$H$61,7,FALSE)*(1-銷售總表!G862)</f>
        <v>93960</v>
      </c>
      <c r="I862" s="35">
        <f>H862-F862*VLOOKUP(銷售總表!B862,產品!$A$2:$H$61,8,FALSE)</f>
        <v>23760</v>
      </c>
      <c r="J862" s="20">
        <f t="shared" si="13"/>
        <v>0.25287356321839083</v>
      </c>
    </row>
    <row r="863" spans="1:10" x14ac:dyDescent="0.3">
      <c r="A863" s="33">
        <v>862</v>
      </c>
      <c r="B863" s="4">
        <v>20</v>
      </c>
      <c r="C863" s="15">
        <v>279</v>
      </c>
      <c r="D863" s="16">
        <v>5</v>
      </c>
      <c r="E863" s="22">
        <v>43998</v>
      </c>
      <c r="F863" s="17">
        <v>10</v>
      </c>
      <c r="G863" s="18">
        <v>0.09</v>
      </c>
      <c r="H863">
        <f>F863*VLOOKUP(B863,產品!$A$2:$H$61,7,FALSE)*(1-銷售總表!G863)</f>
        <v>16380</v>
      </c>
      <c r="I863" s="35">
        <f>H863-F863*VLOOKUP(銷售總表!B863,產品!$A$2:$H$61,8,FALSE)</f>
        <v>9180</v>
      </c>
      <c r="J863" s="20">
        <f t="shared" si="13"/>
        <v>0.56043956043956045</v>
      </c>
    </row>
    <row r="864" spans="1:10" x14ac:dyDescent="0.3">
      <c r="A864" s="33">
        <v>863</v>
      </c>
      <c r="B864" s="4">
        <v>25</v>
      </c>
      <c r="C864" s="15">
        <v>277</v>
      </c>
      <c r="D864" s="16">
        <v>9</v>
      </c>
      <c r="E864" s="22">
        <v>43998</v>
      </c>
      <c r="F864" s="17">
        <v>3</v>
      </c>
      <c r="G864" s="18">
        <v>0.06</v>
      </c>
      <c r="H864">
        <f>F864*VLOOKUP(B864,產品!$A$2:$H$61,7,FALSE)*(1-銷售總表!G864)</f>
        <v>16920</v>
      </c>
      <c r="I864" s="35">
        <f>H864-F864*VLOOKUP(銷售總表!B864,產品!$A$2:$H$61,8,FALSE)</f>
        <v>6120</v>
      </c>
      <c r="J864" s="20">
        <f t="shared" si="13"/>
        <v>0.36170212765957449</v>
      </c>
    </row>
    <row r="865" spans="1:10" x14ac:dyDescent="0.3">
      <c r="A865" s="33">
        <v>864</v>
      </c>
      <c r="B865" s="4">
        <v>17</v>
      </c>
      <c r="C865" s="15">
        <v>259</v>
      </c>
      <c r="D865" s="16">
        <v>7</v>
      </c>
      <c r="E865" s="22">
        <v>43999</v>
      </c>
      <c r="F865" s="19">
        <v>40</v>
      </c>
      <c r="G865" s="18">
        <v>0.14000000000000001</v>
      </c>
      <c r="H865">
        <f>F865*VLOOKUP(B865,產品!$A$2:$H$61,7,FALSE)*(1-銷售總表!G865)</f>
        <v>61920</v>
      </c>
      <c r="I865" s="35">
        <f>H865-F865*VLOOKUP(銷售總表!B865,產品!$A$2:$H$61,8,FALSE)</f>
        <v>33120</v>
      </c>
      <c r="J865" s="20">
        <f t="shared" si="13"/>
        <v>0.53488372093023251</v>
      </c>
    </row>
    <row r="866" spans="1:10" x14ac:dyDescent="0.3">
      <c r="A866" s="33">
        <v>865</v>
      </c>
      <c r="B866" s="4">
        <v>26</v>
      </c>
      <c r="C866" s="15">
        <v>1</v>
      </c>
      <c r="D866" s="16">
        <v>2</v>
      </c>
      <c r="E866" s="22">
        <v>43999</v>
      </c>
      <c r="F866" s="19">
        <v>10</v>
      </c>
      <c r="G866" s="18">
        <v>0.14000000000000001</v>
      </c>
      <c r="H866">
        <f>F866*VLOOKUP(B866,產品!$A$2:$H$61,7,FALSE)*(1-銷售總表!G866)</f>
        <v>55900</v>
      </c>
      <c r="I866" s="35">
        <f>H866-F866*VLOOKUP(銷售總表!B866,產品!$A$2:$H$61,8,FALSE)</f>
        <v>16900</v>
      </c>
      <c r="J866" s="20">
        <f t="shared" si="13"/>
        <v>0.30232558139534882</v>
      </c>
    </row>
    <row r="867" spans="1:10" x14ac:dyDescent="0.3">
      <c r="A867" s="33">
        <v>866</v>
      </c>
      <c r="B867" s="4">
        <v>54</v>
      </c>
      <c r="C867" s="15">
        <v>140</v>
      </c>
      <c r="D867" s="16">
        <v>5</v>
      </c>
      <c r="E867" s="22">
        <v>43999</v>
      </c>
      <c r="F867" s="17">
        <v>4</v>
      </c>
      <c r="G867" s="18">
        <v>0.1</v>
      </c>
      <c r="H867">
        <f>F867*VLOOKUP(B867,產品!$A$2:$H$61,7,FALSE)*(1-銷售總表!G867)</f>
        <v>64800</v>
      </c>
      <c r="I867" s="35">
        <f>H867-F867*VLOOKUP(銷售總表!B867,產品!$A$2:$H$61,8,FALSE)</f>
        <v>14400</v>
      </c>
      <c r="J867" s="20">
        <f t="shared" si="13"/>
        <v>0.22222222222222221</v>
      </c>
    </row>
    <row r="868" spans="1:10" x14ac:dyDescent="0.3">
      <c r="A868" s="33">
        <v>867</v>
      </c>
      <c r="B868" s="4">
        <v>24</v>
      </c>
      <c r="C868" s="15">
        <v>135</v>
      </c>
      <c r="D868" s="16">
        <v>2</v>
      </c>
      <c r="E868" s="22">
        <v>43999</v>
      </c>
      <c r="F868" s="17">
        <v>10</v>
      </c>
      <c r="G868" s="18">
        <v>0.05</v>
      </c>
      <c r="H868">
        <f>F868*VLOOKUP(B868,產品!$A$2:$H$61,7,FALSE)*(1-銷售總表!G868)</f>
        <v>17100</v>
      </c>
      <c r="I868" s="35">
        <f>H868-F868*VLOOKUP(銷售總表!B868,產品!$A$2:$H$61,8,FALSE)</f>
        <v>9900</v>
      </c>
      <c r="J868" s="20">
        <f t="shared" si="13"/>
        <v>0.57894736842105265</v>
      </c>
    </row>
    <row r="869" spans="1:10" x14ac:dyDescent="0.3">
      <c r="A869" s="33">
        <v>868</v>
      </c>
      <c r="B869" s="4">
        <v>1</v>
      </c>
      <c r="C869" s="15">
        <v>276</v>
      </c>
      <c r="D869" s="16">
        <v>8</v>
      </c>
      <c r="E869" s="22">
        <v>44000</v>
      </c>
      <c r="F869" s="17">
        <v>16</v>
      </c>
      <c r="G869" s="18">
        <v>0.08</v>
      </c>
      <c r="H869">
        <f>F869*VLOOKUP(B869,產品!$A$2:$H$61,7,FALSE)*(1-銷售總表!G869)</f>
        <v>14720</v>
      </c>
      <c r="I869" s="35">
        <f>H869-F869*VLOOKUP(銷售總表!B869,產品!$A$2:$H$61,8,FALSE)</f>
        <v>8320</v>
      </c>
      <c r="J869" s="20">
        <f t="shared" si="13"/>
        <v>0.56521739130434778</v>
      </c>
    </row>
    <row r="870" spans="1:10" x14ac:dyDescent="0.3">
      <c r="A870" s="33">
        <v>869</v>
      </c>
      <c r="B870" s="4">
        <v>29</v>
      </c>
      <c r="C870" s="15">
        <v>266</v>
      </c>
      <c r="D870" s="16">
        <v>5</v>
      </c>
      <c r="E870" s="22">
        <v>44000</v>
      </c>
      <c r="F870" s="17">
        <v>5</v>
      </c>
      <c r="G870" s="18">
        <v>0.2</v>
      </c>
      <c r="H870">
        <f>F870*VLOOKUP(B870,產品!$A$2:$H$61,7,FALSE)*(1-銷售總表!G870)</f>
        <v>24000</v>
      </c>
      <c r="I870" s="35">
        <f>H870-F870*VLOOKUP(銷售總表!B870,產品!$A$2:$H$61,8,FALSE)</f>
        <v>6000</v>
      </c>
      <c r="J870" s="20">
        <f t="shared" si="13"/>
        <v>0.25</v>
      </c>
    </row>
    <row r="871" spans="1:10" x14ac:dyDescent="0.3">
      <c r="A871" s="33">
        <v>870</v>
      </c>
      <c r="B871" s="4">
        <v>52</v>
      </c>
      <c r="C871" s="15">
        <v>122</v>
      </c>
      <c r="D871" s="16">
        <v>1</v>
      </c>
      <c r="E871" s="22">
        <v>44001</v>
      </c>
      <c r="F871" s="17">
        <v>7</v>
      </c>
      <c r="G871" s="18">
        <v>0.14000000000000001</v>
      </c>
      <c r="H871">
        <f>F871*VLOOKUP(B871,產品!$A$2:$H$61,7,FALSE)*(1-銷售總表!G871)</f>
        <v>132440</v>
      </c>
      <c r="I871" s="35">
        <f>H871-F871*VLOOKUP(銷售總表!B871,產品!$A$2:$H$61,8,FALSE)</f>
        <v>24640.000000000015</v>
      </c>
      <c r="J871" s="20">
        <f t="shared" si="13"/>
        <v>0.18604651162790709</v>
      </c>
    </row>
    <row r="872" spans="1:10" x14ac:dyDescent="0.3">
      <c r="A872" s="33">
        <v>871</v>
      </c>
      <c r="B872" s="4">
        <v>15</v>
      </c>
      <c r="C872" s="15">
        <v>262</v>
      </c>
      <c r="D872" s="16">
        <v>4</v>
      </c>
      <c r="E872" s="22">
        <v>44001</v>
      </c>
      <c r="F872" s="17">
        <v>20</v>
      </c>
      <c r="G872" s="18">
        <v>0.11</v>
      </c>
      <c r="H872">
        <f>F872*VLOOKUP(B872,產品!$A$2:$H$61,7,FALSE)*(1-銷售總表!G872)</f>
        <v>32040</v>
      </c>
      <c r="I872" s="35">
        <f>H872-F872*VLOOKUP(銷售總表!B872,產品!$A$2:$H$61,8,FALSE)</f>
        <v>17640</v>
      </c>
      <c r="J872" s="20">
        <f t="shared" si="13"/>
        <v>0.550561797752809</v>
      </c>
    </row>
    <row r="873" spans="1:10" x14ac:dyDescent="0.3">
      <c r="A873" s="33">
        <v>872</v>
      </c>
      <c r="B873" s="4">
        <v>35</v>
      </c>
      <c r="C873" s="15">
        <v>257</v>
      </c>
      <c r="D873" s="16">
        <v>9</v>
      </c>
      <c r="E873" s="22">
        <v>44001</v>
      </c>
      <c r="F873" s="17">
        <v>3</v>
      </c>
      <c r="G873" s="18">
        <v>0.15</v>
      </c>
      <c r="H873">
        <f>F873*VLOOKUP(B873,產品!$A$2:$H$61,7,FALSE)*(1-銷售總表!G873)</f>
        <v>21675</v>
      </c>
      <c r="I873" s="35">
        <f>H873-F873*VLOOKUP(銷售總表!B873,產品!$A$2:$H$61,8,FALSE)</f>
        <v>6375</v>
      </c>
      <c r="J873" s="20">
        <f t="shared" si="13"/>
        <v>0.29411764705882354</v>
      </c>
    </row>
    <row r="874" spans="1:10" x14ac:dyDescent="0.3">
      <c r="A874" s="33">
        <v>873</v>
      </c>
      <c r="B874" s="4">
        <v>31</v>
      </c>
      <c r="C874" s="15">
        <v>5</v>
      </c>
      <c r="D874" s="16">
        <v>8</v>
      </c>
      <c r="E874" s="22">
        <v>44001</v>
      </c>
      <c r="F874" s="17">
        <v>3</v>
      </c>
      <c r="G874" s="18">
        <v>0.14000000000000001</v>
      </c>
      <c r="H874">
        <f>F874*VLOOKUP(B874,產品!$A$2:$H$61,7,FALSE)*(1-銷售總表!G874)</f>
        <v>18060</v>
      </c>
      <c r="I874" s="35">
        <f>H874-F874*VLOOKUP(銷售總表!B874,產品!$A$2:$H$61,8,FALSE)</f>
        <v>5460</v>
      </c>
      <c r="J874" s="20">
        <f t="shared" si="13"/>
        <v>0.30232558139534882</v>
      </c>
    </row>
    <row r="875" spans="1:10" x14ac:dyDescent="0.3">
      <c r="A875" s="33">
        <v>874</v>
      </c>
      <c r="B875" s="4">
        <v>35</v>
      </c>
      <c r="C875" s="15">
        <v>10</v>
      </c>
      <c r="D875" s="16">
        <v>6</v>
      </c>
      <c r="E875" s="22">
        <v>44001</v>
      </c>
      <c r="F875" s="17">
        <v>2</v>
      </c>
      <c r="G875" s="18">
        <v>0.08</v>
      </c>
      <c r="H875">
        <f>F875*VLOOKUP(B875,產品!$A$2:$H$61,7,FALSE)*(1-銷售總表!G875)</f>
        <v>15640</v>
      </c>
      <c r="I875" s="35">
        <f>H875-F875*VLOOKUP(銷售總表!B875,產品!$A$2:$H$61,8,FALSE)</f>
        <v>5440</v>
      </c>
      <c r="J875" s="20">
        <f t="shared" si="13"/>
        <v>0.34782608695652173</v>
      </c>
    </row>
    <row r="876" spans="1:10" x14ac:dyDescent="0.3">
      <c r="A876" s="33">
        <v>875</v>
      </c>
      <c r="B876" s="4">
        <v>42</v>
      </c>
      <c r="C876" s="15">
        <v>270</v>
      </c>
      <c r="D876" s="16">
        <v>8</v>
      </c>
      <c r="E876" s="22">
        <v>44001</v>
      </c>
      <c r="F876" s="17">
        <v>2</v>
      </c>
      <c r="G876" s="18">
        <v>0.19</v>
      </c>
      <c r="H876">
        <f>F876*VLOOKUP(B876,產品!$A$2:$H$61,7,FALSE)*(1-銷售總表!G876)</f>
        <v>24300</v>
      </c>
      <c r="I876" s="35">
        <f>H876-F876*VLOOKUP(銷售總表!B876,產品!$A$2:$H$61,8,FALSE)</f>
        <v>4800</v>
      </c>
      <c r="J876" s="20">
        <f t="shared" si="13"/>
        <v>0.19753086419753085</v>
      </c>
    </row>
    <row r="877" spans="1:10" x14ac:dyDescent="0.3">
      <c r="A877" s="33">
        <v>876</v>
      </c>
      <c r="B877" s="4">
        <v>15</v>
      </c>
      <c r="C877" s="15">
        <v>276</v>
      </c>
      <c r="D877" s="16">
        <v>8</v>
      </c>
      <c r="E877" s="22">
        <v>44002</v>
      </c>
      <c r="F877" s="17">
        <v>150</v>
      </c>
      <c r="G877" s="18">
        <v>0.15</v>
      </c>
      <c r="H877">
        <f>F877*VLOOKUP(B877,產品!$A$2:$H$61,7,FALSE)*(1-銷售總表!G877)</f>
        <v>229500</v>
      </c>
      <c r="I877" s="35">
        <f>H877-F877*VLOOKUP(銷售總表!B877,產品!$A$2:$H$61,8,FALSE)</f>
        <v>121500</v>
      </c>
      <c r="J877" s="20">
        <f t="shared" si="13"/>
        <v>0.52941176470588236</v>
      </c>
    </row>
    <row r="878" spans="1:10" x14ac:dyDescent="0.3">
      <c r="A878" s="33">
        <v>877</v>
      </c>
      <c r="B878" s="4">
        <v>55</v>
      </c>
      <c r="C878" s="15">
        <v>286</v>
      </c>
      <c r="D878" s="16">
        <v>3</v>
      </c>
      <c r="E878" s="22">
        <v>44002</v>
      </c>
      <c r="F878" s="17">
        <v>15</v>
      </c>
      <c r="G878" s="18">
        <v>0.18</v>
      </c>
      <c r="H878">
        <f>F878*VLOOKUP(B878,產品!$A$2:$H$61,7,FALSE)*(1-銷售總表!G878)</f>
        <v>246000.00000000003</v>
      </c>
      <c r="I878" s="35">
        <f>H878-F878*VLOOKUP(銷售總表!B878,產品!$A$2:$H$61,8,FALSE)</f>
        <v>36000.000000000029</v>
      </c>
      <c r="J878" s="20">
        <f t="shared" si="13"/>
        <v>0.14634146341463425</v>
      </c>
    </row>
    <row r="879" spans="1:10" x14ac:dyDescent="0.3">
      <c r="A879" s="33">
        <v>878</v>
      </c>
      <c r="B879" s="4">
        <v>24</v>
      </c>
      <c r="C879" s="15">
        <v>289</v>
      </c>
      <c r="D879" s="16">
        <v>6</v>
      </c>
      <c r="E879" s="22">
        <v>44002</v>
      </c>
      <c r="F879" s="19">
        <v>40</v>
      </c>
      <c r="G879" s="18">
        <v>0.19</v>
      </c>
      <c r="H879">
        <f>F879*VLOOKUP(B879,產品!$A$2:$H$61,7,FALSE)*(1-銷售總表!G879)</f>
        <v>58320.000000000007</v>
      </c>
      <c r="I879" s="35">
        <f>H879-F879*VLOOKUP(銷售總表!B879,產品!$A$2:$H$61,8,FALSE)</f>
        <v>29520.000000000007</v>
      </c>
      <c r="J879" s="20">
        <f t="shared" si="13"/>
        <v>0.50617283950617287</v>
      </c>
    </row>
    <row r="880" spans="1:10" x14ac:dyDescent="0.3">
      <c r="A880" s="33">
        <v>879</v>
      </c>
      <c r="B880" s="4">
        <v>9</v>
      </c>
      <c r="C880" s="15">
        <v>2</v>
      </c>
      <c r="D880" s="16">
        <v>10</v>
      </c>
      <c r="E880" s="22">
        <v>44002</v>
      </c>
      <c r="F880" s="17">
        <v>20</v>
      </c>
      <c r="G880" s="18">
        <v>0.12</v>
      </c>
      <c r="H880">
        <f>F880*VLOOKUP(B880,產品!$A$2:$H$61,7,FALSE)*(1-銷售總表!G880)</f>
        <v>17600</v>
      </c>
      <c r="I880" s="35">
        <f>H880-F880*VLOOKUP(銷售總表!B880,產品!$A$2:$H$61,8,FALSE)</f>
        <v>9600</v>
      </c>
      <c r="J880" s="20">
        <f t="shared" si="13"/>
        <v>0.54545454545454541</v>
      </c>
    </row>
    <row r="881" spans="1:10" x14ac:dyDescent="0.3">
      <c r="A881" s="33">
        <v>880</v>
      </c>
      <c r="B881" s="4">
        <v>36</v>
      </c>
      <c r="C881" s="15">
        <v>285</v>
      </c>
      <c r="D881" s="16">
        <v>4</v>
      </c>
      <c r="E881" s="22">
        <v>44002</v>
      </c>
      <c r="F881" s="17">
        <v>1</v>
      </c>
      <c r="G881" s="18">
        <v>0.1</v>
      </c>
      <c r="H881">
        <f>F881*VLOOKUP(B881,產品!$A$2:$H$61,7,FALSE)*(1-銷售總表!G881)</f>
        <v>8100</v>
      </c>
      <c r="I881" s="35">
        <f>H881-F881*VLOOKUP(銷售總表!B881,產品!$A$2:$H$61,8,FALSE)</f>
        <v>2700</v>
      </c>
      <c r="J881" s="20">
        <f t="shared" si="13"/>
        <v>0.33333333333333331</v>
      </c>
    </row>
    <row r="882" spans="1:10" x14ac:dyDescent="0.3">
      <c r="A882" s="33">
        <v>881</v>
      </c>
      <c r="B882" s="4">
        <v>59</v>
      </c>
      <c r="C882" s="15">
        <v>272</v>
      </c>
      <c r="D882" s="16">
        <v>9</v>
      </c>
      <c r="E882" s="22">
        <v>44003</v>
      </c>
      <c r="F882" s="17">
        <v>10</v>
      </c>
      <c r="G882" s="18">
        <v>0.06</v>
      </c>
      <c r="H882">
        <f>F882*VLOOKUP(B882,產品!$A$2:$H$61,7,FALSE)*(1-銷售總表!G882)</f>
        <v>225600</v>
      </c>
      <c r="I882" s="35">
        <f>H882-F882*VLOOKUP(銷售總表!B882,產品!$A$2:$H$61,8,FALSE)</f>
        <v>57600</v>
      </c>
      <c r="J882" s="20">
        <f t="shared" si="13"/>
        <v>0.25531914893617019</v>
      </c>
    </row>
    <row r="883" spans="1:10" x14ac:dyDescent="0.3">
      <c r="A883" s="33">
        <v>882</v>
      </c>
      <c r="B883" s="4">
        <v>3</v>
      </c>
      <c r="C883" s="15">
        <v>266</v>
      </c>
      <c r="D883" s="16">
        <v>10</v>
      </c>
      <c r="E883" s="22">
        <v>44003</v>
      </c>
      <c r="F883" s="17">
        <v>30</v>
      </c>
      <c r="G883" s="18">
        <v>0.05</v>
      </c>
      <c r="H883">
        <f>F883*VLOOKUP(B883,產品!$A$2:$H$61,7,FALSE)*(1-銷售總表!G883)</f>
        <v>28500</v>
      </c>
      <c r="I883" s="35">
        <f>H883-F883*VLOOKUP(銷售總表!B883,產品!$A$2:$H$61,8,FALSE)</f>
        <v>16500</v>
      </c>
      <c r="J883" s="20">
        <f t="shared" si="13"/>
        <v>0.57894736842105265</v>
      </c>
    </row>
    <row r="884" spans="1:10" x14ac:dyDescent="0.3">
      <c r="A884" s="33">
        <v>883</v>
      </c>
      <c r="B884" s="4">
        <v>57</v>
      </c>
      <c r="C884" s="15">
        <v>281</v>
      </c>
      <c r="D884" s="16">
        <v>3</v>
      </c>
      <c r="E884" s="22">
        <v>44003</v>
      </c>
      <c r="F884" s="19">
        <v>3</v>
      </c>
      <c r="G884" s="18">
        <v>0.18</v>
      </c>
      <c r="H884">
        <f>F884*VLOOKUP(B884,產品!$A$2:$H$61,7,FALSE)*(1-銷售總表!G884)</f>
        <v>44280</v>
      </c>
      <c r="I884" s="35">
        <f>H884-F884*VLOOKUP(銷售總表!B884,產品!$A$2:$H$61,8,FALSE)</f>
        <v>6480</v>
      </c>
      <c r="J884" s="20">
        <f t="shared" si="13"/>
        <v>0.14634146341463414</v>
      </c>
    </row>
    <row r="885" spans="1:10" x14ac:dyDescent="0.3">
      <c r="A885" s="33">
        <v>884</v>
      </c>
      <c r="B885" s="4">
        <v>55</v>
      </c>
      <c r="C885" s="15">
        <v>6</v>
      </c>
      <c r="D885" s="16">
        <v>2</v>
      </c>
      <c r="E885" s="22">
        <v>44003</v>
      </c>
      <c r="F885" s="19">
        <v>2</v>
      </c>
      <c r="G885" s="18">
        <v>0.14000000000000001</v>
      </c>
      <c r="H885">
        <f>F885*VLOOKUP(B885,產品!$A$2:$H$61,7,FALSE)*(1-銷售總表!G885)</f>
        <v>34400</v>
      </c>
      <c r="I885" s="35">
        <f>H885-F885*VLOOKUP(銷售總表!B885,產品!$A$2:$H$61,8,FALSE)</f>
        <v>6400</v>
      </c>
      <c r="J885" s="20">
        <f t="shared" si="13"/>
        <v>0.18604651162790697</v>
      </c>
    </row>
    <row r="886" spans="1:10" x14ac:dyDescent="0.3">
      <c r="A886" s="33">
        <v>885</v>
      </c>
      <c r="B886" s="4">
        <v>60</v>
      </c>
      <c r="C886" s="15">
        <v>289</v>
      </c>
      <c r="D886" s="16">
        <v>2</v>
      </c>
      <c r="E886" s="22">
        <v>44003</v>
      </c>
      <c r="F886" s="17">
        <v>1</v>
      </c>
      <c r="G886" s="18">
        <v>0.12</v>
      </c>
      <c r="H886">
        <f>F886*VLOOKUP(B886,產品!$A$2:$H$61,7,FALSE)*(1-銷售總表!G886)</f>
        <v>22000</v>
      </c>
      <c r="I886" s="35">
        <f>H886-F886*VLOOKUP(銷售總表!B886,產品!$A$2:$H$61,8,FALSE)</f>
        <v>4500</v>
      </c>
      <c r="J886" s="20">
        <f t="shared" si="13"/>
        <v>0.20454545454545456</v>
      </c>
    </row>
    <row r="887" spans="1:10" x14ac:dyDescent="0.3">
      <c r="A887" s="33">
        <v>886</v>
      </c>
      <c r="B887" s="4">
        <v>13</v>
      </c>
      <c r="C887" s="15">
        <v>285</v>
      </c>
      <c r="D887" s="16">
        <v>3</v>
      </c>
      <c r="E887" s="22">
        <v>44004</v>
      </c>
      <c r="F887" s="19">
        <v>21</v>
      </c>
      <c r="G887" s="18">
        <v>0.14000000000000001</v>
      </c>
      <c r="H887">
        <f>F887*VLOOKUP(B887,產品!$A$2:$H$61,7,FALSE)*(1-銷售總表!G887)</f>
        <v>32508</v>
      </c>
      <c r="I887" s="35">
        <f>H887-F887*VLOOKUP(銷售總表!B887,產品!$A$2:$H$61,8,FALSE)</f>
        <v>17388</v>
      </c>
      <c r="J887" s="20">
        <f t="shared" si="13"/>
        <v>0.53488372093023251</v>
      </c>
    </row>
    <row r="888" spans="1:10" x14ac:dyDescent="0.3">
      <c r="A888" s="33">
        <v>887</v>
      </c>
      <c r="B888" s="4">
        <v>23</v>
      </c>
      <c r="C888" s="15">
        <v>126</v>
      </c>
      <c r="D888" s="16">
        <v>5</v>
      </c>
      <c r="E888" s="22">
        <v>44004</v>
      </c>
      <c r="F888" s="17">
        <v>10</v>
      </c>
      <c r="G888" s="18">
        <v>7.0000000000000007E-2</v>
      </c>
      <c r="H888">
        <f>F888*VLOOKUP(B888,產品!$A$2:$H$61,7,FALSE)*(1-銷售總表!G888)</f>
        <v>16740</v>
      </c>
      <c r="I888" s="35">
        <f>H888-F888*VLOOKUP(銷售總表!B888,產品!$A$2:$H$61,8,FALSE)</f>
        <v>9540</v>
      </c>
      <c r="J888" s="20">
        <f t="shared" si="13"/>
        <v>0.56989247311827962</v>
      </c>
    </row>
    <row r="889" spans="1:10" x14ac:dyDescent="0.3">
      <c r="A889" s="33">
        <v>888</v>
      </c>
      <c r="B889" s="4">
        <v>54</v>
      </c>
      <c r="C889" s="15">
        <v>1</v>
      </c>
      <c r="D889" s="16">
        <v>1</v>
      </c>
      <c r="E889" s="22">
        <v>44004</v>
      </c>
      <c r="F889" s="17">
        <v>2</v>
      </c>
      <c r="G889" s="18">
        <v>0.19</v>
      </c>
      <c r="H889">
        <f>F889*VLOOKUP(B889,產品!$A$2:$H$61,7,FALSE)*(1-銷售總表!G889)</f>
        <v>29160.000000000004</v>
      </c>
      <c r="I889" s="35">
        <f>H889-F889*VLOOKUP(銷售總表!B889,產品!$A$2:$H$61,8,FALSE)</f>
        <v>3960.0000000000036</v>
      </c>
      <c r="J889" s="20">
        <f t="shared" si="13"/>
        <v>0.13580246913580257</v>
      </c>
    </row>
    <row r="890" spans="1:10" x14ac:dyDescent="0.3">
      <c r="A890" s="33">
        <v>889</v>
      </c>
      <c r="B890" s="4">
        <v>36</v>
      </c>
      <c r="C890" s="15">
        <v>265</v>
      </c>
      <c r="D890" s="16">
        <v>9</v>
      </c>
      <c r="E890" s="22">
        <v>44004</v>
      </c>
      <c r="F890" s="17">
        <v>1</v>
      </c>
      <c r="G890" s="18">
        <v>0.11</v>
      </c>
      <c r="H890">
        <f>F890*VLOOKUP(B890,產品!$A$2:$H$61,7,FALSE)*(1-銷售總表!G890)</f>
        <v>8010</v>
      </c>
      <c r="I890" s="35">
        <f>H890-F890*VLOOKUP(銷售總表!B890,產品!$A$2:$H$61,8,FALSE)</f>
        <v>2610</v>
      </c>
      <c r="J890" s="20">
        <f t="shared" si="13"/>
        <v>0.3258426966292135</v>
      </c>
    </row>
    <row r="891" spans="1:10" x14ac:dyDescent="0.3">
      <c r="A891" s="33">
        <v>890</v>
      </c>
      <c r="B891" s="4">
        <v>30</v>
      </c>
      <c r="C891" s="15">
        <v>10</v>
      </c>
      <c r="D891" s="16">
        <v>3</v>
      </c>
      <c r="E891" s="22">
        <v>44005</v>
      </c>
      <c r="F891" s="17">
        <v>25</v>
      </c>
      <c r="G891" s="18">
        <v>0.12</v>
      </c>
      <c r="H891">
        <f>F891*VLOOKUP(B891,產品!$A$2:$H$61,7,FALSE)*(1-銷售總表!G891)</f>
        <v>143000</v>
      </c>
      <c r="I891" s="35">
        <f>H891-F891*VLOOKUP(銷售總表!B891,產品!$A$2:$H$61,8,FALSE)</f>
        <v>45500</v>
      </c>
      <c r="J891" s="20">
        <f t="shared" si="13"/>
        <v>0.31818181818181818</v>
      </c>
    </row>
    <row r="892" spans="1:10" x14ac:dyDescent="0.3">
      <c r="A892" s="33">
        <v>891</v>
      </c>
      <c r="B892" s="4">
        <v>1</v>
      </c>
      <c r="C892" s="15">
        <v>7</v>
      </c>
      <c r="D892" s="16">
        <v>4</v>
      </c>
      <c r="E892" s="22">
        <v>44005</v>
      </c>
      <c r="F892" s="19">
        <v>70</v>
      </c>
      <c r="G892" s="18">
        <v>7.0000000000000007E-2</v>
      </c>
      <c r="H892">
        <f>F892*VLOOKUP(B892,產品!$A$2:$H$61,7,FALSE)*(1-銷售總表!G892)</f>
        <v>65099.999999999993</v>
      </c>
      <c r="I892" s="35">
        <f>H892-F892*VLOOKUP(銷售總表!B892,產品!$A$2:$H$61,8,FALSE)</f>
        <v>37099.999999999993</v>
      </c>
      <c r="J892" s="20">
        <f t="shared" si="13"/>
        <v>0.56989247311827951</v>
      </c>
    </row>
    <row r="893" spans="1:10" x14ac:dyDescent="0.3">
      <c r="A893" s="33">
        <v>892</v>
      </c>
      <c r="B893" s="4">
        <v>5</v>
      </c>
      <c r="C893" s="15">
        <v>3</v>
      </c>
      <c r="D893" s="16">
        <v>10</v>
      </c>
      <c r="E893" s="22">
        <v>44005</v>
      </c>
      <c r="F893" s="19">
        <v>40</v>
      </c>
      <c r="G893" s="18">
        <v>0.15</v>
      </c>
      <c r="H893">
        <f>F893*VLOOKUP(B893,產品!$A$2:$H$61,7,FALSE)*(1-銷售總表!G893)</f>
        <v>34000</v>
      </c>
      <c r="I893" s="35">
        <f>H893-F893*VLOOKUP(銷售總表!B893,產品!$A$2:$H$61,8,FALSE)</f>
        <v>18000</v>
      </c>
      <c r="J893" s="20">
        <f t="shared" si="13"/>
        <v>0.52941176470588236</v>
      </c>
    </row>
    <row r="894" spans="1:10" x14ac:dyDescent="0.3">
      <c r="A894" s="33">
        <v>893</v>
      </c>
      <c r="B894" s="4">
        <v>37</v>
      </c>
      <c r="C894" s="15">
        <v>294</v>
      </c>
      <c r="D894" s="16">
        <v>3</v>
      </c>
      <c r="E894" s="22">
        <v>44005</v>
      </c>
      <c r="F894" s="17">
        <v>6</v>
      </c>
      <c r="G894" s="18">
        <v>0.18</v>
      </c>
      <c r="H894">
        <f>F894*VLOOKUP(B894,產品!$A$2:$H$61,7,FALSE)*(1-銷售總表!G894)</f>
        <v>59040.000000000007</v>
      </c>
      <c r="I894" s="35">
        <f>H894-F894*VLOOKUP(銷售總表!B894,產品!$A$2:$H$61,8,FALSE)</f>
        <v>12240.000000000007</v>
      </c>
      <c r="J894" s="20">
        <f t="shared" si="13"/>
        <v>0.20731707317073181</v>
      </c>
    </row>
    <row r="895" spans="1:10" x14ac:dyDescent="0.3">
      <c r="A895" s="33">
        <v>894</v>
      </c>
      <c r="B895" s="4">
        <v>60</v>
      </c>
      <c r="C895" s="15">
        <v>286</v>
      </c>
      <c r="D895" s="16">
        <v>9</v>
      </c>
      <c r="E895" s="22">
        <v>44005</v>
      </c>
      <c r="F895" s="17">
        <v>2</v>
      </c>
      <c r="G895" s="18">
        <v>0.12</v>
      </c>
      <c r="H895">
        <f>F895*VLOOKUP(B895,產品!$A$2:$H$61,7,FALSE)*(1-銷售總表!G895)</f>
        <v>44000</v>
      </c>
      <c r="I895" s="35">
        <f>H895-F895*VLOOKUP(銷售總表!B895,產品!$A$2:$H$61,8,FALSE)</f>
        <v>9000</v>
      </c>
      <c r="J895" s="20">
        <f t="shared" si="13"/>
        <v>0.20454545454545456</v>
      </c>
    </row>
    <row r="896" spans="1:10" x14ac:dyDescent="0.3">
      <c r="A896" s="33">
        <v>895</v>
      </c>
      <c r="B896" s="4">
        <v>59</v>
      </c>
      <c r="C896" s="15">
        <v>117</v>
      </c>
      <c r="D896" s="16">
        <v>1</v>
      </c>
      <c r="E896" s="22">
        <v>44006</v>
      </c>
      <c r="F896" s="17">
        <v>10</v>
      </c>
      <c r="G896" s="18">
        <v>0.1</v>
      </c>
      <c r="H896">
        <f>F896*VLOOKUP(B896,產品!$A$2:$H$61,7,FALSE)*(1-銷售總表!G896)</f>
        <v>216000</v>
      </c>
      <c r="I896" s="35">
        <f>H896-F896*VLOOKUP(銷售總表!B896,產品!$A$2:$H$61,8,FALSE)</f>
        <v>48000</v>
      </c>
      <c r="J896" s="20">
        <f t="shared" si="13"/>
        <v>0.22222222222222221</v>
      </c>
    </row>
    <row r="897" spans="1:10" x14ac:dyDescent="0.3">
      <c r="A897" s="33">
        <v>896</v>
      </c>
      <c r="B897" s="4">
        <v>59</v>
      </c>
      <c r="C897" s="15">
        <v>4</v>
      </c>
      <c r="D897" s="16">
        <v>1</v>
      </c>
      <c r="E897" s="22">
        <v>44006</v>
      </c>
      <c r="F897" s="19">
        <v>7</v>
      </c>
      <c r="G897" s="18">
        <v>0.12</v>
      </c>
      <c r="H897">
        <f>F897*VLOOKUP(B897,產品!$A$2:$H$61,7,FALSE)*(1-銷售總表!G897)</f>
        <v>147840</v>
      </c>
      <c r="I897" s="35">
        <f>H897-F897*VLOOKUP(銷售總表!B897,產品!$A$2:$H$61,8,FALSE)</f>
        <v>30240</v>
      </c>
      <c r="J897" s="20">
        <f t="shared" si="13"/>
        <v>0.20454545454545456</v>
      </c>
    </row>
    <row r="898" spans="1:10" x14ac:dyDescent="0.3">
      <c r="A898" s="33">
        <v>897</v>
      </c>
      <c r="B898" s="4">
        <v>12</v>
      </c>
      <c r="C898" s="15">
        <v>9</v>
      </c>
      <c r="D898" s="16">
        <v>3</v>
      </c>
      <c r="E898" s="22">
        <v>44006</v>
      </c>
      <c r="F898" s="17">
        <v>50</v>
      </c>
      <c r="G898" s="18">
        <v>0.05</v>
      </c>
      <c r="H898">
        <f>F898*VLOOKUP(B898,產品!$A$2:$H$61,7,FALSE)*(1-銷售總表!G898)</f>
        <v>47500</v>
      </c>
      <c r="I898" s="35">
        <f>H898-F898*VLOOKUP(銷售總表!B898,產品!$A$2:$H$61,8,FALSE)</f>
        <v>27500</v>
      </c>
      <c r="J898" s="20">
        <f t="shared" si="13"/>
        <v>0.57894736842105265</v>
      </c>
    </row>
    <row r="899" spans="1:10" x14ac:dyDescent="0.3">
      <c r="A899" s="33">
        <v>898</v>
      </c>
      <c r="B899" s="4">
        <v>53</v>
      </c>
      <c r="C899" s="15">
        <v>113</v>
      </c>
      <c r="D899" s="16">
        <v>1</v>
      </c>
      <c r="E899" s="22">
        <v>44006</v>
      </c>
      <c r="F899" s="17">
        <v>6</v>
      </c>
      <c r="G899" s="18">
        <v>0.14000000000000001</v>
      </c>
      <c r="H899">
        <f>F899*VLOOKUP(B899,產品!$A$2:$H$61,7,FALSE)*(1-銷售總表!G899)</f>
        <v>77400</v>
      </c>
      <c r="I899" s="35">
        <f>H899-F899*VLOOKUP(銷售總表!B899,產品!$A$2:$H$61,8,FALSE)</f>
        <v>14400</v>
      </c>
      <c r="J899" s="20">
        <f t="shared" ref="J899:J962" si="14">I899/H899</f>
        <v>0.18604651162790697</v>
      </c>
    </row>
    <row r="900" spans="1:10" x14ac:dyDescent="0.3">
      <c r="A900" s="33">
        <v>899</v>
      </c>
      <c r="B900" s="4">
        <v>42</v>
      </c>
      <c r="C900" s="15">
        <v>271</v>
      </c>
      <c r="D900" s="16">
        <v>1</v>
      </c>
      <c r="E900" s="22">
        <v>44006</v>
      </c>
      <c r="F900" s="19">
        <v>5</v>
      </c>
      <c r="G900" s="18">
        <v>0.19</v>
      </c>
      <c r="H900">
        <f>F900*VLOOKUP(B900,產品!$A$2:$H$61,7,FALSE)*(1-銷售總表!G900)</f>
        <v>60750.000000000007</v>
      </c>
      <c r="I900" s="35">
        <f>H900-F900*VLOOKUP(銷售總表!B900,產品!$A$2:$H$61,8,FALSE)</f>
        <v>12000.000000000007</v>
      </c>
      <c r="J900" s="20">
        <f t="shared" si="14"/>
        <v>0.19753086419753096</v>
      </c>
    </row>
    <row r="901" spans="1:10" x14ac:dyDescent="0.3">
      <c r="A901" s="33">
        <v>900</v>
      </c>
      <c r="B901" s="4">
        <v>52</v>
      </c>
      <c r="C901" s="15">
        <v>10</v>
      </c>
      <c r="D901" s="16">
        <v>4</v>
      </c>
      <c r="E901" s="22">
        <v>44006</v>
      </c>
      <c r="F901" s="17">
        <v>1</v>
      </c>
      <c r="G901" s="18">
        <v>0.09</v>
      </c>
      <c r="H901">
        <f>F901*VLOOKUP(B901,產品!$A$2:$H$61,7,FALSE)*(1-銷售總表!G901)</f>
        <v>20020</v>
      </c>
      <c r="I901" s="35">
        <f>H901-F901*VLOOKUP(銷售總表!B901,產品!$A$2:$H$61,8,FALSE)</f>
        <v>4620.0000000000018</v>
      </c>
      <c r="J901" s="20">
        <f t="shared" si="14"/>
        <v>0.23076923076923087</v>
      </c>
    </row>
    <row r="902" spans="1:10" x14ac:dyDescent="0.3">
      <c r="A902" s="33">
        <v>901</v>
      </c>
      <c r="B902" s="4">
        <v>3</v>
      </c>
      <c r="C902" s="15">
        <v>268</v>
      </c>
      <c r="D902" s="16">
        <v>6</v>
      </c>
      <c r="E902" s="22">
        <v>44006</v>
      </c>
      <c r="F902" s="17">
        <v>10</v>
      </c>
      <c r="G902" s="18">
        <v>0.18</v>
      </c>
      <c r="H902">
        <f>F902*VLOOKUP(B902,產品!$A$2:$H$61,7,FALSE)*(1-銷售總表!G902)</f>
        <v>8200</v>
      </c>
      <c r="I902" s="35">
        <f>H902-F902*VLOOKUP(銷售總表!B902,產品!$A$2:$H$61,8,FALSE)</f>
        <v>4200</v>
      </c>
      <c r="J902" s="20">
        <f t="shared" si="14"/>
        <v>0.51219512195121952</v>
      </c>
    </row>
    <row r="903" spans="1:10" x14ac:dyDescent="0.3">
      <c r="A903" s="33">
        <v>902</v>
      </c>
      <c r="B903" s="4">
        <v>58</v>
      </c>
      <c r="C903" s="15">
        <v>257</v>
      </c>
      <c r="D903" s="16">
        <v>2</v>
      </c>
      <c r="E903" s="22">
        <v>44006</v>
      </c>
      <c r="F903" s="17">
        <v>1</v>
      </c>
      <c r="G903" s="18">
        <v>0.15</v>
      </c>
      <c r="H903">
        <f>F903*VLOOKUP(B903,產品!$A$2:$H$61,7,FALSE)*(1-銷售總表!G903)</f>
        <v>17850</v>
      </c>
      <c r="I903" s="35">
        <f>H903-F903*VLOOKUP(銷售總表!B903,產品!$A$2:$H$61,8,FALSE)</f>
        <v>3150.0000000000018</v>
      </c>
      <c r="J903" s="20">
        <f t="shared" si="14"/>
        <v>0.17647058823529421</v>
      </c>
    </row>
    <row r="904" spans="1:10" x14ac:dyDescent="0.3">
      <c r="A904" s="33">
        <v>903</v>
      </c>
      <c r="B904" s="4">
        <v>4</v>
      </c>
      <c r="C904" s="15">
        <v>120</v>
      </c>
      <c r="D904" s="16">
        <v>6</v>
      </c>
      <c r="E904" s="22">
        <v>44007</v>
      </c>
      <c r="F904" s="17">
        <v>200</v>
      </c>
      <c r="G904" s="18">
        <v>0.05</v>
      </c>
      <c r="H904">
        <f>F904*VLOOKUP(B904,產品!$A$2:$H$61,7,FALSE)*(1-銷售總表!G904)</f>
        <v>190000</v>
      </c>
      <c r="I904" s="35">
        <f>H904-F904*VLOOKUP(銷售總表!B904,產品!$A$2:$H$61,8,FALSE)</f>
        <v>110000</v>
      </c>
      <c r="J904" s="20">
        <f t="shared" si="14"/>
        <v>0.57894736842105265</v>
      </c>
    </row>
    <row r="905" spans="1:10" x14ac:dyDescent="0.3">
      <c r="A905" s="33">
        <v>904</v>
      </c>
      <c r="B905" s="4">
        <v>1</v>
      </c>
      <c r="C905" s="15">
        <v>285</v>
      </c>
      <c r="D905" s="16">
        <v>2</v>
      </c>
      <c r="E905" s="22">
        <v>44007</v>
      </c>
      <c r="F905" s="17">
        <v>30</v>
      </c>
      <c r="G905" s="18">
        <v>7.0000000000000007E-2</v>
      </c>
      <c r="H905">
        <f>F905*VLOOKUP(B905,產品!$A$2:$H$61,7,FALSE)*(1-銷售總表!G905)</f>
        <v>27899.999999999996</v>
      </c>
      <c r="I905" s="35">
        <f>H905-F905*VLOOKUP(銷售總表!B905,產品!$A$2:$H$61,8,FALSE)</f>
        <v>15899.999999999996</v>
      </c>
      <c r="J905" s="20">
        <f t="shared" si="14"/>
        <v>0.56989247311827951</v>
      </c>
    </row>
    <row r="906" spans="1:10" x14ac:dyDescent="0.3">
      <c r="A906" s="33">
        <v>905</v>
      </c>
      <c r="B906" s="4">
        <v>54</v>
      </c>
      <c r="C906" s="15">
        <v>123</v>
      </c>
      <c r="D906" s="16">
        <v>6</v>
      </c>
      <c r="E906" s="22">
        <v>44007</v>
      </c>
      <c r="F906" s="17">
        <v>5</v>
      </c>
      <c r="G906" s="18">
        <v>0.19</v>
      </c>
      <c r="H906">
        <f>F906*VLOOKUP(B906,產品!$A$2:$H$61,7,FALSE)*(1-銷售總表!G906)</f>
        <v>72900</v>
      </c>
      <c r="I906" s="35">
        <f>H906-F906*VLOOKUP(銷售總表!B906,產品!$A$2:$H$61,8,FALSE)</f>
        <v>9900</v>
      </c>
      <c r="J906" s="20">
        <f t="shared" si="14"/>
        <v>0.13580246913580246</v>
      </c>
    </row>
    <row r="907" spans="1:10" x14ac:dyDescent="0.3">
      <c r="A907" s="33">
        <v>906</v>
      </c>
      <c r="B907" s="4">
        <v>43</v>
      </c>
      <c r="C907" s="15">
        <v>277</v>
      </c>
      <c r="D907" s="16">
        <v>1</v>
      </c>
      <c r="E907" s="22">
        <v>44007</v>
      </c>
      <c r="F907" s="17">
        <v>2</v>
      </c>
      <c r="G907" s="18">
        <v>0.13</v>
      </c>
      <c r="H907">
        <f>F907*VLOOKUP(B907,產品!$A$2:$H$61,7,FALSE)*(1-銷售總表!G907)</f>
        <v>31320</v>
      </c>
      <c r="I907" s="35">
        <f>H907-F907*VLOOKUP(銷售總表!B907,產品!$A$2:$H$61,8,FALSE)</f>
        <v>7920</v>
      </c>
      <c r="J907" s="20">
        <f t="shared" si="14"/>
        <v>0.25287356321839083</v>
      </c>
    </row>
    <row r="908" spans="1:10" x14ac:dyDescent="0.3">
      <c r="A908" s="33">
        <v>907</v>
      </c>
      <c r="B908" s="4">
        <v>17</v>
      </c>
      <c r="C908" s="15">
        <v>257</v>
      </c>
      <c r="D908" s="16">
        <v>2</v>
      </c>
      <c r="E908" s="22">
        <v>44008</v>
      </c>
      <c r="F908" s="17">
        <v>200</v>
      </c>
      <c r="G908" s="18">
        <v>0.17</v>
      </c>
      <c r="H908">
        <f>F908*VLOOKUP(B908,產品!$A$2:$H$61,7,FALSE)*(1-銷售總表!G908)</f>
        <v>298800</v>
      </c>
      <c r="I908" s="35">
        <f>H908-F908*VLOOKUP(銷售總表!B908,產品!$A$2:$H$61,8,FALSE)</f>
        <v>154800</v>
      </c>
      <c r="J908" s="20">
        <f t="shared" si="14"/>
        <v>0.51807228915662651</v>
      </c>
    </row>
    <row r="909" spans="1:10" x14ac:dyDescent="0.3">
      <c r="A909" s="33">
        <v>908</v>
      </c>
      <c r="B909" s="4">
        <v>13</v>
      </c>
      <c r="C909" s="15">
        <v>7</v>
      </c>
      <c r="D909" s="16">
        <v>2</v>
      </c>
      <c r="E909" s="22">
        <v>44008</v>
      </c>
      <c r="F909" s="19">
        <v>60</v>
      </c>
      <c r="G909" s="18">
        <v>0.11</v>
      </c>
      <c r="H909">
        <f>F909*VLOOKUP(B909,產品!$A$2:$H$61,7,FALSE)*(1-銷售總表!G909)</f>
        <v>96120</v>
      </c>
      <c r="I909" s="35">
        <f>H909-F909*VLOOKUP(銷售總表!B909,產品!$A$2:$H$61,8,FALSE)</f>
        <v>52920</v>
      </c>
      <c r="J909" s="20">
        <f t="shared" si="14"/>
        <v>0.550561797752809</v>
      </c>
    </row>
    <row r="910" spans="1:10" x14ac:dyDescent="0.3">
      <c r="A910" s="33">
        <v>909</v>
      </c>
      <c r="B910" s="4">
        <v>20</v>
      </c>
      <c r="C910" s="15">
        <v>258</v>
      </c>
      <c r="D910" s="16">
        <v>4</v>
      </c>
      <c r="E910" s="22">
        <v>44008</v>
      </c>
      <c r="F910" s="19">
        <v>40</v>
      </c>
      <c r="G910" s="18">
        <v>7.0000000000000007E-2</v>
      </c>
      <c r="H910">
        <f>F910*VLOOKUP(B910,產品!$A$2:$H$61,7,FALSE)*(1-銷售總表!G910)</f>
        <v>66960</v>
      </c>
      <c r="I910" s="35">
        <f>H910-F910*VLOOKUP(銷售總表!B910,產品!$A$2:$H$61,8,FALSE)</f>
        <v>38160</v>
      </c>
      <c r="J910" s="20">
        <f t="shared" si="14"/>
        <v>0.56989247311827962</v>
      </c>
    </row>
    <row r="911" spans="1:10" x14ac:dyDescent="0.3">
      <c r="A911" s="33">
        <v>910</v>
      </c>
      <c r="B911" s="4">
        <v>43</v>
      </c>
      <c r="C911" s="15">
        <v>286</v>
      </c>
      <c r="D911" s="16">
        <v>10</v>
      </c>
      <c r="E911" s="22">
        <v>44008</v>
      </c>
      <c r="F911" s="17">
        <v>4</v>
      </c>
      <c r="G911" s="18">
        <v>0.06</v>
      </c>
      <c r="H911">
        <f>F911*VLOOKUP(B911,產品!$A$2:$H$61,7,FALSE)*(1-銷售總表!G911)</f>
        <v>67680</v>
      </c>
      <c r="I911" s="35">
        <f>H911-F911*VLOOKUP(銷售總表!B911,產品!$A$2:$H$61,8,FALSE)</f>
        <v>20880</v>
      </c>
      <c r="J911" s="20">
        <f t="shared" si="14"/>
        <v>0.30851063829787234</v>
      </c>
    </row>
    <row r="912" spans="1:10" x14ac:dyDescent="0.3">
      <c r="A912" s="33">
        <v>911</v>
      </c>
      <c r="B912" s="4">
        <v>16</v>
      </c>
      <c r="C912" s="15">
        <v>271</v>
      </c>
      <c r="D912" s="16">
        <v>3</v>
      </c>
      <c r="E912" s="22">
        <v>44008</v>
      </c>
      <c r="F912" s="17">
        <v>20</v>
      </c>
      <c r="G912" s="18">
        <v>7.0000000000000007E-2</v>
      </c>
      <c r="H912">
        <f>F912*VLOOKUP(B912,產品!$A$2:$H$61,7,FALSE)*(1-銷售總表!G912)</f>
        <v>33480</v>
      </c>
      <c r="I912" s="35">
        <f>H912-F912*VLOOKUP(銷售總表!B912,產品!$A$2:$H$61,8,FALSE)</f>
        <v>19080</v>
      </c>
      <c r="J912" s="20">
        <f t="shared" si="14"/>
        <v>0.56989247311827962</v>
      </c>
    </row>
    <row r="913" spans="1:10" x14ac:dyDescent="0.3">
      <c r="A913" s="33">
        <v>912</v>
      </c>
      <c r="B913" s="4">
        <v>12</v>
      </c>
      <c r="C913" s="15">
        <v>112</v>
      </c>
      <c r="D913" s="16">
        <v>7</v>
      </c>
      <c r="E913" s="22">
        <v>44008</v>
      </c>
      <c r="F913" s="17">
        <v>20</v>
      </c>
      <c r="G913" s="18">
        <v>0.06</v>
      </c>
      <c r="H913">
        <f>F913*VLOOKUP(B913,產品!$A$2:$H$61,7,FALSE)*(1-銷售總表!G913)</f>
        <v>18800</v>
      </c>
      <c r="I913" s="35">
        <f>H913-F913*VLOOKUP(銷售總表!B913,產品!$A$2:$H$61,8,FALSE)</f>
        <v>10800</v>
      </c>
      <c r="J913" s="20">
        <f t="shared" si="14"/>
        <v>0.57446808510638303</v>
      </c>
    </row>
    <row r="914" spans="1:10" x14ac:dyDescent="0.3">
      <c r="A914" s="33">
        <v>913</v>
      </c>
      <c r="B914" s="4">
        <v>35</v>
      </c>
      <c r="C914" s="15">
        <v>280</v>
      </c>
      <c r="D914" s="16">
        <v>8</v>
      </c>
      <c r="E914" s="22">
        <v>44008</v>
      </c>
      <c r="F914" s="17">
        <v>4</v>
      </c>
      <c r="G914" s="18">
        <v>0.09</v>
      </c>
      <c r="H914">
        <f>F914*VLOOKUP(B914,產品!$A$2:$H$61,7,FALSE)*(1-銷售總表!G914)</f>
        <v>30940</v>
      </c>
      <c r="I914" s="35">
        <f>H914-F914*VLOOKUP(銷售總表!B914,產品!$A$2:$H$61,8,FALSE)</f>
        <v>10540</v>
      </c>
      <c r="J914" s="20">
        <f t="shared" si="14"/>
        <v>0.34065934065934067</v>
      </c>
    </row>
    <row r="915" spans="1:10" x14ac:dyDescent="0.3">
      <c r="A915" s="33">
        <v>914</v>
      </c>
      <c r="B915" s="4">
        <v>32</v>
      </c>
      <c r="C915" s="15">
        <v>273</v>
      </c>
      <c r="D915" s="16">
        <v>4</v>
      </c>
      <c r="E915" s="22">
        <v>44008</v>
      </c>
      <c r="F915" s="17">
        <v>5</v>
      </c>
      <c r="G915" s="18">
        <v>0.18</v>
      </c>
      <c r="H915">
        <f>F915*VLOOKUP(B915,產品!$A$2:$H$61,7,FALSE)*(1-銷售總表!G915)</f>
        <v>30750.000000000004</v>
      </c>
      <c r="I915" s="35">
        <f>H915-F915*VLOOKUP(銷售總表!B915,產品!$A$2:$H$61,8,FALSE)</f>
        <v>8250.0000000000036</v>
      </c>
      <c r="J915" s="20">
        <f t="shared" si="14"/>
        <v>0.26829268292682934</v>
      </c>
    </row>
    <row r="916" spans="1:10" x14ac:dyDescent="0.3">
      <c r="A916" s="33">
        <v>915</v>
      </c>
      <c r="B916" s="4">
        <v>57</v>
      </c>
      <c r="C916" s="15">
        <v>4</v>
      </c>
      <c r="D916" s="16">
        <v>9</v>
      </c>
      <c r="E916" s="22">
        <v>44008</v>
      </c>
      <c r="F916" s="19">
        <v>3</v>
      </c>
      <c r="G916" s="18">
        <v>0.18</v>
      </c>
      <c r="H916">
        <f>F916*VLOOKUP(B916,產品!$A$2:$H$61,7,FALSE)*(1-銷售總表!G916)</f>
        <v>44280</v>
      </c>
      <c r="I916" s="35">
        <f>H916-F916*VLOOKUP(銷售總表!B916,產品!$A$2:$H$61,8,FALSE)</f>
        <v>6480</v>
      </c>
      <c r="J916" s="20">
        <f t="shared" si="14"/>
        <v>0.14634146341463414</v>
      </c>
    </row>
    <row r="917" spans="1:10" x14ac:dyDescent="0.3">
      <c r="A917" s="33">
        <v>916</v>
      </c>
      <c r="B917" s="4">
        <v>18</v>
      </c>
      <c r="C917" s="15">
        <v>121</v>
      </c>
      <c r="D917" s="16">
        <v>4</v>
      </c>
      <c r="E917" s="22">
        <v>44009</v>
      </c>
      <c r="F917" s="17">
        <v>60</v>
      </c>
      <c r="G917" s="18">
        <v>0.08</v>
      </c>
      <c r="H917">
        <f>F917*VLOOKUP(B917,產品!$A$2:$H$61,7,FALSE)*(1-銷售總表!G917)</f>
        <v>99360</v>
      </c>
      <c r="I917" s="35">
        <f>H917-F917*VLOOKUP(銷售總表!B917,產品!$A$2:$H$61,8,FALSE)</f>
        <v>56160</v>
      </c>
      <c r="J917" s="20">
        <f t="shared" si="14"/>
        <v>0.56521739130434778</v>
      </c>
    </row>
    <row r="918" spans="1:10" x14ac:dyDescent="0.3">
      <c r="A918" s="33">
        <v>917</v>
      </c>
      <c r="B918" s="4">
        <v>51</v>
      </c>
      <c r="C918" s="15">
        <v>135</v>
      </c>
      <c r="D918" s="16">
        <v>1</v>
      </c>
      <c r="E918" s="22">
        <v>44009</v>
      </c>
      <c r="F918" s="17">
        <v>2</v>
      </c>
      <c r="G918" s="18">
        <v>0.14000000000000001</v>
      </c>
      <c r="H918">
        <f>F918*VLOOKUP(B918,產品!$A$2:$H$61,7,FALSE)*(1-銷售總表!G918)</f>
        <v>34400</v>
      </c>
      <c r="I918" s="35">
        <f>H918-F918*VLOOKUP(銷售總表!B918,產品!$A$2:$H$61,8,FALSE)</f>
        <v>6400</v>
      </c>
      <c r="J918" s="20">
        <f t="shared" si="14"/>
        <v>0.18604651162790697</v>
      </c>
    </row>
    <row r="919" spans="1:10" x14ac:dyDescent="0.3">
      <c r="A919" s="33">
        <v>918</v>
      </c>
      <c r="B919" s="4">
        <v>50</v>
      </c>
      <c r="C919" s="15">
        <v>12</v>
      </c>
      <c r="D919" s="16">
        <v>6</v>
      </c>
      <c r="E919" s="22">
        <v>44009</v>
      </c>
      <c r="F919" s="17">
        <v>3</v>
      </c>
      <c r="G919" s="18">
        <v>0.19</v>
      </c>
      <c r="H919">
        <f>F919*VLOOKUP(B919,產品!$A$2:$H$61,7,FALSE)*(1-銷售總表!G919)</f>
        <v>43740</v>
      </c>
      <c r="I919" s="35">
        <f>H919-F919*VLOOKUP(銷售總表!B919,產品!$A$2:$H$61,8,FALSE)</f>
        <v>5940</v>
      </c>
      <c r="J919" s="20">
        <f t="shared" si="14"/>
        <v>0.13580246913580246</v>
      </c>
    </row>
    <row r="920" spans="1:10" x14ac:dyDescent="0.3">
      <c r="A920" s="33">
        <v>919</v>
      </c>
      <c r="B920" s="4">
        <v>2</v>
      </c>
      <c r="C920" s="15">
        <v>134</v>
      </c>
      <c r="D920" s="16">
        <v>8</v>
      </c>
      <c r="E920" s="22">
        <v>44010</v>
      </c>
      <c r="F920" s="17">
        <v>60</v>
      </c>
      <c r="G920" s="18">
        <v>0.06</v>
      </c>
      <c r="H920">
        <f>F920*VLOOKUP(B920,產品!$A$2:$H$61,7,FALSE)*(1-銷售總表!G920)</f>
        <v>56400</v>
      </c>
      <c r="I920" s="35">
        <f>H920-F920*VLOOKUP(銷售總表!B920,產品!$A$2:$H$61,8,FALSE)</f>
        <v>32400</v>
      </c>
      <c r="J920" s="20">
        <f t="shared" si="14"/>
        <v>0.57446808510638303</v>
      </c>
    </row>
    <row r="921" spans="1:10" x14ac:dyDescent="0.3">
      <c r="A921" s="33">
        <v>920</v>
      </c>
      <c r="B921" s="4">
        <v>8</v>
      </c>
      <c r="C921" s="15">
        <v>273</v>
      </c>
      <c r="D921" s="16">
        <v>9</v>
      </c>
      <c r="E921" s="22">
        <v>44010</v>
      </c>
      <c r="F921" s="19">
        <v>40</v>
      </c>
      <c r="G921" s="18">
        <v>0.11</v>
      </c>
      <c r="H921">
        <f>F921*VLOOKUP(B921,產品!$A$2:$H$61,7,FALSE)*(1-銷售總表!G921)</f>
        <v>35600</v>
      </c>
      <c r="I921" s="35">
        <f>H921-F921*VLOOKUP(銷售總表!B921,產品!$A$2:$H$61,8,FALSE)</f>
        <v>19600</v>
      </c>
      <c r="J921" s="20">
        <f t="shared" si="14"/>
        <v>0.550561797752809</v>
      </c>
    </row>
    <row r="922" spans="1:10" x14ac:dyDescent="0.3">
      <c r="A922" s="33">
        <v>921</v>
      </c>
      <c r="B922" s="4">
        <v>16</v>
      </c>
      <c r="C922" s="15">
        <v>116</v>
      </c>
      <c r="D922" s="16">
        <v>4</v>
      </c>
      <c r="E922" s="22">
        <v>44011</v>
      </c>
      <c r="F922" s="17">
        <v>150</v>
      </c>
      <c r="G922" s="18">
        <v>0.12</v>
      </c>
      <c r="H922">
        <f>F922*VLOOKUP(B922,產品!$A$2:$H$61,7,FALSE)*(1-銷售總表!G922)</f>
        <v>237600</v>
      </c>
      <c r="I922" s="35">
        <f>H922-F922*VLOOKUP(銷售總表!B922,產品!$A$2:$H$61,8,FALSE)</f>
        <v>129600</v>
      </c>
      <c r="J922" s="20">
        <f t="shared" si="14"/>
        <v>0.54545454545454541</v>
      </c>
    </row>
    <row r="923" spans="1:10" x14ac:dyDescent="0.3">
      <c r="A923" s="33">
        <v>922</v>
      </c>
      <c r="B923" s="4">
        <v>23</v>
      </c>
      <c r="C923" s="15">
        <v>124</v>
      </c>
      <c r="D923" s="16">
        <v>2</v>
      </c>
      <c r="E923" s="22">
        <v>44011</v>
      </c>
      <c r="F923" s="17">
        <v>50</v>
      </c>
      <c r="G923" s="18">
        <v>0.05</v>
      </c>
      <c r="H923">
        <f>F923*VLOOKUP(B923,產品!$A$2:$H$61,7,FALSE)*(1-銷售總表!G923)</f>
        <v>85500</v>
      </c>
      <c r="I923" s="35">
        <f>H923-F923*VLOOKUP(銷售總表!B923,產品!$A$2:$H$61,8,FALSE)</f>
        <v>49500</v>
      </c>
      <c r="J923" s="20">
        <f t="shared" si="14"/>
        <v>0.57894736842105265</v>
      </c>
    </row>
    <row r="924" spans="1:10" x14ac:dyDescent="0.3">
      <c r="A924" s="33">
        <v>923</v>
      </c>
      <c r="B924" s="4">
        <v>20</v>
      </c>
      <c r="C924" s="15">
        <v>273</v>
      </c>
      <c r="D924" s="16">
        <v>10</v>
      </c>
      <c r="E924" s="22">
        <v>44011</v>
      </c>
      <c r="F924" s="17">
        <v>30</v>
      </c>
      <c r="G924" s="18">
        <v>0.18</v>
      </c>
      <c r="H924">
        <f>F924*VLOOKUP(B924,產品!$A$2:$H$61,7,FALSE)*(1-銷售總表!G924)</f>
        <v>44280</v>
      </c>
      <c r="I924" s="35">
        <f>H924-F924*VLOOKUP(銷售總表!B924,產品!$A$2:$H$61,8,FALSE)</f>
        <v>22680</v>
      </c>
      <c r="J924" s="20">
        <f t="shared" si="14"/>
        <v>0.51219512195121952</v>
      </c>
    </row>
    <row r="925" spans="1:10" x14ac:dyDescent="0.3">
      <c r="A925" s="33">
        <v>924</v>
      </c>
      <c r="B925" s="4">
        <v>28</v>
      </c>
      <c r="C925" s="15">
        <v>280</v>
      </c>
      <c r="D925" s="16">
        <v>7</v>
      </c>
      <c r="E925" s="22">
        <v>44011</v>
      </c>
      <c r="F925" s="17">
        <v>2</v>
      </c>
      <c r="G925" s="18">
        <v>7.0000000000000007E-2</v>
      </c>
      <c r="H925">
        <f>F925*VLOOKUP(B925,產品!$A$2:$H$61,7,FALSE)*(1-銷售總表!G925)</f>
        <v>13949.999999999998</v>
      </c>
      <c r="I925" s="35">
        <f>H925-F925*VLOOKUP(銷售總表!B925,產品!$A$2:$H$61,8,FALSE)</f>
        <v>4949.9999999999982</v>
      </c>
      <c r="J925" s="20">
        <f t="shared" si="14"/>
        <v>0.35483870967741926</v>
      </c>
    </row>
    <row r="926" spans="1:10" x14ac:dyDescent="0.3">
      <c r="A926" s="33">
        <v>925</v>
      </c>
      <c r="B926" s="4">
        <v>55</v>
      </c>
      <c r="C926" s="15">
        <v>9</v>
      </c>
      <c r="D926" s="16">
        <v>8</v>
      </c>
      <c r="E926" s="22">
        <v>44011</v>
      </c>
      <c r="F926" s="17">
        <v>1</v>
      </c>
      <c r="G926" s="18">
        <v>7.0000000000000007E-2</v>
      </c>
      <c r="H926">
        <f>F926*VLOOKUP(B926,產品!$A$2:$H$61,7,FALSE)*(1-銷售總表!G926)</f>
        <v>18600</v>
      </c>
      <c r="I926" s="35">
        <f>H926-F926*VLOOKUP(銷售總表!B926,產品!$A$2:$H$61,8,FALSE)</f>
        <v>4600</v>
      </c>
      <c r="J926" s="20">
        <f t="shared" si="14"/>
        <v>0.24731182795698925</v>
      </c>
    </row>
    <row r="927" spans="1:10" x14ac:dyDescent="0.3">
      <c r="A927" s="33">
        <v>926</v>
      </c>
      <c r="B927" s="4">
        <v>47</v>
      </c>
      <c r="C927" s="15">
        <v>259</v>
      </c>
      <c r="D927" s="16">
        <v>10</v>
      </c>
      <c r="E927" s="22">
        <v>44012</v>
      </c>
      <c r="F927" s="17">
        <v>15</v>
      </c>
      <c r="G927" s="18">
        <v>7.0000000000000007E-2</v>
      </c>
      <c r="H927">
        <f>F927*VLOOKUP(B927,產品!$A$2:$H$61,7,FALSE)*(1-銷售總表!G927)</f>
        <v>279000</v>
      </c>
      <c r="I927" s="35">
        <f>H927-F927*VLOOKUP(銷售總表!B927,產品!$A$2:$H$61,8,FALSE)</f>
        <v>84000</v>
      </c>
      <c r="J927" s="20">
        <f t="shared" si="14"/>
        <v>0.30107526881720431</v>
      </c>
    </row>
    <row r="928" spans="1:10" x14ac:dyDescent="0.3">
      <c r="A928" s="33">
        <v>927</v>
      </c>
      <c r="B928" s="4">
        <v>35</v>
      </c>
      <c r="C928" s="15">
        <v>4</v>
      </c>
      <c r="D928" s="16">
        <v>2</v>
      </c>
      <c r="E928" s="22">
        <v>44012</v>
      </c>
      <c r="F928" s="19">
        <v>7</v>
      </c>
      <c r="G928" s="18">
        <v>0.15</v>
      </c>
      <c r="H928">
        <f>F928*VLOOKUP(B928,產品!$A$2:$H$61,7,FALSE)*(1-銷售總表!G928)</f>
        <v>50575</v>
      </c>
      <c r="I928" s="35">
        <f>H928-F928*VLOOKUP(銷售總表!B928,產品!$A$2:$H$61,8,FALSE)</f>
        <v>14875</v>
      </c>
      <c r="J928" s="20">
        <f t="shared" si="14"/>
        <v>0.29411764705882354</v>
      </c>
    </row>
    <row r="929" spans="1:10" x14ac:dyDescent="0.3">
      <c r="A929" s="33">
        <v>928</v>
      </c>
      <c r="B929" s="4">
        <v>5</v>
      </c>
      <c r="C929" s="15">
        <v>121</v>
      </c>
      <c r="D929" s="16">
        <v>7</v>
      </c>
      <c r="E929" s="22">
        <v>44012</v>
      </c>
      <c r="F929" s="17">
        <v>20</v>
      </c>
      <c r="G929" s="18">
        <v>0.17</v>
      </c>
      <c r="H929">
        <f>F929*VLOOKUP(B929,產品!$A$2:$H$61,7,FALSE)*(1-銷售總表!G929)</f>
        <v>16600</v>
      </c>
      <c r="I929" s="35">
        <f>H929-F929*VLOOKUP(銷售總表!B929,產品!$A$2:$H$61,8,FALSE)</f>
        <v>8600</v>
      </c>
      <c r="J929" s="20">
        <f t="shared" si="14"/>
        <v>0.51807228915662651</v>
      </c>
    </row>
    <row r="930" spans="1:10" x14ac:dyDescent="0.3">
      <c r="A930" s="33">
        <v>929</v>
      </c>
      <c r="B930" s="4">
        <v>60</v>
      </c>
      <c r="C930" s="15">
        <v>9</v>
      </c>
      <c r="D930" s="16">
        <v>7</v>
      </c>
      <c r="E930" s="22">
        <v>44012</v>
      </c>
      <c r="F930" s="19">
        <v>2</v>
      </c>
      <c r="G930" s="18">
        <v>0.13</v>
      </c>
      <c r="H930">
        <f>F930*VLOOKUP(B930,產品!$A$2:$H$61,7,FALSE)*(1-銷售總表!G930)</f>
        <v>43500</v>
      </c>
      <c r="I930" s="35">
        <f>H930-F930*VLOOKUP(銷售總表!B930,產品!$A$2:$H$61,8,FALSE)</f>
        <v>8500</v>
      </c>
      <c r="J930" s="20">
        <f t="shared" si="14"/>
        <v>0.19540229885057472</v>
      </c>
    </row>
    <row r="931" spans="1:10" x14ac:dyDescent="0.3">
      <c r="A931" s="33">
        <v>930</v>
      </c>
      <c r="B931" s="4">
        <v>31</v>
      </c>
      <c r="C931" s="15">
        <v>119</v>
      </c>
      <c r="D931" s="16">
        <v>10</v>
      </c>
      <c r="E931" s="22">
        <v>44013</v>
      </c>
      <c r="F931" s="17">
        <v>25</v>
      </c>
      <c r="G931" s="18">
        <v>0.06</v>
      </c>
      <c r="H931">
        <f>F931*VLOOKUP(B931,產品!$A$2:$H$61,7,FALSE)*(1-銷售總表!G931)</f>
        <v>164500</v>
      </c>
      <c r="I931" s="35">
        <f>H931-F931*VLOOKUP(銷售總表!B931,產品!$A$2:$H$61,8,FALSE)</f>
        <v>59500</v>
      </c>
      <c r="J931" s="20">
        <f t="shared" si="14"/>
        <v>0.36170212765957449</v>
      </c>
    </row>
    <row r="932" spans="1:10" x14ac:dyDescent="0.3">
      <c r="A932" s="33">
        <v>931</v>
      </c>
      <c r="B932" s="4">
        <v>7</v>
      </c>
      <c r="C932" s="15">
        <v>7</v>
      </c>
      <c r="D932" s="16">
        <v>6</v>
      </c>
      <c r="E932" s="22">
        <v>44013</v>
      </c>
      <c r="F932" s="17">
        <v>50</v>
      </c>
      <c r="G932" s="18">
        <v>0.12</v>
      </c>
      <c r="H932">
        <f>F932*VLOOKUP(B932,產品!$A$2:$H$61,7,FALSE)*(1-銷售總表!G932)</f>
        <v>44000</v>
      </c>
      <c r="I932" s="35">
        <f>H932-F932*VLOOKUP(銷售總表!B932,產品!$A$2:$H$61,8,FALSE)</f>
        <v>24000</v>
      </c>
      <c r="J932" s="20">
        <f t="shared" si="14"/>
        <v>0.54545454545454541</v>
      </c>
    </row>
    <row r="933" spans="1:10" x14ac:dyDescent="0.3">
      <c r="A933" s="33">
        <v>932</v>
      </c>
      <c r="B933" s="4">
        <v>11</v>
      </c>
      <c r="C933" s="15">
        <v>112</v>
      </c>
      <c r="D933" s="16">
        <v>7</v>
      </c>
      <c r="E933" s="22">
        <v>44013</v>
      </c>
      <c r="F933" s="17">
        <v>50</v>
      </c>
      <c r="G933" s="18">
        <v>0.15</v>
      </c>
      <c r="H933">
        <f>F933*VLOOKUP(B933,產品!$A$2:$H$61,7,FALSE)*(1-銷售總表!G933)</f>
        <v>42500</v>
      </c>
      <c r="I933" s="35">
        <f>H933-F933*VLOOKUP(銷售總表!B933,產品!$A$2:$H$61,8,FALSE)</f>
        <v>22500</v>
      </c>
      <c r="J933" s="20">
        <f t="shared" si="14"/>
        <v>0.52941176470588236</v>
      </c>
    </row>
    <row r="934" spans="1:10" x14ac:dyDescent="0.3">
      <c r="A934" s="33">
        <v>933</v>
      </c>
      <c r="B934" s="4">
        <v>49</v>
      </c>
      <c r="C934" s="15">
        <v>7</v>
      </c>
      <c r="D934" s="16">
        <v>2</v>
      </c>
      <c r="E934" s="22">
        <v>44013</v>
      </c>
      <c r="F934" s="19">
        <v>5</v>
      </c>
      <c r="G934" s="18">
        <v>0.12</v>
      </c>
      <c r="H934">
        <f>F934*VLOOKUP(B934,產品!$A$2:$H$61,7,FALSE)*(1-銷售總表!G934)</f>
        <v>66000</v>
      </c>
      <c r="I934" s="35">
        <f>H934-F934*VLOOKUP(銷售總表!B934,產品!$A$2:$H$61,8,FALSE)</f>
        <v>13500</v>
      </c>
      <c r="J934" s="20">
        <f t="shared" si="14"/>
        <v>0.20454545454545456</v>
      </c>
    </row>
    <row r="935" spans="1:10" x14ac:dyDescent="0.3">
      <c r="A935" s="33">
        <v>934</v>
      </c>
      <c r="B935" s="4">
        <v>52</v>
      </c>
      <c r="C935" s="15">
        <v>124</v>
      </c>
      <c r="D935" s="16">
        <v>4</v>
      </c>
      <c r="E935" s="22">
        <v>44013</v>
      </c>
      <c r="F935" s="19">
        <v>3</v>
      </c>
      <c r="G935" s="18">
        <v>0.13</v>
      </c>
      <c r="H935">
        <f>F935*VLOOKUP(B935,產品!$A$2:$H$61,7,FALSE)*(1-銷售總表!G935)</f>
        <v>57420</v>
      </c>
      <c r="I935" s="35">
        <f>H935-F935*VLOOKUP(銷售總表!B935,產品!$A$2:$H$61,8,FALSE)</f>
        <v>11220.000000000007</v>
      </c>
      <c r="J935" s="20">
        <f t="shared" si="14"/>
        <v>0.19540229885057483</v>
      </c>
    </row>
    <row r="936" spans="1:10" x14ac:dyDescent="0.3">
      <c r="A936" s="33">
        <v>935</v>
      </c>
      <c r="B936" s="4">
        <v>53</v>
      </c>
      <c r="C936" s="15">
        <v>138</v>
      </c>
      <c r="D936" s="16">
        <v>1</v>
      </c>
      <c r="E936" s="22">
        <v>44013</v>
      </c>
      <c r="F936" s="17">
        <v>2</v>
      </c>
      <c r="G936" s="18">
        <v>0.15</v>
      </c>
      <c r="H936">
        <f>F936*VLOOKUP(B936,產品!$A$2:$H$61,7,FALSE)*(1-銷售總表!G936)</f>
        <v>25500</v>
      </c>
      <c r="I936" s="35">
        <f>H936-F936*VLOOKUP(銷售總表!B936,產品!$A$2:$H$61,8,FALSE)</f>
        <v>4500</v>
      </c>
      <c r="J936" s="20">
        <f t="shared" si="14"/>
        <v>0.17647058823529413</v>
      </c>
    </row>
    <row r="937" spans="1:10" x14ac:dyDescent="0.3">
      <c r="A937" s="33">
        <v>936</v>
      </c>
      <c r="B937" s="4">
        <v>9</v>
      </c>
      <c r="C937" s="15">
        <v>286</v>
      </c>
      <c r="D937" s="16">
        <v>3</v>
      </c>
      <c r="E937" s="22">
        <v>44015</v>
      </c>
      <c r="F937" s="17">
        <v>60</v>
      </c>
      <c r="G937" s="18">
        <v>0.06</v>
      </c>
      <c r="H937">
        <f>F937*VLOOKUP(B937,產品!$A$2:$H$61,7,FALSE)*(1-銷售總表!G937)</f>
        <v>56400</v>
      </c>
      <c r="I937" s="35">
        <f>H937-F937*VLOOKUP(銷售總表!B937,產品!$A$2:$H$61,8,FALSE)</f>
        <v>32400</v>
      </c>
      <c r="J937" s="20">
        <f t="shared" si="14"/>
        <v>0.57446808510638303</v>
      </c>
    </row>
    <row r="938" spans="1:10" x14ac:dyDescent="0.3">
      <c r="A938" s="33">
        <v>937</v>
      </c>
      <c r="B938" s="4">
        <v>11</v>
      </c>
      <c r="C938" s="15">
        <v>271</v>
      </c>
      <c r="D938" s="16">
        <v>5</v>
      </c>
      <c r="E938" s="22">
        <v>44015</v>
      </c>
      <c r="F938" s="17">
        <v>10</v>
      </c>
      <c r="G938" s="18">
        <v>0.15</v>
      </c>
      <c r="H938">
        <f>F938*VLOOKUP(B938,產品!$A$2:$H$61,7,FALSE)*(1-銷售總表!G938)</f>
        <v>8500</v>
      </c>
      <c r="I938" s="35">
        <f>H938-F938*VLOOKUP(銷售總表!B938,產品!$A$2:$H$61,8,FALSE)</f>
        <v>4500</v>
      </c>
      <c r="J938" s="20">
        <f t="shared" si="14"/>
        <v>0.52941176470588236</v>
      </c>
    </row>
    <row r="939" spans="1:10" x14ac:dyDescent="0.3">
      <c r="A939" s="33">
        <v>938</v>
      </c>
      <c r="B939" s="4">
        <v>53</v>
      </c>
      <c r="C939" s="15">
        <v>124</v>
      </c>
      <c r="D939" s="16">
        <v>4</v>
      </c>
      <c r="E939" s="22">
        <v>44015</v>
      </c>
      <c r="F939" s="19">
        <v>3</v>
      </c>
      <c r="G939" s="18">
        <v>0.2</v>
      </c>
      <c r="H939">
        <f>F939*VLOOKUP(B939,產品!$A$2:$H$61,7,FALSE)*(1-銷售總表!G939)</f>
        <v>36000</v>
      </c>
      <c r="I939" s="35">
        <f>H939-F939*VLOOKUP(銷售總表!B939,產品!$A$2:$H$61,8,FALSE)</f>
        <v>4500</v>
      </c>
      <c r="J939" s="20">
        <f t="shared" si="14"/>
        <v>0.125</v>
      </c>
    </row>
    <row r="940" spans="1:10" x14ac:dyDescent="0.3">
      <c r="A940" s="33">
        <v>939</v>
      </c>
      <c r="B940" s="4">
        <v>39</v>
      </c>
      <c r="C940" s="15">
        <v>138</v>
      </c>
      <c r="D940" s="16">
        <v>3</v>
      </c>
      <c r="E940" s="22">
        <v>44016</v>
      </c>
      <c r="F940" s="17">
        <v>14</v>
      </c>
      <c r="G940" s="18">
        <v>7.0000000000000007E-2</v>
      </c>
      <c r="H940">
        <f>F940*VLOOKUP(B940,產品!$A$2:$H$61,7,FALSE)*(1-銷售總表!G940)</f>
        <v>234359.99999999997</v>
      </c>
      <c r="I940" s="35">
        <f>H940-F940*VLOOKUP(銷售總表!B940,產品!$A$2:$H$61,8,FALSE)</f>
        <v>70559.999999999971</v>
      </c>
      <c r="J940" s="20">
        <f t="shared" si="14"/>
        <v>0.3010752688172042</v>
      </c>
    </row>
    <row r="941" spans="1:10" x14ac:dyDescent="0.3">
      <c r="A941" s="33">
        <v>940</v>
      </c>
      <c r="B941" s="4">
        <v>13</v>
      </c>
      <c r="C941" s="15">
        <v>288</v>
      </c>
      <c r="D941" s="16">
        <v>3</v>
      </c>
      <c r="E941" s="22">
        <v>44016</v>
      </c>
      <c r="F941" s="17">
        <v>30</v>
      </c>
      <c r="G941" s="18">
        <v>0.14000000000000001</v>
      </c>
      <c r="H941">
        <f>F941*VLOOKUP(B941,產品!$A$2:$H$61,7,FALSE)*(1-銷售總表!G941)</f>
        <v>46440</v>
      </c>
      <c r="I941" s="35">
        <f>H941-F941*VLOOKUP(銷售總表!B941,產品!$A$2:$H$61,8,FALSE)</f>
        <v>24840</v>
      </c>
      <c r="J941" s="20">
        <f t="shared" si="14"/>
        <v>0.53488372093023251</v>
      </c>
    </row>
    <row r="942" spans="1:10" x14ac:dyDescent="0.3">
      <c r="A942" s="33">
        <v>941</v>
      </c>
      <c r="B942" s="4">
        <v>44</v>
      </c>
      <c r="C942" s="15">
        <v>272</v>
      </c>
      <c r="D942" s="16">
        <v>7</v>
      </c>
      <c r="E942" s="22">
        <v>44016</v>
      </c>
      <c r="F942" s="17">
        <v>3</v>
      </c>
      <c r="G942" s="18">
        <v>0.09</v>
      </c>
      <c r="H942">
        <f>F942*VLOOKUP(B942,產品!$A$2:$H$61,7,FALSE)*(1-銷售總表!G942)</f>
        <v>54600</v>
      </c>
      <c r="I942" s="35">
        <f>H942-F942*VLOOKUP(銷售總表!B942,產品!$A$2:$H$61,8,FALSE)</f>
        <v>15600</v>
      </c>
      <c r="J942" s="20">
        <f t="shared" si="14"/>
        <v>0.2857142857142857</v>
      </c>
    </row>
    <row r="943" spans="1:10" x14ac:dyDescent="0.3">
      <c r="A943" s="33">
        <v>942</v>
      </c>
      <c r="B943" s="4">
        <v>50</v>
      </c>
      <c r="C943" s="15">
        <v>115</v>
      </c>
      <c r="D943" s="16">
        <v>5</v>
      </c>
      <c r="E943" s="22">
        <v>44016</v>
      </c>
      <c r="F943" s="17">
        <v>2</v>
      </c>
      <c r="G943" s="18">
        <v>0.15</v>
      </c>
      <c r="H943">
        <f>F943*VLOOKUP(B943,產品!$A$2:$H$61,7,FALSE)*(1-銷售總表!G943)</f>
        <v>30600</v>
      </c>
      <c r="I943" s="35">
        <f>H943-F943*VLOOKUP(銷售總表!B943,產品!$A$2:$H$61,8,FALSE)</f>
        <v>5400</v>
      </c>
      <c r="J943" s="20">
        <f t="shared" si="14"/>
        <v>0.17647058823529413</v>
      </c>
    </row>
    <row r="944" spans="1:10" x14ac:dyDescent="0.3">
      <c r="A944" s="33">
        <v>943</v>
      </c>
      <c r="B944" s="4">
        <v>41</v>
      </c>
      <c r="C944" s="15">
        <v>290</v>
      </c>
      <c r="D944" s="16">
        <v>10</v>
      </c>
      <c r="E944" s="22">
        <v>44017</v>
      </c>
      <c r="F944" s="17">
        <v>25</v>
      </c>
      <c r="G944" s="18">
        <v>0.18</v>
      </c>
      <c r="H944">
        <f>F944*VLOOKUP(B944,產品!$A$2:$H$61,7,FALSE)*(1-銷售總表!G944)</f>
        <v>246000.00000000003</v>
      </c>
      <c r="I944" s="35">
        <f>H944-F944*VLOOKUP(銷售總表!B944,產品!$A$2:$H$61,8,FALSE)</f>
        <v>51000.000000000029</v>
      </c>
      <c r="J944" s="20">
        <f t="shared" si="14"/>
        <v>0.20731707317073181</v>
      </c>
    </row>
    <row r="945" spans="1:10" x14ac:dyDescent="0.3">
      <c r="A945" s="33">
        <v>944</v>
      </c>
      <c r="B945" s="4">
        <v>35</v>
      </c>
      <c r="C945" s="15">
        <v>136</v>
      </c>
      <c r="D945" s="16">
        <v>1</v>
      </c>
      <c r="E945" s="22">
        <v>44017</v>
      </c>
      <c r="F945" s="17">
        <v>6</v>
      </c>
      <c r="G945" s="18">
        <v>7.0000000000000007E-2</v>
      </c>
      <c r="H945">
        <f>F945*VLOOKUP(B945,產品!$A$2:$H$61,7,FALSE)*(1-銷售總表!G945)</f>
        <v>47430</v>
      </c>
      <c r="I945" s="35">
        <f>H945-F945*VLOOKUP(銷售總表!B945,產品!$A$2:$H$61,8,FALSE)</f>
        <v>16830</v>
      </c>
      <c r="J945" s="20">
        <f t="shared" si="14"/>
        <v>0.35483870967741937</v>
      </c>
    </row>
    <row r="946" spans="1:10" x14ac:dyDescent="0.3">
      <c r="A946" s="33">
        <v>945</v>
      </c>
      <c r="B946" s="4">
        <v>44</v>
      </c>
      <c r="C946" s="15">
        <v>288</v>
      </c>
      <c r="D946" s="16">
        <v>7</v>
      </c>
      <c r="E946" s="22">
        <v>44017</v>
      </c>
      <c r="F946" s="17">
        <v>3</v>
      </c>
      <c r="G946" s="18">
        <v>7.0000000000000007E-2</v>
      </c>
      <c r="H946">
        <f>F946*VLOOKUP(B946,產品!$A$2:$H$61,7,FALSE)*(1-銷售總表!G946)</f>
        <v>55799.999999999993</v>
      </c>
      <c r="I946" s="35">
        <f>H946-F946*VLOOKUP(銷售總表!B946,產品!$A$2:$H$61,8,FALSE)</f>
        <v>16799.999999999993</v>
      </c>
      <c r="J946" s="20">
        <f t="shared" si="14"/>
        <v>0.3010752688172042</v>
      </c>
    </row>
    <row r="947" spans="1:10" x14ac:dyDescent="0.3">
      <c r="A947" s="33">
        <v>946</v>
      </c>
      <c r="B947" s="4">
        <v>58</v>
      </c>
      <c r="C947" s="15">
        <v>116</v>
      </c>
      <c r="D947" s="16">
        <v>6</v>
      </c>
      <c r="E947" s="22">
        <v>44017</v>
      </c>
      <c r="F947" s="17">
        <v>4</v>
      </c>
      <c r="G947" s="18">
        <v>0.15</v>
      </c>
      <c r="H947">
        <f>F947*VLOOKUP(B947,產品!$A$2:$H$61,7,FALSE)*(1-銷售總表!G947)</f>
        <v>71400</v>
      </c>
      <c r="I947" s="35">
        <f>H947-F947*VLOOKUP(銷售總表!B947,產品!$A$2:$H$61,8,FALSE)</f>
        <v>12600.000000000007</v>
      </c>
      <c r="J947" s="20">
        <f t="shared" si="14"/>
        <v>0.17647058823529421</v>
      </c>
    </row>
    <row r="948" spans="1:10" x14ac:dyDescent="0.3">
      <c r="A948" s="33">
        <v>947</v>
      </c>
      <c r="B948" s="4">
        <v>50</v>
      </c>
      <c r="C948" s="15">
        <v>265</v>
      </c>
      <c r="D948" s="16">
        <v>3</v>
      </c>
      <c r="E948" s="22">
        <v>44017</v>
      </c>
      <c r="F948" s="17">
        <v>2</v>
      </c>
      <c r="G948" s="18">
        <v>0.17</v>
      </c>
      <c r="H948">
        <f>F948*VLOOKUP(B948,產品!$A$2:$H$61,7,FALSE)*(1-銷售總表!G948)</f>
        <v>29880</v>
      </c>
      <c r="I948" s="35">
        <f>H948-F948*VLOOKUP(銷售總表!B948,產品!$A$2:$H$61,8,FALSE)</f>
        <v>4680</v>
      </c>
      <c r="J948" s="20">
        <f t="shared" si="14"/>
        <v>0.15662650602409639</v>
      </c>
    </row>
    <row r="949" spans="1:10" x14ac:dyDescent="0.3">
      <c r="A949" s="33">
        <v>948</v>
      </c>
      <c r="B949" s="4">
        <v>21</v>
      </c>
      <c r="C949" s="15">
        <v>277</v>
      </c>
      <c r="D949" s="16">
        <v>4</v>
      </c>
      <c r="E949" s="22">
        <v>44018</v>
      </c>
      <c r="F949" s="19">
        <v>70</v>
      </c>
      <c r="G949" s="18">
        <v>0.11</v>
      </c>
      <c r="H949">
        <f>F949*VLOOKUP(B949,產品!$A$2:$H$61,7,FALSE)*(1-銷售總表!G949)</f>
        <v>112140</v>
      </c>
      <c r="I949" s="35">
        <f>H949-F949*VLOOKUP(銷售總表!B949,產品!$A$2:$H$61,8,FALSE)</f>
        <v>61740</v>
      </c>
      <c r="J949" s="20">
        <f t="shared" si="14"/>
        <v>0.550561797752809</v>
      </c>
    </row>
    <row r="950" spans="1:10" x14ac:dyDescent="0.3">
      <c r="A950" s="33">
        <v>949</v>
      </c>
      <c r="B950" s="4">
        <v>59</v>
      </c>
      <c r="C950" s="15">
        <v>264</v>
      </c>
      <c r="D950" s="16">
        <v>4</v>
      </c>
      <c r="E950" s="22">
        <v>44018</v>
      </c>
      <c r="F950" s="17">
        <v>6</v>
      </c>
      <c r="G950" s="18">
        <v>0.09</v>
      </c>
      <c r="H950">
        <f>F950*VLOOKUP(B950,產品!$A$2:$H$61,7,FALSE)*(1-銷售總表!G950)</f>
        <v>131040</v>
      </c>
      <c r="I950" s="35">
        <f>H950-F950*VLOOKUP(銷售總表!B950,產品!$A$2:$H$61,8,FALSE)</f>
        <v>30240</v>
      </c>
      <c r="J950" s="20">
        <f t="shared" si="14"/>
        <v>0.23076923076923078</v>
      </c>
    </row>
    <row r="951" spans="1:10" x14ac:dyDescent="0.3">
      <c r="A951" s="33">
        <v>950</v>
      </c>
      <c r="B951" s="4">
        <v>52</v>
      </c>
      <c r="C951" s="15">
        <v>124</v>
      </c>
      <c r="D951" s="16">
        <v>2</v>
      </c>
      <c r="E951" s="22">
        <v>44018</v>
      </c>
      <c r="F951" s="17">
        <v>6</v>
      </c>
      <c r="G951" s="18">
        <v>0.11</v>
      </c>
      <c r="H951">
        <f>F951*VLOOKUP(B951,產品!$A$2:$H$61,7,FALSE)*(1-銷售總表!G951)</f>
        <v>117480</v>
      </c>
      <c r="I951" s="35">
        <f>H951-F951*VLOOKUP(銷售總表!B951,產品!$A$2:$H$61,8,FALSE)</f>
        <v>25080.000000000015</v>
      </c>
      <c r="J951" s="20">
        <f t="shared" si="14"/>
        <v>0.21348314606741586</v>
      </c>
    </row>
    <row r="952" spans="1:10" x14ac:dyDescent="0.3">
      <c r="A952" s="33">
        <v>951</v>
      </c>
      <c r="B952" s="4">
        <v>27</v>
      </c>
      <c r="C952" s="15">
        <v>123</v>
      </c>
      <c r="D952" s="16">
        <v>8</v>
      </c>
      <c r="E952" s="22">
        <v>44018</v>
      </c>
      <c r="F952" s="19">
        <v>7</v>
      </c>
      <c r="G952" s="18">
        <v>0.09</v>
      </c>
      <c r="H952">
        <f>F952*VLOOKUP(B952,產品!$A$2:$H$61,7,FALSE)*(1-銷售總表!G952)</f>
        <v>44590</v>
      </c>
      <c r="I952" s="35">
        <f>H952-F952*VLOOKUP(銷售總表!B952,產品!$A$2:$H$61,8,FALSE)</f>
        <v>15190</v>
      </c>
      <c r="J952" s="20">
        <f t="shared" si="14"/>
        <v>0.34065934065934067</v>
      </c>
    </row>
    <row r="953" spans="1:10" x14ac:dyDescent="0.3">
      <c r="A953" s="33">
        <v>952</v>
      </c>
      <c r="B953" s="4">
        <v>43</v>
      </c>
      <c r="C953" s="15">
        <v>263</v>
      </c>
      <c r="D953" s="16">
        <v>9</v>
      </c>
      <c r="E953" s="22">
        <v>44018</v>
      </c>
      <c r="F953" s="17">
        <v>3</v>
      </c>
      <c r="G953" s="18">
        <v>0.15</v>
      </c>
      <c r="H953">
        <f>F953*VLOOKUP(B953,產品!$A$2:$H$61,7,FALSE)*(1-銷售總表!G953)</f>
        <v>45900</v>
      </c>
      <c r="I953" s="35">
        <f>H953-F953*VLOOKUP(銷售總表!B953,產品!$A$2:$H$61,8,FALSE)</f>
        <v>10800</v>
      </c>
      <c r="J953" s="20">
        <f t="shared" si="14"/>
        <v>0.23529411764705882</v>
      </c>
    </row>
    <row r="954" spans="1:10" x14ac:dyDescent="0.3">
      <c r="A954" s="33">
        <v>953</v>
      </c>
      <c r="B954" s="4">
        <v>27</v>
      </c>
      <c r="C954" s="15">
        <v>263</v>
      </c>
      <c r="D954" s="16">
        <v>4</v>
      </c>
      <c r="E954" s="22">
        <v>44018</v>
      </c>
      <c r="F954" s="17">
        <v>2</v>
      </c>
      <c r="G954" s="18">
        <v>0.13</v>
      </c>
      <c r="H954">
        <f>F954*VLOOKUP(B954,產品!$A$2:$H$61,7,FALSE)*(1-銷售總表!G954)</f>
        <v>12180</v>
      </c>
      <c r="I954" s="35">
        <f>H954-F954*VLOOKUP(銷售總表!B954,產品!$A$2:$H$61,8,FALSE)</f>
        <v>3780</v>
      </c>
      <c r="J954" s="20">
        <f t="shared" si="14"/>
        <v>0.31034482758620691</v>
      </c>
    </row>
    <row r="955" spans="1:10" x14ac:dyDescent="0.3">
      <c r="A955" s="33">
        <v>954</v>
      </c>
      <c r="B955" s="4">
        <v>58</v>
      </c>
      <c r="C955" s="15">
        <v>135</v>
      </c>
      <c r="D955" s="16">
        <v>6</v>
      </c>
      <c r="E955" s="22">
        <v>44019</v>
      </c>
      <c r="F955" s="19">
        <v>8</v>
      </c>
      <c r="G955" s="18">
        <v>0.05</v>
      </c>
      <c r="H955">
        <f>F955*VLOOKUP(B955,產品!$A$2:$H$61,7,FALSE)*(1-銷售總表!G955)</f>
        <v>159600</v>
      </c>
      <c r="I955" s="35">
        <f>H955-F955*VLOOKUP(銷售總表!B955,產品!$A$2:$H$61,8,FALSE)</f>
        <v>42000.000000000015</v>
      </c>
      <c r="J955" s="20">
        <f t="shared" si="14"/>
        <v>0.2631578947368422</v>
      </c>
    </row>
    <row r="956" spans="1:10" x14ac:dyDescent="0.3">
      <c r="A956" s="33">
        <v>955</v>
      </c>
      <c r="B956" s="4">
        <v>5</v>
      </c>
      <c r="C956" s="15">
        <v>293</v>
      </c>
      <c r="D956" s="16">
        <v>10</v>
      </c>
      <c r="E956" s="22">
        <v>44019</v>
      </c>
      <c r="F956" s="17">
        <v>80</v>
      </c>
      <c r="G956" s="18">
        <v>0.14000000000000001</v>
      </c>
      <c r="H956">
        <f>F956*VLOOKUP(B956,產品!$A$2:$H$61,7,FALSE)*(1-銷售總表!G956)</f>
        <v>68800</v>
      </c>
      <c r="I956" s="35">
        <f>H956-F956*VLOOKUP(銷售總表!B956,產品!$A$2:$H$61,8,FALSE)</f>
        <v>36800</v>
      </c>
      <c r="J956" s="20">
        <f t="shared" si="14"/>
        <v>0.53488372093023251</v>
      </c>
    </row>
    <row r="957" spans="1:10" x14ac:dyDescent="0.3">
      <c r="A957" s="33">
        <v>956</v>
      </c>
      <c r="B957" s="4">
        <v>44</v>
      </c>
      <c r="C957" s="15">
        <v>5</v>
      </c>
      <c r="D957" s="16">
        <v>5</v>
      </c>
      <c r="E957" s="22">
        <v>44019</v>
      </c>
      <c r="F957" s="17">
        <v>6</v>
      </c>
      <c r="G957" s="18">
        <v>0.16</v>
      </c>
      <c r="H957">
        <f>F957*VLOOKUP(B957,產品!$A$2:$H$61,7,FALSE)*(1-銷售總表!G957)</f>
        <v>100800</v>
      </c>
      <c r="I957" s="35">
        <f>H957-F957*VLOOKUP(銷售總表!B957,產品!$A$2:$H$61,8,FALSE)</f>
        <v>22800</v>
      </c>
      <c r="J957" s="20">
        <f t="shared" si="14"/>
        <v>0.22619047619047619</v>
      </c>
    </row>
    <row r="958" spans="1:10" x14ac:dyDescent="0.3">
      <c r="A958" s="33">
        <v>957</v>
      </c>
      <c r="B958" s="4">
        <v>8</v>
      </c>
      <c r="C958" s="15">
        <v>259</v>
      </c>
      <c r="D958" s="16">
        <v>3</v>
      </c>
      <c r="E958" s="22">
        <v>44019</v>
      </c>
      <c r="F958" s="17">
        <v>20</v>
      </c>
      <c r="G958" s="18">
        <v>0.12</v>
      </c>
      <c r="H958">
        <f>F958*VLOOKUP(B958,產品!$A$2:$H$61,7,FALSE)*(1-銷售總表!G958)</f>
        <v>17600</v>
      </c>
      <c r="I958" s="35">
        <f>H958-F958*VLOOKUP(銷售總表!B958,產品!$A$2:$H$61,8,FALSE)</f>
        <v>9600</v>
      </c>
      <c r="J958" s="20">
        <f t="shared" si="14"/>
        <v>0.54545454545454541</v>
      </c>
    </row>
    <row r="959" spans="1:10" x14ac:dyDescent="0.3">
      <c r="A959" s="33">
        <v>958</v>
      </c>
      <c r="B959" s="4">
        <v>43</v>
      </c>
      <c r="C959" s="15">
        <v>118</v>
      </c>
      <c r="D959" s="16">
        <v>2</v>
      </c>
      <c r="E959" s="22">
        <v>44019</v>
      </c>
      <c r="F959" s="19">
        <v>1</v>
      </c>
      <c r="G959" s="18">
        <v>0.09</v>
      </c>
      <c r="H959">
        <f>F959*VLOOKUP(B959,產品!$A$2:$H$61,7,FALSE)*(1-銷售總表!G959)</f>
        <v>16380</v>
      </c>
      <c r="I959" s="35">
        <f>H959-F959*VLOOKUP(銷售總表!B959,產品!$A$2:$H$61,8,FALSE)</f>
        <v>4680</v>
      </c>
      <c r="J959" s="20">
        <f t="shared" si="14"/>
        <v>0.2857142857142857</v>
      </c>
    </row>
    <row r="960" spans="1:10" x14ac:dyDescent="0.3">
      <c r="A960" s="33">
        <v>959</v>
      </c>
      <c r="B960" s="4">
        <v>4</v>
      </c>
      <c r="C960" s="15">
        <v>291</v>
      </c>
      <c r="D960" s="16">
        <v>7</v>
      </c>
      <c r="E960" s="22">
        <v>44020</v>
      </c>
      <c r="F960" s="19">
        <v>250</v>
      </c>
      <c r="G960" s="18">
        <v>0.19</v>
      </c>
      <c r="H960">
        <f>F960*VLOOKUP(B960,產品!$A$2:$H$61,7,FALSE)*(1-銷售總表!G960)</f>
        <v>202500</v>
      </c>
      <c r="I960" s="35">
        <f>H960-F960*VLOOKUP(銷售總表!B960,產品!$A$2:$H$61,8,FALSE)</f>
        <v>102500</v>
      </c>
      <c r="J960" s="20">
        <f t="shared" si="14"/>
        <v>0.50617283950617287</v>
      </c>
    </row>
    <row r="961" spans="1:10" x14ac:dyDescent="0.3">
      <c r="A961" s="33">
        <v>960</v>
      </c>
      <c r="B961" s="4">
        <v>46</v>
      </c>
      <c r="C961" s="15">
        <v>3</v>
      </c>
      <c r="D961" s="16">
        <v>4</v>
      </c>
      <c r="E961" s="22">
        <v>44020</v>
      </c>
      <c r="F961" s="17">
        <v>15</v>
      </c>
      <c r="G961" s="18">
        <v>0.11</v>
      </c>
      <c r="H961">
        <f>F961*VLOOKUP(B961,產品!$A$2:$H$61,7,FALSE)*(1-銷售總表!G961)</f>
        <v>226950</v>
      </c>
      <c r="I961" s="35">
        <f>H961-F961*VLOOKUP(銷售總表!B961,產品!$A$2:$H$61,8,FALSE)</f>
        <v>61200</v>
      </c>
      <c r="J961" s="20">
        <f t="shared" si="14"/>
        <v>0.2696629213483146</v>
      </c>
    </row>
    <row r="962" spans="1:10" x14ac:dyDescent="0.3">
      <c r="A962" s="33">
        <v>961</v>
      </c>
      <c r="B962" s="4">
        <v>52</v>
      </c>
      <c r="C962" s="15">
        <v>123</v>
      </c>
      <c r="D962" s="16">
        <v>9</v>
      </c>
      <c r="E962" s="22">
        <v>44020</v>
      </c>
      <c r="F962" s="19">
        <v>13</v>
      </c>
      <c r="G962" s="18">
        <v>0.16</v>
      </c>
      <c r="H962">
        <f>F962*VLOOKUP(B962,產品!$A$2:$H$61,7,FALSE)*(1-銷售總表!G962)</f>
        <v>240240</v>
      </c>
      <c r="I962" s="35">
        <f>H962-F962*VLOOKUP(銷售總表!B962,產品!$A$2:$H$61,8,FALSE)</f>
        <v>40040.000000000029</v>
      </c>
      <c r="J962" s="20">
        <f t="shared" si="14"/>
        <v>0.1666666666666668</v>
      </c>
    </row>
    <row r="963" spans="1:10" x14ac:dyDescent="0.3">
      <c r="A963" s="33">
        <v>962</v>
      </c>
      <c r="B963" s="4">
        <v>56</v>
      </c>
      <c r="C963" s="15">
        <v>6</v>
      </c>
      <c r="D963" s="16">
        <v>5</v>
      </c>
      <c r="E963" s="22">
        <v>44020</v>
      </c>
      <c r="F963" s="19">
        <v>2</v>
      </c>
      <c r="G963" s="18">
        <v>0.15</v>
      </c>
      <c r="H963">
        <f>F963*VLOOKUP(B963,產品!$A$2:$H$61,7,FALSE)*(1-銷售總表!G963)</f>
        <v>37400</v>
      </c>
      <c r="I963" s="35">
        <f>H963-F963*VLOOKUP(銷售總表!B963,產品!$A$2:$H$61,8,FALSE)</f>
        <v>6600.0000000000036</v>
      </c>
      <c r="J963" s="20">
        <f t="shared" ref="J963:J1026" si="15">I963/H963</f>
        <v>0.17647058823529421</v>
      </c>
    </row>
    <row r="964" spans="1:10" x14ac:dyDescent="0.3">
      <c r="A964" s="33">
        <v>963</v>
      </c>
      <c r="B964" s="4">
        <v>19</v>
      </c>
      <c r="C964" s="15">
        <v>5</v>
      </c>
      <c r="D964" s="16">
        <v>2</v>
      </c>
      <c r="E964" s="22">
        <v>44021</v>
      </c>
      <c r="F964" s="17">
        <v>80</v>
      </c>
      <c r="G964" s="18">
        <v>0.12</v>
      </c>
      <c r="H964">
        <f>F964*VLOOKUP(B964,產品!$A$2:$H$61,7,FALSE)*(1-銷售總表!G964)</f>
        <v>126720</v>
      </c>
      <c r="I964" s="35">
        <f>H964-F964*VLOOKUP(銷售總表!B964,產品!$A$2:$H$61,8,FALSE)</f>
        <v>69120</v>
      </c>
      <c r="J964" s="20">
        <f t="shared" si="15"/>
        <v>0.54545454545454541</v>
      </c>
    </row>
    <row r="965" spans="1:10" x14ac:dyDescent="0.3">
      <c r="A965" s="33">
        <v>964</v>
      </c>
      <c r="B965" s="4">
        <v>36</v>
      </c>
      <c r="C965" s="15">
        <v>9</v>
      </c>
      <c r="D965" s="16">
        <v>10</v>
      </c>
      <c r="E965" s="22">
        <v>44021</v>
      </c>
      <c r="F965" s="19">
        <v>20</v>
      </c>
      <c r="G965" s="18">
        <v>0.14000000000000001</v>
      </c>
      <c r="H965">
        <f>F965*VLOOKUP(B965,產品!$A$2:$H$61,7,FALSE)*(1-銷售總表!G965)</f>
        <v>154800</v>
      </c>
      <c r="I965" s="35">
        <f>H965-F965*VLOOKUP(銷售總表!B965,產品!$A$2:$H$61,8,FALSE)</f>
        <v>46800</v>
      </c>
      <c r="J965" s="20">
        <f t="shared" si="15"/>
        <v>0.30232558139534882</v>
      </c>
    </row>
    <row r="966" spans="1:10" x14ac:dyDescent="0.3">
      <c r="A966" s="33">
        <v>965</v>
      </c>
      <c r="B966" s="4">
        <v>60</v>
      </c>
      <c r="C966" s="15">
        <v>121</v>
      </c>
      <c r="D966" s="16">
        <v>9</v>
      </c>
      <c r="E966" s="22">
        <v>44021</v>
      </c>
      <c r="F966" s="19">
        <v>9</v>
      </c>
      <c r="G966" s="18">
        <v>0.15</v>
      </c>
      <c r="H966">
        <f>F966*VLOOKUP(B966,產品!$A$2:$H$61,7,FALSE)*(1-銷售總表!G966)</f>
        <v>191250</v>
      </c>
      <c r="I966" s="35">
        <f>H966-F966*VLOOKUP(銷售總表!B966,產品!$A$2:$H$61,8,FALSE)</f>
        <v>33750</v>
      </c>
      <c r="J966" s="20">
        <f t="shared" si="15"/>
        <v>0.17647058823529413</v>
      </c>
    </row>
    <row r="967" spans="1:10" x14ac:dyDescent="0.3">
      <c r="A967" s="33">
        <v>966</v>
      </c>
      <c r="B967" s="4">
        <v>31</v>
      </c>
      <c r="C967" s="15">
        <v>122</v>
      </c>
      <c r="D967" s="16">
        <v>1</v>
      </c>
      <c r="E967" s="22">
        <v>44021</v>
      </c>
      <c r="F967" s="17">
        <v>10</v>
      </c>
      <c r="G967" s="18">
        <v>0.15</v>
      </c>
      <c r="H967">
        <f>F967*VLOOKUP(B967,產品!$A$2:$H$61,7,FALSE)*(1-銷售總表!G967)</f>
        <v>59500</v>
      </c>
      <c r="I967" s="35">
        <f>H967-F967*VLOOKUP(銷售總表!B967,產品!$A$2:$H$61,8,FALSE)</f>
        <v>17500</v>
      </c>
      <c r="J967" s="20">
        <f t="shared" si="15"/>
        <v>0.29411764705882354</v>
      </c>
    </row>
    <row r="968" spans="1:10" x14ac:dyDescent="0.3">
      <c r="A968" s="33">
        <v>967</v>
      </c>
      <c r="B968" s="4">
        <v>20</v>
      </c>
      <c r="C968" s="15">
        <v>8</v>
      </c>
      <c r="D968" s="16">
        <v>4</v>
      </c>
      <c r="E968" s="22">
        <v>44021</v>
      </c>
      <c r="F968" s="17">
        <v>20</v>
      </c>
      <c r="G968" s="18">
        <v>0.16</v>
      </c>
      <c r="H968">
        <f>F968*VLOOKUP(B968,產品!$A$2:$H$61,7,FALSE)*(1-銷售總表!G968)</f>
        <v>30240</v>
      </c>
      <c r="I968" s="35">
        <f>H968-F968*VLOOKUP(銷售總表!B968,產品!$A$2:$H$61,8,FALSE)</f>
        <v>15840</v>
      </c>
      <c r="J968" s="20">
        <f t="shared" si="15"/>
        <v>0.52380952380952384</v>
      </c>
    </row>
    <row r="969" spans="1:10" x14ac:dyDescent="0.3">
      <c r="A969" s="33">
        <v>968</v>
      </c>
      <c r="B969" s="4">
        <v>6</v>
      </c>
      <c r="C969" s="15">
        <v>283</v>
      </c>
      <c r="D969" s="16">
        <v>5</v>
      </c>
      <c r="E969" s="22">
        <v>44021</v>
      </c>
      <c r="F969" s="19">
        <v>30</v>
      </c>
      <c r="G969" s="18">
        <v>0.08</v>
      </c>
      <c r="H969">
        <f>F969*VLOOKUP(B969,產品!$A$2:$H$61,7,FALSE)*(1-銷售總表!G969)</f>
        <v>27600</v>
      </c>
      <c r="I969" s="35">
        <f>H969-F969*VLOOKUP(銷售總表!B969,產品!$A$2:$H$61,8,FALSE)</f>
        <v>15600</v>
      </c>
      <c r="J969" s="20">
        <f t="shared" si="15"/>
        <v>0.56521739130434778</v>
      </c>
    </row>
    <row r="970" spans="1:10" x14ac:dyDescent="0.3">
      <c r="A970" s="33">
        <v>969</v>
      </c>
      <c r="B970" s="4">
        <v>53</v>
      </c>
      <c r="C970" s="15">
        <v>277</v>
      </c>
      <c r="D970" s="16">
        <v>1</v>
      </c>
      <c r="E970" s="22">
        <v>44021</v>
      </c>
      <c r="F970" s="19">
        <v>8</v>
      </c>
      <c r="G970" s="18">
        <v>0.2</v>
      </c>
      <c r="H970">
        <f>F970*VLOOKUP(B970,產品!$A$2:$H$61,7,FALSE)*(1-銷售總表!G970)</f>
        <v>96000</v>
      </c>
      <c r="I970" s="35">
        <f>H970-F970*VLOOKUP(銷售總表!B970,產品!$A$2:$H$61,8,FALSE)</f>
        <v>12000</v>
      </c>
      <c r="J970" s="20">
        <f t="shared" si="15"/>
        <v>0.125</v>
      </c>
    </row>
    <row r="971" spans="1:10" x14ac:dyDescent="0.3">
      <c r="A971" s="33">
        <v>970</v>
      </c>
      <c r="B971" s="4">
        <v>38</v>
      </c>
      <c r="C971" s="15">
        <v>284</v>
      </c>
      <c r="D971" s="16">
        <v>10</v>
      </c>
      <c r="E971" s="22">
        <v>44021</v>
      </c>
      <c r="F971" s="17">
        <v>4</v>
      </c>
      <c r="G971" s="18">
        <v>0.17</v>
      </c>
      <c r="H971">
        <f>F971*VLOOKUP(B971,產品!$A$2:$H$61,7,FALSE)*(1-銷售總表!G971)</f>
        <v>49800</v>
      </c>
      <c r="I971" s="35">
        <f>H971-F971*VLOOKUP(銷售總表!B971,產品!$A$2:$H$61,8,FALSE)</f>
        <v>10800</v>
      </c>
      <c r="J971" s="20">
        <f t="shared" si="15"/>
        <v>0.21686746987951808</v>
      </c>
    </row>
    <row r="972" spans="1:10" x14ac:dyDescent="0.3">
      <c r="A972" s="33">
        <v>971</v>
      </c>
      <c r="B972" s="4">
        <v>40</v>
      </c>
      <c r="C972" s="15">
        <v>6</v>
      </c>
      <c r="D972" s="16">
        <v>6</v>
      </c>
      <c r="E972" s="22">
        <v>44022</v>
      </c>
      <c r="F972" s="19">
        <v>10</v>
      </c>
      <c r="G972" s="18">
        <v>0.2</v>
      </c>
      <c r="H972">
        <f>F972*VLOOKUP(B972,產品!$A$2:$H$61,7,FALSE)*(1-銷售總表!G972)</f>
        <v>160000</v>
      </c>
      <c r="I972" s="35">
        <f>H972-F972*VLOOKUP(銷售總表!B972,產品!$A$2:$H$61,8,FALSE)</f>
        <v>30000</v>
      </c>
      <c r="J972" s="20">
        <f t="shared" si="15"/>
        <v>0.1875</v>
      </c>
    </row>
    <row r="973" spans="1:10" x14ac:dyDescent="0.3">
      <c r="A973" s="33">
        <v>972</v>
      </c>
      <c r="B973" s="4">
        <v>4</v>
      </c>
      <c r="C973" s="15">
        <v>4</v>
      </c>
      <c r="D973" s="16">
        <v>6</v>
      </c>
      <c r="E973" s="22">
        <v>44022</v>
      </c>
      <c r="F973" s="19">
        <v>60</v>
      </c>
      <c r="G973" s="18">
        <v>0.19</v>
      </c>
      <c r="H973">
        <f>F973*VLOOKUP(B973,產品!$A$2:$H$61,7,FALSE)*(1-銷售總表!G973)</f>
        <v>48600</v>
      </c>
      <c r="I973" s="35">
        <f>H973-F973*VLOOKUP(銷售總表!B973,產品!$A$2:$H$61,8,FALSE)</f>
        <v>24600</v>
      </c>
      <c r="J973" s="20">
        <f t="shared" si="15"/>
        <v>0.50617283950617287</v>
      </c>
    </row>
    <row r="974" spans="1:10" x14ac:dyDescent="0.3">
      <c r="A974" s="33">
        <v>973</v>
      </c>
      <c r="B974" s="4">
        <v>2</v>
      </c>
      <c r="C974" s="15">
        <v>5</v>
      </c>
      <c r="D974" s="16">
        <v>9</v>
      </c>
      <c r="E974" s="22">
        <v>44022</v>
      </c>
      <c r="F974" s="17">
        <v>50</v>
      </c>
      <c r="G974" s="18">
        <v>0.11</v>
      </c>
      <c r="H974">
        <f>F974*VLOOKUP(B974,產品!$A$2:$H$61,7,FALSE)*(1-銷售總表!G974)</f>
        <v>44500</v>
      </c>
      <c r="I974" s="35">
        <f>H974-F974*VLOOKUP(銷售總表!B974,產品!$A$2:$H$61,8,FALSE)</f>
        <v>24500</v>
      </c>
      <c r="J974" s="20">
        <f t="shared" si="15"/>
        <v>0.550561797752809</v>
      </c>
    </row>
    <row r="975" spans="1:10" x14ac:dyDescent="0.3">
      <c r="A975" s="33">
        <v>974</v>
      </c>
      <c r="B975" s="4">
        <v>45</v>
      </c>
      <c r="C975" s="15">
        <v>6</v>
      </c>
      <c r="D975" s="16">
        <v>8</v>
      </c>
      <c r="E975" s="22">
        <v>44022</v>
      </c>
      <c r="F975" s="19">
        <v>6</v>
      </c>
      <c r="G975" s="18">
        <v>0.11</v>
      </c>
      <c r="H975">
        <f>F975*VLOOKUP(B975,產品!$A$2:$H$61,7,FALSE)*(1-銷售總表!G975)</f>
        <v>74760</v>
      </c>
      <c r="I975" s="35">
        <f>H975-F975*VLOOKUP(銷售總表!B975,產品!$A$2:$H$61,8,FALSE)</f>
        <v>20160</v>
      </c>
      <c r="J975" s="20">
        <f t="shared" si="15"/>
        <v>0.2696629213483146</v>
      </c>
    </row>
    <row r="976" spans="1:10" x14ac:dyDescent="0.3">
      <c r="A976" s="33">
        <v>975</v>
      </c>
      <c r="B976" s="4">
        <v>24</v>
      </c>
      <c r="C976" s="15">
        <v>9</v>
      </c>
      <c r="D976" s="16">
        <v>6</v>
      </c>
      <c r="E976" s="22">
        <v>44022</v>
      </c>
      <c r="F976" s="17">
        <v>15</v>
      </c>
      <c r="G976" s="18">
        <v>0.09</v>
      </c>
      <c r="H976">
        <f>F976*VLOOKUP(B976,產品!$A$2:$H$61,7,FALSE)*(1-銷售總表!G976)</f>
        <v>24570</v>
      </c>
      <c r="I976" s="35">
        <f>H976-F976*VLOOKUP(銷售總表!B976,產品!$A$2:$H$61,8,FALSE)</f>
        <v>13770</v>
      </c>
      <c r="J976" s="20">
        <f t="shared" si="15"/>
        <v>0.56043956043956045</v>
      </c>
    </row>
    <row r="977" spans="1:10" x14ac:dyDescent="0.3">
      <c r="A977" s="33">
        <v>976</v>
      </c>
      <c r="B977" s="4">
        <v>34</v>
      </c>
      <c r="C977" s="15">
        <v>123</v>
      </c>
      <c r="D977" s="16">
        <v>8</v>
      </c>
      <c r="E977" s="22">
        <v>44023</v>
      </c>
      <c r="F977" s="19">
        <v>30</v>
      </c>
      <c r="G977" s="18">
        <v>0.06</v>
      </c>
      <c r="H977">
        <f>F977*VLOOKUP(B977,產品!$A$2:$H$61,7,FALSE)*(1-銷售總表!G977)</f>
        <v>225600</v>
      </c>
      <c r="I977" s="35">
        <f>H977-F977*VLOOKUP(銷售總表!B977,產品!$A$2:$H$61,8,FALSE)</f>
        <v>81600</v>
      </c>
      <c r="J977" s="20">
        <f t="shared" si="15"/>
        <v>0.36170212765957449</v>
      </c>
    </row>
    <row r="978" spans="1:10" x14ac:dyDescent="0.3">
      <c r="A978" s="33">
        <v>977</v>
      </c>
      <c r="B978" s="4">
        <v>52</v>
      </c>
      <c r="C978" s="15">
        <v>265</v>
      </c>
      <c r="D978" s="16">
        <v>1</v>
      </c>
      <c r="E978" s="22">
        <v>44023</v>
      </c>
      <c r="F978" s="17">
        <v>15</v>
      </c>
      <c r="G978" s="18">
        <v>0.16</v>
      </c>
      <c r="H978">
        <f>F978*VLOOKUP(B978,產品!$A$2:$H$61,7,FALSE)*(1-銷售總表!G978)</f>
        <v>277200</v>
      </c>
      <c r="I978" s="35">
        <f>H978-F978*VLOOKUP(銷售總表!B978,產品!$A$2:$H$61,8,FALSE)</f>
        <v>46200.000000000029</v>
      </c>
      <c r="J978" s="20">
        <f t="shared" si="15"/>
        <v>0.16666666666666677</v>
      </c>
    </row>
    <row r="979" spans="1:10" x14ac:dyDescent="0.3">
      <c r="A979" s="33">
        <v>978</v>
      </c>
      <c r="B979" s="4">
        <v>50</v>
      </c>
      <c r="C979" s="15">
        <v>264</v>
      </c>
      <c r="D979" s="16">
        <v>8</v>
      </c>
      <c r="E979" s="22">
        <v>44023</v>
      </c>
      <c r="F979" s="17">
        <v>6</v>
      </c>
      <c r="G979" s="18">
        <v>0.15</v>
      </c>
      <c r="H979">
        <f>F979*VLOOKUP(B979,產品!$A$2:$H$61,7,FALSE)*(1-銷售總表!G979)</f>
        <v>91800</v>
      </c>
      <c r="I979" s="35">
        <f>H979-F979*VLOOKUP(銷售總表!B979,產品!$A$2:$H$61,8,FALSE)</f>
        <v>16200</v>
      </c>
      <c r="J979" s="20">
        <f t="shared" si="15"/>
        <v>0.17647058823529413</v>
      </c>
    </row>
    <row r="980" spans="1:10" x14ac:dyDescent="0.3">
      <c r="A980" s="33">
        <v>979</v>
      </c>
      <c r="B980" s="4">
        <v>38</v>
      </c>
      <c r="C980" s="15">
        <v>258</v>
      </c>
      <c r="D980" s="16">
        <v>8</v>
      </c>
      <c r="E980" s="22">
        <v>44024</v>
      </c>
      <c r="F980" s="19">
        <v>19</v>
      </c>
      <c r="G980" s="18">
        <v>7.0000000000000007E-2</v>
      </c>
      <c r="H980">
        <f>F980*VLOOKUP(B980,產品!$A$2:$H$61,7,FALSE)*(1-銷售總表!G980)</f>
        <v>265050</v>
      </c>
      <c r="I980" s="35">
        <f>H980-F980*VLOOKUP(銷售總表!B980,產品!$A$2:$H$61,8,FALSE)</f>
        <v>79800</v>
      </c>
      <c r="J980" s="20">
        <f t="shared" si="15"/>
        <v>0.30107526881720431</v>
      </c>
    </row>
    <row r="981" spans="1:10" x14ac:dyDescent="0.3">
      <c r="A981" s="33">
        <v>980</v>
      </c>
      <c r="B981" s="4">
        <v>2</v>
      </c>
      <c r="C981" s="15">
        <v>264</v>
      </c>
      <c r="D981" s="16">
        <v>3</v>
      </c>
      <c r="E981" s="22">
        <v>44024</v>
      </c>
      <c r="F981" s="17">
        <v>90</v>
      </c>
      <c r="G981" s="18">
        <v>0.15</v>
      </c>
      <c r="H981">
        <f>F981*VLOOKUP(B981,產品!$A$2:$H$61,7,FALSE)*(1-銷售總表!G981)</f>
        <v>76500</v>
      </c>
      <c r="I981" s="35">
        <f>H981-F981*VLOOKUP(銷售總表!B981,產品!$A$2:$H$61,8,FALSE)</f>
        <v>40500</v>
      </c>
      <c r="J981" s="20">
        <f t="shared" si="15"/>
        <v>0.52941176470588236</v>
      </c>
    </row>
    <row r="982" spans="1:10" x14ac:dyDescent="0.3">
      <c r="A982" s="33">
        <v>981</v>
      </c>
      <c r="B982" s="4">
        <v>35</v>
      </c>
      <c r="C982" s="15">
        <v>5</v>
      </c>
      <c r="D982" s="16">
        <v>7</v>
      </c>
      <c r="E982" s="22">
        <v>44024</v>
      </c>
      <c r="F982" s="19">
        <v>10</v>
      </c>
      <c r="G982" s="18">
        <v>0.2</v>
      </c>
      <c r="H982">
        <f>F982*VLOOKUP(B982,產品!$A$2:$H$61,7,FALSE)*(1-銷售總表!G982)</f>
        <v>68000</v>
      </c>
      <c r="I982" s="35">
        <f>H982-F982*VLOOKUP(銷售總表!B982,產品!$A$2:$H$61,8,FALSE)</f>
        <v>17000</v>
      </c>
      <c r="J982" s="20">
        <f t="shared" si="15"/>
        <v>0.25</v>
      </c>
    </row>
    <row r="983" spans="1:10" x14ac:dyDescent="0.3">
      <c r="A983" s="33">
        <v>982</v>
      </c>
      <c r="B983" s="4">
        <v>14</v>
      </c>
      <c r="C983" s="15">
        <v>291</v>
      </c>
      <c r="D983" s="16">
        <v>1</v>
      </c>
      <c r="E983" s="22">
        <v>44024</v>
      </c>
      <c r="F983" s="17">
        <v>11</v>
      </c>
      <c r="G983" s="18">
        <v>7.0000000000000007E-2</v>
      </c>
      <c r="H983">
        <f>F983*VLOOKUP(B983,產品!$A$2:$H$61,7,FALSE)*(1-銷售總表!G983)</f>
        <v>18414</v>
      </c>
      <c r="I983" s="35">
        <f>H983-F983*VLOOKUP(銷售總表!B983,產品!$A$2:$H$61,8,FALSE)</f>
        <v>10494</v>
      </c>
      <c r="J983" s="20">
        <f t="shared" si="15"/>
        <v>0.56989247311827962</v>
      </c>
    </row>
    <row r="984" spans="1:10" x14ac:dyDescent="0.3">
      <c r="A984" s="33">
        <v>983</v>
      </c>
      <c r="B984" s="4">
        <v>21</v>
      </c>
      <c r="C984" s="15">
        <v>126</v>
      </c>
      <c r="D984" s="16">
        <v>9</v>
      </c>
      <c r="E984" s="22">
        <v>44024</v>
      </c>
      <c r="F984" s="17">
        <v>10</v>
      </c>
      <c r="G984" s="18">
        <v>0.08</v>
      </c>
      <c r="H984">
        <f>F984*VLOOKUP(B984,產品!$A$2:$H$61,7,FALSE)*(1-銷售總表!G984)</f>
        <v>16560</v>
      </c>
      <c r="I984" s="35">
        <f>H984-F984*VLOOKUP(銷售總表!B984,產品!$A$2:$H$61,8,FALSE)</f>
        <v>9360</v>
      </c>
      <c r="J984" s="20">
        <f t="shared" si="15"/>
        <v>0.56521739130434778</v>
      </c>
    </row>
    <row r="985" spans="1:10" x14ac:dyDescent="0.3">
      <c r="A985" s="33">
        <v>984</v>
      </c>
      <c r="B985" s="4">
        <v>10</v>
      </c>
      <c r="C985" s="15">
        <v>259</v>
      </c>
      <c r="D985" s="16">
        <v>3</v>
      </c>
      <c r="E985" s="22">
        <v>44025</v>
      </c>
      <c r="F985" s="17">
        <v>250</v>
      </c>
      <c r="G985" s="18">
        <v>0.05</v>
      </c>
      <c r="H985">
        <f>F985*VLOOKUP(B985,產品!$A$2:$H$61,7,FALSE)*(1-銷售總表!G985)</f>
        <v>237500</v>
      </c>
      <c r="I985" s="35">
        <f>H985-F985*VLOOKUP(銷售總表!B985,產品!$A$2:$H$61,8,FALSE)</f>
        <v>137500</v>
      </c>
      <c r="J985" s="20">
        <f t="shared" si="15"/>
        <v>0.57894736842105265</v>
      </c>
    </row>
    <row r="986" spans="1:10" x14ac:dyDescent="0.3">
      <c r="A986" s="33">
        <v>985</v>
      </c>
      <c r="B986" s="4">
        <v>4</v>
      </c>
      <c r="C986" s="15">
        <v>7</v>
      </c>
      <c r="D986" s="16">
        <v>2</v>
      </c>
      <c r="E986" s="22">
        <v>44025</v>
      </c>
      <c r="F986" s="17">
        <v>60</v>
      </c>
      <c r="G986" s="18">
        <v>0.14000000000000001</v>
      </c>
      <c r="H986">
        <f>F986*VLOOKUP(B986,產品!$A$2:$H$61,7,FALSE)*(1-銷售總表!G986)</f>
        <v>51600</v>
      </c>
      <c r="I986" s="35">
        <f>H986-F986*VLOOKUP(銷售總表!B986,產品!$A$2:$H$61,8,FALSE)</f>
        <v>27600</v>
      </c>
      <c r="J986" s="20">
        <f t="shared" si="15"/>
        <v>0.53488372093023251</v>
      </c>
    </row>
    <row r="987" spans="1:10" x14ac:dyDescent="0.3">
      <c r="A987" s="33">
        <v>986</v>
      </c>
      <c r="B987" s="4">
        <v>5</v>
      </c>
      <c r="C987" s="15">
        <v>289</v>
      </c>
      <c r="D987" s="16">
        <v>7</v>
      </c>
      <c r="E987" s="22">
        <v>44026</v>
      </c>
      <c r="F987" s="17">
        <v>135</v>
      </c>
      <c r="G987" s="18">
        <v>0.09</v>
      </c>
      <c r="H987">
        <f>F987*VLOOKUP(B987,產品!$A$2:$H$61,7,FALSE)*(1-銷售總表!G987)</f>
        <v>122850</v>
      </c>
      <c r="I987" s="35">
        <f>H987-F987*VLOOKUP(銷售總表!B987,產品!$A$2:$H$61,8,FALSE)</f>
        <v>68850</v>
      </c>
      <c r="J987" s="20">
        <f t="shared" si="15"/>
        <v>0.56043956043956045</v>
      </c>
    </row>
    <row r="988" spans="1:10" x14ac:dyDescent="0.3">
      <c r="A988" s="33">
        <v>987</v>
      </c>
      <c r="B988" s="4">
        <v>12</v>
      </c>
      <c r="C988" s="15">
        <v>112</v>
      </c>
      <c r="D988" s="16">
        <v>4</v>
      </c>
      <c r="E988" s="22">
        <v>44026</v>
      </c>
      <c r="F988" s="17">
        <v>150</v>
      </c>
      <c r="G988" s="18">
        <v>0.2</v>
      </c>
      <c r="H988">
        <f>F988*VLOOKUP(B988,產品!$A$2:$H$61,7,FALSE)*(1-銷售總表!G988)</f>
        <v>120000</v>
      </c>
      <c r="I988" s="35">
        <f>H988-F988*VLOOKUP(銷售總表!B988,產品!$A$2:$H$61,8,FALSE)</f>
        <v>60000</v>
      </c>
      <c r="J988" s="20">
        <f t="shared" si="15"/>
        <v>0.5</v>
      </c>
    </row>
    <row r="989" spans="1:10" x14ac:dyDescent="0.3">
      <c r="A989" s="33">
        <v>988</v>
      </c>
      <c r="B989" s="4">
        <v>48</v>
      </c>
      <c r="C989" s="15">
        <v>123</v>
      </c>
      <c r="D989" s="16">
        <v>8</v>
      </c>
      <c r="E989" s="22">
        <v>44026</v>
      </c>
      <c r="F989" s="17">
        <v>5</v>
      </c>
      <c r="G989" s="18">
        <v>0.09</v>
      </c>
      <c r="H989">
        <f>F989*VLOOKUP(B989,產品!$A$2:$H$61,7,FALSE)*(1-銷售總表!G989)</f>
        <v>100100</v>
      </c>
      <c r="I989" s="35">
        <f>H989-F989*VLOOKUP(銷售總表!B989,產品!$A$2:$H$61,8,FALSE)</f>
        <v>28600</v>
      </c>
      <c r="J989" s="20">
        <f t="shared" si="15"/>
        <v>0.2857142857142857</v>
      </c>
    </row>
    <row r="990" spans="1:10" x14ac:dyDescent="0.3">
      <c r="A990" s="33">
        <v>989</v>
      </c>
      <c r="B990" s="4">
        <v>28</v>
      </c>
      <c r="C990" s="15">
        <v>272</v>
      </c>
      <c r="D990" s="16">
        <v>5</v>
      </c>
      <c r="E990" s="22">
        <v>44026</v>
      </c>
      <c r="F990" s="17">
        <v>8</v>
      </c>
      <c r="G990" s="18">
        <v>0.08</v>
      </c>
      <c r="H990">
        <f>F990*VLOOKUP(B990,產品!$A$2:$H$61,7,FALSE)*(1-銷售總表!G990)</f>
        <v>55200</v>
      </c>
      <c r="I990" s="35">
        <f>H990-F990*VLOOKUP(銷售總表!B990,產品!$A$2:$H$61,8,FALSE)</f>
        <v>19200</v>
      </c>
      <c r="J990" s="20">
        <f t="shared" si="15"/>
        <v>0.34782608695652173</v>
      </c>
    </row>
    <row r="991" spans="1:10" x14ac:dyDescent="0.3">
      <c r="A991" s="33">
        <v>990</v>
      </c>
      <c r="B991" s="4">
        <v>53</v>
      </c>
      <c r="C991" s="15">
        <v>10</v>
      </c>
      <c r="D991" s="16">
        <v>9</v>
      </c>
      <c r="E991" s="22">
        <v>44026</v>
      </c>
      <c r="F991" s="19">
        <v>6</v>
      </c>
      <c r="G991" s="18">
        <v>0.09</v>
      </c>
      <c r="H991">
        <f>F991*VLOOKUP(B991,產品!$A$2:$H$61,7,FALSE)*(1-銷售總表!G991)</f>
        <v>81900</v>
      </c>
      <c r="I991" s="35">
        <f>H991-F991*VLOOKUP(銷售總表!B991,產品!$A$2:$H$61,8,FALSE)</f>
        <v>18900</v>
      </c>
      <c r="J991" s="20">
        <f t="shared" si="15"/>
        <v>0.23076923076923078</v>
      </c>
    </row>
    <row r="992" spans="1:10" x14ac:dyDescent="0.3">
      <c r="A992" s="33">
        <v>991</v>
      </c>
      <c r="B992" s="4">
        <v>39</v>
      </c>
      <c r="C992" s="15">
        <v>118</v>
      </c>
      <c r="D992" s="16">
        <v>9</v>
      </c>
      <c r="E992" s="22">
        <v>44026</v>
      </c>
      <c r="F992" s="19">
        <v>7</v>
      </c>
      <c r="G992" s="18">
        <v>0.2</v>
      </c>
      <c r="H992">
        <f>F992*VLOOKUP(B992,產品!$A$2:$H$61,7,FALSE)*(1-銷售總表!G992)</f>
        <v>100800</v>
      </c>
      <c r="I992" s="35">
        <f>H992-F992*VLOOKUP(銷售總表!B992,產品!$A$2:$H$61,8,FALSE)</f>
        <v>18900</v>
      </c>
      <c r="J992" s="20">
        <f t="shared" si="15"/>
        <v>0.1875</v>
      </c>
    </row>
    <row r="993" spans="1:10" x14ac:dyDescent="0.3">
      <c r="A993" s="33">
        <v>992</v>
      </c>
      <c r="B993" s="4">
        <v>35</v>
      </c>
      <c r="C993" s="15">
        <v>116</v>
      </c>
      <c r="D993" s="16">
        <v>4</v>
      </c>
      <c r="E993" s="22">
        <v>44027</v>
      </c>
      <c r="F993" s="17">
        <v>2</v>
      </c>
      <c r="G993" s="18">
        <v>0.05</v>
      </c>
      <c r="H993">
        <f>F993*VLOOKUP(B993,產品!$A$2:$H$61,7,FALSE)*(1-銷售總表!G993)</f>
        <v>16150</v>
      </c>
      <c r="I993" s="35">
        <f>H993-F993*VLOOKUP(銷售總表!B993,產品!$A$2:$H$61,8,FALSE)</f>
        <v>5950</v>
      </c>
      <c r="J993" s="20">
        <f t="shared" si="15"/>
        <v>0.36842105263157893</v>
      </c>
    </row>
    <row r="994" spans="1:10" x14ac:dyDescent="0.3">
      <c r="A994" s="33">
        <v>993</v>
      </c>
      <c r="B994" s="4">
        <v>22</v>
      </c>
      <c r="C994" s="15">
        <v>2</v>
      </c>
      <c r="D994" s="16">
        <v>8</v>
      </c>
      <c r="E994" s="22">
        <v>44027</v>
      </c>
      <c r="F994" s="17">
        <v>100</v>
      </c>
      <c r="G994" s="18">
        <v>0.14000000000000001</v>
      </c>
      <c r="H994">
        <f>F994*VLOOKUP(B994,產品!$A$2:$H$61,7,FALSE)*(1-銷售總表!G994)</f>
        <v>154800</v>
      </c>
      <c r="I994" s="35">
        <f>H994-F994*VLOOKUP(銷售總表!B994,產品!$A$2:$H$61,8,FALSE)</f>
        <v>82800</v>
      </c>
      <c r="J994" s="20">
        <f t="shared" si="15"/>
        <v>0.53488372093023251</v>
      </c>
    </row>
    <row r="995" spans="1:10" x14ac:dyDescent="0.3">
      <c r="A995" s="33">
        <v>994</v>
      </c>
      <c r="B995" s="4">
        <v>56</v>
      </c>
      <c r="C995" s="15">
        <v>2</v>
      </c>
      <c r="D995" s="16">
        <v>9</v>
      </c>
      <c r="E995" s="22">
        <v>44027</v>
      </c>
      <c r="F995" s="17">
        <v>13</v>
      </c>
      <c r="G995" s="18">
        <v>7.0000000000000007E-2</v>
      </c>
      <c r="H995">
        <f>F995*VLOOKUP(B995,產品!$A$2:$H$61,7,FALSE)*(1-銷售總表!G995)</f>
        <v>265980</v>
      </c>
      <c r="I995" s="35">
        <f>H995-F995*VLOOKUP(銷售總表!B995,產品!$A$2:$H$61,8,FALSE)</f>
        <v>65780.000000000029</v>
      </c>
      <c r="J995" s="20">
        <f t="shared" si="15"/>
        <v>0.24731182795698936</v>
      </c>
    </row>
    <row r="996" spans="1:10" x14ac:dyDescent="0.3">
      <c r="A996" s="33">
        <v>995</v>
      </c>
      <c r="B996" s="4">
        <v>7</v>
      </c>
      <c r="C996" s="15">
        <v>279</v>
      </c>
      <c r="D996" s="16">
        <v>5</v>
      </c>
      <c r="E996" s="22">
        <v>44027</v>
      </c>
      <c r="F996" s="19">
        <v>40</v>
      </c>
      <c r="G996" s="18">
        <v>0.1</v>
      </c>
      <c r="H996">
        <f>F996*VLOOKUP(B996,產品!$A$2:$H$61,7,FALSE)*(1-銷售總表!G996)</f>
        <v>36000</v>
      </c>
      <c r="I996" s="35">
        <f>H996-F996*VLOOKUP(銷售總表!B996,產品!$A$2:$H$61,8,FALSE)</f>
        <v>20000</v>
      </c>
      <c r="J996" s="20">
        <f t="shared" si="15"/>
        <v>0.55555555555555558</v>
      </c>
    </row>
    <row r="997" spans="1:10" x14ac:dyDescent="0.3">
      <c r="A997" s="33">
        <v>996</v>
      </c>
      <c r="B997" s="4">
        <v>41</v>
      </c>
      <c r="C997" s="15">
        <v>266</v>
      </c>
      <c r="D997" s="16">
        <v>6</v>
      </c>
      <c r="E997" s="22">
        <v>44027</v>
      </c>
      <c r="F997" s="17">
        <v>4</v>
      </c>
      <c r="G997" s="18">
        <v>0.09</v>
      </c>
      <c r="H997">
        <f>F997*VLOOKUP(B997,產品!$A$2:$H$61,7,FALSE)*(1-銷售總表!G997)</f>
        <v>43680</v>
      </c>
      <c r="I997" s="35">
        <f>H997-F997*VLOOKUP(銷售總表!B997,產品!$A$2:$H$61,8,FALSE)</f>
        <v>12480</v>
      </c>
      <c r="J997" s="20">
        <f t="shared" si="15"/>
        <v>0.2857142857142857</v>
      </c>
    </row>
    <row r="998" spans="1:10" x14ac:dyDescent="0.3">
      <c r="A998" s="33">
        <v>997</v>
      </c>
      <c r="B998" s="4">
        <v>50</v>
      </c>
      <c r="C998" s="15">
        <v>279</v>
      </c>
      <c r="D998" s="16">
        <v>8</v>
      </c>
      <c r="E998" s="22">
        <v>44027</v>
      </c>
      <c r="F998" s="17">
        <v>3</v>
      </c>
      <c r="G998" s="18">
        <v>0.17</v>
      </c>
      <c r="H998">
        <f>F998*VLOOKUP(B998,產品!$A$2:$H$61,7,FALSE)*(1-銷售總表!G998)</f>
        <v>44820</v>
      </c>
      <c r="I998" s="35">
        <f>H998-F998*VLOOKUP(銷售總表!B998,產品!$A$2:$H$61,8,FALSE)</f>
        <v>7020</v>
      </c>
      <c r="J998" s="20">
        <f t="shared" si="15"/>
        <v>0.15662650602409639</v>
      </c>
    </row>
    <row r="999" spans="1:10" x14ac:dyDescent="0.3">
      <c r="A999" s="33">
        <v>998</v>
      </c>
      <c r="B999" s="4">
        <v>50</v>
      </c>
      <c r="C999" s="15">
        <v>123</v>
      </c>
      <c r="D999" s="16">
        <v>3</v>
      </c>
      <c r="E999" s="22">
        <v>44028</v>
      </c>
      <c r="F999" s="17">
        <v>17</v>
      </c>
      <c r="G999" s="18">
        <v>0.18</v>
      </c>
      <c r="H999">
        <f>F999*VLOOKUP(B999,產品!$A$2:$H$61,7,FALSE)*(1-銷售總表!G999)</f>
        <v>250920.00000000003</v>
      </c>
      <c r="I999" s="35">
        <f>H999-F999*VLOOKUP(銷售總表!B999,產品!$A$2:$H$61,8,FALSE)</f>
        <v>36720.000000000029</v>
      </c>
      <c r="J999" s="20">
        <f t="shared" si="15"/>
        <v>0.14634146341463425</v>
      </c>
    </row>
    <row r="1000" spans="1:10" x14ac:dyDescent="0.3">
      <c r="A1000" s="33">
        <v>999</v>
      </c>
      <c r="B1000" s="4">
        <v>40</v>
      </c>
      <c r="C1000" s="15">
        <v>135</v>
      </c>
      <c r="D1000" s="16">
        <v>1</v>
      </c>
      <c r="E1000" s="22">
        <v>44028</v>
      </c>
      <c r="F1000" s="17">
        <v>6</v>
      </c>
      <c r="G1000" s="18">
        <v>0.1</v>
      </c>
      <c r="H1000">
        <f>F1000*VLOOKUP(B1000,產品!$A$2:$H$61,7,FALSE)*(1-銷售總表!G1000)</f>
        <v>108000</v>
      </c>
      <c r="I1000" s="35">
        <f>H1000-F1000*VLOOKUP(銷售總表!B1000,產品!$A$2:$H$61,8,FALSE)</f>
        <v>30000</v>
      </c>
      <c r="J1000" s="20">
        <f t="shared" si="15"/>
        <v>0.27777777777777779</v>
      </c>
    </row>
    <row r="1001" spans="1:10" x14ac:dyDescent="0.3">
      <c r="A1001" s="33">
        <v>1000</v>
      </c>
      <c r="B1001" s="4">
        <v>4</v>
      </c>
      <c r="C1001" s="15">
        <v>267</v>
      </c>
      <c r="D1001" s="16">
        <v>6</v>
      </c>
      <c r="E1001" s="22">
        <v>44028</v>
      </c>
      <c r="F1001" s="17">
        <v>50</v>
      </c>
      <c r="G1001" s="18">
        <v>0.09</v>
      </c>
      <c r="H1001">
        <f>F1001*VLOOKUP(B1001,產品!$A$2:$H$61,7,FALSE)*(1-銷售總表!G1001)</f>
        <v>45500</v>
      </c>
      <c r="I1001" s="35">
        <f>H1001-F1001*VLOOKUP(銷售總表!B1001,產品!$A$2:$H$61,8,FALSE)</f>
        <v>25500</v>
      </c>
      <c r="J1001" s="20">
        <f t="shared" si="15"/>
        <v>0.56043956043956045</v>
      </c>
    </row>
    <row r="1002" spans="1:10" x14ac:dyDescent="0.3">
      <c r="A1002" s="33">
        <v>1001</v>
      </c>
      <c r="B1002" s="4">
        <v>25</v>
      </c>
      <c r="C1002" s="15">
        <v>258</v>
      </c>
      <c r="D1002" s="16">
        <v>6</v>
      </c>
      <c r="E1002" s="22">
        <v>44028</v>
      </c>
      <c r="F1002" s="17">
        <v>15</v>
      </c>
      <c r="G1002" s="18">
        <v>0.18</v>
      </c>
      <c r="H1002">
        <f>F1002*VLOOKUP(B1002,產品!$A$2:$H$61,7,FALSE)*(1-銷售總表!G1002)</f>
        <v>73800</v>
      </c>
      <c r="I1002" s="35">
        <f>H1002-F1002*VLOOKUP(銷售總表!B1002,產品!$A$2:$H$61,8,FALSE)</f>
        <v>19800</v>
      </c>
      <c r="J1002" s="20">
        <f t="shared" si="15"/>
        <v>0.26829268292682928</v>
      </c>
    </row>
    <row r="1003" spans="1:10" x14ac:dyDescent="0.3">
      <c r="A1003" s="33">
        <v>1002</v>
      </c>
      <c r="B1003" s="4">
        <v>31</v>
      </c>
      <c r="C1003" s="15">
        <v>140</v>
      </c>
      <c r="D1003" s="16">
        <v>7</v>
      </c>
      <c r="E1003" s="22">
        <v>44028</v>
      </c>
      <c r="F1003" s="19">
        <v>9</v>
      </c>
      <c r="G1003" s="18">
        <v>0.2</v>
      </c>
      <c r="H1003">
        <f>F1003*VLOOKUP(B1003,產品!$A$2:$H$61,7,FALSE)*(1-銷售總表!G1003)</f>
        <v>50400</v>
      </c>
      <c r="I1003" s="35">
        <f>H1003-F1003*VLOOKUP(銷售總表!B1003,產品!$A$2:$H$61,8,FALSE)</f>
        <v>12600</v>
      </c>
      <c r="J1003" s="20">
        <f t="shared" si="15"/>
        <v>0.25</v>
      </c>
    </row>
    <row r="1004" spans="1:10" x14ac:dyDescent="0.3">
      <c r="A1004" s="33">
        <v>1003</v>
      </c>
      <c r="B1004" s="4">
        <v>41</v>
      </c>
      <c r="C1004" s="15">
        <v>267</v>
      </c>
      <c r="D1004" s="16">
        <v>5</v>
      </c>
      <c r="E1004" s="22">
        <v>44028</v>
      </c>
      <c r="F1004" s="19">
        <v>3</v>
      </c>
      <c r="G1004" s="18">
        <v>0.15</v>
      </c>
      <c r="H1004">
        <f>F1004*VLOOKUP(B1004,產品!$A$2:$H$61,7,FALSE)*(1-銷售總表!G1004)</f>
        <v>30600</v>
      </c>
      <c r="I1004" s="35">
        <f>H1004-F1004*VLOOKUP(銷售總表!B1004,產品!$A$2:$H$61,8,FALSE)</f>
        <v>7200</v>
      </c>
      <c r="J1004" s="20">
        <f t="shared" si="15"/>
        <v>0.23529411764705882</v>
      </c>
    </row>
    <row r="1005" spans="1:10" x14ac:dyDescent="0.3">
      <c r="A1005" s="33">
        <v>1004</v>
      </c>
      <c r="B1005" s="4">
        <v>8</v>
      </c>
      <c r="C1005" s="15">
        <v>124</v>
      </c>
      <c r="D1005" s="16">
        <v>5</v>
      </c>
      <c r="E1005" s="22">
        <v>44029</v>
      </c>
      <c r="F1005" s="19">
        <v>100</v>
      </c>
      <c r="G1005" s="18">
        <v>0.18</v>
      </c>
      <c r="H1005">
        <f>F1005*VLOOKUP(B1005,產品!$A$2:$H$61,7,FALSE)*(1-銷售總表!G1005)</f>
        <v>82000</v>
      </c>
      <c r="I1005" s="35">
        <f>H1005-F1005*VLOOKUP(銷售總表!B1005,產品!$A$2:$H$61,8,FALSE)</f>
        <v>42000</v>
      </c>
      <c r="J1005" s="20">
        <f t="shared" si="15"/>
        <v>0.51219512195121952</v>
      </c>
    </row>
    <row r="1006" spans="1:10" x14ac:dyDescent="0.3">
      <c r="A1006" s="33">
        <v>1005</v>
      </c>
      <c r="B1006" s="4">
        <v>44</v>
      </c>
      <c r="C1006" s="15">
        <v>272</v>
      </c>
      <c r="D1006" s="16">
        <v>8</v>
      </c>
      <c r="E1006" s="22">
        <v>44029</v>
      </c>
      <c r="F1006" s="19">
        <v>6</v>
      </c>
      <c r="G1006" s="18">
        <v>0.05</v>
      </c>
      <c r="H1006">
        <f>F1006*VLOOKUP(B1006,產品!$A$2:$H$61,7,FALSE)*(1-銷售總表!G1006)</f>
        <v>114000</v>
      </c>
      <c r="I1006" s="35">
        <f>H1006-F1006*VLOOKUP(銷售總表!B1006,產品!$A$2:$H$61,8,FALSE)</f>
        <v>36000</v>
      </c>
      <c r="J1006" s="20">
        <f t="shared" si="15"/>
        <v>0.31578947368421051</v>
      </c>
    </row>
    <row r="1007" spans="1:10" x14ac:dyDescent="0.3">
      <c r="A1007" s="33">
        <v>1006</v>
      </c>
      <c r="B1007" s="4">
        <v>18</v>
      </c>
      <c r="C1007" s="15">
        <v>293</v>
      </c>
      <c r="D1007" s="16">
        <v>9</v>
      </c>
      <c r="E1007" s="22">
        <v>44029</v>
      </c>
      <c r="F1007" s="17">
        <v>30</v>
      </c>
      <c r="G1007" s="18">
        <v>0.17</v>
      </c>
      <c r="H1007">
        <f>F1007*VLOOKUP(B1007,產品!$A$2:$H$61,7,FALSE)*(1-銷售總表!G1007)</f>
        <v>44820</v>
      </c>
      <c r="I1007" s="35">
        <f>H1007-F1007*VLOOKUP(銷售總表!B1007,產品!$A$2:$H$61,8,FALSE)</f>
        <v>23220</v>
      </c>
      <c r="J1007" s="20">
        <f t="shared" si="15"/>
        <v>0.51807228915662651</v>
      </c>
    </row>
    <row r="1008" spans="1:10" x14ac:dyDescent="0.3">
      <c r="A1008" s="33">
        <v>1007</v>
      </c>
      <c r="B1008" s="4">
        <v>24</v>
      </c>
      <c r="C1008" s="15">
        <v>12</v>
      </c>
      <c r="D1008" s="16">
        <v>2</v>
      </c>
      <c r="E1008" s="22">
        <v>44029</v>
      </c>
      <c r="F1008" s="17">
        <v>20</v>
      </c>
      <c r="G1008" s="18">
        <v>0.15</v>
      </c>
      <c r="H1008">
        <f>F1008*VLOOKUP(B1008,產品!$A$2:$H$61,7,FALSE)*(1-銷售總表!G1008)</f>
        <v>30600</v>
      </c>
      <c r="I1008" s="35">
        <f>H1008-F1008*VLOOKUP(銷售總表!B1008,產品!$A$2:$H$61,8,FALSE)</f>
        <v>16200</v>
      </c>
      <c r="J1008" s="20">
        <f t="shared" si="15"/>
        <v>0.52941176470588236</v>
      </c>
    </row>
    <row r="1009" spans="1:10" x14ac:dyDescent="0.3">
      <c r="A1009" s="33">
        <v>1008</v>
      </c>
      <c r="B1009" s="4">
        <v>51</v>
      </c>
      <c r="C1009" s="15">
        <v>293</v>
      </c>
      <c r="D1009" s="16">
        <v>7</v>
      </c>
      <c r="E1009" s="22">
        <v>44029</v>
      </c>
      <c r="F1009" s="17">
        <v>4</v>
      </c>
      <c r="G1009" s="18">
        <v>0.17</v>
      </c>
      <c r="H1009">
        <f>F1009*VLOOKUP(B1009,產品!$A$2:$H$61,7,FALSE)*(1-銷售總表!G1009)</f>
        <v>66400</v>
      </c>
      <c r="I1009" s="35">
        <f>H1009-F1009*VLOOKUP(銷售總表!B1009,產品!$A$2:$H$61,8,FALSE)</f>
        <v>10400</v>
      </c>
      <c r="J1009" s="20">
        <f t="shared" si="15"/>
        <v>0.15662650602409639</v>
      </c>
    </row>
    <row r="1010" spans="1:10" x14ac:dyDescent="0.3">
      <c r="A1010" s="33">
        <v>1009</v>
      </c>
      <c r="B1010" s="4">
        <v>12</v>
      </c>
      <c r="C1010" s="15">
        <v>266</v>
      </c>
      <c r="D1010" s="16">
        <v>3</v>
      </c>
      <c r="E1010" s="22">
        <v>44029</v>
      </c>
      <c r="F1010" s="17">
        <v>10</v>
      </c>
      <c r="G1010" s="18">
        <v>0.17</v>
      </c>
      <c r="H1010">
        <f>F1010*VLOOKUP(B1010,產品!$A$2:$H$61,7,FALSE)*(1-銷售總表!G1010)</f>
        <v>8300</v>
      </c>
      <c r="I1010" s="35">
        <f>H1010-F1010*VLOOKUP(銷售總表!B1010,產品!$A$2:$H$61,8,FALSE)</f>
        <v>4300</v>
      </c>
      <c r="J1010" s="20">
        <f t="shared" si="15"/>
        <v>0.51807228915662651</v>
      </c>
    </row>
    <row r="1011" spans="1:10" x14ac:dyDescent="0.3">
      <c r="A1011" s="33">
        <v>1010</v>
      </c>
      <c r="B1011" s="4">
        <v>13</v>
      </c>
      <c r="C1011" s="15">
        <v>261</v>
      </c>
      <c r="D1011" s="16">
        <v>7</v>
      </c>
      <c r="E1011" s="22">
        <v>44030</v>
      </c>
      <c r="F1011" s="17">
        <v>100</v>
      </c>
      <c r="G1011" s="18">
        <v>0.12</v>
      </c>
      <c r="H1011">
        <f>F1011*VLOOKUP(B1011,產品!$A$2:$H$61,7,FALSE)*(1-銷售總表!G1011)</f>
        <v>158400</v>
      </c>
      <c r="I1011" s="35">
        <f>H1011-F1011*VLOOKUP(銷售總表!B1011,產品!$A$2:$H$61,8,FALSE)</f>
        <v>86400</v>
      </c>
      <c r="J1011" s="20">
        <f t="shared" si="15"/>
        <v>0.54545454545454541</v>
      </c>
    </row>
    <row r="1012" spans="1:10" x14ac:dyDescent="0.3">
      <c r="A1012" s="33">
        <v>1011</v>
      </c>
      <c r="B1012" s="4">
        <v>49</v>
      </c>
      <c r="C1012" s="15">
        <v>5</v>
      </c>
      <c r="D1012" s="16">
        <v>6</v>
      </c>
      <c r="E1012" s="22">
        <v>44030</v>
      </c>
      <c r="F1012" s="17">
        <v>13</v>
      </c>
      <c r="G1012" s="18">
        <v>0.16</v>
      </c>
      <c r="H1012">
        <f>F1012*VLOOKUP(B1012,產品!$A$2:$H$61,7,FALSE)*(1-銷售總表!G1012)</f>
        <v>163800</v>
      </c>
      <c r="I1012" s="35">
        <f>H1012-F1012*VLOOKUP(銷售總表!B1012,產品!$A$2:$H$61,8,FALSE)</f>
        <v>27300</v>
      </c>
      <c r="J1012" s="20">
        <f t="shared" si="15"/>
        <v>0.16666666666666666</v>
      </c>
    </row>
    <row r="1013" spans="1:10" x14ac:dyDescent="0.3">
      <c r="A1013" s="33">
        <v>1012</v>
      </c>
      <c r="B1013" s="4">
        <v>52</v>
      </c>
      <c r="C1013" s="15">
        <v>2</v>
      </c>
      <c r="D1013" s="16">
        <v>2</v>
      </c>
      <c r="E1013" s="22">
        <v>44031</v>
      </c>
      <c r="F1013" s="17">
        <v>6</v>
      </c>
      <c r="G1013" s="18">
        <v>0.08</v>
      </c>
      <c r="H1013">
        <f>F1013*VLOOKUP(B1013,產品!$A$2:$H$61,7,FALSE)*(1-銷售總表!G1013)</f>
        <v>121440</v>
      </c>
      <c r="I1013" s="35">
        <f>H1013-F1013*VLOOKUP(銷售總表!B1013,產品!$A$2:$H$61,8,FALSE)</f>
        <v>29040.000000000015</v>
      </c>
      <c r="J1013" s="20">
        <f t="shared" si="15"/>
        <v>0.23913043478260881</v>
      </c>
    </row>
    <row r="1014" spans="1:10" x14ac:dyDescent="0.3">
      <c r="A1014" s="33">
        <v>1013</v>
      </c>
      <c r="B1014" s="4">
        <v>21</v>
      </c>
      <c r="C1014" s="15">
        <v>290</v>
      </c>
      <c r="D1014" s="16">
        <v>3</v>
      </c>
      <c r="E1014" s="22">
        <v>44031</v>
      </c>
      <c r="F1014" s="19">
        <v>30</v>
      </c>
      <c r="G1014" s="18">
        <v>0.2</v>
      </c>
      <c r="H1014">
        <f>F1014*VLOOKUP(B1014,產品!$A$2:$H$61,7,FALSE)*(1-銷售總表!G1014)</f>
        <v>43200</v>
      </c>
      <c r="I1014" s="35">
        <f>H1014-F1014*VLOOKUP(銷售總表!B1014,產品!$A$2:$H$61,8,FALSE)</f>
        <v>21600</v>
      </c>
      <c r="J1014" s="20">
        <f t="shared" si="15"/>
        <v>0.5</v>
      </c>
    </row>
    <row r="1015" spans="1:10" x14ac:dyDescent="0.3">
      <c r="A1015" s="33">
        <v>1014</v>
      </c>
      <c r="B1015" s="4">
        <v>5</v>
      </c>
      <c r="C1015" s="15">
        <v>10</v>
      </c>
      <c r="D1015" s="16">
        <v>10</v>
      </c>
      <c r="E1015" s="22">
        <v>44032</v>
      </c>
      <c r="F1015" s="19">
        <v>105</v>
      </c>
      <c r="G1015" s="18">
        <v>0.06</v>
      </c>
      <c r="H1015">
        <f>F1015*VLOOKUP(B1015,產品!$A$2:$H$61,7,FALSE)*(1-銷售總表!G1015)</f>
        <v>98700</v>
      </c>
      <c r="I1015" s="35">
        <f>H1015-F1015*VLOOKUP(銷售總表!B1015,產品!$A$2:$H$61,8,FALSE)</f>
        <v>56700</v>
      </c>
      <c r="J1015" s="20">
        <f t="shared" si="15"/>
        <v>0.57446808510638303</v>
      </c>
    </row>
    <row r="1016" spans="1:10" x14ac:dyDescent="0.3">
      <c r="A1016" s="33">
        <v>1015</v>
      </c>
      <c r="B1016" s="4">
        <v>41</v>
      </c>
      <c r="C1016" s="15">
        <v>272</v>
      </c>
      <c r="D1016" s="16">
        <v>7</v>
      </c>
      <c r="E1016" s="22">
        <v>44032</v>
      </c>
      <c r="F1016" s="17">
        <v>15</v>
      </c>
      <c r="G1016" s="18">
        <v>0.09</v>
      </c>
      <c r="H1016">
        <f>F1016*VLOOKUP(B1016,產品!$A$2:$H$61,7,FALSE)*(1-銷售總表!G1016)</f>
        <v>163800</v>
      </c>
      <c r="I1016" s="35">
        <f>H1016-F1016*VLOOKUP(銷售總表!B1016,產品!$A$2:$H$61,8,FALSE)</f>
        <v>46800</v>
      </c>
      <c r="J1016" s="20">
        <f t="shared" si="15"/>
        <v>0.2857142857142857</v>
      </c>
    </row>
    <row r="1017" spans="1:10" x14ac:dyDescent="0.3">
      <c r="A1017" s="33">
        <v>1016</v>
      </c>
      <c r="B1017" s="4">
        <v>45</v>
      </c>
      <c r="C1017" s="15">
        <v>112</v>
      </c>
      <c r="D1017" s="16">
        <v>10</v>
      </c>
      <c r="E1017" s="22">
        <v>44032</v>
      </c>
      <c r="F1017" s="19">
        <v>20</v>
      </c>
      <c r="G1017" s="18">
        <v>0.2</v>
      </c>
      <c r="H1017">
        <f>F1017*VLOOKUP(B1017,產品!$A$2:$H$61,7,FALSE)*(1-銷售總表!G1017)</f>
        <v>224000</v>
      </c>
      <c r="I1017" s="35">
        <f>H1017-F1017*VLOOKUP(銷售總表!B1017,產品!$A$2:$H$61,8,FALSE)</f>
        <v>42000</v>
      </c>
      <c r="J1017" s="20">
        <f t="shared" si="15"/>
        <v>0.1875</v>
      </c>
    </row>
    <row r="1018" spans="1:10" x14ac:dyDescent="0.3">
      <c r="A1018" s="33">
        <v>1017</v>
      </c>
      <c r="B1018" s="4">
        <v>4</v>
      </c>
      <c r="C1018" s="15">
        <v>274</v>
      </c>
      <c r="D1018" s="16">
        <v>6</v>
      </c>
      <c r="E1018" s="22">
        <v>44032</v>
      </c>
      <c r="F1018" s="17">
        <v>60</v>
      </c>
      <c r="G1018" s="18">
        <v>0.05</v>
      </c>
      <c r="H1018">
        <f>F1018*VLOOKUP(B1018,產品!$A$2:$H$61,7,FALSE)*(1-銷售總表!G1018)</f>
        <v>57000</v>
      </c>
      <c r="I1018" s="35">
        <f>H1018-F1018*VLOOKUP(銷售總表!B1018,產品!$A$2:$H$61,8,FALSE)</f>
        <v>33000</v>
      </c>
      <c r="J1018" s="20">
        <f t="shared" si="15"/>
        <v>0.57894736842105265</v>
      </c>
    </row>
    <row r="1019" spans="1:10" x14ac:dyDescent="0.3">
      <c r="A1019" s="33">
        <v>1018</v>
      </c>
      <c r="B1019" s="4">
        <v>43</v>
      </c>
      <c r="C1019" s="15">
        <v>135</v>
      </c>
      <c r="D1019" s="16">
        <v>10</v>
      </c>
      <c r="E1019" s="22">
        <v>44032</v>
      </c>
      <c r="F1019" s="17">
        <v>5</v>
      </c>
      <c r="G1019" s="18">
        <v>0.18</v>
      </c>
      <c r="H1019">
        <f>F1019*VLOOKUP(B1019,產品!$A$2:$H$61,7,FALSE)*(1-銷售總表!G1019)</f>
        <v>73800</v>
      </c>
      <c r="I1019" s="35">
        <f>H1019-F1019*VLOOKUP(銷售總表!B1019,產品!$A$2:$H$61,8,FALSE)</f>
        <v>15300</v>
      </c>
      <c r="J1019" s="20">
        <f t="shared" si="15"/>
        <v>0.2073170731707317</v>
      </c>
    </row>
    <row r="1020" spans="1:10" x14ac:dyDescent="0.3">
      <c r="A1020" s="33">
        <v>1019</v>
      </c>
      <c r="B1020" s="4">
        <v>35</v>
      </c>
      <c r="C1020" s="15">
        <v>281</v>
      </c>
      <c r="D1020" s="16">
        <v>10</v>
      </c>
      <c r="E1020" s="22">
        <v>44032</v>
      </c>
      <c r="F1020" s="17">
        <v>1</v>
      </c>
      <c r="G1020" s="18">
        <v>0.12</v>
      </c>
      <c r="H1020">
        <f>F1020*VLOOKUP(B1020,產品!$A$2:$H$61,7,FALSE)*(1-銷售總表!G1020)</f>
        <v>7480</v>
      </c>
      <c r="I1020" s="35">
        <f>H1020-F1020*VLOOKUP(銷售總表!B1020,產品!$A$2:$H$61,8,FALSE)</f>
        <v>2380</v>
      </c>
      <c r="J1020" s="20">
        <f t="shared" si="15"/>
        <v>0.31818181818181818</v>
      </c>
    </row>
    <row r="1021" spans="1:10" x14ac:dyDescent="0.3">
      <c r="A1021" s="33">
        <v>1020</v>
      </c>
      <c r="B1021" s="4">
        <v>18</v>
      </c>
      <c r="C1021" s="15">
        <v>258</v>
      </c>
      <c r="D1021" s="16">
        <v>1</v>
      </c>
      <c r="E1021" s="22">
        <v>44033</v>
      </c>
      <c r="F1021" s="19">
        <v>150</v>
      </c>
      <c r="G1021" s="18">
        <v>0.18</v>
      </c>
      <c r="H1021">
        <f>F1021*VLOOKUP(B1021,產品!$A$2:$H$61,7,FALSE)*(1-銷售總表!G1021)</f>
        <v>221400.00000000003</v>
      </c>
      <c r="I1021" s="35">
        <f>H1021-F1021*VLOOKUP(銷售總表!B1021,產品!$A$2:$H$61,8,FALSE)</f>
        <v>113400.00000000003</v>
      </c>
      <c r="J1021" s="20">
        <f t="shared" si="15"/>
        <v>0.51219512195121952</v>
      </c>
    </row>
    <row r="1022" spans="1:10" x14ac:dyDescent="0.3">
      <c r="A1022" s="33">
        <v>1021</v>
      </c>
      <c r="B1022" s="4">
        <v>37</v>
      </c>
      <c r="C1022" s="15">
        <v>4</v>
      </c>
      <c r="D1022" s="16">
        <v>5</v>
      </c>
      <c r="E1022" s="22">
        <v>44033</v>
      </c>
      <c r="F1022" s="19">
        <v>25</v>
      </c>
      <c r="G1022" s="18">
        <v>0.14000000000000001</v>
      </c>
      <c r="H1022">
        <f>F1022*VLOOKUP(B1022,產品!$A$2:$H$61,7,FALSE)*(1-銷售總表!G1022)</f>
        <v>258000</v>
      </c>
      <c r="I1022" s="35">
        <f>H1022-F1022*VLOOKUP(銷售總表!B1022,產品!$A$2:$H$61,8,FALSE)</f>
        <v>63000</v>
      </c>
      <c r="J1022" s="20">
        <f t="shared" si="15"/>
        <v>0.2441860465116279</v>
      </c>
    </row>
    <row r="1023" spans="1:10" x14ac:dyDescent="0.3">
      <c r="A1023" s="33">
        <v>1022</v>
      </c>
      <c r="B1023" s="4">
        <v>5</v>
      </c>
      <c r="C1023" s="15">
        <v>2</v>
      </c>
      <c r="D1023" s="16">
        <v>6</v>
      </c>
      <c r="E1023" s="22">
        <v>44033</v>
      </c>
      <c r="F1023" s="19">
        <v>90</v>
      </c>
      <c r="G1023" s="18">
        <v>0.13</v>
      </c>
      <c r="H1023">
        <f>F1023*VLOOKUP(B1023,產品!$A$2:$H$61,7,FALSE)*(1-銷售總表!G1023)</f>
        <v>78300</v>
      </c>
      <c r="I1023" s="35">
        <f>H1023-F1023*VLOOKUP(銷售總表!B1023,產品!$A$2:$H$61,8,FALSE)</f>
        <v>42300</v>
      </c>
      <c r="J1023" s="20">
        <f t="shared" si="15"/>
        <v>0.54022988505747127</v>
      </c>
    </row>
    <row r="1024" spans="1:10" x14ac:dyDescent="0.3">
      <c r="A1024" s="33">
        <v>1023</v>
      </c>
      <c r="B1024" s="4">
        <v>15</v>
      </c>
      <c r="C1024" s="15">
        <v>257</v>
      </c>
      <c r="D1024" s="16">
        <v>9</v>
      </c>
      <c r="E1024" s="22">
        <v>44033</v>
      </c>
      <c r="F1024" s="19">
        <v>40</v>
      </c>
      <c r="G1024" s="18">
        <v>0.06</v>
      </c>
      <c r="H1024">
        <f>F1024*VLOOKUP(B1024,產品!$A$2:$H$61,7,FALSE)*(1-銷售總表!G1024)</f>
        <v>67680</v>
      </c>
      <c r="I1024" s="35">
        <f>H1024-F1024*VLOOKUP(銷售總表!B1024,產品!$A$2:$H$61,8,FALSE)</f>
        <v>38880</v>
      </c>
      <c r="J1024" s="20">
        <f t="shared" si="15"/>
        <v>0.57446808510638303</v>
      </c>
    </row>
    <row r="1025" spans="1:10" x14ac:dyDescent="0.3">
      <c r="A1025" s="33">
        <v>1024</v>
      </c>
      <c r="B1025" s="4">
        <v>54</v>
      </c>
      <c r="C1025" s="15">
        <v>3</v>
      </c>
      <c r="D1025" s="16">
        <v>9</v>
      </c>
      <c r="E1025" s="22">
        <v>44033</v>
      </c>
      <c r="F1025" s="19">
        <v>9</v>
      </c>
      <c r="G1025" s="18">
        <v>0.06</v>
      </c>
      <c r="H1025">
        <f>F1025*VLOOKUP(B1025,產品!$A$2:$H$61,7,FALSE)*(1-銷售總表!G1025)</f>
        <v>152280</v>
      </c>
      <c r="I1025" s="35">
        <f>H1025-F1025*VLOOKUP(銷售總表!B1025,產品!$A$2:$H$61,8,FALSE)</f>
        <v>38880</v>
      </c>
      <c r="J1025" s="20">
        <f t="shared" si="15"/>
        <v>0.25531914893617019</v>
      </c>
    </row>
    <row r="1026" spans="1:10" x14ac:dyDescent="0.3">
      <c r="A1026" s="33">
        <v>1025</v>
      </c>
      <c r="B1026" s="4">
        <v>40</v>
      </c>
      <c r="C1026" s="15">
        <v>10</v>
      </c>
      <c r="D1026" s="16">
        <v>6</v>
      </c>
      <c r="E1026" s="22">
        <v>44033</v>
      </c>
      <c r="F1026" s="19">
        <v>9</v>
      </c>
      <c r="G1026" s="18">
        <v>0.17</v>
      </c>
      <c r="H1026">
        <f>F1026*VLOOKUP(B1026,產品!$A$2:$H$61,7,FALSE)*(1-銷售總表!G1026)</f>
        <v>149400</v>
      </c>
      <c r="I1026" s="35">
        <f>H1026-F1026*VLOOKUP(銷售總表!B1026,產品!$A$2:$H$61,8,FALSE)</f>
        <v>32400</v>
      </c>
      <c r="J1026" s="20">
        <f t="shared" si="15"/>
        <v>0.21686746987951808</v>
      </c>
    </row>
    <row r="1027" spans="1:10" x14ac:dyDescent="0.3">
      <c r="A1027" s="33">
        <v>1026</v>
      </c>
      <c r="B1027" s="4">
        <v>12</v>
      </c>
      <c r="C1027" s="15">
        <v>258</v>
      </c>
      <c r="D1027" s="16">
        <v>8</v>
      </c>
      <c r="E1027" s="22">
        <v>44033</v>
      </c>
      <c r="F1027" s="17">
        <v>60</v>
      </c>
      <c r="G1027" s="18">
        <v>0.16</v>
      </c>
      <c r="H1027">
        <f>F1027*VLOOKUP(B1027,產品!$A$2:$H$61,7,FALSE)*(1-銷售總表!G1027)</f>
        <v>50400</v>
      </c>
      <c r="I1027" s="35">
        <f>H1027-F1027*VLOOKUP(銷售總表!B1027,產品!$A$2:$H$61,8,FALSE)</f>
        <v>26400</v>
      </c>
      <c r="J1027" s="20">
        <f t="shared" ref="J1027:J1090" si="16">I1027/H1027</f>
        <v>0.52380952380952384</v>
      </c>
    </row>
    <row r="1028" spans="1:10" x14ac:dyDescent="0.3">
      <c r="A1028" s="33">
        <v>1027</v>
      </c>
      <c r="B1028" s="4">
        <v>28</v>
      </c>
      <c r="C1028" s="15">
        <v>283</v>
      </c>
      <c r="D1028" s="16">
        <v>6</v>
      </c>
      <c r="E1028" s="22">
        <v>44033</v>
      </c>
      <c r="F1028" s="19">
        <v>5</v>
      </c>
      <c r="G1028" s="18">
        <v>0.13</v>
      </c>
      <c r="H1028">
        <f>F1028*VLOOKUP(B1028,產品!$A$2:$H$61,7,FALSE)*(1-銷售總表!G1028)</f>
        <v>32625</v>
      </c>
      <c r="I1028" s="35">
        <f>H1028-F1028*VLOOKUP(銷售總表!B1028,產品!$A$2:$H$61,8,FALSE)</f>
        <v>10125</v>
      </c>
      <c r="J1028" s="20">
        <f t="shared" si="16"/>
        <v>0.31034482758620691</v>
      </c>
    </row>
    <row r="1029" spans="1:10" x14ac:dyDescent="0.3">
      <c r="A1029" s="33">
        <v>1028</v>
      </c>
      <c r="B1029" s="4">
        <v>54</v>
      </c>
      <c r="C1029" s="15">
        <v>4</v>
      </c>
      <c r="D1029" s="16">
        <v>6</v>
      </c>
      <c r="E1029" s="22">
        <v>44033</v>
      </c>
      <c r="F1029" s="19">
        <v>2</v>
      </c>
      <c r="G1029" s="18">
        <v>0.11</v>
      </c>
      <c r="H1029">
        <f>F1029*VLOOKUP(B1029,產品!$A$2:$H$61,7,FALSE)*(1-銷售總表!G1029)</f>
        <v>32040</v>
      </c>
      <c r="I1029" s="35">
        <f>H1029-F1029*VLOOKUP(銷售總表!B1029,產品!$A$2:$H$61,8,FALSE)</f>
        <v>6840</v>
      </c>
      <c r="J1029" s="20">
        <f t="shared" si="16"/>
        <v>0.21348314606741572</v>
      </c>
    </row>
    <row r="1030" spans="1:10" x14ac:dyDescent="0.3">
      <c r="A1030" s="33">
        <v>1029</v>
      </c>
      <c r="B1030" s="4">
        <v>48</v>
      </c>
      <c r="C1030" s="15">
        <v>138</v>
      </c>
      <c r="D1030" s="16">
        <v>10</v>
      </c>
      <c r="E1030" s="22">
        <v>44034</v>
      </c>
      <c r="F1030" s="17">
        <v>4</v>
      </c>
      <c r="G1030" s="18">
        <v>0.12</v>
      </c>
      <c r="H1030">
        <f>F1030*VLOOKUP(B1030,產品!$A$2:$H$61,7,FALSE)*(1-銷售總表!G1030)</f>
        <v>77440</v>
      </c>
      <c r="I1030" s="35">
        <f>H1030-F1030*VLOOKUP(銷售總表!B1030,產品!$A$2:$H$61,8,FALSE)</f>
        <v>20240</v>
      </c>
      <c r="J1030" s="20">
        <f t="shared" si="16"/>
        <v>0.26136363636363635</v>
      </c>
    </row>
    <row r="1031" spans="1:10" x14ac:dyDescent="0.3">
      <c r="A1031" s="33">
        <v>1030</v>
      </c>
      <c r="B1031" s="4">
        <v>58</v>
      </c>
      <c r="C1031" s="15">
        <v>258</v>
      </c>
      <c r="D1031" s="16">
        <v>4</v>
      </c>
      <c r="E1031" s="22">
        <v>44034</v>
      </c>
      <c r="F1031" s="19">
        <v>4</v>
      </c>
      <c r="G1031" s="18">
        <v>0.15</v>
      </c>
      <c r="H1031">
        <f>F1031*VLOOKUP(B1031,產品!$A$2:$H$61,7,FALSE)*(1-銷售總表!G1031)</f>
        <v>71400</v>
      </c>
      <c r="I1031" s="35">
        <f>H1031-F1031*VLOOKUP(銷售總表!B1031,產品!$A$2:$H$61,8,FALSE)</f>
        <v>12600.000000000007</v>
      </c>
      <c r="J1031" s="20">
        <f t="shared" si="16"/>
        <v>0.17647058823529421</v>
      </c>
    </row>
    <row r="1032" spans="1:10" x14ac:dyDescent="0.3">
      <c r="A1032" s="33">
        <v>1031</v>
      </c>
      <c r="B1032" s="4">
        <v>1</v>
      </c>
      <c r="C1032" s="15">
        <v>7</v>
      </c>
      <c r="D1032" s="16">
        <v>9</v>
      </c>
      <c r="E1032" s="22">
        <v>44034</v>
      </c>
      <c r="F1032" s="19">
        <v>10</v>
      </c>
      <c r="G1032" s="18">
        <v>0.14000000000000001</v>
      </c>
      <c r="H1032">
        <f>F1032*VLOOKUP(B1032,產品!$A$2:$H$61,7,FALSE)*(1-銷售總表!G1032)</f>
        <v>8600</v>
      </c>
      <c r="I1032" s="35">
        <f>H1032-F1032*VLOOKUP(銷售總表!B1032,產品!$A$2:$H$61,8,FALSE)</f>
        <v>4600</v>
      </c>
      <c r="J1032" s="20">
        <f t="shared" si="16"/>
        <v>0.53488372093023251</v>
      </c>
    </row>
    <row r="1033" spans="1:10" x14ac:dyDescent="0.3">
      <c r="A1033" s="33">
        <v>1032</v>
      </c>
      <c r="B1033" s="4">
        <v>34</v>
      </c>
      <c r="C1033" s="15">
        <v>5</v>
      </c>
      <c r="D1033" s="16">
        <v>8</v>
      </c>
      <c r="E1033" s="22">
        <v>44034</v>
      </c>
      <c r="F1033" s="17">
        <v>2</v>
      </c>
      <c r="G1033" s="18">
        <v>0.13</v>
      </c>
      <c r="H1033">
        <f>F1033*VLOOKUP(B1033,產品!$A$2:$H$61,7,FALSE)*(1-銷售總表!G1033)</f>
        <v>13920</v>
      </c>
      <c r="I1033" s="35">
        <f>H1033-F1033*VLOOKUP(銷售總表!B1033,產品!$A$2:$H$61,8,FALSE)</f>
        <v>4320</v>
      </c>
      <c r="J1033" s="20">
        <f t="shared" si="16"/>
        <v>0.31034482758620691</v>
      </c>
    </row>
    <row r="1034" spans="1:10" x14ac:dyDescent="0.3">
      <c r="A1034" s="33">
        <v>1033</v>
      </c>
      <c r="B1034" s="4">
        <v>47</v>
      </c>
      <c r="C1034" s="15">
        <v>115</v>
      </c>
      <c r="D1034" s="16">
        <v>1</v>
      </c>
      <c r="E1034" s="22">
        <v>44035</v>
      </c>
      <c r="F1034" s="17">
        <v>10</v>
      </c>
      <c r="G1034" s="18">
        <v>0.05</v>
      </c>
      <c r="H1034">
        <f>F1034*VLOOKUP(B1034,產品!$A$2:$H$61,7,FALSE)*(1-銷售總表!G1034)</f>
        <v>190000</v>
      </c>
      <c r="I1034" s="35">
        <f>H1034-F1034*VLOOKUP(銷售總表!B1034,產品!$A$2:$H$61,8,FALSE)</f>
        <v>60000</v>
      </c>
      <c r="J1034" s="20">
        <f t="shared" si="16"/>
        <v>0.31578947368421051</v>
      </c>
    </row>
    <row r="1035" spans="1:10" x14ac:dyDescent="0.3">
      <c r="A1035" s="33">
        <v>1034</v>
      </c>
      <c r="B1035" s="4">
        <v>39</v>
      </c>
      <c r="C1035" s="15">
        <v>118</v>
      </c>
      <c r="D1035" s="16">
        <v>6</v>
      </c>
      <c r="E1035" s="22">
        <v>44035</v>
      </c>
      <c r="F1035" s="17">
        <v>13</v>
      </c>
      <c r="G1035" s="18">
        <v>0.17</v>
      </c>
      <c r="H1035">
        <f>F1035*VLOOKUP(B1035,產品!$A$2:$H$61,7,FALSE)*(1-銷售總表!G1035)</f>
        <v>194220</v>
      </c>
      <c r="I1035" s="35">
        <f>H1035-F1035*VLOOKUP(銷售總表!B1035,產品!$A$2:$H$61,8,FALSE)</f>
        <v>42120</v>
      </c>
      <c r="J1035" s="20">
        <f t="shared" si="16"/>
        <v>0.21686746987951808</v>
      </c>
    </row>
    <row r="1036" spans="1:10" x14ac:dyDescent="0.3">
      <c r="A1036" s="33">
        <v>1035</v>
      </c>
      <c r="B1036" s="4">
        <v>31</v>
      </c>
      <c r="C1036" s="15">
        <v>293</v>
      </c>
      <c r="D1036" s="16">
        <v>7</v>
      </c>
      <c r="E1036" s="22">
        <v>44035</v>
      </c>
      <c r="F1036" s="17">
        <v>10</v>
      </c>
      <c r="G1036" s="18">
        <v>0.08</v>
      </c>
      <c r="H1036">
        <f>F1036*VLOOKUP(B1036,產品!$A$2:$H$61,7,FALSE)*(1-銷售總表!G1036)</f>
        <v>64400</v>
      </c>
      <c r="I1036" s="35">
        <f>H1036-F1036*VLOOKUP(銷售總表!B1036,產品!$A$2:$H$61,8,FALSE)</f>
        <v>22400</v>
      </c>
      <c r="J1036" s="20">
        <f t="shared" si="16"/>
        <v>0.34782608695652173</v>
      </c>
    </row>
    <row r="1037" spans="1:10" x14ac:dyDescent="0.3">
      <c r="A1037" s="33">
        <v>1036</v>
      </c>
      <c r="B1037" s="4">
        <v>34</v>
      </c>
      <c r="C1037" s="15">
        <v>266</v>
      </c>
      <c r="D1037" s="16">
        <v>3</v>
      </c>
      <c r="E1037" s="22">
        <v>44035</v>
      </c>
      <c r="F1037" s="17">
        <v>9</v>
      </c>
      <c r="G1037" s="18">
        <v>0.13</v>
      </c>
      <c r="H1037">
        <f>F1037*VLOOKUP(B1037,產品!$A$2:$H$61,7,FALSE)*(1-銷售總表!G1037)</f>
        <v>62640</v>
      </c>
      <c r="I1037" s="35">
        <f>H1037-F1037*VLOOKUP(銷售總表!B1037,產品!$A$2:$H$61,8,FALSE)</f>
        <v>19440</v>
      </c>
      <c r="J1037" s="20">
        <f t="shared" si="16"/>
        <v>0.31034482758620691</v>
      </c>
    </row>
    <row r="1038" spans="1:10" x14ac:dyDescent="0.3">
      <c r="A1038" s="33">
        <v>1037</v>
      </c>
      <c r="B1038" s="4">
        <v>23</v>
      </c>
      <c r="C1038" s="15">
        <v>9</v>
      </c>
      <c r="D1038" s="16">
        <v>2</v>
      </c>
      <c r="E1038" s="22">
        <v>44035</v>
      </c>
      <c r="F1038" s="17">
        <v>20</v>
      </c>
      <c r="G1038" s="18">
        <v>0.18</v>
      </c>
      <c r="H1038">
        <f>F1038*VLOOKUP(B1038,產品!$A$2:$H$61,7,FALSE)*(1-銷售總表!G1038)</f>
        <v>29520.000000000004</v>
      </c>
      <c r="I1038" s="35">
        <f>H1038-F1038*VLOOKUP(銷售總表!B1038,產品!$A$2:$H$61,8,FALSE)</f>
        <v>15120.000000000004</v>
      </c>
      <c r="J1038" s="20">
        <f t="shared" si="16"/>
        <v>0.51219512195121952</v>
      </c>
    </row>
    <row r="1039" spans="1:10" x14ac:dyDescent="0.3">
      <c r="A1039" s="33">
        <v>1038</v>
      </c>
      <c r="B1039" s="4">
        <v>17</v>
      </c>
      <c r="C1039" s="15">
        <v>9</v>
      </c>
      <c r="D1039" s="16">
        <v>6</v>
      </c>
      <c r="E1039" s="22">
        <v>44035</v>
      </c>
      <c r="F1039" s="17">
        <v>13</v>
      </c>
      <c r="G1039" s="18">
        <v>0.08</v>
      </c>
      <c r="H1039">
        <f>F1039*VLOOKUP(B1039,產品!$A$2:$H$61,7,FALSE)*(1-銷售總表!G1039)</f>
        <v>21528</v>
      </c>
      <c r="I1039" s="35">
        <f>H1039-F1039*VLOOKUP(銷售總表!B1039,產品!$A$2:$H$61,8,FALSE)</f>
        <v>12168</v>
      </c>
      <c r="J1039" s="20">
        <f t="shared" si="16"/>
        <v>0.56521739130434778</v>
      </c>
    </row>
    <row r="1040" spans="1:10" x14ac:dyDescent="0.3">
      <c r="A1040" s="33">
        <v>1039</v>
      </c>
      <c r="B1040" s="4">
        <v>49</v>
      </c>
      <c r="C1040" s="15">
        <v>265</v>
      </c>
      <c r="D1040" s="16">
        <v>5</v>
      </c>
      <c r="E1040" s="22">
        <v>44035</v>
      </c>
      <c r="F1040" s="17">
        <v>2</v>
      </c>
      <c r="G1040" s="18">
        <v>0.11</v>
      </c>
      <c r="H1040">
        <f>F1040*VLOOKUP(B1040,產品!$A$2:$H$61,7,FALSE)*(1-銷售總表!G1040)</f>
        <v>26700</v>
      </c>
      <c r="I1040" s="35">
        <f>H1040-F1040*VLOOKUP(銷售總表!B1040,產品!$A$2:$H$61,8,FALSE)</f>
        <v>5700</v>
      </c>
      <c r="J1040" s="20">
        <f t="shared" si="16"/>
        <v>0.21348314606741572</v>
      </c>
    </row>
    <row r="1041" spans="1:10" x14ac:dyDescent="0.3">
      <c r="A1041" s="33">
        <v>1040</v>
      </c>
      <c r="B1041" s="4">
        <v>2</v>
      </c>
      <c r="C1041" s="15">
        <v>258</v>
      </c>
      <c r="D1041" s="16">
        <v>10</v>
      </c>
      <c r="E1041" s="22">
        <v>44035</v>
      </c>
      <c r="F1041" s="17">
        <v>10</v>
      </c>
      <c r="G1041" s="18">
        <v>7.0000000000000007E-2</v>
      </c>
      <c r="H1041">
        <f>F1041*VLOOKUP(B1041,產品!$A$2:$H$61,7,FALSE)*(1-銷售總表!G1041)</f>
        <v>9300</v>
      </c>
      <c r="I1041" s="35">
        <f>H1041-F1041*VLOOKUP(銷售總表!B1041,產品!$A$2:$H$61,8,FALSE)</f>
        <v>5300</v>
      </c>
      <c r="J1041" s="20">
        <f t="shared" si="16"/>
        <v>0.56989247311827962</v>
      </c>
    </row>
    <row r="1042" spans="1:10" x14ac:dyDescent="0.3">
      <c r="A1042" s="33">
        <v>1041</v>
      </c>
      <c r="B1042" s="4">
        <v>20</v>
      </c>
      <c r="C1042" s="15">
        <v>263</v>
      </c>
      <c r="D1042" s="16">
        <v>5</v>
      </c>
      <c r="E1042" s="22">
        <v>44036</v>
      </c>
      <c r="F1042" s="17">
        <v>30</v>
      </c>
      <c r="G1042" s="18">
        <v>0.17</v>
      </c>
      <c r="H1042">
        <f>F1042*VLOOKUP(B1042,產品!$A$2:$H$61,7,FALSE)*(1-銷售總表!G1042)</f>
        <v>44820</v>
      </c>
      <c r="I1042" s="35">
        <f>H1042-F1042*VLOOKUP(銷售總表!B1042,產品!$A$2:$H$61,8,FALSE)</f>
        <v>23220</v>
      </c>
      <c r="J1042" s="20">
        <f t="shared" si="16"/>
        <v>0.51807228915662651</v>
      </c>
    </row>
    <row r="1043" spans="1:10" x14ac:dyDescent="0.3">
      <c r="A1043" s="33">
        <v>1042</v>
      </c>
      <c r="B1043" s="4">
        <v>39</v>
      </c>
      <c r="C1043" s="15">
        <v>283</v>
      </c>
      <c r="D1043" s="16">
        <v>2</v>
      </c>
      <c r="E1043" s="22">
        <v>44036</v>
      </c>
      <c r="F1043" s="19">
        <v>6</v>
      </c>
      <c r="G1043" s="18">
        <v>0.14000000000000001</v>
      </c>
      <c r="H1043">
        <f>F1043*VLOOKUP(B1043,產品!$A$2:$H$61,7,FALSE)*(1-銷售總表!G1043)</f>
        <v>92880</v>
      </c>
      <c r="I1043" s="35">
        <f>H1043-F1043*VLOOKUP(銷售總表!B1043,產品!$A$2:$H$61,8,FALSE)</f>
        <v>22680</v>
      </c>
      <c r="J1043" s="20">
        <f t="shared" si="16"/>
        <v>0.2441860465116279</v>
      </c>
    </row>
    <row r="1044" spans="1:10" x14ac:dyDescent="0.3">
      <c r="A1044" s="33">
        <v>1043</v>
      </c>
      <c r="B1044" s="4">
        <v>20</v>
      </c>
      <c r="C1044" s="15">
        <v>113</v>
      </c>
      <c r="D1044" s="16">
        <v>4</v>
      </c>
      <c r="E1044" s="22">
        <v>44036</v>
      </c>
      <c r="F1044" s="17">
        <v>20</v>
      </c>
      <c r="G1044" s="18">
        <v>0.14000000000000001</v>
      </c>
      <c r="H1044">
        <f>F1044*VLOOKUP(B1044,產品!$A$2:$H$61,7,FALSE)*(1-銷售總表!G1044)</f>
        <v>30960</v>
      </c>
      <c r="I1044" s="35">
        <f>H1044-F1044*VLOOKUP(銷售總表!B1044,產品!$A$2:$H$61,8,FALSE)</f>
        <v>16560</v>
      </c>
      <c r="J1044" s="20">
        <f t="shared" si="16"/>
        <v>0.53488372093023251</v>
      </c>
    </row>
    <row r="1045" spans="1:10" x14ac:dyDescent="0.3">
      <c r="A1045" s="33">
        <v>1044</v>
      </c>
      <c r="B1045" s="4">
        <v>50</v>
      </c>
      <c r="C1045" s="15">
        <v>286</v>
      </c>
      <c r="D1045" s="16">
        <v>3</v>
      </c>
      <c r="E1045" s="22">
        <v>44037</v>
      </c>
      <c r="F1045" s="19">
        <v>5</v>
      </c>
      <c r="G1045" s="18">
        <v>0.09</v>
      </c>
      <c r="H1045">
        <f>F1045*VLOOKUP(B1045,產品!$A$2:$H$61,7,FALSE)*(1-銷售總表!G1045)</f>
        <v>81900</v>
      </c>
      <c r="I1045" s="35">
        <f>H1045-F1045*VLOOKUP(銷售總表!B1045,產品!$A$2:$H$61,8,FALSE)</f>
        <v>18900</v>
      </c>
      <c r="J1045" s="20">
        <f t="shared" si="16"/>
        <v>0.23076923076923078</v>
      </c>
    </row>
    <row r="1046" spans="1:10" x14ac:dyDescent="0.3">
      <c r="A1046" s="33">
        <v>1045</v>
      </c>
      <c r="B1046" s="4">
        <v>19</v>
      </c>
      <c r="C1046" s="15">
        <v>136</v>
      </c>
      <c r="D1046" s="16">
        <v>10</v>
      </c>
      <c r="E1046" s="22">
        <v>44037</v>
      </c>
      <c r="F1046" s="17">
        <v>10</v>
      </c>
      <c r="G1046" s="18">
        <v>0.14000000000000001</v>
      </c>
      <c r="H1046">
        <f>F1046*VLOOKUP(B1046,產品!$A$2:$H$61,7,FALSE)*(1-銷售總表!G1046)</f>
        <v>15480</v>
      </c>
      <c r="I1046" s="35">
        <f>H1046-F1046*VLOOKUP(銷售總表!B1046,產品!$A$2:$H$61,8,FALSE)</f>
        <v>8280</v>
      </c>
      <c r="J1046" s="20">
        <f t="shared" si="16"/>
        <v>0.53488372093023251</v>
      </c>
    </row>
    <row r="1047" spans="1:10" x14ac:dyDescent="0.3">
      <c r="A1047" s="33">
        <v>1046</v>
      </c>
      <c r="B1047" s="4">
        <v>35</v>
      </c>
      <c r="C1047" s="15">
        <v>2</v>
      </c>
      <c r="D1047" s="16">
        <v>5</v>
      </c>
      <c r="E1047" s="22">
        <v>44037</v>
      </c>
      <c r="F1047" s="17">
        <v>2</v>
      </c>
      <c r="G1047" s="18">
        <v>7.0000000000000007E-2</v>
      </c>
      <c r="H1047">
        <f>F1047*VLOOKUP(B1047,產品!$A$2:$H$61,7,FALSE)*(1-銷售總表!G1047)</f>
        <v>15809.999999999998</v>
      </c>
      <c r="I1047" s="35">
        <f>H1047-F1047*VLOOKUP(銷售總表!B1047,產品!$A$2:$H$61,8,FALSE)</f>
        <v>5609.9999999999982</v>
      </c>
      <c r="J1047" s="20">
        <f t="shared" si="16"/>
        <v>0.35483870967741926</v>
      </c>
    </row>
    <row r="1048" spans="1:10" x14ac:dyDescent="0.3">
      <c r="A1048" s="33">
        <v>1047</v>
      </c>
      <c r="B1048" s="4">
        <v>54</v>
      </c>
      <c r="C1048" s="15">
        <v>274</v>
      </c>
      <c r="D1048" s="16">
        <v>6</v>
      </c>
      <c r="E1048" s="22">
        <v>44038</v>
      </c>
      <c r="F1048" s="17">
        <v>14</v>
      </c>
      <c r="G1048" s="18">
        <v>0.06</v>
      </c>
      <c r="H1048">
        <f>F1048*VLOOKUP(B1048,產品!$A$2:$H$61,7,FALSE)*(1-銷售總表!G1048)</f>
        <v>236880</v>
      </c>
      <c r="I1048" s="35">
        <f>H1048-F1048*VLOOKUP(銷售總表!B1048,產品!$A$2:$H$61,8,FALSE)</f>
        <v>60480</v>
      </c>
      <c r="J1048" s="20">
        <f t="shared" si="16"/>
        <v>0.25531914893617019</v>
      </c>
    </row>
    <row r="1049" spans="1:10" x14ac:dyDescent="0.3">
      <c r="A1049" s="33">
        <v>1048</v>
      </c>
      <c r="B1049" s="4">
        <v>46</v>
      </c>
      <c r="C1049" s="15">
        <v>262</v>
      </c>
      <c r="D1049" s="16">
        <v>5</v>
      </c>
      <c r="E1049" s="22">
        <v>44038</v>
      </c>
      <c r="F1049" s="17">
        <v>12</v>
      </c>
      <c r="G1049" s="18">
        <v>0.2</v>
      </c>
      <c r="H1049">
        <f>F1049*VLOOKUP(B1049,產品!$A$2:$H$61,7,FALSE)*(1-銷售總表!G1049)</f>
        <v>163200</v>
      </c>
      <c r="I1049" s="35">
        <f>H1049-F1049*VLOOKUP(銷售總表!B1049,產品!$A$2:$H$61,8,FALSE)</f>
        <v>30600</v>
      </c>
      <c r="J1049" s="20">
        <f t="shared" si="16"/>
        <v>0.1875</v>
      </c>
    </row>
    <row r="1050" spans="1:10" x14ac:dyDescent="0.3">
      <c r="A1050" s="33">
        <v>1049</v>
      </c>
      <c r="B1050" s="4">
        <v>7</v>
      </c>
      <c r="C1050" s="15">
        <v>121</v>
      </c>
      <c r="D1050" s="16">
        <v>2</v>
      </c>
      <c r="E1050" s="22">
        <v>44038</v>
      </c>
      <c r="F1050" s="17">
        <v>50</v>
      </c>
      <c r="G1050" s="18">
        <v>0.05</v>
      </c>
      <c r="H1050">
        <f>F1050*VLOOKUP(B1050,產品!$A$2:$H$61,7,FALSE)*(1-銷售總表!G1050)</f>
        <v>47500</v>
      </c>
      <c r="I1050" s="35">
        <f>H1050-F1050*VLOOKUP(銷售總表!B1050,產品!$A$2:$H$61,8,FALSE)</f>
        <v>27500</v>
      </c>
      <c r="J1050" s="20">
        <f t="shared" si="16"/>
        <v>0.57894736842105265</v>
      </c>
    </row>
    <row r="1051" spans="1:10" x14ac:dyDescent="0.3">
      <c r="A1051" s="33">
        <v>1050</v>
      </c>
      <c r="B1051" s="4">
        <v>60</v>
      </c>
      <c r="C1051" s="15">
        <v>122</v>
      </c>
      <c r="D1051" s="16">
        <v>3</v>
      </c>
      <c r="E1051" s="22">
        <v>44038</v>
      </c>
      <c r="F1051" s="19">
        <v>5</v>
      </c>
      <c r="G1051" s="18">
        <v>0.11</v>
      </c>
      <c r="H1051">
        <f>F1051*VLOOKUP(B1051,產品!$A$2:$H$61,7,FALSE)*(1-銷售總表!G1051)</f>
        <v>111250</v>
      </c>
      <c r="I1051" s="35">
        <f>H1051-F1051*VLOOKUP(銷售總表!B1051,產品!$A$2:$H$61,8,FALSE)</f>
        <v>23750</v>
      </c>
      <c r="J1051" s="20">
        <f t="shared" si="16"/>
        <v>0.21348314606741572</v>
      </c>
    </row>
    <row r="1052" spans="1:10" x14ac:dyDescent="0.3">
      <c r="A1052" s="33">
        <v>1051</v>
      </c>
      <c r="B1052" s="4">
        <v>33</v>
      </c>
      <c r="C1052" s="15">
        <v>262</v>
      </c>
      <c r="D1052" s="16">
        <v>10</v>
      </c>
      <c r="E1052" s="22">
        <v>44038</v>
      </c>
      <c r="F1052" s="19">
        <v>5</v>
      </c>
      <c r="G1052" s="18">
        <v>0.2</v>
      </c>
      <c r="H1052">
        <f>F1052*VLOOKUP(B1052,產品!$A$2:$H$61,7,FALSE)*(1-銷售總表!G1052)</f>
        <v>30000</v>
      </c>
      <c r="I1052" s="35">
        <f>H1052-F1052*VLOOKUP(銷售總表!B1052,產品!$A$2:$H$61,8,FALSE)</f>
        <v>7500</v>
      </c>
      <c r="J1052" s="20">
        <f t="shared" si="16"/>
        <v>0.25</v>
      </c>
    </row>
    <row r="1053" spans="1:10" x14ac:dyDescent="0.3">
      <c r="A1053" s="33">
        <v>1052</v>
      </c>
      <c r="B1053" s="4">
        <v>51</v>
      </c>
      <c r="C1053" s="15">
        <v>12</v>
      </c>
      <c r="D1053" s="16">
        <v>6</v>
      </c>
      <c r="E1053" s="22">
        <v>44038</v>
      </c>
      <c r="F1053" s="17">
        <v>2</v>
      </c>
      <c r="G1053" s="18">
        <v>0.18</v>
      </c>
      <c r="H1053">
        <f>F1053*VLOOKUP(B1053,產品!$A$2:$H$61,7,FALSE)*(1-銷售總表!G1053)</f>
        <v>32800</v>
      </c>
      <c r="I1053" s="35">
        <f>H1053-F1053*VLOOKUP(銷售總表!B1053,產品!$A$2:$H$61,8,FALSE)</f>
        <v>4800</v>
      </c>
      <c r="J1053" s="20">
        <f t="shared" si="16"/>
        <v>0.14634146341463414</v>
      </c>
    </row>
    <row r="1054" spans="1:10" x14ac:dyDescent="0.3">
      <c r="A1054" s="33">
        <v>1053</v>
      </c>
      <c r="B1054" s="4">
        <v>59</v>
      </c>
      <c r="C1054" s="15">
        <v>9</v>
      </c>
      <c r="D1054" s="16">
        <v>3</v>
      </c>
      <c r="E1054" s="22">
        <v>44039</v>
      </c>
      <c r="F1054" s="19">
        <v>10</v>
      </c>
      <c r="G1054" s="18">
        <v>0.17</v>
      </c>
      <c r="H1054">
        <f>F1054*VLOOKUP(B1054,產品!$A$2:$H$61,7,FALSE)*(1-銷售總表!G1054)</f>
        <v>199200</v>
      </c>
      <c r="I1054" s="35">
        <f>H1054-F1054*VLOOKUP(銷售總表!B1054,產品!$A$2:$H$61,8,FALSE)</f>
        <v>31200</v>
      </c>
      <c r="J1054" s="20">
        <f t="shared" si="16"/>
        <v>0.15662650602409639</v>
      </c>
    </row>
    <row r="1055" spans="1:10" x14ac:dyDescent="0.3">
      <c r="A1055" s="33">
        <v>1054</v>
      </c>
      <c r="B1055" s="4">
        <v>33</v>
      </c>
      <c r="C1055" s="15">
        <v>273</v>
      </c>
      <c r="D1055" s="16">
        <v>4</v>
      </c>
      <c r="E1055" s="22">
        <v>44039</v>
      </c>
      <c r="F1055" s="17">
        <v>4</v>
      </c>
      <c r="G1055" s="18">
        <v>0.08</v>
      </c>
      <c r="H1055">
        <f>F1055*VLOOKUP(B1055,產品!$A$2:$H$61,7,FALSE)*(1-銷售總表!G1055)</f>
        <v>27600</v>
      </c>
      <c r="I1055" s="35">
        <f>H1055-F1055*VLOOKUP(銷售總表!B1055,產品!$A$2:$H$61,8,FALSE)</f>
        <v>9600</v>
      </c>
      <c r="J1055" s="20">
        <f t="shared" si="16"/>
        <v>0.34782608695652173</v>
      </c>
    </row>
    <row r="1056" spans="1:10" x14ac:dyDescent="0.3">
      <c r="A1056" s="33">
        <v>1055</v>
      </c>
      <c r="B1056" s="4">
        <v>53</v>
      </c>
      <c r="C1056" s="15">
        <v>1</v>
      </c>
      <c r="D1056" s="16">
        <v>1</v>
      </c>
      <c r="E1056" s="22">
        <v>44039</v>
      </c>
      <c r="F1056" s="17">
        <v>3</v>
      </c>
      <c r="G1056" s="18">
        <v>0.11</v>
      </c>
      <c r="H1056">
        <f>F1056*VLOOKUP(B1056,產品!$A$2:$H$61,7,FALSE)*(1-銷售總表!G1056)</f>
        <v>40050</v>
      </c>
      <c r="I1056" s="35">
        <f>H1056-F1056*VLOOKUP(銷售總表!B1056,產品!$A$2:$H$61,8,FALSE)</f>
        <v>8550</v>
      </c>
      <c r="J1056" s="20">
        <f t="shared" si="16"/>
        <v>0.21348314606741572</v>
      </c>
    </row>
    <row r="1057" spans="1:10" x14ac:dyDescent="0.3">
      <c r="A1057" s="33">
        <v>1056</v>
      </c>
      <c r="B1057" s="4">
        <v>27</v>
      </c>
      <c r="C1057" s="15">
        <v>140</v>
      </c>
      <c r="D1057" s="16">
        <v>5</v>
      </c>
      <c r="E1057" s="22">
        <v>44039</v>
      </c>
      <c r="F1057" s="19">
        <v>4</v>
      </c>
      <c r="G1057" s="18">
        <v>0.18</v>
      </c>
      <c r="H1057">
        <f>F1057*VLOOKUP(B1057,產品!$A$2:$H$61,7,FALSE)*(1-銷售總表!G1057)</f>
        <v>22960</v>
      </c>
      <c r="I1057" s="35">
        <f>H1057-F1057*VLOOKUP(銷售總表!B1057,產品!$A$2:$H$61,8,FALSE)</f>
        <v>6160</v>
      </c>
      <c r="J1057" s="20">
        <f t="shared" si="16"/>
        <v>0.26829268292682928</v>
      </c>
    </row>
    <row r="1058" spans="1:10" x14ac:dyDescent="0.3">
      <c r="A1058" s="33">
        <v>1057</v>
      </c>
      <c r="B1058" s="4">
        <v>45</v>
      </c>
      <c r="C1058" s="15">
        <v>285</v>
      </c>
      <c r="D1058" s="16">
        <v>1</v>
      </c>
      <c r="E1058" s="22">
        <v>44039</v>
      </c>
      <c r="F1058" s="17">
        <v>1</v>
      </c>
      <c r="G1058" s="18">
        <v>0.09</v>
      </c>
      <c r="H1058">
        <f>F1058*VLOOKUP(B1058,產品!$A$2:$H$61,7,FALSE)*(1-銷售總表!G1058)</f>
        <v>12740</v>
      </c>
      <c r="I1058" s="35">
        <f>H1058-F1058*VLOOKUP(銷售總表!B1058,產品!$A$2:$H$61,8,FALSE)</f>
        <v>3640</v>
      </c>
      <c r="J1058" s="20">
        <f t="shared" si="16"/>
        <v>0.2857142857142857</v>
      </c>
    </row>
    <row r="1059" spans="1:10" x14ac:dyDescent="0.3">
      <c r="A1059" s="33">
        <v>1058</v>
      </c>
      <c r="B1059" s="4">
        <v>9</v>
      </c>
      <c r="C1059" s="15">
        <v>113</v>
      </c>
      <c r="D1059" s="16">
        <v>3</v>
      </c>
      <c r="E1059" s="22">
        <v>44040</v>
      </c>
      <c r="F1059" s="17">
        <v>20</v>
      </c>
      <c r="G1059" s="18">
        <v>0.15</v>
      </c>
      <c r="H1059">
        <f>F1059*VLOOKUP(B1059,產品!$A$2:$H$61,7,FALSE)*(1-銷售總表!G1059)</f>
        <v>17000</v>
      </c>
      <c r="I1059" s="35">
        <f>H1059-F1059*VLOOKUP(銷售總表!B1059,產品!$A$2:$H$61,8,FALSE)</f>
        <v>9000</v>
      </c>
      <c r="J1059" s="20">
        <f t="shared" si="16"/>
        <v>0.52941176470588236</v>
      </c>
    </row>
    <row r="1060" spans="1:10" x14ac:dyDescent="0.3">
      <c r="A1060" s="33">
        <v>1059</v>
      </c>
      <c r="B1060" s="4">
        <v>23</v>
      </c>
      <c r="C1060" s="15">
        <v>262</v>
      </c>
      <c r="D1060" s="16">
        <v>5</v>
      </c>
      <c r="E1060" s="22">
        <v>44041</v>
      </c>
      <c r="F1060" s="17">
        <v>80</v>
      </c>
      <c r="G1060" s="18">
        <v>0.12</v>
      </c>
      <c r="H1060">
        <f>F1060*VLOOKUP(B1060,產品!$A$2:$H$61,7,FALSE)*(1-銷售總表!G1060)</f>
        <v>126720</v>
      </c>
      <c r="I1060" s="35">
        <f>H1060-F1060*VLOOKUP(銷售總表!B1060,產品!$A$2:$H$61,8,FALSE)</f>
        <v>69120</v>
      </c>
      <c r="J1060" s="20">
        <f t="shared" si="16"/>
        <v>0.54545454545454541</v>
      </c>
    </row>
    <row r="1061" spans="1:10" x14ac:dyDescent="0.3">
      <c r="A1061" s="33">
        <v>1060</v>
      </c>
      <c r="B1061" s="4">
        <v>6</v>
      </c>
      <c r="C1061" s="15">
        <v>259</v>
      </c>
      <c r="D1061" s="16">
        <v>6</v>
      </c>
      <c r="E1061" s="22">
        <v>44041</v>
      </c>
      <c r="F1061" s="17">
        <v>100</v>
      </c>
      <c r="G1061" s="18">
        <v>0.14000000000000001</v>
      </c>
      <c r="H1061">
        <f>F1061*VLOOKUP(B1061,產品!$A$2:$H$61,7,FALSE)*(1-銷售總表!G1061)</f>
        <v>86000</v>
      </c>
      <c r="I1061" s="35">
        <f>H1061-F1061*VLOOKUP(銷售總表!B1061,產品!$A$2:$H$61,8,FALSE)</f>
        <v>46000</v>
      </c>
      <c r="J1061" s="20">
        <f t="shared" si="16"/>
        <v>0.53488372093023251</v>
      </c>
    </row>
    <row r="1062" spans="1:10" x14ac:dyDescent="0.3">
      <c r="A1062" s="33">
        <v>1061</v>
      </c>
      <c r="B1062" s="4">
        <v>10</v>
      </c>
      <c r="C1062" s="15">
        <v>1</v>
      </c>
      <c r="D1062" s="16">
        <v>3</v>
      </c>
      <c r="E1062" s="22">
        <v>44041</v>
      </c>
      <c r="F1062" s="17">
        <v>20</v>
      </c>
      <c r="G1062" s="18">
        <v>0.18</v>
      </c>
      <c r="H1062">
        <f>F1062*VLOOKUP(B1062,產品!$A$2:$H$61,7,FALSE)*(1-銷售總表!G1062)</f>
        <v>16400</v>
      </c>
      <c r="I1062" s="35">
        <f>H1062-F1062*VLOOKUP(銷售總表!B1062,產品!$A$2:$H$61,8,FALSE)</f>
        <v>8400</v>
      </c>
      <c r="J1062" s="20">
        <f t="shared" si="16"/>
        <v>0.51219512195121952</v>
      </c>
    </row>
    <row r="1063" spans="1:10" x14ac:dyDescent="0.3">
      <c r="A1063" s="33">
        <v>1062</v>
      </c>
      <c r="B1063" s="4">
        <v>12</v>
      </c>
      <c r="C1063" s="15">
        <v>274</v>
      </c>
      <c r="D1063" s="16">
        <v>7</v>
      </c>
      <c r="E1063" s="22">
        <v>44042</v>
      </c>
      <c r="F1063" s="19">
        <v>200</v>
      </c>
      <c r="G1063" s="18">
        <v>0.05</v>
      </c>
      <c r="H1063">
        <f>F1063*VLOOKUP(B1063,產品!$A$2:$H$61,7,FALSE)*(1-銷售總表!G1063)</f>
        <v>190000</v>
      </c>
      <c r="I1063" s="35">
        <f>H1063-F1063*VLOOKUP(銷售總表!B1063,產品!$A$2:$H$61,8,FALSE)</f>
        <v>110000</v>
      </c>
      <c r="J1063" s="20">
        <f t="shared" si="16"/>
        <v>0.57894736842105265</v>
      </c>
    </row>
    <row r="1064" spans="1:10" x14ac:dyDescent="0.3">
      <c r="A1064" s="33">
        <v>1063</v>
      </c>
      <c r="B1064" s="4">
        <v>7</v>
      </c>
      <c r="C1064" s="15">
        <v>4</v>
      </c>
      <c r="D1064" s="16">
        <v>6</v>
      </c>
      <c r="E1064" s="22">
        <v>44042</v>
      </c>
      <c r="F1064" s="17">
        <v>225</v>
      </c>
      <c r="G1064" s="18">
        <v>0.2</v>
      </c>
      <c r="H1064">
        <f>F1064*VLOOKUP(B1064,產品!$A$2:$H$61,7,FALSE)*(1-銷售總表!G1064)</f>
        <v>180000</v>
      </c>
      <c r="I1064" s="35">
        <f>H1064-F1064*VLOOKUP(銷售總表!B1064,產品!$A$2:$H$61,8,FALSE)</f>
        <v>90000</v>
      </c>
      <c r="J1064" s="20">
        <f t="shared" si="16"/>
        <v>0.5</v>
      </c>
    </row>
    <row r="1065" spans="1:10" x14ac:dyDescent="0.3">
      <c r="A1065" s="33">
        <v>1064</v>
      </c>
      <c r="B1065" s="4">
        <v>24</v>
      </c>
      <c r="C1065" s="15">
        <v>136</v>
      </c>
      <c r="D1065" s="16">
        <v>9</v>
      </c>
      <c r="E1065" s="22">
        <v>44042</v>
      </c>
      <c r="F1065" s="17">
        <v>60</v>
      </c>
      <c r="G1065" s="18">
        <v>0.05</v>
      </c>
      <c r="H1065">
        <f>F1065*VLOOKUP(B1065,產品!$A$2:$H$61,7,FALSE)*(1-銷售總表!G1065)</f>
        <v>102600</v>
      </c>
      <c r="I1065" s="35">
        <f>H1065-F1065*VLOOKUP(銷售總表!B1065,產品!$A$2:$H$61,8,FALSE)</f>
        <v>59400</v>
      </c>
      <c r="J1065" s="20">
        <f t="shared" si="16"/>
        <v>0.57894736842105265</v>
      </c>
    </row>
    <row r="1066" spans="1:10" x14ac:dyDescent="0.3">
      <c r="A1066" s="33">
        <v>1065</v>
      </c>
      <c r="B1066" s="4">
        <v>14</v>
      </c>
      <c r="C1066" s="15">
        <v>9</v>
      </c>
      <c r="D1066" s="16">
        <v>3</v>
      </c>
      <c r="E1066" s="22">
        <v>44042</v>
      </c>
      <c r="F1066" s="17">
        <v>60</v>
      </c>
      <c r="G1066" s="18">
        <v>0.18</v>
      </c>
      <c r="H1066">
        <f>F1066*VLOOKUP(B1066,產品!$A$2:$H$61,7,FALSE)*(1-銷售總表!G1066)</f>
        <v>88560</v>
      </c>
      <c r="I1066" s="35">
        <f>H1066-F1066*VLOOKUP(銷售總表!B1066,產品!$A$2:$H$61,8,FALSE)</f>
        <v>45360</v>
      </c>
      <c r="J1066" s="20">
        <f t="shared" si="16"/>
        <v>0.51219512195121952</v>
      </c>
    </row>
    <row r="1067" spans="1:10" x14ac:dyDescent="0.3">
      <c r="A1067" s="33">
        <v>1066</v>
      </c>
      <c r="B1067" s="4">
        <v>4</v>
      </c>
      <c r="C1067" s="15">
        <v>120</v>
      </c>
      <c r="D1067" s="16">
        <v>1</v>
      </c>
      <c r="E1067" s="22">
        <v>44042</v>
      </c>
      <c r="F1067" s="19">
        <v>40</v>
      </c>
      <c r="G1067" s="18">
        <v>0.13</v>
      </c>
      <c r="H1067">
        <f>F1067*VLOOKUP(B1067,產品!$A$2:$H$61,7,FALSE)*(1-銷售總表!G1067)</f>
        <v>34800</v>
      </c>
      <c r="I1067" s="35">
        <f>H1067-F1067*VLOOKUP(銷售總表!B1067,產品!$A$2:$H$61,8,FALSE)</f>
        <v>18800</v>
      </c>
      <c r="J1067" s="20">
        <f t="shared" si="16"/>
        <v>0.54022988505747127</v>
      </c>
    </row>
    <row r="1068" spans="1:10" x14ac:dyDescent="0.3">
      <c r="A1068" s="33">
        <v>1067</v>
      </c>
      <c r="B1068" s="4">
        <v>1</v>
      </c>
      <c r="C1068" s="15">
        <v>118</v>
      </c>
      <c r="D1068" s="16">
        <v>9</v>
      </c>
      <c r="E1068" s="22">
        <v>44042</v>
      </c>
      <c r="F1068" s="19">
        <v>30</v>
      </c>
      <c r="G1068" s="18">
        <v>0.05</v>
      </c>
      <c r="H1068">
        <f>F1068*VLOOKUP(B1068,產品!$A$2:$H$61,7,FALSE)*(1-銷售總表!G1068)</f>
        <v>28500</v>
      </c>
      <c r="I1068" s="35">
        <f>H1068-F1068*VLOOKUP(銷售總表!B1068,產品!$A$2:$H$61,8,FALSE)</f>
        <v>16500</v>
      </c>
      <c r="J1068" s="20">
        <f t="shared" si="16"/>
        <v>0.57894736842105265</v>
      </c>
    </row>
    <row r="1069" spans="1:10" x14ac:dyDescent="0.3">
      <c r="A1069" s="33">
        <v>1068</v>
      </c>
      <c r="B1069" s="4">
        <v>18</v>
      </c>
      <c r="C1069" s="15">
        <v>120</v>
      </c>
      <c r="D1069" s="16">
        <v>8</v>
      </c>
      <c r="E1069" s="22">
        <v>44043</v>
      </c>
      <c r="F1069" s="17">
        <v>100</v>
      </c>
      <c r="G1069" s="18">
        <v>0.13</v>
      </c>
      <c r="H1069">
        <f>F1069*VLOOKUP(B1069,產品!$A$2:$H$61,7,FALSE)*(1-銷售總表!G1069)</f>
        <v>156600</v>
      </c>
      <c r="I1069" s="35">
        <f>H1069-F1069*VLOOKUP(銷售總表!B1069,產品!$A$2:$H$61,8,FALSE)</f>
        <v>84600</v>
      </c>
      <c r="J1069" s="20">
        <f t="shared" si="16"/>
        <v>0.54022988505747127</v>
      </c>
    </row>
    <row r="1070" spans="1:10" x14ac:dyDescent="0.3">
      <c r="A1070" s="33">
        <v>1069</v>
      </c>
      <c r="B1070" s="4">
        <v>44</v>
      </c>
      <c r="C1070" s="15">
        <v>5</v>
      </c>
      <c r="D1070" s="16">
        <v>2</v>
      </c>
      <c r="E1070" s="22">
        <v>44043</v>
      </c>
      <c r="F1070" s="19">
        <v>8</v>
      </c>
      <c r="G1070" s="18">
        <v>0.06</v>
      </c>
      <c r="H1070">
        <f>F1070*VLOOKUP(B1070,產品!$A$2:$H$61,7,FALSE)*(1-銷售總表!G1070)</f>
        <v>150400</v>
      </c>
      <c r="I1070" s="35">
        <f>H1070-F1070*VLOOKUP(銷售總表!B1070,產品!$A$2:$H$61,8,FALSE)</f>
        <v>46400</v>
      </c>
      <c r="J1070" s="20">
        <f t="shared" si="16"/>
        <v>0.30851063829787234</v>
      </c>
    </row>
    <row r="1071" spans="1:10" x14ac:dyDescent="0.3">
      <c r="A1071" s="33">
        <v>1070</v>
      </c>
      <c r="B1071" s="4">
        <v>7</v>
      </c>
      <c r="C1071" s="15">
        <v>3</v>
      </c>
      <c r="D1071" s="16">
        <v>4</v>
      </c>
      <c r="E1071" s="22">
        <v>44043</v>
      </c>
      <c r="F1071" s="19">
        <v>90</v>
      </c>
      <c r="G1071" s="18">
        <v>0.16</v>
      </c>
      <c r="H1071">
        <f>F1071*VLOOKUP(B1071,產品!$A$2:$H$61,7,FALSE)*(1-銷售總表!G1071)</f>
        <v>75600</v>
      </c>
      <c r="I1071" s="35">
        <f>H1071-F1071*VLOOKUP(銷售總表!B1071,產品!$A$2:$H$61,8,FALSE)</f>
        <v>39600</v>
      </c>
      <c r="J1071" s="20">
        <f t="shared" si="16"/>
        <v>0.52380952380952384</v>
      </c>
    </row>
    <row r="1072" spans="1:10" x14ac:dyDescent="0.3">
      <c r="A1072" s="33">
        <v>1071</v>
      </c>
      <c r="B1072" s="4">
        <v>12</v>
      </c>
      <c r="C1072" s="15">
        <v>261</v>
      </c>
      <c r="D1072" s="16">
        <v>3</v>
      </c>
      <c r="E1072" s="22">
        <v>44043</v>
      </c>
      <c r="F1072" s="19">
        <v>30</v>
      </c>
      <c r="G1072" s="18">
        <v>7.0000000000000007E-2</v>
      </c>
      <c r="H1072">
        <f>F1072*VLOOKUP(B1072,產品!$A$2:$H$61,7,FALSE)*(1-銷售總表!G1072)</f>
        <v>27899.999999999996</v>
      </c>
      <c r="I1072" s="35">
        <f>H1072-F1072*VLOOKUP(銷售總表!B1072,產品!$A$2:$H$61,8,FALSE)</f>
        <v>15899.999999999996</v>
      </c>
      <c r="J1072" s="20">
        <f t="shared" si="16"/>
        <v>0.56989247311827951</v>
      </c>
    </row>
    <row r="1073" spans="1:10" x14ac:dyDescent="0.3">
      <c r="A1073" s="33">
        <v>1072</v>
      </c>
      <c r="B1073" s="4">
        <v>24</v>
      </c>
      <c r="C1073" s="15">
        <v>285</v>
      </c>
      <c r="D1073" s="16">
        <v>9</v>
      </c>
      <c r="E1073" s="22">
        <v>44043</v>
      </c>
      <c r="F1073" s="17">
        <v>10</v>
      </c>
      <c r="G1073" s="18">
        <v>0.2</v>
      </c>
      <c r="H1073">
        <f>F1073*VLOOKUP(B1073,產品!$A$2:$H$61,7,FALSE)*(1-銷售總表!G1073)</f>
        <v>14400</v>
      </c>
      <c r="I1073" s="35">
        <f>H1073-F1073*VLOOKUP(銷售總表!B1073,產品!$A$2:$H$61,8,FALSE)</f>
        <v>7200</v>
      </c>
      <c r="J1073" s="20">
        <f t="shared" si="16"/>
        <v>0.5</v>
      </c>
    </row>
    <row r="1074" spans="1:10" x14ac:dyDescent="0.3">
      <c r="A1074" s="33">
        <v>1073</v>
      </c>
      <c r="B1074" s="4">
        <v>59</v>
      </c>
      <c r="C1074" s="15">
        <v>263</v>
      </c>
      <c r="D1074" s="16">
        <v>9</v>
      </c>
      <c r="E1074" s="22">
        <v>44043</v>
      </c>
      <c r="F1074" s="17">
        <v>1</v>
      </c>
      <c r="G1074" s="18">
        <v>0.12</v>
      </c>
      <c r="H1074">
        <f>F1074*VLOOKUP(B1074,產品!$A$2:$H$61,7,FALSE)*(1-銷售總表!G1074)</f>
        <v>21120</v>
      </c>
      <c r="I1074" s="35">
        <f>H1074-F1074*VLOOKUP(銷售總表!B1074,產品!$A$2:$H$61,8,FALSE)</f>
        <v>4320</v>
      </c>
      <c r="J1074" s="20">
        <f t="shared" si="16"/>
        <v>0.20454545454545456</v>
      </c>
    </row>
    <row r="1075" spans="1:10" x14ac:dyDescent="0.3">
      <c r="A1075" s="33">
        <v>1074</v>
      </c>
      <c r="B1075" s="4">
        <v>34</v>
      </c>
      <c r="C1075" s="15">
        <v>122</v>
      </c>
      <c r="D1075" s="16">
        <v>8</v>
      </c>
      <c r="E1075" s="22">
        <v>44044</v>
      </c>
      <c r="F1075" s="19">
        <v>20</v>
      </c>
      <c r="G1075" s="18">
        <v>0.19</v>
      </c>
      <c r="H1075">
        <f>F1075*VLOOKUP(B1075,產品!$A$2:$H$61,7,FALSE)*(1-銷售總表!G1075)</f>
        <v>129600.00000000001</v>
      </c>
      <c r="I1075" s="35">
        <f>H1075-F1075*VLOOKUP(銷售總表!B1075,產品!$A$2:$H$61,8,FALSE)</f>
        <v>33600.000000000015</v>
      </c>
      <c r="J1075" s="20">
        <f t="shared" si="16"/>
        <v>0.25925925925925936</v>
      </c>
    </row>
    <row r="1076" spans="1:10" x14ac:dyDescent="0.3">
      <c r="A1076" s="33">
        <v>1075</v>
      </c>
      <c r="B1076" s="4">
        <v>38</v>
      </c>
      <c r="C1076" s="15">
        <v>273</v>
      </c>
      <c r="D1076" s="16">
        <v>9</v>
      </c>
      <c r="E1076" s="22">
        <v>44044</v>
      </c>
      <c r="F1076" s="19">
        <v>8</v>
      </c>
      <c r="G1076" s="18">
        <v>0.08</v>
      </c>
      <c r="H1076">
        <f>F1076*VLOOKUP(B1076,產品!$A$2:$H$61,7,FALSE)*(1-銷售總表!G1076)</f>
        <v>110400</v>
      </c>
      <c r="I1076" s="35">
        <f>H1076-F1076*VLOOKUP(銷售總表!B1076,產品!$A$2:$H$61,8,FALSE)</f>
        <v>32400</v>
      </c>
      <c r="J1076" s="20">
        <f t="shared" si="16"/>
        <v>0.29347826086956524</v>
      </c>
    </row>
    <row r="1077" spans="1:10" x14ac:dyDescent="0.3">
      <c r="A1077" s="33">
        <v>1076</v>
      </c>
      <c r="B1077" s="4">
        <v>12</v>
      </c>
      <c r="C1077" s="15">
        <v>9</v>
      </c>
      <c r="D1077" s="16">
        <v>3</v>
      </c>
      <c r="E1077" s="22">
        <v>44044</v>
      </c>
      <c r="F1077" s="17">
        <v>50</v>
      </c>
      <c r="G1077" s="18">
        <v>0.09</v>
      </c>
      <c r="H1077">
        <f>F1077*VLOOKUP(B1077,產品!$A$2:$H$61,7,FALSE)*(1-銷售總表!G1077)</f>
        <v>45500</v>
      </c>
      <c r="I1077" s="35">
        <f>H1077-F1077*VLOOKUP(銷售總表!B1077,產品!$A$2:$H$61,8,FALSE)</f>
        <v>25500</v>
      </c>
      <c r="J1077" s="20">
        <f t="shared" si="16"/>
        <v>0.56043956043956045</v>
      </c>
    </row>
    <row r="1078" spans="1:10" x14ac:dyDescent="0.3">
      <c r="A1078" s="33">
        <v>1077</v>
      </c>
      <c r="B1078" s="4">
        <v>39</v>
      </c>
      <c r="C1078" s="15">
        <v>121</v>
      </c>
      <c r="D1078" s="16">
        <v>8</v>
      </c>
      <c r="E1078" s="22">
        <v>44044</v>
      </c>
      <c r="F1078" s="19">
        <v>4</v>
      </c>
      <c r="G1078" s="18">
        <v>0.06</v>
      </c>
      <c r="H1078">
        <f>F1078*VLOOKUP(B1078,產品!$A$2:$H$61,7,FALSE)*(1-銷售總表!G1078)</f>
        <v>67680</v>
      </c>
      <c r="I1078" s="35">
        <f>H1078-F1078*VLOOKUP(銷售總表!B1078,產品!$A$2:$H$61,8,FALSE)</f>
        <v>20880</v>
      </c>
      <c r="J1078" s="20">
        <f t="shared" si="16"/>
        <v>0.30851063829787234</v>
      </c>
    </row>
    <row r="1079" spans="1:10" x14ac:dyDescent="0.3">
      <c r="A1079" s="33">
        <v>1078</v>
      </c>
      <c r="B1079" s="4">
        <v>23</v>
      </c>
      <c r="C1079" s="15">
        <v>282</v>
      </c>
      <c r="D1079" s="16">
        <v>9</v>
      </c>
      <c r="E1079" s="22">
        <v>44045</v>
      </c>
      <c r="F1079" s="17">
        <v>50</v>
      </c>
      <c r="G1079" s="18">
        <v>0.12</v>
      </c>
      <c r="H1079">
        <f>F1079*VLOOKUP(B1079,產品!$A$2:$H$61,7,FALSE)*(1-銷售總表!G1079)</f>
        <v>79200</v>
      </c>
      <c r="I1079" s="35">
        <f>H1079-F1079*VLOOKUP(銷售總表!B1079,產品!$A$2:$H$61,8,FALSE)</f>
        <v>43200</v>
      </c>
      <c r="J1079" s="20">
        <f t="shared" si="16"/>
        <v>0.54545454545454541</v>
      </c>
    </row>
    <row r="1080" spans="1:10" x14ac:dyDescent="0.3">
      <c r="A1080" s="33">
        <v>1079</v>
      </c>
      <c r="B1080" s="4">
        <v>57</v>
      </c>
      <c r="C1080" s="15">
        <v>271</v>
      </c>
      <c r="D1080" s="16">
        <v>10</v>
      </c>
      <c r="E1080" s="22">
        <v>44045</v>
      </c>
      <c r="F1080" s="17">
        <v>6</v>
      </c>
      <c r="G1080" s="18">
        <v>7.0000000000000007E-2</v>
      </c>
      <c r="H1080">
        <f>F1080*VLOOKUP(B1080,產品!$A$2:$H$61,7,FALSE)*(1-銷售總表!G1080)</f>
        <v>100440</v>
      </c>
      <c r="I1080" s="35">
        <f>H1080-F1080*VLOOKUP(銷售總表!B1080,產品!$A$2:$H$61,8,FALSE)</f>
        <v>24840</v>
      </c>
      <c r="J1080" s="20">
        <f t="shared" si="16"/>
        <v>0.24731182795698925</v>
      </c>
    </row>
    <row r="1081" spans="1:10" x14ac:dyDescent="0.3">
      <c r="A1081" s="33">
        <v>1080</v>
      </c>
      <c r="B1081" s="4">
        <v>52</v>
      </c>
      <c r="C1081" s="15">
        <v>3</v>
      </c>
      <c r="D1081" s="16">
        <v>4</v>
      </c>
      <c r="E1081" s="22">
        <v>44045</v>
      </c>
      <c r="F1081" s="17">
        <v>8</v>
      </c>
      <c r="G1081" s="18">
        <v>0.2</v>
      </c>
      <c r="H1081">
        <f>F1081*VLOOKUP(B1081,產品!$A$2:$H$61,7,FALSE)*(1-銷售總表!G1081)</f>
        <v>140800</v>
      </c>
      <c r="I1081" s="35">
        <f>H1081-F1081*VLOOKUP(銷售總表!B1081,產品!$A$2:$H$61,8,FALSE)</f>
        <v>17600.000000000015</v>
      </c>
      <c r="J1081" s="20">
        <f t="shared" si="16"/>
        <v>0.12500000000000011</v>
      </c>
    </row>
    <row r="1082" spans="1:10" x14ac:dyDescent="0.3">
      <c r="A1082" s="33">
        <v>1081</v>
      </c>
      <c r="B1082" s="4">
        <v>27</v>
      </c>
      <c r="C1082" s="15">
        <v>289</v>
      </c>
      <c r="D1082" s="16">
        <v>1</v>
      </c>
      <c r="E1082" s="22">
        <v>44045</v>
      </c>
      <c r="F1082" s="17">
        <v>2</v>
      </c>
      <c r="G1082" s="18">
        <v>0.19</v>
      </c>
      <c r="H1082">
        <f>F1082*VLOOKUP(B1082,產品!$A$2:$H$61,7,FALSE)*(1-銷售總表!G1082)</f>
        <v>11340</v>
      </c>
      <c r="I1082" s="35">
        <f>H1082-F1082*VLOOKUP(銷售總表!B1082,產品!$A$2:$H$61,8,FALSE)</f>
        <v>2940</v>
      </c>
      <c r="J1082" s="20">
        <f t="shared" si="16"/>
        <v>0.25925925925925924</v>
      </c>
    </row>
    <row r="1083" spans="1:10" x14ac:dyDescent="0.3">
      <c r="A1083" s="33">
        <v>1082</v>
      </c>
      <c r="B1083" s="4">
        <v>26</v>
      </c>
      <c r="C1083" s="15">
        <v>11</v>
      </c>
      <c r="D1083" s="16">
        <v>6</v>
      </c>
      <c r="E1083" s="22">
        <v>44045</v>
      </c>
      <c r="F1083" s="17">
        <v>2</v>
      </c>
      <c r="G1083" s="18">
        <v>0.09</v>
      </c>
      <c r="H1083">
        <f>F1083*VLOOKUP(B1083,產品!$A$2:$H$61,7,FALSE)*(1-銷售總表!G1083)</f>
        <v>11830</v>
      </c>
      <c r="I1083" s="35">
        <f>H1083-F1083*VLOOKUP(銷售總表!B1083,產品!$A$2:$H$61,8,FALSE)</f>
        <v>4030</v>
      </c>
      <c r="J1083" s="20">
        <f t="shared" si="16"/>
        <v>0.34065934065934067</v>
      </c>
    </row>
    <row r="1084" spans="1:10" x14ac:dyDescent="0.3">
      <c r="A1084" s="33">
        <v>1083</v>
      </c>
      <c r="B1084" s="4">
        <v>16</v>
      </c>
      <c r="C1084" s="15">
        <v>123</v>
      </c>
      <c r="D1084" s="16">
        <v>7</v>
      </c>
      <c r="E1084" s="22">
        <v>44046</v>
      </c>
      <c r="F1084" s="17">
        <v>100</v>
      </c>
      <c r="G1084" s="18">
        <v>0.19</v>
      </c>
      <c r="H1084">
        <f>F1084*VLOOKUP(B1084,產品!$A$2:$H$61,7,FALSE)*(1-銷售總表!G1084)</f>
        <v>145800</v>
      </c>
      <c r="I1084" s="35">
        <f>H1084-F1084*VLOOKUP(銷售總表!B1084,產品!$A$2:$H$61,8,FALSE)</f>
        <v>73800</v>
      </c>
      <c r="J1084" s="20">
        <f t="shared" si="16"/>
        <v>0.50617283950617287</v>
      </c>
    </row>
    <row r="1085" spans="1:10" x14ac:dyDescent="0.3">
      <c r="A1085" s="33">
        <v>1084</v>
      </c>
      <c r="B1085" s="4">
        <v>55</v>
      </c>
      <c r="C1085" s="15">
        <v>9</v>
      </c>
      <c r="D1085" s="16">
        <v>9</v>
      </c>
      <c r="E1085" s="22">
        <v>44046</v>
      </c>
      <c r="F1085" s="17">
        <v>15</v>
      </c>
      <c r="G1085" s="18">
        <v>0.1</v>
      </c>
      <c r="H1085">
        <f>F1085*VLOOKUP(B1085,產品!$A$2:$H$61,7,FALSE)*(1-銷售總表!G1085)</f>
        <v>270000</v>
      </c>
      <c r="I1085" s="35">
        <f>H1085-F1085*VLOOKUP(銷售總表!B1085,產品!$A$2:$H$61,8,FALSE)</f>
        <v>60000</v>
      </c>
      <c r="J1085" s="20">
        <f t="shared" si="16"/>
        <v>0.22222222222222221</v>
      </c>
    </row>
    <row r="1086" spans="1:10" x14ac:dyDescent="0.3">
      <c r="A1086" s="33">
        <v>1085</v>
      </c>
      <c r="B1086" s="4">
        <v>45</v>
      </c>
      <c r="C1086" s="15">
        <v>122</v>
      </c>
      <c r="D1086" s="16">
        <v>7</v>
      </c>
      <c r="E1086" s="22">
        <v>44046</v>
      </c>
      <c r="F1086" s="17">
        <v>15</v>
      </c>
      <c r="G1086" s="18">
        <v>0.16</v>
      </c>
      <c r="H1086">
        <f>F1086*VLOOKUP(B1086,產品!$A$2:$H$61,7,FALSE)*(1-銷售總表!G1086)</f>
        <v>176400</v>
      </c>
      <c r="I1086" s="35">
        <f>H1086-F1086*VLOOKUP(銷售總表!B1086,產品!$A$2:$H$61,8,FALSE)</f>
        <v>39900</v>
      </c>
      <c r="J1086" s="20">
        <f t="shared" si="16"/>
        <v>0.22619047619047619</v>
      </c>
    </row>
    <row r="1087" spans="1:10" x14ac:dyDescent="0.3">
      <c r="A1087" s="33">
        <v>1086</v>
      </c>
      <c r="B1087" s="4">
        <v>60</v>
      </c>
      <c r="C1087" s="15">
        <v>288</v>
      </c>
      <c r="D1087" s="16">
        <v>2</v>
      </c>
      <c r="E1087" s="22">
        <v>44046</v>
      </c>
      <c r="F1087" s="17">
        <v>9</v>
      </c>
      <c r="G1087" s="18">
        <v>0.19</v>
      </c>
      <c r="H1087">
        <f>F1087*VLOOKUP(B1087,產品!$A$2:$H$61,7,FALSE)*(1-銷售總表!G1087)</f>
        <v>182250</v>
      </c>
      <c r="I1087" s="35">
        <f>H1087-F1087*VLOOKUP(銷售總表!B1087,產品!$A$2:$H$61,8,FALSE)</f>
        <v>24750</v>
      </c>
      <c r="J1087" s="20">
        <f t="shared" si="16"/>
        <v>0.13580246913580246</v>
      </c>
    </row>
    <row r="1088" spans="1:10" x14ac:dyDescent="0.3">
      <c r="A1088" s="33">
        <v>1087</v>
      </c>
      <c r="B1088" s="4">
        <v>27</v>
      </c>
      <c r="C1088" s="15">
        <v>277</v>
      </c>
      <c r="D1088" s="16">
        <v>6</v>
      </c>
      <c r="E1088" s="22">
        <v>44046</v>
      </c>
      <c r="F1088" s="17">
        <v>9</v>
      </c>
      <c r="G1088" s="18">
        <v>0.05</v>
      </c>
      <c r="H1088">
        <f>F1088*VLOOKUP(B1088,產品!$A$2:$H$61,7,FALSE)*(1-銷售總表!G1088)</f>
        <v>59850</v>
      </c>
      <c r="I1088" s="35">
        <f>H1088-F1088*VLOOKUP(銷售總表!B1088,產品!$A$2:$H$61,8,FALSE)</f>
        <v>22050</v>
      </c>
      <c r="J1088" s="20">
        <f t="shared" si="16"/>
        <v>0.36842105263157893</v>
      </c>
    </row>
    <row r="1089" spans="1:10" x14ac:dyDescent="0.3">
      <c r="A1089" s="33">
        <v>1088</v>
      </c>
      <c r="B1089" s="4">
        <v>27</v>
      </c>
      <c r="C1089" s="15">
        <v>11</v>
      </c>
      <c r="D1089" s="16">
        <v>4</v>
      </c>
      <c r="E1089" s="22">
        <v>44046</v>
      </c>
      <c r="F1089" s="19">
        <v>7</v>
      </c>
      <c r="G1089" s="18">
        <v>0.19</v>
      </c>
      <c r="H1089">
        <f>F1089*VLOOKUP(B1089,產品!$A$2:$H$61,7,FALSE)*(1-銷售總表!G1089)</f>
        <v>39690</v>
      </c>
      <c r="I1089" s="35">
        <f>H1089-F1089*VLOOKUP(銷售總表!B1089,產品!$A$2:$H$61,8,FALSE)</f>
        <v>10290</v>
      </c>
      <c r="J1089" s="20">
        <f t="shared" si="16"/>
        <v>0.25925925925925924</v>
      </c>
    </row>
    <row r="1090" spans="1:10" x14ac:dyDescent="0.3">
      <c r="A1090" s="33">
        <v>1089</v>
      </c>
      <c r="B1090" s="4">
        <v>24</v>
      </c>
      <c r="C1090" s="15">
        <v>285</v>
      </c>
      <c r="D1090" s="16">
        <v>7</v>
      </c>
      <c r="E1090" s="22">
        <v>44046</v>
      </c>
      <c r="F1090" s="17">
        <v>12</v>
      </c>
      <c r="G1090" s="18">
        <v>0.15</v>
      </c>
      <c r="H1090">
        <f>F1090*VLOOKUP(B1090,產品!$A$2:$H$61,7,FALSE)*(1-銷售總表!G1090)</f>
        <v>18360</v>
      </c>
      <c r="I1090" s="35">
        <f>H1090-F1090*VLOOKUP(銷售總表!B1090,產品!$A$2:$H$61,8,FALSE)</f>
        <v>9720</v>
      </c>
      <c r="J1090" s="20">
        <f t="shared" si="16"/>
        <v>0.52941176470588236</v>
      </c>
    </row>
    <row r="1091" spans="1:10" x14ac:dyDescent="0.3">
      <c r="A1091" s="33">
        <v>1090</v>
      </c>
      <c r="B1091" s="4">
        <v>45</v>
      </c>
      <c r="C1091" s="15">
        <v>118</v>
      </c>
      <c r="D1091" s="16">
        <v>1</v>
      </c>
      <c r="E1091" s="22">
        <v>44046</v>
      </c>
      <c r="F1091" s="17">
        <v>1</v>
      </c>
      <c r="G1091" s="18">
        <v>0.11</v>
      </c>
      <c r="H1091">
        <f>F1091*VLOOKUP(B1091,產品!$A$2:$H$61,7,FALSE)*(1-銷售總表!G1091)</f>
        <v>12460</v>
      </c>
      <c r="I1091" s="35">
        <f>H1091-F1091*VLOOKUP(銷售總表!B1091,產品!$A$2:$H$61,8,FALSE)</f>
        <v>3360</v>
      </c>
      <c r="J1091" s="20">
        <f t="shared" ref="J1091:J1154" si="17">I1091/H1091</f>
        <v>0.2696629213483146</v>
      </c>
    </row>
    <row r="1092" spans="1:10" x14ac:dyDescent="0.3">
      <c r="A1092" s="33">
        <v>1091</v>
      </c>
      <c r="B1092" s="4">
        <v>19</v>
      </c>
      <c r="C1092" s="15">
        <v>277</v>
      </c>
      <c r="D1092" s="16">
        <v>2</v>
      </c>
      <c r="E1092" s="22">
        <v>44047</v>
      </c>
      <c r="F1092" s="19">
        <v>150</v>
      </c>
      <c r="G1092" s="18">
        <v>0.13</v>
      </c>
      <c r="H1092">
        <f>F1092*VLOOKUP(B1092,產品!$A$2:$H$61,7,FALSE)*(1-銷售總表!G1092)</f>
        <v>234900</v>
      </c>
      <c r="I1092" s="35">
        <f>H1092-F1092*VLOOKUP(銷售總表!B1092,產品!$A$2:$H$61,8,FALSE)</f>
        <v>126900</v>
      </c>
      <c r="J1092" s="20">
        <f t="shared" si="17"/>
        <v>0.54022988505747127</v>
      </c>
    </row>
    <row r="1093" spans="1:10" x14ac:dyDescent="0.3">
      <c r="A1093" s="33">
        <v>1092</v>
      </c>
      <c r="B1093" s="4">
        <v>51</v>
      </c>
      <c r="C1093" s="15">
        <v>10</v>
      </c>
      <c r="D1093" s="16">
        <v>10</v>
      </c>
      <c r="E1093" s="22">
        <v>44047</v>
      </c>
      <c r="F1093" s="17">
        <v>15</v>
      </c>
      <c r="G1093" s="18">
        <v>0.17</v>
      </c>
      <c r="H1093">
        <f>F1093*VLOOKUP(B1093,產品!$A$2:$H$61,7,FALSE)*(1-銷售總表!G1093)</f>
        <v>249000</v>
      </c>
      <c r="I1093" s="35">
        <f>H1093-F1093*VLOOKUP(銷售總表!B1093,產品!$A$2:$H$61,8,FALSE)</f>
        <v>39000</v>
      </c>
      <c r="J1093" s="20">
        <f t="shared" si="17"/>
        <v>0.15662650602409639</v>
      </c>
    </row>
    <row r="1094" spans="1:10" x14ac:dyDescent="0.3">
      <c r="A1094" s="33">
        <v>1093</v>
      </c>
      <c r="B1094" s="4">
        <v>4</v>
      </c>
      <c r="C1094" s="15">
        <v>12</v>
      </c>
      <c r="D1094" s="16">
        <v>4</v>
      </c>
      <c r="E1094" s="22">
        <v>44047</v>
      </c>
      <c r="F1094" s="19">
        <v>50</v>
      </c>
      <c r="G1094" s="18">
        <v>0.06</v>
      </c>
      <c r="H1094">
        <f>F1094*VLOOKUP(B1094,產品!$A$2:$H$61,7,FALSE)*(1-銷售總表!G1094)</f>
        <v>47000</v>
      </c>
      <c r="I1094" s="35">
        <f>H1094-F1094*VLOOKUP(銷售總表!B1094,產品!$A$2:$H$61,8,FALSE)</f>
        <v>27000</v>
      </c>
      <c r="J1094" s="20">
        <f t="shared" si="17"/>
        <v>0.57446808510638303</v>
      </c>
    </row>
    <row r="1095" spans="1:10" x14ac:dyDescent="0.3">
      <c r="A1095" s="33">
        <v>1094</v>
      </c>
      <c r="B1095" s="4">
        <v>1</v>
      </c>
      <c r="C1095" s="15">
        <v>257</v>
      </c>
      <c r="D1095" s="16">
        <v>6</v>
      </c>
      <c r="E1095" s="22">
        <v>44047</v>
      </c>
      <c r="F1095" s="17">
        <v>60</v>
      </c>
      <c r="G1095" s="18">
        <v>0.19</v>
      </c>
      <c r="H1095">
        <f>F1095*VLOOKUP(B1095,產品!$A$2:$H$61,7,FALSE)*(1-銷售總表!G1095)</f>
        <v>48600</v>
      </c>
      <c r="I1095" s="35">
        <f>H1095-F1095*VLOOKUP(銷售總表!B1095,產品!$A$2:$H$61,8,FALSE)</f>
        <v>24600</v>
      </c>
      <c r="J1095" s="20">
        <f t="shared" si="17"/>
        <v>0.50617283950617287</v>
      </c>
    </row>
    <row r="1096" spans="1:10" x14ac:dyDescent="0.3">
      <c r="A1096" s="33">
        <v>1095</v>
      </c>
      <c r="B1096" s="4">
        <v>17</v>
      </c>
      <c r="C1096" s="15">
        <v>116</v>
      </c>
      <c r="D1096" s="16">
        <v>6</v>
      </c>
      <c r="E1096" s="22">
        <v>44048</v>
      </c>
      <c r="F1096" s="17">
        <v>100</v>
      </c>
      <c r="G1096" s="18">
        <v>0.16</v>
      </c>
      <c r="H1096">
        <f>F1096*VLOOKUP(B1096,產品!$A$2:$H$61,7,FALSE)*(1-銷售總表!G1096)</f>
        <v>151200</v>
      </c>
      <c r="I1096" s="35">
        <f>H1096-F1096*VLOOKUP(銷售總表!B1096,產品!$A$2:$H$61,8,FALSE)</f>
        <v>79200</v>
      </c>
      <c r="J1096" s="20">
        <f t="shared" si="17"/>
        <v>0.52380952380952384</v>
      </c>
    </row>
    <row r="1097" spans="1:10" x14ac:dyDescent="0.3">
      <c r="A1097" s="33">
        <v>1096</v>
      </c>
      <c r="B1097" s="4">
        <v>9</v>
      </c>
      <c r="C1097" s="15">
        <v>10</v>
      </c>
      <c r="D1097" s="16">
        <v>7</v>
      </c>
      <c r="E1097" s="22">
        <v>44048</v>
      </c>
      <c r="F1097" s="19">
        <v>150</v>
      </c>
      <c r="G1097" s="18">
        <v>0.13</v>
      </c>
      <c r="H1097">
        <f>F1097*VLOOKUP(B1097,產品!$A$2:$H$61,7,FALSE)*(1-銷售總表!G1097)</f>
        <v>130500</v>
      </c>
      <c r="I1097" s="35">
        <f>H1097-F1097*VLOOKUP(銷售總表!B1097,產品!$A$2:$H$61,8,FALSE)</f>
        <v>70500</v>
      </c>
      <c r="J1097" s="20">
        <f t="shared" si="17"/>
        <v>0.54022988505747127</v>
      </c>
    </row>
    <row r="1098" spans="1:10" x14ac:dyDescent="0.3">
      <c r="A1098" s="33">
        <v>1097</v>
      </c>
      <c r="B1098" s="4">
        <v>14</v>
      </c>
      <c r="C1098" s="15">
        <v>7</v>
      </c>
      <c r="D1098" s="16">
        <v>2</v>
      </c>
      <c r="E1098" s="22">
        <v>44048</v>
      </c>
      <c r="F1098" s="17">
        <v>60</v>
      </c>
      <c r="G1098" s="18">
        <v>0.1</v>
      </c>
      <c r="H1098">
        <f>F1098*VLOOKUP(B1098,產品!$A$2:$H$61,7,FALSE)*(1-銷售總表!G1098)</f>
        <v>97200</v>
      </c>
      <c r="I1098" s="35">
        <f>H1098-F1098*VLOOKUP(銷售總表!B1098,產品!$A$2:$H$61,8,FALSE)</f>
        <v>54000</v>
      </c>
      <c r="J1098" s="20">
        <f t="shared" si="17"/>
        <v>0.55555555555555558</v>
      </c>
    </row>
    <row r="1099" spans="1:10" x14ac:dyDescent="0.3">
      <c r="A1099" s="33">
        <v>1098</v>
      </c>
      <c r="B1099" s="4">
        <v>49</v>
      </c>
      <c r="C1099" s="15">
        <v>11</v>
      </c>
      <c r="D1099" s="16">
        <v>4</v>
      </c>
      <c r="E1099" s="22">
        <v>44048</v>
      </c>
      <c r="F1099" s="17">
        <v>15</v>
      </c>
      <c r="G1099" s="18">
        <v>0.1</v>
      </c>
      <c r="H1099">
        <f>F1099*VLOOKUP(B1099,產品!$A$2:$H$61,7,FALSE)*(1-銷售總表!G1099)</f>
        <v>202500</v>
      </c>
      <c r="I1099" s="35">
        <f>H1099-F1099*VLOOKUP(銷售總表!B1099,產品!$A$2:$H$61,8,FALSE)</f>
        <v>45000</v>
      </c>
      <c r="J1099" s="20">
        <f t="shared" si="17"/>
        <v>0.22222222222222221</v>
      </c>
    </row>
    <row r="1100" spans="1:10" x14ac:dyDescent="0.3">
      <c r="A1100" s="33">
        <v>1099</v>
      </c>
      <c r="B1100" s="4">
        <v>60</v>
      </c>
      <c r="C1100" s="15">
        <v>273</v>
      </c>
      <c r="D1100" s="16">
        <v>7</v>
      </c>
      <c r="E1100" s="22">
        <v>44048</v>
      </c>
      <c r="F1100" s="19">
        <v>7</v>
      </c>
      <c r="G1100" s="18">
        <v>0.17</v>
      </c>
      <c r="H1100">
        <f>F1100*VLOOKUP(B1100,產品!$A$2:$H$61,7,FALSE)*(1-銷售總表!G1100)</f>
        <v>145250</v>
      </c>
      <c r="I1100" s="35">
        <f>H1100-F1100*VLOOKUP(銷售總表!B1100,產品!$A$2:$H$61,8,FALSE)</f>
        <v>22750</v>
      </c>
      <c r="J1100" s="20">
        <f t="shared" si="17"/>
        <v>0.15662650602409639</v>
      </c>
    </row>
    <row r="1101" spans="1:10" x14ac:dyDescent="0.3">
      <c r="A1101" s="33">
        <v>1100</v>
      </c>
      <c r="B1101" s="4">
        <v>46</v>
      </c>
      <c r="C1101" s="15">
        <v>283</v>
      </c>
      <c r="D1101" s="16">
        <v>4</v>
      </c>
      <c r="E1101" s="22">
        <v>44048</v>
      </c>
      <c r="F1101" s="19">
        <v>3</v>
      </c>
      <c r="G1101" s="18">
        <v>0.05</v>
      </c>
      <c r="H1101">
        <f>F1101*VLOOKUP(B1101,產品!$A$2:$H$61,7,FALSE)*(1-銷售總表!G1101)</f>
        <v>48450</v>
      </c>
      <c r="I1101" s="35">
        <f>H1101-F1101*VLOOKUP(銷售總表!B1101,產品!$A$2:$H$61,8,FALSE)</f>
        <v>15300</v>
      </c>
      <c r="J1101" s="20">
        <f t="shared" si="17"/>
        <v>0.31578947368421051</v>
      </c>
    </row>
    <row r="1102" spans="1:10" x14ac:dyDescent="0.3">
      <c r="A1102" s="33">
        <v>1101</v>
      </c>
      <c r="B1102" s="4">
        <v>8</v>
      </c>
      <c r="C1102" s="15">
        <v>9</v>
      </c>
      <c r="D1102" s="16">
        <v>3</v>
      </c>
      <c r="E1102" s="22">
        <v>44049</v>
      </c>
      <c r="F1102" s="17">
        <v>90</v>
      </c>
      <c r="G1102" s="18">
        <v>0.17</v>
      </c>
      <c r="H1102">
        <f>F1102*VLOOKUP(B1102,產品!$A$2:$H$61,7,FALSE)*(1-銷售總表!G1102)</f>
        <v>74700</v>
      </c>
      <c r="I1102" s="35">
        <f>H1102-F1102*VLOOKUP(銷售總表!B1102,產品!$A$2:$H$61,8,FALSE)</f>
        <v>38700</v>
      </c>
      <c r="J1102" s="20">
        <f t="shared" si="17"/>
        <v>0.51807228915662651</v>
      </c>
    </row>
    <row r="1103" spans="1:10" x14ac:dyDescent="0.3">
      <c r="A1103" s="33">
        <v>1102</v>
      </c>
      <c r="B1103" s="4">
        <v>45</v>
      </c>
      <c r="C1103" s="15">
        <v>263</v>
      </c>
      <c r="D1103" s="16">
        <v>7</v>
      </c>
      <c r="E1103" s="22">
        <v>44049</v>
      </c>
      <c r="F1103" s="17">
        <v>8</v>
      </c>
      <c r="G1103" s="18">
        <v>0.05</v>
      </c>
      <c r="H1103">
        <f>F1103*VLOOKUP(B1103,產品!$A$2:$H$61,7,FALSE)*(1-銷售總表!G1103)</f>
        <v>106400</v>
      </c>
      <c r="I1103" s="35">
        <f>H1103-F1103*VLOOKUP(銷售總表!B1103,產品!$A$2:$H$61,8,FALSE)</f>
        <v>33600</v>
      </c>
      <c r="J1103" s="20">
        <f t="shared" si="17"/>
        <v>0.31578947368421051</v>
      </c>
    </row>
    <row r="1104" spans="1:10" x14ac:dyDescent="0.3">
      <c r="A1104" s="33">
        <v>1103</v>
      </c>
      <c r="B1104" s="4">
        <v>22</v>
      </c>
      <c r="C1104" s="15">
        <v>280</v>
      </c>
      <c r="D1104" s="16">
        <v>2</v>
      </c>
      <c r="E1104" s="22">
        <v>44050</v>
      </c>
      <c r="F1104" s="17">
        <v>60</v>
      </c>
      <c r="G1104" s="18">
        <v>0.14000000000000001</v>
      </c>
      <c r="H1104">
        <f>F1104*VLOOKUP(B1104,產品!$A$2:$H$61,7,FALSE)*(1-銷售總表!G1104)</f>
        <v>92880</v>
      </c>
      <c r="I1104" s="35">
        <f>H1104-F1104*VLOOKUP(銷售總表!B1104,產品!$A$2:$H$61,8,FALSE)</f>
        <v>49680</v>
      </c>
      <c r="J1104" s="20">
        <f t="shared" si="17"/>
        <v>0.53488372093023251</v>
      </c>
    </row>
    <row r="1105" spans="1:10" x14ac:dyDescent="0.3">
      <c r="A1105" s="33">
        <v>1104</v>
      </c>
      <c r="B1105" s="4">
        <v>47</v>
      </c>
      <c r="C1105" s="15">
        <v>8</v>
      </c>
      <c r="D1105" s="16">
        <v>6</v>
      </c>
      <c r="E1105" s="22">
        <v>44050</v>
      </c>
      <c r="F1105" s="17">
        <v>11</v>
      </c>
      <c r="G1105" s="18">
        <v>0.15</v>
      </c>
      <c r="H1105">
        <f>F1105*VLOOKUP(B1105,產品!$A$2:$H$61,7,FALSE)*(1-銷售總表!G1105)</f>
        <v>187000</v>
      </c>
      <c r="I1105" s="35">
        <f>H1105-F1105*VLOOKUP(銷售總表!B1105,產品!$A$2:$H$61,8,FALSE)</f>
        <v>44000</v>
      </c>
      <c r="J1105" s="20">
        <f t="shared" si="17"/>
        <v>0.23529411764705882</v>
      </c>
    </row>
    <row r="1106" spans="1:10" x14ac:dyDescent="0.3">
      <c r="A1106" s="33">
        <v>1105</v>
      </c>
      <c r="B1106" s="4">
        <v>35</v>
      </c>
      <c r="C1106" s="15">
        <v>267</v>
      </c>
      <c r="D1106" s="16">
        <v>7</v>
      </c>
      <c r="E1106" s="22">
        <v>44051</v>
      </c>
      <c r="F1106" s="19">
        <v>3</v>
      </c>
      <c r="G1106" s="18">
        <v>0.11</v>
      </c>
      <c r="H1106">
        <f>F1106*VLOOKUP(B1106,產品!$A$2:$H$61,7,FALSE)*(1-銷售總表!G1106)</f>
        <v>22695</v>
      </c>
      <c r="I1106" s="35">
        <f>H1106-F1106*VLOOKUP(銷售總表!B1106,產品!$A$2:$H$61,8,FALSE)</f>
        <v>7395</v>
      </c>
      <c r="J1106" s="20">
        <f t="shared" si="17"/>
        <v>0.3258426966292135</v>
      </c>
    </row>
    <row r="1107" spans="1:10" x14ac:dyDescent="0.3">
      <c r="A1107" s="33">
        <v>1106</v>
      </c>
      <c r="B1107" s="4">
        <v>45</v>
      </c>
      <c r="C1107" s="15">
        <v>12</v>
      </c>
      <c r="D1107" s="16">
        <v>1</v>
      </c>
      <c r="E1107" s="22">
        <v>44051</v>
      </c>
      <c r="F1107" s="17">
        <v>2</v>
      </c>
      <c r="G1107" s="18">
        <v>0.16</v>
      </c>
      <c r="H1107">
        <f>F1107*VLOOKUP(B1107,產品!$A$2:$H$61,7,FALSE)*(1-銷售總表!G1107)</f>
        <v>23520</v>
      </c>
      <c r="I1107" s="35">
        <f>H1107-F1107*VLOOKUP(銷售總表!B1107,產品!$A$2:$H$61,8,FALSE)</f>
        <v>5320</v>
      </c>
      <c r="J1107" s="20">
        <f t="shared" si="17"/>
        <v>0.22619047619047619</v>
      </c>
    </row>
    <row r="1108" spans="1:10" x14ac:dyDescent="0.3">
      <c r="A1108" s="33">
        <v>1107</v>
      </c>
      <c r="B1108" s="4">
        <v>49</v>
      </c>
      <c r="C1108" s="15">
        <v>3</v>
      </c>
      <c r="D1108" s="16">
        <v>8</v>
      </c>
      <c r="E1108" s="22">
        <v>44052</v>
      </c>
      <c r="F1108" s="17">
        <v>19</v>
      </c>
      <c r="G1108" s="18">
        <v>0.09</v>
      </c>
      <c r="H1108">
        <f>F1108*VLOOKUP(B1108,產品!$A$2:$H$61,7,FALSE)*(1-銷售總表!G1108)</f>
        <v>259350</v>
      </c>
      <c r="I1108" s="35">
        <f>H1108-F1108*VLOOKUP(銷售總表!B1108,產品!$A$2:$H$61,8,FALSE)</f>
        <v>59850</v>
      </c>
      <c r="J1108" s="20">
        <f t="shared" si="17"/>
        <v>0.23076923076923078</v>
      </c>
    </row>
    <row r="1109" spans="1:10" x14ac:dyDescent="0.3">
      <c r="A1109" s="33">
        <v>1108</v>
      </c>
      <c r="B1109" s="4">
        <v>33</v>
      </c>
      <c r="C1109" s="15">
        <v>284</v>
      </c>
      <c r="D1109" s="16">
        <v>5</v>
      </c>
      <c r="E1109" s="22">
        <v>44052</v>
      </c>
      <c r="F1109" s="17">
        <v>12</v>
      </c>
      <c r="G1109" s="18">
        <v>0.09</v>
      </c>
      <c r="H1109">
        <f>F1109*VLOOKUP(B1109,產品!$A$2:$H$61,7,FALSE)*(1-銷售總表!G1109)</f>
        <v>81900</v>
      </c>
      <c r="I1109" s="35">
        <f>H1109-F1109*VLOOKUP(銷售總表!B1109,產品!$A$2:$H$61,8,FALSE)</f>
        <v>27900</v>
      </c>
      <c r="J1109" s="20">
        <f t="shared" si="17"/>
        <v>0.34065934065934067</v>
      </c>
    </row>
    <row r="1110" spans="1:10" x14ac:dyDescent="0.3">
      <c r="A1110" s="33">
        <v>1109</v>
      </c>
      <c r="B1110" s="4">
        <v>45</v>
      </c>
      <c r="C1110" s="15">
        <v>284</v>
      </c>
      <c r="D1110" s="16">
        <v>1</v>
      </c>
      <c r="E1110" s="22">
        <v>44052</v>
      </c>
      <c r="F1110" s="17">
        <v>5</v>
      </c>
      <c r="G1110" s="18">
        <v>0.1</v>
      </c>
      <c r="H1110">
        <f>F1110*VLOOKUP(B1110,產品!$A$2:$H$61,7,FALSE)*(1-銷售總表!G1110)</f>
        <v>63000</v>
      </c>
      <c r="I1110" s="35">
        <f>H1110-F1110*VLOOKUP(銷售總表!B1110,產品!$A$2:$H$61,8,FALSE)</f>
        <v>17500</v>
      </c>
      <c r="J1110" s="20">
        <f t="shared" si="17"/>
        <v>0.27777777777777779</v>
      </c>
    </row>
    <row r="1111" spans="1:10" x14ac:dyDescent="0.3">
      <c r="A1111" s="33">
        <v>1110</v>
      </c>
      <c r="B1111" s="4">
        <v>23</v>
      </c>
      <c r="C1111" s="15">
        <v>117</v>
      </c>
      <c r="D1111" s="16">
        <v>1</v>
      </c>
      <c r="E1111" s="22">
        <v>44053</v>
      </c>
      <c r="F1111" s="19">
        <v>90</v>
      </c>
      <c r="G1111" s="18">
        <v>0.11</v>
      </c>
      <c r="H1111">
        <f>F1111*VLOOKUP(B1111,產品!$A$2:$H$61,7,FALSE)*(1-銷售總表!G1111)</f>
        <v>144180</v>
      </c>
      <c r="I1111" s="35">
        <f>H1111-F1111*VLOOKUP(銷售總表!B1111,產品!$A$2:$H$61,8,FALSE)</f>
        <v>79380</v>
      </c>
      <c r="J1111" s="20">
        <f t="shared" si="17"/>
        <v>0.550561797752809</v>
      </c>
    </row>
    <row r="1112" spans="1:10" x14ac:dyDescent="0.3">
      <c r="A1112" s="33">
        <v>1111</v>
      </c>
      <c r="B1112" s="4">
        <v>4</v>
      </c>
      <c r="C1112" s="15">
        <v>7</v>
      </c>
      <c r="D1112" s="16">
        <v>2</v>
      </c>
      <c r="E1112" s="22">
        <v>44053</v>
      </c>
      <c r="F1112" s="17">
        <v>40</v>
      </c>
      <c r="G1112" s="18">
        <v>0.15</v>
      </c>
      <c r="H1112">
        <f>F1112*VLOOKUP(B1112,產品!$A$2:$H$61,7,FALSE)*(1-銷售總表!G1112)</f>
        <v>34000</v>
      </c>
      <c r="I1112" s="35">
        <f>H1112-F1112*VLOOKUP(銷售總表!B1112,產品!$A$2:$H$61,8,FALSE)</f>
        <v>18000</v>
      </c>
      <c r="J1112" s="20">
        <f t="shared" si="17"/>
        <v>0.52941176470588236</v>
      </c>
    </row>
    <row r="1113" spans="1:10" x14ac:dyDescent="0.3">
      <c r="A1113" s="33">
        <v>1112</v>
      </c>
      <c r="B1113" s="4">
        <v>46</v>
      </c>
      <c r="C1113" s="15">
        <v>11</v>
      </c>
      <c r="D1113" s="16">
        <v>5</v>
      </c>
      <c r="E1113" s="22">
        <v>44053</v>
      </c>
      <c r="F1113" s="19">
        <v>3</v>
      </c>
      <c r="G1113" s="18">
        <v>0.08</v>
      </c>
      <c r="H1113">
        <f>F1113*VLOOKUP(B1113,產品!$A$2:$H$61,7,FALSE)*(1-銷售總表!G1113)</f>
        <v>46920</v>
      </c>
      <c r="I1113" s="35">
        <f>H1113-F1113*VLOOKUP(銷售總表!B1113,產品!$A$2:$H$61,8,FALSE)</f>
        <v>13770</v>
      </c>
      <c r="J1113" s="20">
        <f t="shared" si="17"/>
        <v>0.29347826086956524</v>
      </c>
    </row>
    <row r="1114" spans="1:10" x14ac:dyDescent="0.3">
      <c r="A1114" s="33">
        <v>1113</v>
      </c>
      <c r="B1114" s="4">
        <v>54</v>
      </c>
      <c r="C1114" s="15">
        <v>10</v>
      </c>
      <c r="D1114" s="16">
        <v>3</v>
      </c>
      <c r="E1114" s="22">
        <v>44053</v>
      </c>
      <c r="F1114" s="17">
        <v>6</v>
      </c>
      <c r="G1114" s="18">
        <v>0.19</v>
      </c>
      <c r="H1114">
        <f>F1114*VLOOKUP(B1114,產品!$A$2:$H$61,7,FALSE)*(1-銷售總表!G1114)</f>
        <v>87480</v>
      </c>
      <c r="I1114" s="35">
        <f>H1114-F1114*VLOOKUP(銷售總表!B1114,產品!$A$2:$H$61,8,FALSE)</f>
        <v>11880</v>
      </c>
      <c r="J1114" s="20">
        <f t="shared" si="17"/>
        <v>0.13580246913580246</v>
      </c>
    </row>
    <row r="1115" spans="1:10" x14ac:dyDescent="0.3">
      <c r="A1115" s="33">
        <v>1114</v>
      </c>
      <c r="B1115" s="4">
        <v>22</v>
      </c>
      <c r="C1115" s="15">
        <v>5</v>
      </c>
      <c r="D1115" s="16">
        <v>1</v>
      </c>
      <c r="E1115" s="22">
        <v>44053</v>
      </c>
      <c r="F1115" s="17">
        <v>10</v>
      </c>
      <c r="G1115" s="18">
        <v>0.19</v>
      </c>
      <c r="H1115">
        <f>F1115*VLOOKUP(B1115,產品!$A$2:$H$61,7,FALSE)*(1-銷售總表!G1115)</f>
        <v>14580.000000000002</v>
      </c>
      <c r="I1115" s="35">
        <f>H1115-F1115*VLOOKUP(銷售總表!B1115,產品!$A$2:$H$61,8,FALSE)</f>
        <v>7380.0000000000018</v>
      </c>
      <c r="J1115" s="20">
        <f t="shared" si="17"/>
        <v>0.50617283950617287</v>
      </c>
    </row>
    <row r="1116" spans="1:10" x14ac:dyDescent="0.3">
      <c r="A1116" s="33">
        <v>1115</v>
      </c>
      <c r="B1116" s="4">
        <v>12</v>
      </c>
      <c r="C1116" s="15">
        <v>275</v>
      </c>
      <c r="D1116" s="16">
        <v>5</v>
      </c>
      <c r="E1116" s="22">
        <v>44054</v>
      </c>
      <c r="F1116" s="17">
        <v>150</v>
      </c>
      <c r="G1116" s="18">
        <v>7.0000000000000007E-2</v>
      </c>
      <c r="H1116">
        <f>F1116*VLOOKUP(B1116,產品!$A$2:$H$61,7,FALSE)*(1-銷售總表!G1116)</f>
        <v>139500</v>
      </c>
      <c r="I1116" s="35">
        <f>H1116-F1116*VLOOKUP(銷售總表!B1116,產品!$A$2:$H$61,8,FALSE)</f>
        <v>79500</v>
      </c>
      <c r="J1116" s="20">
        <f t="shared" si="17"/>
        <v>0.56989247311827962</v>
      </c>
    </row>
    <row r="1117" spans="1:10" x14ac:dyDescent="0.3">
      <c r="A1117" s="33">
        <v>1116</v>
      </c>
      <c r="B1117" s="4">
        <v>24</v>
      </c>
      <c r="C1117" s="15">
        <v>271</v>
      </c>
      <c r="D1117" s="16">
        <v>10</v>
      </c>
      <c r="E1117" s="22">
        <v>44054</v>
      </c>
      <c r="F1117" s="17">
        <v>80</v>
      </c>
      <c r="G1117" s="18">
        <v>0.12</v>
      </c>
      <c r="H1117">
        <f>F1117*VLOOKUP(B1117,產品!$A$2:$H$61,7,FALSE)*(1-銷售總表!G1117)</f>
        <v>126720</v>
      </c>
      <c r="I1117" s="35">
        <f>H1117-F1117*VLOOKUP(銷售總表!B1117,產品!$A$2:$H$61,8,FALSE)</f>
        <v>69120</v>
      </c>
      <c r="J1117" s="20">
        <f t="shared" si="17"/>
        <v>0.54545454545454541</v>
      </c>
    </row>
    <row r="1118" spans="1:10" x14ac:dyDescent="0.3">
      <c r="A1118" s="33">
        <v>1117</v>
      </c>
      <c r="B1118" s="4">
        <v>18</v>
      </c>
      <c r="C1118" s="15">
        <v>279</v>
      </c>
      <c r="D1118" s="16">
        <v>6</v>
      </c>
      <c r="E1118" s="22">
        <v>44054</v>
      </c>
      <c r="F1118" s="17">
        <v>50</v>
      </c>
      <c r="G1118" s="18">
        <v>0.16</v>
      </c>
      <c r="H1118">
        <f>F1118*VLOOKUP(B1118,產品!$A$2:$H$61,7,FALSE)*(1-銷售總表!G1118)</f>
        <v>75600</v>
      </c>
      <c r="I1118" s="35">
        <f>H1118-F1118*VLOOKUP(銷售總表!B1118,產品!$A$2:$H$61,8,FALSE)</f>
        <v>39600</v>
      </c>
      <c r="J1118" s="20">
        <f t="shared" si="17"/>
        <v>0.52380952380952384</v>
      </c>
    </row>
    <row r="1119" spans="1:10" x14ac:dyDescent="0.3">
      <c r="A1119" s="33">
        <v>1118</v>
      </c>
      <c r="B1119" s="4">
        <v>37</v>
      </c>
      <c r="C1119" s="15">
        <v>260</v>
      </c>
      <c r="D1119" s="16">
        <v>9</v>
      </c>
      <c r="E1119" s="22">
        <v>44054</v>
      </c>
      <c r="F1119" s="17">
        <v>4</v>
      </c>
      <c r="G1119" s="18">
        <v>0.1</v>
      </c>
      <c r="H1119">
        <f>F1119*VLOOKUP(B1119,產品!$A$2:$H$61,7,FALSE)*(1-銷售總表!G1119)</f>
        <v>43200</v>
      </c>
      <c r="I1119" s="35">
        <f>H1119-F1119*VLOOKUP(銷售總表!B1119,產品!$A$2:$H$61,8,FALSE)</f>
        <v>12000</v>
      </c>
      <c r="J1119" s="20">
        <f t="shared" si="17"/>
        <v>0.27777777777777779</v>
      </c>
    </row>
    <row r="1120" spans="1:10" x14ac:dyDescent="0.3">
      <c r="A1120" s="33">
        <v>1119</v>
      </c>
      <c r="B1120" s="4">
        <v>42</v>
      </c>
      <c r="C1120" s="15">
        <v>271</v>
      </c>
      <c r="D1120" s="16">
        <v>5</v>
      </c>
      <c r="E1120" s="22">
        <v>44054</v>
      </c>
      <c r="F1120" s="19">
        <v>3</v>
      </c>
      <c r="G1120" s="18">
        <v>0.09</v>
      </c>
      <c r="H1120">
        <f>F1120*VLOOKUP(B1120,產品!$A$2:$H$61,7,FALSE)*(1-銷售總表!G1120)</f>
        <v>40950</v>
      </c>
      <c r="I1120" s="35">
        <f>H1120-F1120*VLOOKUP(銷售總表!B1120,產品!$A$2:$H$61,8,FALSE)</f>
        <v>11700</v>
      </c>
      <c r="J1120" s="20">
        <f t="shared" si="17"/>
        <v>0.2857142857142857</v>
      </c>
    </row>
    <row r="1121" spans="1:10" x14ac:dyDescent="0.3">
      <c r="A1121" s="33">
        <v>1120</v>
      </c>
      <c r="B1121" s="4">
        <v>19</v>
      </c>
      <c r="C1121" s="15">
        <v>121</v>
      </c>
      <c r="D1121" s="16">
        <v>6</v>
      </c>
      <c r="E1121" s="22">
        <v>44055</v>
      </c>
      <c r="F1121" s="17">
        <v>100</v>
      </c>
      <c r="G1121" s="18">
        <v>0.05</v>
      </c>
      <c r="H1121">
        <f>F1121*VLOOKUP(B1121,產品!$A$2:$H$61,7,FALSE)*(1-銷售總表!G1121)</f>
        <v>171000</v>
      </c>
      <c r="I1121" s="35">
        <f>H1121-F1121*VLOOKUP(銷售總表!B1121,產品!$A$2:$H$61,8,FALSE)</f>
        <v>99000</v>
      </c>
      <c r="J1121" s="20">
        <f t="shared" si="17"/>
        <v>0.57894736842105265</v>
      </c>
    </row>
    <row r="1122" spans="1:10" x14ac:dyDescent="0.3">
      <c r="A1122" s="33">
        <v>1121</v>
      </c>
      <c r="B1122" s="4">
        <v>37</v>
      </c>
      <c r="C1122" s="15">
        <v>4</v>
      </c>
      <c r="D1122" s="16">
        <v>5</v>
      </c>
      <c r="E1122" s="22">
        <v>44055</v>
      </c>
      <c r="F1122" s="19">
        <v>15</v>
      </c>
      <c r="G1122" s="18">
        <v>0.05</v>
      </c>
      <c r="H1122">
        <f>F1122*VLOOKUP(B1122,產品!$A$2:$H$61,7,FALSE)*(1-銷售總表!G1122)</f>
        <v>171000</v>
      </c>
      <c r="I1122" s="35">
        <f>H1122-F1122*VLOOKUP(銷售總表!B1122,產品!$A$2:$H$61,8,FALSE)</f>
        <v>54000</v>
      </c>
      <c r="J1122" s="20">
        <f t="shared" si="17"/>
        <v>0.31578947368421051</v>
      </c>
    </row>
    <row r="1123" spans="1:10" x14ac:dyDescent="0.3">
      <c r="A1123" s="33">
        <v>1122</v>
      </c>
      <c r="B1123" s="4">
        <v>36</v>
      </c>
      <c r="C1123" s="15">
        <v>3</v>
      </c>
      <c r="D1123" s="16">
        <v>2</v>
      </c>
      <c r="E1123" s="22">
        <v>44055</v>
      </c>
      <c r="F1123" s="17">
        <v>7</v>
      </c>
      <c r="G1123" s="18">
        <v>0.12</v>
      </c>
      <c r="H1123">
        <f>F1123*VLOOKUP(B1123,產品!$A$2:$H$61,7,FALSE)*(1-銷售總表!G1123)</f>
        <v>55440</v>
      </c>
      <c r="I1123" s="35">
        <f>H1123-F1123*VLOOKUP(銷售總表!B1123,產品!$A$2:$H$61,8,FALSE)</f>
        <v>17640</v>
      </c>
      <c r="J1123" s="20">
        <f t="shared" si="17"/>
        <v>0.31818181818181818</v>
      </c>
    </row>
    <row r="1124" spans="1:10" x14ac:dyDescent="0.3">
      <c r="A1124" s="33">
        <v>1123</v>
      </c>
      <c r="B1124" s="4">
        <v>57</v>
      </c>
      <c r="C1124" s="15">
        <v>267</v>
      </c>
      <c r="D1124" s="16">
        <v>1</v>
      </c>
      <c r="E1124" s="22">
        <v>44055</v>
      </c>
      <c r="F1124" s="19">
        <v>7</v>
      </c>
      <c r="G1124" s="18">
        <v>0.19</v>
      </c>
      <c r="H1124">
        <f>F1124*VLOOKUP(B1124,產品!$A$2:$H$61,7,FALSE)*(1-銷售總表!G1124)</f>
        <v>102060</v>
      </c>
      <c r="I1124" s="35">
        <f>H1124-F1124*VLOOKUP(銷售總表!B1124,產品!$A$2:$H$61,8,FALSE)</f>
        <v>13860</v>
      </c>
      <c r="J1124" s="20">
        <f t="shared" si="17"/>
        <v>0.13580246913580246</v>
      </c>
    </row>
    <row r="1125" spans="1:10" x14ac:dyDescent="0.3">
      <c r="A1125" s="33">
        <v>1124</v>
      </c>
      <c r="B1125" s="4">
        <v>51</v>
      </c>
      <c r="C1125" s="15">
        <v>284</v>
      </c>
      <c r="D1125" s="16">
        <v>1</v>
      </c>
      <c r="E1125" s="22">
        <v>44055</v>
      </c>
      <c r="F1125" s="17">
        <v>2</v>
      </c>
      <c r="G1125" s="18">
        <v>0.14000000000000001</v>
      </c>
      <c r="H1125">
        <f>F1125*VLOOKUP(B1125,產品!$A$2:$H$61,7,FALSE)*(1-銷售總表!G1125)</f>
        <v>34400</v>
      </c>
      <c r="I1125" s="35">
        <f>H1125-F1125*VLOOKUP(銷售總表!B1125,產品!$A$2:$H$61,8,FALSE)</f>
        <v>6400</v>
      </c>
      <c r="J1125" s="20">
        <f t="shared" si="17"/>
        <v>0.18604651162790697</v>
      </c>
    </row>
    <row r="1126" spans="1:10" x14ac:dyDescent="0.3">
      <c r="A1126" s="33">
        <v>1125</v>
      </c>
      <c r="B1126" s="4">
        <v>40</v>
      </c>
      <c r="C1126" s="15">
        <v>12</v>
      </c>
      <c r="D1126" s="16">
        <v>6</v>
      </c>
      <c r="E1126" s="22">
        <v>44056</v>
      </c>
      <c r="F1126" s="19">
        <v>15</v>
      </c>
      <c r="G1126" s="18">
        <v>0.13</v>
      </c>
      <c r="H1126">
        <f>F1126*VLOOKUP(B1126,產品!$A$2:$H$61,7,FALSE)*(1-銷售總表!G1126)</f>
        <v>261000</v>
      </c>
      <c r="I1126" s="35">
        <f>H1126-F1126*VLOOKUP(銷售總表!B1126,產品!$A$2:$H$61,8,FALSE)</f>
        <v>66000</v>
      </c>
      <c r="J1126" s="20">
        <f t="shared" si="17"/>
        <v>0.25287356321839083</v>
      </c>
    </row>
    <row r="1127" spans="1:10" x14ac:dyDescent="0.3">
      <c r="A1127" s="33">
        <v>1126</v>
      </c>
      <c r="B1127" s="4">
        <v>18</v>
      </c>
      <c r="C1127" s="15">
        <v>272</v>
      </c>
      <c r="D1127" s="16">
        <v>1</v>
      </c>
      <c r="E1127" s="22">
        <v>44056</v>
      </c>
      <c r="F1127" s="17">
        <v>70</v>
      </c>
      <c r="G1127" s="18">
        <v>0.16</v>
      </c>
      <c r="H1127">
        <f>F1127*VLOOKUP(B1127,產品!$A$2:$H$61,7,FALSE)*(1-銷售總表!G1127)</f>
        <v>105840</v>
      </c>
      <c r="I1127" s="35">
        <f>H1127-F1127*VLOOKUP(銷售總表!B1127,產品!$A$2:$H$61,8,FALSE)</f>
        <v>55440</v>
      </c>
      <c r="J1127" s="20">
        <f t="shared" si="17"/>
        <v>0.52380952380952384</v>
      </c>
    </row>
    <row r="1128" spans="1:10" x14ac:dyDescent="0.3">
      <c r="A1128" s="33">
        <v>1127</v>
      </c>
      <c r="B1128" s="4">
        <v>25</v>
      </c>
      <c r="C1128" s="15">
        <v>268</v>
      </c>
      <c r="D1128" s="16">
        <v>8</v>
      </c>
      <c r="E1128" s="22">
        <v>44056</v>
      </c>
      <c r="F1128" s="17">
        <v>4</v>
      </c>
      <c r="G1128" s="18">
        <v>0.15</v>
      </c>
      <c r="H1128">
        <f>F1128*VLOOKUP(B1128,產品!$A$2:$H$61,7,FALSE)*(1-銷售總表!G1128)</f>
        <v>20400</v>
      </c>
      <c r="I1128" s="35">
        <f>H1128-F1128*VLOOKUP(銷售總表!B1128,產品!$A$2:$H$61,8,FALSE)</f>
        <v>6000</v>
      </c>
      <c r="J1128" s="20">
        <f t="shared" si="17"/>
        <v>0.29411764705882354</v>
      </c>
    </row>
    <row r="1129" spans="1:10" x14ac:dyDescent="0.3">
      <c r="A1129" s="33">
        <v>1128</v>
      </c>
      <c r="B1129" s="4">
        <v>48</v>
      </c>
      <c r="C1129" s="15">
        <v>276</v>
      </c>
      <c r="D1129" s="16">
        <v>8</v>
      </c>
      <c r="E1129" s="22">
        <v>44057</v>
      </c>
      <c r="F1129" s="17">
        <v>10</v>
      </c>
      <c r="G1129" s="18">
        <v>0.15</v>
      </c>
      <c r="H1129">
        <f>F1129*VLOOKUP(B1129,產品!$A$2:$H$61,7,FALSE)*(1-銷售總表!G1129)</f>
        <v>187000</v>
      </c>
      <c r="I1129" s="35">
        <f>H1129-F1129*VLOOKUP(銷售總表!B1129,產品!$A$2:$H$61,8,FALSE)</f>
        <v>44000</v>
      </c>
      <c r="J1129" s="20">
        <f t="shared" si="17"/>
        <v>0.23529411764705882</v>
      </c>
    </row>
    <row r="1130" spans="1:10" x14ac:dyDescent="0.3">
      <c r="A1130" s="33">
        <v>1129</v>
      </c>
      <c r="B1130" s="4">
        <v>57</v>
      </c>
      <c r="C1130" s="15">
        <v>258</v>
      </c>
      <c r="D1130" s="16">
        <v>4</v>
      </c>
      <c r="E1130" s="22">
        <v>44057</v>
      </c>
      <c r="F1130" s="17">
        <v>15</v>
      </c>
      <c r="G1130" s="18">
        <v>0.2</v>
      </c>
      <c r="H1130">
        <f>F1130*VLOOKUP(B1130,產品!$A$2:$H$61,7,FALSE)*(1-銷售總表!G1130)</f>
        <v>216000</v>
      </c>
      <c r="I1130" s="35">
        <f>H1130-F1130*VLOOKUP(銷售總表!B1130,產品!$A$2:$H$61,8,FALSE)</f>
        <v>27000</v>
      </c>
      <c r="J1130" s="20">
        <f t="shared" si="17"/>
        <v>0.125</v>
      </c>
    </row>
    <row r="1131" spans="1:10" x14ac:dyDescent="0.3">
      <c r="A1131" s="33">
        <v>1130</v>
      </c>
      <c r="B1131" s="4">
        <v>30</v>
      </c>
      <c r="C1131" s="15">
        <v>120</v>
      </c>
      <c r="D1131" s="16">
        <v>7</v>
      </c>
      <c r="E1131" s="22">
        <v>44057</v>
      </c>
      <c r="F1131" s="17">
        <v>10</v>
      </c>
      <c r="G1131" s="18">
        <v>0.18</v>
      </c>
      <c r="H1131">
        <f>F1131*VLOOKUP(B1131,產品!$A$2:$H$61,7,FALSE)*(1-銷售總表!G1131)</f>
        <v>53300.000000000007</v>
      </c>
      <c r="I1131" s="35">
        <f>H1131-F1131*VLOOKUP(銷售總表!B1131,產品!$A$2:$H$61,8,FALSE)</f>
        <v>14300.000000000007</v>
      </c>
      <c r="J1131" s="20">
        <f t="shared" si="17"/>
        <v>0.2682926829268294</v>
      </c>
    </row>
    <row r="1132" spans="1:10" x14ac:dyDescent="0.3">
      <c r="A1132" s="33">
        <v>1131</v>
      </c>
      <c r="B1132" s="4">
        <v>3</v>
      </c>
      <c r="C1132" s="15">
        <v>6</v>
      </c>
      <c r="D1132" s="16">
        <v>7</v>
      </c>
      <c r="E1132" s="22">
        <v>44057</v>
      </c>
      <c r="F1132" s="19">
        <v>10</v>
      </c>
      <c r="G1132" s="18">
        <v>0.12</v>
      </c>
      <c r="H1132">
        <f>F1132*VLOOKUP(B1132,產品!$A$2:$H$61,7,FALSE)*(1-銷售總表!G1132)</f>
        <v>8800</v>
      </c>
      <c r="I1132" s="35">
        <f>H1132-F1132*VLOOKUP(銷售總表!B1132,產品!$A$2:$H$61,8,FALSE)</f>
        <v>4800</v>
      </c>
      <c r="J1132" s="20">
        <f t="shared" si="17"/>
        <v>0.54545454545454541</v>
      </c>
    </row>
    <row r="1133" spans="1:10" x14ac:dyDescent="0.3">
      <c r="A1133" s="33">
        <v>1132</v>
      </c>
      <c r="B1133" s="4">
        <v>15</v>
      </c>
      <c r="C1133" s="15">
        <v>112</v>
      </c>
      <c r="D1133" s="16">
        <v>5</v>
      </c>
      <c r="E1133" s="22">
        <v>44058</v>
      </c>
      <c r="F1133" s="17">
        <v>60</v>
      </c>
      <c r="G1133" s="18">
        <v>0.16</v>
      </c>
      <c r="H1133">
        <f>F1133*VLOOKUP(B1133,產品!$A$2:$H$61,7,FALSE)*(1-銷售總表!G1133)</f>
        <v>90720</v>
      </c>
      <c r="I1133" s="35">
        <f>H1133-F1133*VLOOKUP(銷售總表!B1133,產品!$A$2:$H$61,8,FALSE)</f>
        <v>47520</v>
      </c>
      <c r="J1133" s="20">
        <f t="shared" si="17"/>
        <v>0.52380952380952384</v>
      </c>
    </row>
    <row r="1134" spans="1:10" x14ac:dyDescent="0.3">
      <c r="A1134" s="33">
        <v>1133</v>
      </c>
      <c r="B1134" s="4">
        <v>42</v>
      </c>
      <c r="C1134" s="15">
        <v>5</v>
      </c>
      <c r="D1134" s="16">
        <v>3</v>
      </c>
      <c r="E1134" s="22">
        <v>44058</v>
      </c>
      <c r="F1134" s="19">
        <v>6</v>
      </c>
      <c r="G1134" s="18">
        <v>0.14000000000000001</v>
      </c>
      <c r="H1134">
        <f>F1134*VLOOKUP(B1134,產品!$A$2:$H$61,7,FALSE)*(1-銷售總表!G1134)</f>
        <v>77400</v>
      </c>
      <c r="I1134" s="35">
        <f>H1134-F1134*VLOOKUP(銷售總表!B1134,產品!$A$2:$H$61,8,FALSE)</f>
        <v>18900</v>
      </c>
      <c r="J1134" s="20">
        <f t="shared" si="17"/>
        <v>0.2441860465116279</v>
      </c>
    </row>
    <row r="1135" spans="1:10" x14ac:dyDescent="0.3">
      <c r="A1135" s="33">
        <v>1134</v>
      </c>
      <c r="B1135" s="4">
        <v>7</v>
      </c>
      <c r="C1135" s="15">
        <v>280</v>
      </c>
      <c r="D1135" s="16">
        <v>1</v>
      </c>
      <c r="E1135" s="22">
        <v>44058</v>
      </c>
      <c r="F1135" s="19">
        <v>20</v>
      </c>
      <c r="G1135" s="18">
        <v>0.15</v>
      </c>
      <c r="H1135">
        <f>F1135*VLOOKUP(B1135,產品!$A$2:$H$61,7,FALSE)*(1-銷售總表!G1135)</f>
        <v>17000</v>
      </c>
      <c r="I1135" s="35">
        <f>H1135-F1135*VLOOKUP(銷售總表!B1135,產品!$A$2:$H$61,8,FALSE)</f>
        <v>9000</v>
      </c>
      <c r="J1135" s="20">
        <f t="shared" si="17"/>
        <v>0.52941176470588236</v>
      </c>
    </row>
    <row r="1136" spans="1:10" x14ac:dyDescent="0.3">
      <c r="A1136" s="33">
        <v>1135</v>
      </c>
      <c r="B1136" s="4">
        <v>31</v>
      </c>
      <c r="C1136" s="15">
        <v>281</v>
      </c>
      <c r="D1136" s="16">
        <v>5</v>
      </c>
      <c r="E1136" s="22">
        <v>44058</v>
      </c>
      <c r="F1136" s="19">
        <v>3</v>
      </c>
      <c r="G1136" s="18">
        <v>0.09</v>
      </c>
      <c r="H1136">
        <f>F1136*VLOOKUP(B1136,產品!$A$2:$H$61,7,FALSE)*(1-銷售總表!G1136)</f>
        <v>19110</v>
      </c>
      <c r="I1136" s="35">
        <f>H1136-F1136*VLOOKUP(銷售總表!B1136,產品!$A$2:$H$61,8,FALSE)</f>
        <v>6510</v>
      </c>
      <c r="J1136" s="20">
        <f t="shared" si="17"/>
        <v>0.34065934065934067</v>
      </c>
    </row>
    <row r="1137" spans="1:10" x14ac:dyDescent="0.3">
      <c r="A1137" s="33">
        <v>1136</v>
      </c>
      <c r="B1137" s="4">
        <v>25</v>
      </c>
      <c r="C1137" s="15">
        <v>265</v>
      </c>
      <c r="D1137" s="16">
        <v>8</v>
      </c>
      <c r="E1137" s="22">
        <v>44059</v>
      </c>
      <c r="F1137" s="17">
        <v>3</v>
      </c>
      <c r="G1137" s="18">
        <v>0.05</v>
      </c>
      <c r="H1137">
        <f>F1137*VLOOKUP(B1137,產品!$A$2:$H$61,7,FALSE)*(1-銷售總表!G1137)</f>
        <v>17100</v>
      </c>
      <c r="I1137" s="35">
        <f>H1137-F1137*VLOOKUP(銷售總表!B1137,產品!$A$2:$H$61,8,FALSE)</f>
        <v>6300</v>
      </c>
      <c r="J1137" s="20">
        <f t="shared" si="17"/>
        <v>0.36842105263157893</v>
      </c>
    </row>
    <row r="1138" spans="1:10" x14ac:dyDescent="0.3">
      <c r="A1138" s="33">
        <v>1137</v>
      </c>
      <c r="B1138" s="4">
        <v>41</v>
      </c>
      <c r="C1138" s="15">
        <v>11</v>
      </c>
      <c r="D1138" s="16">
        <v>4</v>
      </c>
      <c r="E1138" s="22">
        <v>44059</v>
      </c>
      <c r="F1138" s="19">
        <v>1</v>
      </c>
      <c r="G1138" s="18">
        <v>0.11</v>
      </c>
      <c r="H1138">
        <f>F1138*VLOOKUP(B1138,產品!$A$2:$H$61,7,FALSE)*(1-銷售總表!G1138)</f>
        <v>10680</v>
      </c>
      <c r="I1138" s="35">
        <f>H1138-F1138*VLOOKUP(銷售總表!B1138,產品!$A$2:$H$61,8,FALSE)</f>
        <v>2880</v>
      </c>
      <c r="J1138" s="20">
        <f t="shared" si="17"/>
        <v>0.2696629213483146</v>
      </c>
    </row>
    <row r="1139" spans="1:10" x14ac:dyDescent="0.3">
      <c r="A1139" s="33">
        <v>1138</v>
      </c>
      <c r="B1139" s="4">
        <v>8</v>
      </c>
      <c r="C1139" s="15">
        <v>117</v>
      </c>
      <c r="D1139" s="16">
        <v>4</v>
      </c>
      <c r="E1139" s="22">
        <v>44060</v>
      </c>
      <c r="F1139" s="17">
        <v>150</v>
      </c>
      <c r="G1139" s="18">
        <v>7.0000000000000007E-2</v>
      </c>
      <c r="H1139">
        <f>F1139*VLOOKUP(B1139,產品!$A$2:$H$61,7,FALSE)*(1-銷售總表!G1139)</f>
        <v>139500</v>
      </c>
      <c r="I1139" s="35">
        <f>H1139-F1139*VLOOKUP(銷售總表!B1139,產品!$A$2:$H$61,8,FALSE)</f>
        <v>79500</v>
      </c>
      <c r="J1139" s="20">
        <f t="shared" si="17"/>
        <v>0.56989247311827962</v>
      </c>
    </row>
    <row r="1140" spans="1:10" x14ac:dyDescent="0.3">
      <c r="A1140" s="33">
        <v>1139</v>
      </c>
      <c r="B1140" s="4">
        <v>48</v>
      </c>
      <c r="C1140" s="15">
        <v>8</v>
      </c>
      <c r="D1140" s="16">
        <v>6</v>
      </c>
      <c r="E1140" s="22">
        <v>44060</v>
      </c>
      <c r="F1140" s="19">
        <v>3</v>
      </c>
      <c r="G1140" s="18">
        <v>0.19</v>
      </c>
      <c r="H1140">
        <f>F1140*VLOOKUP(B1140,產品!$A$2:$H$61,7,FALSE)*(1-銷售總表!G1140)</f>
        <v>53460</v>
      </c>
      <c r="I1140" s="35">
        <f>H1140-F1140*VLOOKUP(銷售總表!B1140,產品!$A$2:$H$61,8,FALSE)</f>
        <v>10560</v>
      </c>
      <c r="J1140" s="20">
        <f t="shared" si="17"/>
        <v>0.19753086419753085</v>
      </c>
    </row>
    <row r="1141" spans="1:10" x14ac:dyDescent="0.3">
      <c r="A1141" s="33">
        <v>1140</v>
      </c>
      <c r="B1141" s="4">
        <v>28</v>
      </c>
      <c r="C1141" s="15">
        <v>5</v>
      </c>
      <c r="D1141" s="16">
        <v>2</v>
      </c>
      <c r="E1141" s="22">
        <v>44060</v>
      </c>
      <c r="F1141" s="19">
        <v>3</v>
      </c>
      <c r="G1141" s="18">
        <v>0.2</v>
      </c>
      <c r="H1141">
        <f>F1141*VLOOKUP(B1141,產品!$A$2:$H$61,7,FALSE)*(1-銷售總表!G1141)</f>
        <v>18000</v>
      </c>
      <c r="I1141" s="35">
        <f>H1141-F1141*VLOOKUP(銷售總表!B1141,產品!$A$2:$H$61,8,FALSE)</f>
        <v>4500</v>
      </c>
      <c r="J1141" s="20">
        <f t="shared" si="17"/>
        <v>0.25</v>
      </c>
    </row>
    <row r="1142" spans="1:10" x14ac:dyDescent="0.3">
      <c r="A1142" s="33">
        <v>1141</v>
      </c>
      <c r="B1142" s="4">
        <v>22</v>
      </c>
      <c r="C1142" s="15">
        <v>5</v>
      </c>
      <c r="D1142" s="16">
        <v>1</v>
      </c>
      <c r="E1142" s="22">
        <v>44061</v>
      </c>
      <c r="F1142" s="17">
        <v>100</v>
      </c>
      <c r="G1142" s="18">
        <v>0.2</v>
      </c>
      <c r="H1142">
        <f>F1142*VLOOKUP(B1142,產品!$A$2:$H$61,7,FALSE)*(1-銷售總表!G1142)</f>
        <v>144000</v>
      </c>
      <c r="I1142" s="35">
        <f>H1142-F1142*VLOOKUP(銷售總表!B1142,產品!$A$2:$H$61,8,FALSE)</f>
        <v>72000</v>
      </c>
      <c r="J1142" s="20">
        <f t="shared" si="17"/>
        <v>0.5</v>
      </c>
    </row>
    <row r="1143" spans="1:10" x14ac:dyDescent="0.3">
      <c r="A1143" s="33">
        <v>1142</v>
      </c>
      <c r="B1143" s="4">
        <v>14</v>
      </c>
      <c r="C1143" s="15">
        <v>9</v>
      </c>
      <c r="D1143" s="16">
        <v>1</v>
      </c>
      <c r="E1143" s="22">
        <v>44061</v>
      </c>
      <c r="F1143" s="19">
        <v>50</v>
      </c>
      <c r="G1143" s="18">
        <v>0.05</v>
      </c>
      <c r="H1143">
        <f>F1143*VLOOKUP(B1143,產品!$A$2:$H$61,7,FALSE)*(1-銷售總表!G1143)</f>
        <v>85500</v>
      </c>
      <c r="I1143" s="35">
        <f>H1143-F1143*VLOOKUP(銷售總表!B1143,產品!$A$2:$H$61,8,FALSE)</f>
        <v>49500</v>
      </c>
      <c r="J1143" s="20">
        <f t="shared" si="17"/>
        <v>0.57894736842105265</v>
      </c>
    </row>
    <row r="1144" spans="1:10" x14ac:dyDescent="0.3">
      <c r="A1144" s="33">
        <v>1143</v>
      </c>
      <c r="B1144" s="4">
        <v>23</v>
      </c>
      <c r="C1144" s="15">
        <v>5</v>
      </c>
      <c r="D1144" s="16">
        <v>2</v>
      </c>
      <c r="E1144" s="22">
        <v>44061</v>
      </c>
      <c r="F1144" s="17">
        <v>10</v>
      </c>
      <c r="G1144" s="18">
        <v>0.1</v>
      </c>
      <c r="H1144">
        <f>F1144*VLOOKUP(B1144,產品!$A$2:$H$61,7,FALSE)*(1-銷售總表!G1144)</f>
        <v>16200</v>
      </c>
      <c r="I1144" s="35">
        <f>H1144-F1144*VLOOKUP(銷售總表!B1144,產品!$A$2:$H$61,8,FALSE)</f>
        <v>9000</v>
      </c>
      <c r="J1144" s="20">
        <f t="shared" si="17"/>
        <v>0.55555555555555558</v>
      </c>
    </row>
    <row r="1145" spans="1:10" x14ac:dyDescent="0.3">
      <c r="A1145" s="33">
        <v>1144</v>
      </c>
      <c r="B1145" s="4">
        <v>37</v>
      </c>
      <c r="C1145" s="15">
        <v>270</v>
      </c>
      <c r="D1145" s="16">
        <v>1</v>
      </c>
      <c r="E1145" s="22">
        <v>44061</v>
      </c>
      <c r="F1145" s="17">
        <v>3</v>
      </c>
      <c r="G1145" s="18">
        <v>0.17</v>
      </c>
      <c r="H1145">
        <f>F1145*VLOOKUP(B1145,產品!$A$2:$H$61,7,FALSE)*(1-銷售總表!G1145)</f>
        <v>29880</v>
      </c>
      <c r="I1145" s="35">
        <f>H1145-F1145*VLOOKUP(銷售總表!B1145,產品!$A$2:$H$61,8,FALSE)</f>
        <v>6480</v>
      </c>
      <c r="J1145" s="20">
        <f t="shared" si="17"/>
        <v>0.21686746987951808</v>
      </c>
    </row>
    <row r="1146" spans="1:10" x14ac:dyDescent="0.3">
      <c r="A1146" s="33">
        <v>1145</v>
      </c>
      <c r="B1146" s="4">
        <v>2</v>
      </c>
      <c r="C1146" s="15">
        <v>259</v>
      </c>
      <c r="D1146" s="16">
        <v>4</v>
      </c>
      <c r="E1146" s="22">
        <v>44062</v>
      </c>
      <c r="F1146" s="17">
        <v>100</v>
      </c>
      <c r="G1146" s="18">
        <v>0.12</v>
      </c>
      <c r="H1146">
        <f>F1146*VLOOKUP(B1146,產品!$A$2:$H$61,7,FALSE)*(1-銷售總表!G1146)</f>
        <v>88000</v>
      </c>
      <c r="I1146" s="35">
        <f>H1146-F1146*VLOOKUP(銷售總表!B1146,產品!$A$2:$H$61,8,FALSE)</f>
        <v>48000</v>
      </c>
      <c r="J1146" s="20">
        <f t="shared" si="17"/>
        <v>0.54545454545454541</v>
      </c>
    </row>
    <row r="1147" spans="1:10" x14ac:dyDescent="0.3">
      <c r="A1147" s="33">
        <v>1146</v>
      </c>
      <c r="B1147" s="4">
        <v>40</v>
      </c>
      <c r="C1147" s="15">
        <v>7</v>
      </c>
      <c r="D1147" s="16">
        <v>7</v>
      </c>
      <c r="E1147" s="22">
        <v>44062</v>
      </c>
      <c r="F1147" s="17">
        <v>2</v>
      </c>
      <c r="G1147" s="18">
        <v>7.0000000000000007E-2</v>
      </c>
      <c r="H1147">
        <f>F1147*VLOOKUP(B1147,產品!$A$2:$H$61,7,FALSE)*(1-銷售總表!G1147)</f>
        <v>37200</v>
      </c>
      <c r="I1147" s="35">
        <f>H1147-F1147*VLOOKUP(銷售總表!B1147,產品!$A$2:$H$61,8,FALSE)</f>
        <v>11200</v>
      </c>
      <c r="J1147" s="20">
        <f t="shared" si="17"/>
        <v>0.30107526881720431</v>
      </c>
    </row>
    <row r="1148" spans="1:10" x14ac:dyDescent="0.3">
      <c r="A1148" s="33">
        <v>1147</v>
      </c>
      <c r="B1148" s="4">
        <v>41</v>
      </c>
      <c r="C1148" s="15">
        <v>291</v>
      </c>
      <c r="D1148" s="16">
        <v>4</v>
      </c>
      <c r="E1148" s="22">
        <v>44062</v>
      </c>
      <c r="F1148" s="19">
        <v>7</v>
      </c>
      <c r="G1148" s="18">
        <v>7.0000000000000007E-2</v>
      </c>
      <c r="H1148">
        <f>F1148*VLOOKUP(B1148,產品!$A$2:$H$61,7,FALSE)*(1-銷售總表!G1148)</f>
        <v>78120</v>
      </c>
      <c r="I1148" s="35">
        <f>H1148-F1148*VLOOKUP(銷售總表!B1148,產品!$A$2:$H$61,8,FALSE)</f>
        <v>23520</v>
      </c>
      <c r="J1148" s="20">
        <f t="shared" si="17"/>
        <v>0.30107526881720431</v>
      </c>
    </row>
    <row r="1149" spans="1:10" x14ac:dyDescent="0.3">
      <c r="A1149" s="33">
        <v>1148</v>
      </c>
      <c r="B1149" s="4">
        <v>18</v>
      </c>
      <c r="C1149" s="15">
        <v>135</v>
      </c>
      <c r="D1149" s="16">
        <v>7</v>
      </c>
      <c r="E1149" s="22">
        <v>44062</v>
      </c>
      <c r="F1149" s="17">
        <v>20</v>
      </c>
      <c r="G1149" s="18">
        <v>0.13</v>
      </c>
      <c r="H1149">
        <f>F1149*VLOOKUP(B1149,產品!$A$2:$H$61,7,FALSE)*(1-銷售總表!G1149)</f>
        <v>31320</v>
      </c>
      <c r="I1149" s="35">
        <f>H1149-F1149*VLOOKUP(銷售總表!B1149,產品!$A$2:$H$61,8,FALSE)</f>
        <v>16920</v>
      </c>
      <c r="J1149" s="20">
        <f t="shared" si="17"/>
        <v>0.54022988505747127</v>
      </c>
    </row>
    <row r="1150" spans="1:10" x14ac:dyDescent="0.3">
      <c r="A1150" s="33">
        <v>1149</v>
      </c>
      <c r="B1150" s="4">
        <v>38</v>
      </c>
      <c r="C1150" s="15">
        <v>282</v>
      </c>
      <c r="D1150" s="16">
        <v>5</v>
      </c>
      <c r="E1150" s="22">
        <v>44062</v>
      </c>
      <c r="F1150" s="17">
        <v>5</v>
      </c>
      <c r="G1150" s="18">
        <v>0.14000000000000001</v>
      </c>
      <c r="H1150">
        <f>F1150*VLOOKUP(B1150,產品!$A$2:$H$61,7,FALSE)*(1-銷售總表!G1150)</f>
        <v>64500</v>
      </c>
      <c r="I1150" s="35">
        <f>H1150-F1150*VLOOKUP(銷售總表!B1150,產品!$A$2:$H$61,8,FALSE)</f>
        <v>15750</v>
      </c>
      <c r="J1150" s="20">
        <f t="shared" si="17"/>
        <v>0.2441860465116279</v>
      </c>
    </row>
    <row r="1151" spans="1:10" x14ac:dyDescent="0.3">
      <c r="A1151" s="33">
        <v>1150</v>
      </c>
      <c r="B1151" s="4">
        <v>30</v>
      </c>
      <c r="C1151" s="15">
        <v>4</v>
      </c>
      <c r="D1151" s="16">
        <v>10</v>
      </c>
      <c r="E1151" s="22">
        <v>44062</v>
      </c>
      <c r="F1151" s="19">
        <v>5</v>
      </c>
      <c r="G1151" s="18">
        <v>0.19</v>
      </c>
      <c r="H1151">
        <f>F1151*VLOOKUP(B1151,產品!$A$2:$H$61,7,FALSE)*(1-銷售總表!G1151)</f>
        <v>26325</v>
      </c>
      <c r="I1151" s="35">
        <f>H1151-F1151*VLOOKUP(銷售總表!B1151,產品!$A$2:$H$61,8,FALSE)</f>
        <v>6825</v>
      </c>
      <c r="J1151" s="20">
        <f t="shared" si="17"/>
        <v>0.25925925925925924</v>
      </c>
    </row>
    <row r="1152" spans="1:10" x14ac:dyDescent="0.3">
      <c r="A1152" s="33">
        <v>1151</v>
      </c>
      <c r="B1152" s="4">
        <v>16</v>
      </c>
      <c r="C1152" s="15">
        <v>9</v>
      </c>
      <c r="D1152" s="16">
        <v>7</v>
      </c>
      <c r="E1152" s="22">
        <v>44063</v>
      </c>
      <c r="F1152" s="19">
        <v>90</v>
      </c>
      <c r="G1152" s="18">
        <v>0.16</v>
      </c>
      <c r="H1152">
        <f>F1152*VLOOKUP(B1152,產品!$A$2:$H$61,7,FALSE)*(1-銷售總表!G1152)</f>
        <v>136080</v>
      </c>
      <c r="I1152" s="35">
        <f>H1152-F1152*VLOOKUP(銷售總表!B1152,產品!$A$2:$H$61,8,FALSE)</f>
        <v>71280</v>
      </c>
      <c r="J1152" s="20">
        <f t="shared" si="17"/>
        <v>0.52380952380952384</v>
      </c>
    </row>
    <row r="1153" spans="1:10" x14ac:dyDescent="0.3">
      <c r="A1153" s="33">
        <v>1152</v>
      </c>
      <c r="B1153" s="4">
        <v>13</v>
      </c>
      <c r="C1153" s="15">
        <v>260</v>
      </c>
      <c r="D1153" s="16">
        <v>4</v>
      </c>
      <c r="E1153" s="22">
        <v>44063</v>
      </c>
      <c r="F1153" s="19">
        <v>75</v>
      </c>
      <c r="G1153" s="18">
        <v>0.09</v>
      </c>
      <c r="H1153">
        <f>F1153*VLOOKUP(B1153,產品!$A$2:$H$61,7,FALSE)*(1-銷售總表!G1153)</f>
        <v>122850</v>
      </c>
      <c r="I1153" s="35">
        <f>H1153-F1153*VLOOKUP(銷售總表!B1153,產品!$A$2:$H$61,8,FALSE)</f>
        <v>68850</v>
      </c>
      <c r="J1153" s="20">
        <f t="shared" si="17"/>
        <v>0.56043956043956045</v>
      </c>
    </row>
    <row r="1154" spans="1:10" x14ac:dyDescent="0.3">
      <c r="A1154" s="33">
        <v>1153</v>
      </c>
      <c r="B1154" s="4">
        <v>9</v>
      </c>
      <c r="C1154" s="15">
        <v>4</v>
      </c>
      <c r="D1154" s="16">
        <v>8</v>
      </c>
      <c r="E1154" s="22">
        <v>44063</v>
      </c>
      <c r="F1154" s="19">
        <v>100</v>
      </c>
      <c r="G1154" s="18">
        <v>0.14000000000000001</v>
      </c>
      <c r="H1154">
        <f>F1154*VLOOKUP(B1154,產品!$A$2:$H$61,7,FALSE)*(1-銷售總表!G1154)</f>
        <v>86000</v>
      </c>
      <c r="I1154" s="35">
        <f>H1154-F1154*VLOOKUP(銷售總表!B1154,產品!$A$2:$H$61,8,FALSE)</f>
        <v>46000</v>
      </c>
      <c r="J1154" s="20">
        <f t="shared" si="17"/>
        <v>0.53488372093023251</v>
      </c>
    </row>
    <row r="1155" spans="1:10" x14ac:dyDescent="0.3">
      <c r="A1155" s="33">
        <v>1154</v>
      </c>
      <c r="B1155" s="4">
        <v>20</v>
      </c>
      <c r="C1155" s="15">
        <v>12</v>
      </c>
      <c r="D1155" s="16">
        <v>5</v>
      </c>
      <c r="E1155" s="22">
        <v>44063</v>
      </c>
      <c r="F1155" s="19">
        <v>45</v>
      </c>
      <c r="G1155" s="18">
        <v>0.05</v>
      </c>
      <c r="H1155">
        <f>F1155*VLOOKUP(B1155,產品!$A$2:$H$61,7,FALSE)*(1-銷售總表!G1155)</f>
        <v>76950</v>
      </c>
      <c r="I1155" s="35">
        <f>H1155-F1155*VLOOKUP(銷售總表!B1155,產品!$A$2:$H$61,8,FALSE)</f>
        <v>44550</v>
      </c>
      <c r="J1155" s="20">
        <f t="shared" ref="J1155:J1218" si="18">I1155/H1155</f>
        <v>0.57894736842105265</v>
      </c>
    </row>
    <row r="1156" spans="1:10" x14ac:dyDescent="0.3">
      <c r="A1156" s="33">
        <v>1155</v>
      </c>
      <c r="B1156" s="4">
        <v>18</v>
      </c>
      <c r="C1156" s="15">
        <v>125</v>
      </c>
      <c r="D1156" s="16">
        <v>7</v>
      </c>
      <c r="E1156" s="22">
        <v>44063</v>
      </c>
      <c r="F1156" s="17">
        <v>45</v>
      </c>
      <c r="G1156" s="18">
        <v>0.11</v>
      </c>
      <c r="H1156">
        <f>F1156*VLOOKUP(B1156,產品!$A$2:$H$61,7,FALSE)*(1-銷售總表!G1156)</f>
        <v>72090</v>
      </c>
      <c r="I1156" s="35">
        <f>H1156-F1156*VLOOKUP(銷售總表!B1156,產品!$A$2:$H$61,8,FALSE)</f>
        <v>39690</v>
      </c>
      <c r="J1156" s="20">
        <f t="shared" si="18"/>
        <v>0.550561797752809</v>
      </c>
    </row>
    <row r="1157" spans="1:10" x14ac:dyDescent="0.3">
      <c r="A1157" s="33">
        <v>1156</v>
      </c>
      <c r="B1157" s="4">
        <v>43</v>
      </c>
      <c r="C1157" s="15">
        <v>257</v>
      </c>
      <c r="D1157" s="16">
        <v>5</v>
      </c>
      <c r="E1157" s="22">
        <v>44063</v>
      </c>
      <c r="F1157" s="17">
        <v>13</v>
      </c>
      <c r="G1157" s="18">
        <v>0.19</v>
      </c>
      <c r="H1157">
        <f>F1157*VLOOKUP(B1157,產品!$A$2:$H$61,7,FALSE)*(1-銷售總表!G1157)</f>
        <v>189540</v>
      </c>
      <c r="I1157" s="35">
        <f>H1157-F1157*VLOOKUP(銷售總表!B1157,產品!$A$2:$H$61,8,FALSE)</f>
        <v>37440</v>
      </c>
      <c r="J1157" s="20">
        <f t="shared" si="18"/>
        <v>0.19753086419753085</v>
      </c>
    </row>
    <row r="1158" spans="1:10" x14ac:dyDescent="0.3">
      <c r="A1158" s="33">
        <v>1157</v>
      </c>
      <c r="B1158" s="4">
        <v>12</v>
      </c>
      <c r="C1158" s="15">
        <v>266</v>
      </c>
      <c r="D1158" s="16">
        <v>5</v>
      </c>
      <c r="E1158" s="22">
        <v>44063</v>
      </c>
      <c r="F1158" s="17">
        <v>10</v>
      </c>
      <c r="G1158" s="18">
        <v>0.12</v>
      </c>
      <c r="H1158">
        <f>F1158*VLOOKUP(B1158,產品!$A$2:$H$61,7,FALSE)*(1-銷售總表!G1158)</f>
        <v>8800</v>
      </c>
      <c r="I1158" s="35">
        <f>H1158-F1158*VLOOKUP(銷售總表!B1158,產品!$A$2:$H$61,8,FALSE)</f>
        <v>4800</v>
      </c>
      <c r="J1158" s="20">
        <f t="shared" si="18"/>
        <v>0.54545454545454541</v>
      </c>
    </row>
    <row r="1159" spans="1:10" x14ac:dyDescent="0.3">
      <c r="A1159" s="33">
        <v>1158</v>
      </c>
      <c r="B1159" s="4">
        <v>5</v>
      </c>
      <c r="C1159" s="15">
        <v>138</v>
      </c>
      <c r="D1159" s="16">
        <v>9</v>
      </c>
      <c r="E1159" s="22">
        <v>44064</v>
      </c>
      <c r="F1159" s="19">
        <v>200</v>
      </c>
      <c r="G1159" s="18">
        <v>0.19</v>
      </c>
      <c r="H1159">
        <f>F1159*VLOOKUP(B1159,產品!$A$2:$H$61,7,FALSE)*(1-銷售總表!G1159)</f>
        <v>162000</v>
      </c>
      <c r="I1159" s="35">
        <f>H1159-F1159*VLOOKUP(銷售總表!B1159,產品!$A$2:$H$61,8,FALSE)</f>
        <v>82000</v>
      </c>
      <c r="J1159" s="20">
        <f t="shared" si="18"/>
        <v>0.50617283950617287</v>
      </c>
    </row>
    <row r="1160" spans="1:10" x14ac:dyDescent="0.3">
      <c r="A1160" s="33">
        <v>1159</v>
      </c>
      <c r="B1160" s="4">
        <v>50</v>
      </c>
      <c r="C1160" s="15">
        <v>12</v>
      </c>
      <c r="D1160" s="16">
        <v>7</v>
      </c>
      <c r="E1160" s="22">
        <v>44064</v>
      </c>
      <c r="F1160" s="19">
        <v>10</v>
      </c>
      <c r="G1160" s="18">
        <v>0.08</v>
      </c>
      <c r="H1160">
        <f>F1160*VLOOKUP(B1160,產品!$A$2:$H$61,7,FALSE)*(1-銷售總表!G1160)</f>
        <v>165600</v>
      </c>
      <c r="I1160" s="35">
        <f>H1160-F1160*VLOOKUP(銷售總表!B1160,產品!$A$2:$H$61,8,FALSE)</f>
        <v>39600</v>
      </c>
      <c r="J1160" s="20">
        <f t="shared" si="18"/>
        <v>0.2391304347826087</v>
      </c>
    </row>
    <row r="1161" spans="1:10" x14ac:dyDescent="0.3">
      <c r="A1161" s="33">
        <v>1160</v>
      </c>
      <c r="B1161" s="4">
        <v>42</v>
      </c>
      <c r="C1161" s="15">
        <v>135</v>
      </c>
      <c r="D1161" s="16">
        <v>2</v>
      </c>
      <c r="E1161" s="22">
        <v>44064</v>
      </c>
      <c r="F1161" s="19">
        <v>13</v>
      </c>
      <c r="G1161" s="18">
        <v>0.17</v>
      </c>
      <c r="H1161">
        <f>F1161*VLOOKUP(B1161,產品!$A$2:$H$61,7,FALSE)*(1-銷售總表!G1161)</f>
        <v>161850</v>
      </c>
      <c r="I1161" s="35">
        <f>H1161-F1161*VLOOKUP(銷售總表!B1161,產品!$A$2:$H$61,8,FALSE)</f>
        <v>35100</v>
      </c>
      <c r="J1161" s="20">
        <f t="shared" si="18"/>
        <v>0.21686746987951808</v>
      </c>
    </row>
    <row r="1162" spans="1:10" x14ac:dyDescent="0.3">
      <c r="A1162" s="33">
        <v>1161</v>
      </c>
      <c r="B1162" s="4">
        <v>36</v>
      </c>
      <c r="C1162" s="15">
        <v>113</v>
      </c>
      <c r="D1162" s="16">
        <v>8</v>
      </c>
      <c r="E1162" s="22">
        <v>44064</v>
      </c>
      <c r="F1162" s="19">
        <v>3</v>
      </c>
      <c r="G1162" s="18">
        <v>0.15</v>
      </c>
      <c r="H1162">
        <f>F1162*VLOOKUP(B1162,產品!$A$2:$H$61,7,FALSE)*(1-銷售總表!G1162)</f>
        <v>22950</v>
      </c>
      <c r="I1162" s="35">
        <f>H1162-F1162*VLOOKUP(銷售總表!B1162,產品!$A$2:$H$61,8,FALSE)</f>
        <v>6750</v>
      </c>
      <c r="J1162" s="20">
        <f t="shared" si="18"/>
        <v>0.29411764705882354</v>
      </c>
    </row>
    <row r="1163" spans="1:10" x14ac:dyDescent="0.3">
      <c r="A1163" s="33">
        <v>1162</v>
      </c>
      <c r="B1163" s="4">
        <v>8</v>
      </c>
      <c r="C1163" s="15">
        <v>139</v>
      </c>
      <c r="D1163" s="16">
        <v>9</v>
      </c>
      <c r="E1163" s="22">
        <v>44065</v>
      </c>
      <c r="F1163" s="19">
        <v>250</v>
      </c>
      <c r="G1163" s="18">
        <v>0.08</v>
      </c>
      <c r="H1163">
        <f>F1163*VLOOKUP(B1163,產品!$A$2:$H$61,7,FALSE)*(1-銷售總表!G1163)</f>
        <v>230000</v>
      </c>
      <c r="I1163" s="35">
        <f>H1163-F1163*VLOOKUP(銷售總表!B1163,產品!$A$2:$H$61,8,FALSE)</f>
        <v>130000</v>
      </c>
      <c r="J1163" s="20">
        <f t="shared" si="18"/>
        <v>0.56521739130434778</v>
      </c>
    </row>
    <row r="1164" spans="1:10" x14ac:dyDescent="0.3">
      <c r="A1164" s="33">
        <v>1163</v>
      </c>
      <c r="B1164" s="4">
        <v>44</v>
      </c>
      <c r="C1164" s="15">
        <v>113</v>
      </c>
      <c r="D1164" s="16">
        <v>6</v>
      </c>
      <c r="E1164" s="22">
        <v>44065</v>
      </c>
      <c r="F1164" s="17">
        <v>12</v>
      </c>
      <c r="G1164" s="18">
        <v>0.19</v>
      </c>
      <c r="H1164">
        <f>F1164*VLOOKUP(B1164,產品!$A$2:$H$61,7,FALSE)*(1-銷售總表!G1164)</f>
        <v>194400</v>
      </c>
      <c r="I1164" s="35">
        <f>H1164-F1164*VLOOKUP(銷售總表!B1164,產品!$A$2:$H$61,8,FALSE)</f>
        <v>38400</v>
      </c>
      <c r="J1164" s="20">
        <f t="shared" si="18"/>
        <v>0.19753086419753085</v>
      </c>
    </row>
    <row r="1165" spans="1:10" x14ac:dyDescent="0.3">
      <c r="A1165" s="33">
        <v>1164</v>
      </c>
      <c r="B1165" s="4">
        <v>34</v>
      </c>
      <c r="C1165" s="15">
        <v>114</v>
      </c>
      <c r="D1165" s="16">
        <v>3</v>
      </c>
      <c r="E1165" s="22">
        <v>44065</v>
      </c>
      <c r="F1165" s="17">
        <v>2</v>
      </c>
      <c r="G1165" s="18">
        <v>0.14000000000000001</v>
      </c>
      <c r="H1165">
        <f>F1165*VLOOKUP(B1165,產品!$A$2:$H$61,7,FALSE)*(1-銷售總表!G1165)</f>
        <v>13760</v>
      </c>
      <c r="I1165" s="35">
        <f>H1165-F1165*VLOOKUP(銷售總表!B1165,產品!$A$2:$H$61,8,FALSE)</f>
        <v>4160</v>
      </c>
      <c r="J1165" s="20">
        <f t="shared" si="18"/>
        <v>0.30232558139534882</v>
      </c>
    </row>
    <row r="1166" spans="1:10" x14ac:dyDescent="0.3">
      <c r="A1166" s="33">
        <v>1165</v>
      </c>
      <c r="B1166" s="4">
        <v>22</v>
      </c>
      <c r="C1166" s="15">
        <v>12</v>
      </c>
      <c r="D1166" s="16">
        <v>7</v>
      </c>
      <c r="E1166" s="22">
        <v>44066</v>
      </c>
      <c r="F1166" s="17">
        <v>150</v>
      </c>
      <c r="G1166" s="18">
        <v>0.2</v>
      </c>
      <c r="H1166">
        <f>F1166*VLOOKUP(B1166,產品!$A$2:$H$61,7,FALSE)*(1-銷售總表!G1166)</f>
        <v>216000</v>
      </c>
      <c r="I1166" s="35">
        <f>H1166-F1166*VLOOKUP(銷售總表!B1166,產品!$A$2:$H$61,8,FALSE)</f>
        <v>108000</v>
      </c>
      <c r="J1166" s="20">
        <f t="shared" si="18"/>
        <v>0.5</v>
      </c>
    </row>
    <row r="1167" spans="1:10" x14ac:dyDescent="0.3">
      <c r="A1167" s="33">
        <v>1166</v>
      </c>
      <c r="B1167" s="4">
        <v>41</v>
      </c>
      <c r="C1167" s="15">
        <v>126</v>
      </c>
      <c r="D1167" s="16">
        <v>6</v>
      </c>
      <c r="E1167" s="22">
        <v>44066</v>
      </c>
      <c r="F1167" s="19">
        <v>25</v>
      </c>
      <c r="G1167" s="18">
        <v>0.19</v>
      </c>
      <c r="H1167">
        <f>F1167*VLOOKUP(B1167,產品!$A$2:$H$61,7,FALSE)*(1-銷售總表!G1167)</f>
        <v>243000.00000000003</v>
      </c>
      <c r="I1167" s="35">
        <f>H1167-F1167*VLOOKUP(銷售總表!B1167,產品!$A$2:$H$61,8,FALSE)</f>
        <v>48000.000000000029</v>
      </c>
      <c r="J1167" s="20">
        <f t="shared" si="18"/>
        <v>0.19753086419753096</v>
      </c>
    </row>
    <row r="1168" spans="1:10" x14ac:dyDescent="0.3">
      <c r="A1168" s="33">
        <v>1167</v>
      </c>
      <c r="B1168" s="4">
        <v>51</v>
      </c>
      <c r="C1168" s="15">
        <v>290</v>
      </c>
      <c r="D1168" s="16">
        <v>4</v>
      </c>
      <c r="E1168" s="22">
        <v>44066</v>
      </c>
      <c r="F1168" s="17">
        <v>13</v>
      </c>
      <c r="G1168" s="18">
        <v>0.14000000000000001</v>
      </c>
      <c r="H1168">
        <f>F1168*VLOOKUP(B1168,產品!$A$2:$H$61,7,FALSE)*(1-銷售總表!G1168)</f>
        <v>223600</v>
      </c>
      <c r="I1168" s="35">
        <f>H1168-F1168*VLOOKUP(銷售總表!B1168,產品!$A$2:$H$61,8,FALSE)</f>
        <v>41600</v>
      </c>
      <c r="J1168" s="20">
        <f t="shared" si="18"/>
        <v>0.18604651162790697</v>
      </c>
    </row>
    <row r="1169" spans="1:10" x14ac:dyDescent="0.3">
      <c r="A1169" s="33">
        <v>1168</v>
      </c>
      <c r="B1169" s="4">
        <v>51</v>
      </c>
      <c r="C1169" s="15">
        <v>118</v>
      </c>
      <c r="D1169" s="16">
        <v>8</v>
      </c>
      <c r="E1169" s="22">
        <v>44066</v>
      </c>
      <c r="F1169" s="17">
        <v>15</v>
      </c>
      <c r="G1169" s="18">
        <v>0.18</v>
      </c>
      <c r="H1169">
        <f>F1169*VLOOKUP(B1169,產品!$A$2:$H$61,7,FALSE)*(1-銷售總表!G1169)</f>
        <v>246000.00000000003</v>
      </c>
      <c r="I1169" s="35">
        <f>H1169-F1169*VLOOKUP(銷售總表!B1169,產品!$A$2:$H$61,8,FALSE)</f>
        <v>36000.000000000029</v>
      </c>
      <c r="J1169" s="20">
        <f t="shared" si="18"/>
        <v>0.14634146341463425</v>
      </c>
    </row>
    <row r="1170" spans="1:10" x14ac:dyDescent="0.3">
      <c r="A1170" s="33">
        <v>1169</v>
      </c>
      <c r="B1170" s="4">
        <v>58</v>
      </c>
      <c r="C1170" s="15">
        <v>260</v>
      </c>
      <c r="D1170" s="16">
        <v>9</v>
      </c>
      <c r="E1170" s="22">
        <v>44066</v>
      </c>
      <c r="F1170" s="17">
        <v>3</v>
      </c>
      <c r="G1170" s="18">
        <v>0.09</v>
      </c>
      <c r="H1170">
        <f>F1170*VLOOKUP(B1170,產品!$A$2:$H$61,7,FALSE)*(1-銷售總表!G1170)</f>
        <v>57330</v>
      </c>
      <c r="I1170" s="35">
        <f>H1170-F1170*VLOOKUP(銷售總表!B1170,產品!$A$2:$H$61,8,FALSE)</f>
        <v>13230.000000000007</v>
      </c>
      <c r="J1170" s="20">
        <f t="shared" si="18"/>
        <v>0.23076923076923089</v>
      </c>
    </row>
    <row r="1171" spans="1:10" x14ac:dyDescent="0.3">
      <c r="A1171" s="33">
        <v>1170</v>
      </c>
      <c r="B1171" s="4">
        <v>46</v>
      </c>
      <c r="C1171" s="15">
        <v>285</v>
      </c>
      <c r="D1171" s="16">
        <v>2</v>
      </c>
      <c r="E1171" s="22">
        <v>44066</v>
      </c>
      <c r="F1171" s="19">
        <v>3</v>
      </c>
      <c r="G1171" s="18">
        <v>0.11</v>
      </c>
      <c r="H1171">
        <f>F1171*VLOOKUP(B1171,產品!$A$2:$H$61,7,FALSE)*(1-銷售總表!G1171)</f>
        <v>45390</v>
      </c>
      <c r="I1171" s="35">
        <f>H1171-F1171*VLOOKUP(銷售總表!B1171,產品!$A$2:$H$61,8,FALSE)</f>
        <v>12240</v>
      </c>
      <c r="J1171" s="20">
        <f t="shared" si="18"/>
        <v>0.2696629213483146</v>
      </c>
    </row>
    <row r="1172" spans="1:10" x14ac:dyDescent="0.3">
      <c r="A1172" s="33">
        <v>1171</v>
      </c>
      <c r="B1172" s="4">
        <v>23</v>
      </c>
      <c r="C1172" s="15">
        <v>7</v>
      </c>
      <c r="D1172" s="16">
        <v>8</v>
      </c>
      <c r="E1172" s="22">
        <v>44066</v>
      </c>
      <c r="F1172" s="17">
        <v>14</v>
      </c>
      <c r="G1172" s="18">
        <v>0.13</v>
      </c>
      <c r="H1172">
        <f>F1172*VLOOKUP(B1172,產品!$A$2:$H$61,7,FALSE)*(1-銷售總表!G1172)</f>
        <v>21924</v>
      </c>
      <c r="I1172" s="35">
        <f>H1172-F1172*VLOOKUP(銷售總表!B1172,產品!$A$2:$H$61,8,FALSE)</f>
        <v>11844</v>
      </c>
      <c r="J1172" s="20">
        <f t="shared" si="18"/>
        <v>0.54022988505747127</v>
      </c>
    </row>
    <row r="1173" spans="1:10" x14ac:dyDescent="0.3">
      <c r="A1173" s="33">
        <v>1172</v>
      </c>
      <c r="B1173" s="4">
        <v>29</v>
      </c>
      <c r="C1173" s="15">
        <v>293</v>
      </c>
      <c r="D1173" s="16">
        <v>2</v>
      </c>
      <c r="E1173" s="22">
        <v>44066</v>
      </c>
      <c r="F1173" s="19">
        <v>4</v>
      </c>
      <c r="G1173" s="18">
        <v>0.15</v>
      </c>
      <c r="H1173">
        <f>F1173*VLOOKUP(B1173,產品!$A$2:$H$61,7,FALSE)*(1-銷售總表!G1173)</f>
        <v>20400</v>
      </c>
      <c r="I1173" s="35">
        <f>H1173-F1173*VLOOKUP(銷售總表!B1173,產品!$A$2:$H$61,8,FALSE)</f>
        <v>6000</v>
      </c>
      <c r="J1173" s="20">
        <f t="shared" si="18"/>
        <v>0.29411764705882354</v>
      </c>
    </row>
    <row r="1174" spans="1:10" x14ac:dyDescent="0.3">
      <c r="A1174" s="33">
        <v>1173</v>
      </c>
      <c r="B1174" s="4">
        <v>45</v>
      </c>
      <c r="C1174" s="15">
        <v>7</v>
      </c>
      <c r="D1174" s="16">
        <v>10</v>
      </c>
      <c r="E1174" s="22">
        <v>44066</v>
      </c>
      <c r="F1174" s="17">
        <v>1</v>
      </c>
      <c r="G1174" s="18">
        <v>0.05</v>
      </c>
      <c r="H1174">
        <f>F1174*VLOOKUP(B1174,產品!$A$2:$H$61,7,FALSE)*(1-銷售總表!G1174)</f>
        <v>13300</v>
      </c>
      <c r="I1174" s="35">
        <f>H1174-F1174*VLOOKUP(銷售總表!B1174,產品!$A$2:$H$61,8,FALSE)</f>
        <v>4200</v>
      </c>
      <c r="J1174" s="20">
        <f t="shared" si="18"/>
        <v>0.31578947368421051</v>
      </c>
    </row>
    <row r="1175" spans="1:10" x14ac:dyDescent="0.3">
      <c r="A1175" s="33">
        <v>1174</v>
      </c>
      <c r="B1175" s="4">
        <v>60</v>
      </c>
      <c r="C1175" s="15">
        <v>4</v>
      </c>
      <c r="D1175" s="16">
        <v>1</v>
      </c>
      <c r="E1175" s="22">
        <v>44067</v>
      </c>
      <c r="F1175" s="17">
        <v>6</v>
      </c>
      <c r="G1175" s="18">
        <v>0.08</v>
      </c>
      <c r="H1175">
        <f>F1175*VLOOKUP(B1175,產品!$A$2:$H$61,7,FALSE)*(1-銷售總表!G1175)</f>
        <v>138000</v>
      </c>
      <c r="I1175" s="35">
        <f>H1175-F1175*VLOOKUP(銷售總表!B1175,產品!$A$2:$H$61,8,FALSE)</f>
        <v>33000</v>
      </c>
      <c r="J1175" s="20">
        <f t="shared" si="18"/>
        <v>0.2391304347826087</v>
      </c>
    </row>
    <row r="1176" spans="1:10" x14ac:dyDescent="0.3">
      <c r="A1176" s="33">
        <v>1175</v>
      </c>
      <c r="B1176" s="4">
        <v>41</v>
      </c>
      <c r="C1176" s="15">
        <v>118</v>
      </c>
      <c r="D1176" s="16">
        <v>6</v>
      </c>
      <c r="E1176" s="22">
        <v>44067</v>
      </c>
      <c r="F1176" s="19">
        <v>12</v>
      </c>
      <c r="G1176" s="18">
        <v>0.14000000000000001</v>
      </c>
      <c r="H1176">
        <f>F1176*VLOOKUP(B1176,產品!$A$2:$H$61,7,FALSE)*(1-銷售總表!G1176)</f>
        <v>123840</v>
      </c>
      <c r="I1176" s="35">
        <f>H1176-F1176*VLOOKUP(銷售總表!B1176,產品!$A$2:$H$61,8,FALSE)</f>
        <v>30240</v>
      </c>
      <c r="J1176" s="20">
        <f t="shared" si="18"/>
        <v>0.2441860465116279</v>
      </c>
    </row>
    <row r="1177" spans="1:10" x14ac:dyDescent="0.3">
      <c r="A1177" s="33">
        <v>1176</v>
      </c>
      <c r="B1177" s="4">
        <v>7</v>
      </c>
      <c r="C1177" s="15">
        <v>7</v>
      </c>
      <c r="D1177" s="16">
        <v>10</v>
      </c>
      <c r="E1177" s="22">
        <v>44067</v>
      </c>
      <c r="F1177" s="17">
        <v>40</v>
      </c>
      <c r="G1177" s="18">
        <v>0.2</v>
      </c>
      <c r="H1177">
        <f>F1177*VLOOKUP(B1177,產品!$A$2:$H$61,7,FALSE)*(1-銷售總表!G1177)</f>
        <v>32000</v>
      </c>
      <c r="I1177" s="35">
        <f>H1177-F1177*VLOOKUP(銷售總表!B1177,產品!$A$2:$H$61,8,FALSE)</f>
        <v>16000</v>
      </c>
      <c r="J1177" s="20">
        <f t="shared" si="18"/>
        <v>0.5</v>
      </c>
    </row>
    <row r="1178" spans="1:10" x14ac:dyDescent="0.3">
      <c r="A1178" s="33">
        <v>1177</v>
      </c>
      <c r="B1178" s="4">
        <v>57</v>
      </c>
      <c r="C1178" s="15">
        <v>112</v>
      </c>
      <c r="D1178" s="16">
        <v>10</v>
      </c>
      <c r="E1178" s="22">
        <v>44067</v>
      </c>
      <c r="F1178" s="17">
        <v>7</v>
      </c>
      <c r="G1178" s="18">
        <v>0.18</v>
      </c>
      <c r="H1178">
        <f>F1178*VLOOKUP(B1178,產品!$A$2:$H$61,7,FALSE)*(1-銷售總表!G1178)</f>
        <v>103320.00000000001</v>
      </c>
      <c r="I1178" s="35">
        <f>H1178-F1178*VLOOKUP(銷售總表!B1178,產品!$A$2:$H$61,8,FALSE)</f>
        <v>15120.000000000015</v>
      </c>
      <c r="J1178" s="20">
        <f t="shared" si="18"/>
        <v>0.14634146341463428</v>
      </c>
    </row>
    <row r="1179" spans="1:10" x14ac:dyDescent="0.3">
      <c r="A1179" s="33">
        <v>1178</v>
      </c>
      <c r="B1179" s="4">
        <v>55</v>
      </c>
      <c r="C1179" s="15">
        <v>272</v>
      </c>
      <c r="D1179" s="16">
        <v>8</v>
      </c>
      <c r="E1179" s="22">
        <v>44067</v>
      </c>
      <c r="F1179" s="19">
        <v>3</v>
      </c>
      <c r="G1179" s="18">
        <v>0.12</v>
      </c>
      <c r="H1179">
        <f>F1179*VLOOKUP(B1179,產品!$A$2:$H$61,7,FALSE)*(1-銷售總表!G1179)</f>
        <v>52800</v>
      </c>
      <c r="I1179" s="35">
        <f>H1179-F1179*VLOOKUP(銷售總表!B1179,產品!$A$2:$H$61,8,FALSE)</f>
        <v>10800</v>
      </c>
      <c r="J1179" s="20">
        <f t="shared" si="18"/>
        <v>0.20454545454545456</v>
      </c>
    </row>
    <row r="1180" spans="1:10" x14ac:dyDescent="0.3">
      <c r="A1180" s="33">
        <v>1179</v>
      </c>
      <c r="B1180" s="4">
        <v>13</v>
      </c>
      <c r="C1180" s="15">
        <v>282</v>
      </c>
      <c r="D1180" s="16">
        <v>9</v>
      </c>
      <c r="E1180" s="22">
        <v>44067</v>
      </c>
      <c r="F1180" s="17">
        <v>10</v>
      </c>
      <c r="G1180" s="18">
        <v>7.0000000000000007E-2</v>
      </c>
      <c r="H1180">
        <f>F1180*VLOOKUP(B1180,產品!$A$2:$H$61,7,FALSE)*(1-銷售總表!G1180)</f>
        <v>16740</v>
      </c>
      <c r="I1180" s="35">
        <f>H1180-F1180*VLOOKUP(銷售總表!B1180,產品!$A$2:$H$61,8,FALSE)</f>
        <v>9540</v>
      </c>
      <c r="J1180" s="20">
        <f t="shared" si="18"/>
        <v>0.56989247311827962</v>
      </c>
    </row>
    <row r="1181" spans="1:10" x14ac:dyDescent="0.3">
      <c r="A1181" s="33">
        <v>1180</v>
      </c>
      <c r="B1181" s="4">
        <v>37</v>
      </c>
      <c r="C1181" s="15">
        <v>9</v>
      </c>
      <c r="D1181" s="16">
        <v>8</v>
      </c>
      <c r="E1181" s="22">
        <v>44068</v>
      </c>
      <c r="F1181" s="17">
        <v>25</v>
      </c>
      <c r="G1181" s="18">
        <v>0.13</v>
      </c>
      <c r="H1181">
        <f>F1181*VLOOKUP(B1181,產品!$A$2:$H$61,7,FALSE)*(1-銷售總表!G1181)</f>
        <v>261000</v>
      </c>
      <c r="I1181" s="35">
        <f>H1181-F1181*VLOOKUP(銷售總表!B1181,產品!$A$2:$H$61,8,FALSE)</f>
        <v>66000</v>
      </c>
      <c r="J1181" s="20">
        <f t="shared" si="18"/>
        <v>0.25287356321839083</v>
      </c>
    </row>
    <row r="1182" spans="1:10" x14ac:dyDescent="0.3">
      <c r="A1182" s="33">
        <v>1181</v>
      </c>
      <c r="B1182" s="4">
        <v>2</v>
      </c>
      <c r="C1182" s="15">
        <v>5</v>
      </c>
      <c r="D1182" s="16">
        <v>9</v>
      </c>
      <c r="E1182" s="22">
        <v>44068</v>
      </c>
      <c r="F1182" s="17">
        <v>100</v>
      </c>
      <c r="G1182" s="18">
        <v>0.14000000000000001</v>
      </c>
      <c r="H1182">
        <f>F1182*VLOOKUP(B1182,產品!$A$2:$H$61,7,FALSE)*(1-銷售總表!G1182)</f>
        <v>86000</v>
      </c>
      <c r="I1182" s="35">
        <f>H1182-F1182*VLOOKUP(銷售總表!B1182,產品!$A$2:$H$61,8,FALSE)</f>
        <v>46000</v>
      </c>
      <c r="J1182" s="20">
        <f t="shared" si="18"/>
        <v>0.53488372093023251</v>
      </c>
    </row>
    <row r="1183" spans="1:10" x14ac:dyDescent="0.3">
      <c r="A1183" s="33">
        <v>1182</v>
      </c>
      <c r="B1183" s="4">
        <v>44</v>
      </c>
      <c r="C1183" s="15">
        <v>257</v>
      </c>
      <c r="D1183" s="16">
        <v>2</v>
      </c>
      <c r="E1183" s="22">
        <v>44068</v>
      </c>
      <c r="F1183" s="19">
        <v>2</v>
      </c>
      <c r="G1183" s="18">
        <v>0.06</v>
      </c>
      <c r="H1183">
        <f>F1183*VLOOKUP(B1183,產品!$A$2:$H$61,7,FALSE)*(1-銷售總表!G1183)</f>
        <v>37600</v>
      </c>
      <c r="I1183" s="35">
        <f>H1183-F1183*VLOOKUP(銷售總表!B1183,產品!$A$2:$H$61,8,FALSE)</f>
        <v>11600</v>
      </c>
      <c r="J1183" s="20">
        <f t="shared" si="18"/>
        <v>0.30851063829787234</v>
      </c>
    </row>
    <row r="1184" spans="1:10" x14ac:dyDescent="0.3">
      <c r="A1184" s="33">
        <v>1183</v>
      </c>
      <c r="B1184" s="4">
        <v>27</v>
      </c>
      <c r="C1184" s="15">
        <v>12</v>
      </c>
      <c r="D1184" s="16">
        <v>9</v>
      </c>
      <c r="E1184" s="22">
        <v>44068</v>
      </c>
      <c r="F1184" s="19">
        <v>3</v>
      </c>
      <c r="G1184" s="18">
        <v>0.09</v>
      </c>
      <c r="H1184">
        <f>F1184*VLOOKUP(B1184,產品!$A$2:$H$61,7,FALSE)*(1-銷售總表!G1184)</f>
        <v>19110</v>
      </c>
      <c r="I1184" s="35">
        <f>H1184-F1184*VLOOKUP(銷售總表!B1184,產品!$A$2:$H$61,8,FALSE)</f>
        <v>6510</v>
      </c>
      <c r="J1184" s="20">
        <f t="shared" si="18"/>
        <v>0.34065934065934067</v>
      </c>
    </row>
    <row r="1185" spans="1:10" x14ac:dyDescent="0.3">
      <c r="A1185" s="33">
        <v>1184</v>
      </c>
      <c r="B1185" s="4">
        <v>49</v>
      </c>
      <c r="C1185" s="15">
        <v>113</v>
      </c>
      <c r="D1185" s="16">
        <v>10</v>
      </c>
      <c r="E1185" s="22">
        <v>44068</v>
      </c>
      <c r="F1185" s="19">
        <v>3</v>
      </c>
      <c r="G1185" s="18">
        <v>0.18</v>
      </c>
      <c r="H1185">
        <f>F1185*VLOOKUP(B1185,產品!$A$2:$H$61,7,FALSE)*(1-銷售總表!G1185)</f>
        <v>36900</v>
      </c>
      <c r="I1185" s="35">
        <f>H1185-F1185*VLOOKUP(銷售總表!B1185,產品!$A$2:$H$61,8,FALSE)</f>
        <v>5400</v>
      </c>
      <c r="J1185" s="20">
        <f t="shared" si="18"/>
        <v>0.14634146341463414</v>
      </c>
    </row>
    <row r="1186" spans="1:10" x14ac:dyDescent="0.3">
      <c r="A1186" s="33">
        <v>1185</v>
      </c>
      <c r="B1186" s="4">
        <v>17</v>
      </c>
      <c r="C1186" s="15">
        <v>4</v>
      </c>
      <c r="D1186" s="16">
        <v>4</v>
      </c>
      <c r="E1186" s="22">
        <v>44069</v>
      </c>
      <c r="F1186" s="19">
        <v>30</v>
      </c>
      <c r="G1186" s="18">
        <v>0.11</v>
      </c>
      <c r="H1186">
        <f>F1186*VLOOKUP(B1186,產品!$A$2:$H$61,7,FALSE)*(1-銷售總表!G1186)</f>
        <v>48060</v>
      </c>
      <c r="I1186" s="35">
        <f>H1186-F1186*VLOOKUP(銷售總表!B1186,產品!$A$2:$H$61,8,FALSE)</f>
        <v>26460</v>
      </c>
      <c r="J1186" s="20">
        <f t="shared" si="18"/>
        <v>0.550561797752809</v>
      </c>
    </row>
    <row r="1187" spans="1:10" x14ac:dyDescent="0.3">
      <c r="A1187" s="33">
        <v>1186</v>
      </c>
      <c r="B1187" s="4">
        <v>3</v>
      </c>
      <c r="C1187" s="15">
        <v>261</v>
      </c>
      <c r="D1187" s="16">
        <v>7</v>
      </c>
      <c r="E1187" s="22">
        <v>44069</v>
      </c>
      <c r="F1187" s="19">
        <v>30</v>
      </c>
      <c r="G1187" s="18">
        <v>0.16</v>
      </c>
      <c r="H1187">
        <f>F1187*VLOOKUP(B1187,產品!$A$2:$H$61,7,FALSE)*(1-銷售總表!G1187)</f>
        <v>25200</v>
      </c>
      <c r="I1187" s="35">
        <f>H1187-F1187*VLOOKUP(銷售總表!B1187,產品!$A$2:$H$61,8,FALSE)</f>
        <v>13200</v>
      </c>
      <c r="J1187" s="20">
        <f t="shared" si="18"/>
        <v>0.52380952380952384</v>
      </c>
    </row>
    <row r="1188" spans="1:10" x14ac:dyDescent="0.3">
      <c r="A1188" s="33">
        <v>1187</v>
      </c>
      <c r="B1188" s="4">
        <v>37</v>
      </c>
      <c r="C1188" s="15">
        <v>118</v>
      </c>
      <c r="D1188" s="16">
        <v>7</v>
      </c>
      <c r="E1188" s="22">
        <v>44069</v>
      </c>
      <c r="F1188" s="19">
        <v>4</v>
      </c>
      <c r="G1188" s="18">
        <v>0.08</v>
      </c>
      <c r="H1188">
        <f>F1188*VLOOKUP(B1188,產品!$A$2:$H$61,7,FALSE)*(1-銷售總表!G1188)</f>
        <v>44160</v>
      </c>
      <c r="I1188" s="35">
        <f>H1188-F1188*VLOOKUP(銷售總表!B1188,產品!$A$2:$H$61,8,FALSE)</f>
        <v>12960</v>
      </c>
      <c r="J1188" s="20">
        <f t="shared" si="18"/>
        <v>0.29347826086956524</v>
      </c>
    </row>
    <row r="1189" spans="1:10" x14ac:dyDescent="0.3">
      <c r="A1189" s="33">
        <v>1188</v>
      </c>
      <c r="B1189" s="4">
        <v>32</v>
      </c>
      <c r="C1189" s="15">
        <v>4</v>
      </c>
      <c r="D1189" s="16">
        <v>4</v>
      </c>
      <c r="E1189" s="22">
        <v>44069</v>
      </c>
      <c r="F1189" s="17">
        <v>2</v>
      </c>
      <c r="G1189" s="18">
        <v>0.06</v>
      </c>
      <c r="H1189">
        <f>F1189*VLOOKUP(B1189,產品!$A$2:$H$61,7,FALSE)*(1-銷售總表!G1189)</f>
        <v>14100</v>
      </c>
      <c r="I1189" s="35">
        <f>H1189-F1189*VLOOKUP(銷售總表!B1189,產品!$A$2:$H$61,8,FALSE)</f>
        <v>5100</v>
      </c>
      <c r="J1189" s="20">
        <f t="shared" si="18"/>
        <v>0.36170212765957449</v>
      </c>
    </row>
    <row r="1190" spans="1:10" x14ac:dyDescent="0.3">
      <c r="A1190" s="33">
        <v>1189</v>
      </c>
      <c r="B1190" s="4">
        <v>20</v>
      </c>
      <c r="C1190" s="15">
        <v>2</v>
      </c>
      <c r="D1190" s="16">
        <v>7</v>
      </c>
      <c r="E1190" s="22">
        <v>44070</v>
      </c>
      <c r="F1190" s="17">
        <v>40</v>
      </c>
      <c r="G1190" s="18">
        <v>0.19</v>
      </c>
      <c r="H1190">
        <f>F1190*VLOOKUP(B1190,產品!$A$2:$H$61,7,FALSE)*(1-銷售總表!G1190)</f>
        <v>58320.000000000007</v>
      </c>
      <c r="I1190" s="35">
        <f>H1190-F1190*VLOOKUP(銷售總表!B1190,產品!$A$2:$H$61,8,FALSE)</f>
        <v>29520.000000000007</v>
      </c>
      <c r="J1190" s="20">
        <f t="shared" si="18"/>
        <v>0.50617283950617287</v>
      </c>
    </row>
    <row r="1191" spans="1:10" x14ac:dyDescent="0.3">
      <c r="A1191" s="33">
        <v>1190</v>
      </c>
      <c r="B1191" s="4">
        <v>29</v>
      </c>
      <c r="C1191" s="15">
        <v>279</v>
      </c>
      <c r="D1191" s="16">
        <v>2</v>
      </c>
      <c r="E1191" s="22">
        <v>44070</v>
      </c>
      <c r="F1191" s="19">
        <v>10</v>
      </c>
      <c r="G1191" s="18">
        <v>7.0000000000000007E-2</v>
      </c>
      <c r="H1191">
        <f>F1191*VLOOKUP(B1191,產品!$A$2:$H$61,7,FALSE)*(1-銷售總表!G1191)</f>
        <v>55799.999999999993</v>
      </c>
      <c r="I1191" s="35">
        <f>H1191-F1191*VLOOKUP(銷售總表!B1191,產品!$A$2:$H$61,8,FALSE)</f>
        <v>19799.999999999993</v>
      </c>
      <c r="J1191" s="20">
        <f t="shared" si="18"/>
        <v>0.35483870967741926</v>
      </c>
    </row>
    <row r="1192" spans="1:10" x14ac:dyDescent="0.3">
      <c r="A1192" s="33">
        <v>1191</v>
      </c>
      <c r="B1192" s="4">
        <v>40</v>
      </c>
      <c r="C1192" s="15">
        <v>9</v>
      </c>
      <c r="D1192" s="16">
        <v>7</v>
      </c>
      <c r="E1192" s="22">
        <v>44070</v>
      </c>
      <c r="F1192" s="19">
        <v>1</v>
      </c>
      <c r="G1192" s="18">
        <v>0.05</v>
      </c>
      <c r="H1192">
        <f>F1192*VLOOKUP(B1192,產品!$A$2:$H$61,7,FALSE)*(1-銷售總表!G1192)</f>
        <v>19000</v>
      </c>
      <c r="I1192" s="35">
        <f>H1192-F1192*VLOOKUP(銷售總表!B1192,產品!$A$2:$H$61,8,FALSE)</f>
        <v>6000</v>
      </c>
      <c r="J1192" s="20">
        <f t="shared" si="18"/>
        <v>0.31578947368421051</v>
      </c>
    </row>
    <row r="1193" spans="1:10" x14ac:dyDescent="0.3">
      <c r="A1193" s="33">
        <v>1192</v>
      </c>
      <c r="B1193" s="4">
        <v>12</v>
      </c>
      <c r="C1193" s="15">
        <v>3</v>
      </c>
      <c r="D1193" s="16">
        <v>1</v>
      </c>
      <c r="E1193" s="22">
        <v>44071</v>
      </c>
      <c r="F1193" s="19">
        <v>200</v>
      </c>
      <c r="G1193" s="18">
        <v>0.14000000000000001</v>
      </c>
      <c r="H1193">
        <f>F1193*VLOOKUP(B1193,產品!$A$2:$H$61,7,FALSE)*(1-銷售總表!G1193)</f>
        <v>172000</v>
      </c>
      <c r="I1193" s="35">
        <f>H1193-F1193*VLOOKUP(銷售總表!B1193,產品!$A$2:$H$61,8,FALSE)</f>
        <v>92000</v>
      </c>
      <c r="J1193" s="20">
        <f t="shared" si="18"/>
        <v>0.53488372093023251</v>
      </c>
    </row>
    <row r="1194" spans="1:10" x14ac:dyDescent="0.3">
      <c r="A1194" s="33">
        <v>1193</v>
      </c>
      <c r="B1194" s="4">
        <v>55</v>
      </c>
      <c r="C1194" s="15">
        <v>1</v>
      </c>
      <c r="D1194" s="16">
        <v>1</v>
      </c>
      <c r="E1194" s="22">
        <v>44071</v>
      </c>
      <c r="F1194" s="19">
        <v>10</v>
      </c>
      <c r="G1194" s="18">
        <v>0.05</v>
      </c>
      <c r="H1194">
        <f>F1194*VLOOKUP(B1194,產品!$A$2:$H$61,7,FALSE)*(1-銷售總表!G1194)</f>
        <v>190000</v>
      </c>
      <c r="I1194" s="35">
        <f>H1194-F1194*VLOOKUP(銷售總表!B1194,產品!$A$2:$H$61,8,FALSE)</f>
        <v>50000</v>
      </c>
      <c r="J1194" s="20">
        <f t="shared" si="18"/>
        <v>0.26315789473684209</v>
      </c>
    </row>
    <row r="1195" spans="1:10" x14ac:dyDescent="0.3">
      <c r="A1195" s="33">
        <v>1194</v>
      </c>
      <c r="B1195" s="4">
        <v>3</v>
      </c>
      <c r="C1195" s="15">
        <v>289</v>
      </c>
      <c r="D1195" s="16">
        <v>10</v>
      </c>
      <c r="E1195" s="22">
        <v>44071</v>
      </c>
      <c r="F1195" s="19">
        <v>30</v>
      </c>
      <c r="G1195" s="18">
        <v>0.11</v>
      </c>
      <c r="H1195">
        <f>F1195*VLOOKUP(B1195,產品!$A$2:$H$61,7,FALSE)*(1-銷售總表!G1195)</f>
        <v>26700</v>
      </c>
      <c r="I1195" s="35">
        <f>H1195-F1195*VLOOKUP(銷售總表!B1195,產品!$A$2:$H$61,8,FALSE)</f>
        <v>14700</v>
      </c>
      <c r="J1195" s="20">
        <f t="shared" si="18"/>
        <v>0.550561797752809</v>
      </c>
    </row>
    <row r="1196" spans="1:10" x14ac:dyDescent="0.3">
      <c r="A1196" s="33">
        <v>1195</v>
      </c>
      <c r="B1196" s="4">
        <v>4</v>
      </c>
      <c r="C1196" s="15">
        <v>123</v>
      </c>
      <c r="D1196" s="16">
        <v>5</v>
      </c>
      <c r="E1196" s="22">
        <v>44072</v>
      </c>
      <c r="F1196" s="19">
        <v>150</v>
      </c>
      <c r="G1196" s="18">
        <v>0.13</v>
      </c>
      <c r="H1196">
        <f>F1196*VLOOKUP(B1196,產品!$A$2:$H$61,7,FALSE)*(1-銷售總表!G1196)</f>
        <v>130500</v>
      </c>
      <c r="I1196" s="35">
        <f>H1196-F1196*VLOOKUP(銷售總表!B1196,產品!$A$2:$H$61,8,FALSE)</f>
        <v>70500</v>
      </c>
      <c r="J1196" s="20">
        <f t="shared" si="18"/>
        <v>0.54022988505747127</v>
      </c>
    </row>
    <row r="1197" spans="1:10" x14ac:dyDescent="0.3">
      <c r="A1197" s="33">
        <v>1196</v>
      </c>
      <c r="B1197" s="4">
        <v>43</v>
      </c>
      <c r="C1197" s="15">
        <v>112</v>
      </c>
      <c r="D1197" s="16">
        <v>8</v>
      </c>
      <c r="E1197" s="22">
        <v>44072</v>
      </c>
      <c r="F1197" s="19">
        <v>15</v>
      </c>
      <c r="G1197" s="18">
        <v>0.19</v>
      </c>
      <c r="H1197">
        <f>F1197*VLOOKUP(B1197,產品!$A$2:$H$61,7,FALSE)*(1-銷售總表!G1197)</f>
        <v>218700</v>
      </c>
      <c r="I1197" s="35">
        <f>H1197-F1197*VLOOKUP(銷售總表!B1197,產品!$A$2:$H$61,8,FALSE)</f>
        <v>43200</v>
      </c>
      <c r="J1197" s="20">
        <f t="shared" si="18"/>
        <v>0.19753086419753085</v>
      </c>
    </row>
    <row r="1198" spans="1:10" x14ac:dyDescent="0.3">
      <c r="A1198" s="33">
        <v>1197</v>
      </c>
      <c r="B1198" s="4">
        <v>5</v>
      </c>
      <c r="C1198" s="15">
        <v>257</v>
      </c>
      <c r="D1198" s="16">
        <v>6</v>
      </c>
      <c r="E1198" s="22">
        <v>44072</v>
      </c>
      <c r="F1198" s="17">
        <v>50</v>
      </c>
      <c r="G1198" s="18">
        <v>0.14000000000000001</v>
      </c>
      <c r="H1198">
        <f>F1198*VLOOKUP(B1198,產品!$A$2:$H$61,7,FALSE)*(1-銷售總表!G1198)</f>
        <v>43000</v>
      </c>
      <c r="I1198" s="35">
        <f>H1198-F1198*VLOOKUP(銷售總表!B1198,產品!$A$2:$H$61,8,FALSE)</f>
        <v>23000</v>
      </c>
      <c r="J1198" s="20">
        <f t="shared" si="18"/>
        <v>0.53488372093023251</v>
      </c>
    </row>
    <row r="1199" spans="1:10" x14ac:dyDescent="0.3">
      <c r="A1199" s="33">
        <v>1198</v>
      </c>
      <c r="B1199" s="4">
        <v>48</v>
      </c>
      <c r="C1199" s="15">
        <v>5</v>
      </c>
      <c r="D1199" s="16">
        <v>3</v>
      </c>
      <c r="E1199" s="22">
        <v>44072</v>
      </c>
      <c r="F1199" s="17">
        <v>5</v>
      </c>
      <c r="G1199" s="18">
        <v>0.13</v>
      </c>
      <c r="H1199">
        <f>F1199*VLOOKUP(B1199,產品!$A$2:$H$61,7,FALSE)*(1-銷售總表!G1199)</f>
        <v>95700</v>
      </c>
      <c r="I1199" s="35">
        <f>H1199-F1199*VLOOKUP(銷售總表!B1199,產品!$A$2:$H$61,8,FALSE)</f>
        <v>24200</v>
      </c>
      <c r="J1199" s="20">
        <f t="shared" si="18"/>
        <v>0.25287356321839083</v>
      </c>
    </row>
    <row r="1200" spans="1:10" x14ac:dyDescent="0.3">
      <c r="A1200" s="33">
        <v>1199</v>
      </c>
      <c r="B1200" s="4">
        <v>8</v>
      </c>
      <c r="C1200" s="15">
        <v>12</v>
      </c>
      <c r="D1200" s="16">
        <v>3</v>
      </c>
      <c r="E1200" s="22">
        <v>44072</v>
      </c>
      <c r="F1200" s="17">
        <v>50</v>
      </c>
      <c r="G1200" s="18">
        <v>0.18</v>
      </c>
      <c r="H1200">
        <f>F1200*VLOOKUP(B1200,產品!$A$2:$H$61,7,FALSE)*(1-銷售總表!G1200)</f>
        <v>41000</v>
      </c>
      <c r="I1200" s="35">
        <f>H1200-F1200*VLOOKUP(銷售總表!B1200,產品!$A$2:$H$61,8,FALSE)</f>
        <v>21000</v>
      </c>
      <c r="J1200" s="20">
        <f t="shared" si="18"/>
        <v>0.51219512195121952</v>
      </c>
    </row>
    <row r="1201" spans="1:10" x14ac:dyDescent="0.3">
      <c r="A1201" s="33">
        <v>1200</v>
      </c>
      <c r="B1201" s="4">
        <v>29</v>
      </c>
      <c r="C1201" s="15">
        <v>3</v>
      </c>
      <c r="D1201" s="16">
        <v>8</v>
      </c>
      <c r="E1201" s="22">
        <v>44072</v>
      </c>
      <c r="F1201" s="17">
        <v>7</v>
      </c>
      <c r="G1201" s="18">
        <v>0.06</v>
      </c>
      <c r="H1201">
        <f>F1201*VLOOKUP(B1201,產品!$A$2:$H$61,7,FALSE)*(1-銷售總表!G1201)</f>
        <v>39480</v>
      </c>
      <c r="I1201" s="35">
        <f>H1201-F1201*VLOOKUP(銷售總表!B1201,產品!$A$2:$H$61,8,FALSE)</f>
        <v>14280</v>
      </c>
      <c r="J1201" s="20">
        <f t="shared" si="18"/>
        <v>0.36170212765957449</v>
      </c>
    </row>
    <row r="1202" spans="1:10" x14ac:dyDescent="0.3">
      <c r="A1202" s="33">
        <v>1201</v>
      </c>
      <c r="B1202" s="4">
        <v>30</v>
      </c>
      <c r="C1202" s="15">
        <v>12</v>
      </c>
      <c r="D1202" s="16">
        <v>4</v>
      </c>
      <c r="E1202" s="22">
        <v>44072</v>
      </c>
      <c r="F1202" s="19">
        <v>3</v>
      </c>
      <c r="G1202" s="18">
        <v>7.0000000000000007E-2</v>
      </c>
      <c r="H1202">
        <f>F1202*VLOOKUP(B1202,產品!$A$2:$H$61,7,FALSE)*(1-銷售總表!G1202)</f>
        <v>18135</v>
      </c>
      <c r="I1202" s="35">
        <f>H1202-F1202*VLOOKUP(銷售總表!B1202,產品!$A$2:$H$61,8,FALSE)</f>
        <v>6435</v>
      </c>
      <c r="J1202" s="20">
        <f t="shared" si="18"/>
        <v>0.35483870967741937</v>
      </c>
    </row>
    <row r="1203" spans="1:10" x14ac:dyDescent="0.3">
      <c r="A1203" s="33">
        <v>1202</v>
      </c>
      <c r="B1203" s="4">
        <v>26</v>
      </c>
      <c r="C1203" s="15">
        <v>135</v>
      </c>
      <c r="D1203" s="16">
        <v>10</v>
      </c>
      <c r="E1203" s="22">
        <v>44072</v>
      </c>
      <c r="F1203" s="17">
        <v>3</v>
      </c>
      <c r="G1203" s="18">
        <v>0.12</v>
      </c>
      <c r="H1203">
        <f>F1203*VLOOKUP(B1203,產品!$A$2:$H$61,7,FALSE)*(1-銷售總表!G1203)</f>
        <v>17160</v>
      </c>
      <c r="I1203" s="35">
        <f>H1203-F1203*VLOOKUP(銷售總表!B1203,產品!$A$2:$H$61,8,FALSE)</f>
        <v>5460</v>
      </c>
      <c r="J1203" s="20">
        <f t="shared" si="18"/>
        <v>0.31818181818181818</v>
      </c>
    </row>
    <row r="1204" spans="1:10" x14ac:dyDescent="0.3">
      <c r="A1204" s="33">
        <v>1203</v>
      </c>
      <c r="B1204" s="4">
        <v>10</v>
      </c>
      <c r="C1204" s="15">
        <v>11</v>
      </c>
      <c r="D1204" s="16">
        <v>10</v>
      </c>
      <c r="E1204" s="22">
        <v>44072</v>
      </c>
      <c r="F1204" s="17">
        <v>10</v>
      </c>
      <c r="G1204" s="18">
        <v>7.0000000000000007E-2</v>
      </c>
      <c r="H1204">
        <f>F1204*VLOOKUP(B1204,產品!$A$2:$H$61,7,FALSE)*(1-銷售總表!G1204)</f>
        <v>9300</v>
      </c>
      <c r="I1204" s="35">
        <f>H1204-F1204*VLOOKUP(銷售總表!B1204,產品!$A$2:$H$61,8,FALSE)</f>
        <v>5300</v>
      </c>
      <c r="J1204" s="20">
        <f t="shared" si="18"/>
        <v>0.56989247311827962</v>
      </c>
    </row>
    <row r="1205" spans="1:10" x14ac:dyDescent="0.3">
      <c r="A1205" s="33">
        <v>1204</v>
      </c>
      <c r="B1205" s="4">
        <v>55</v>
      </c>
      <c r="C1205" s="15">
        <v>280</v>
      </c>
      <c r="D1205" s="16">
        <v>3</v>
      </c>
      <c r="E1205" s="22">
        <v>44072</v>
      </c>
      <c r="F1205" s="17">
        <v>1</v>
      </c>
      <c r="G1205" s="18">
        <v>0.05</v>
      </c>
      <c r="H1205">
        <f>F1205*VLOOKUP(B1205,產品!$A$2:$H$61,7,FALSE)*(1-銷售總表!G1205)</f>
        <v>19000</v>
      </c>
      <c r="I1205" s="35">
        <f>H1205-F1205*VLOOKUP(銷售總表!B1205,產品!$A$2:$H$61,8,FALSE)</f>
        <v>5000</v>
      </c>
      <c r="J1205" s="20">
        <f t="shared" si="18"/>
        <v>0.26315789473684209</v>
      </c>
    </row>
    <row r="1206" spans="1:10" x14ac:dyDescent="0.3">
      <c r="A1206" s="33">
        <v>1205</v>
      </c>
      <c r="B1206" s="4">
        <v>55</v>
      </c>
      <c r="C1206" s="15">
        <v>123</v>
      </c>
      <c r="D1206" s="16">
        <v>1</v>
      </c>
      <c r="E1206" s="22">
        <v>44073</v>
      </c>
      <c r="F1206" s="19">
        <v>15</v>
      </c>
      <c r="G1206" s="18">
        <v>0.17</v>
      </c>
      <c r="H1206">
        <f>F1206*VLOOKUP(B1206,產品!$A$2:$H$61,7,FALSE)*(1-銷售總表!G1206)</f>
        <v>249000</v>
      </c>
      <c r="I1206" s="35">
        <f>H1206-F1206*VLOOKUP(銷售總表!B1206,產品!$A$2:$H$61,8,FALSE)</f>
        <v>39000</v>
      </c>
      <c r="J1206" s="20">
        <f t="shared" si="18"/>
        <v>0.15662650602409639</v>
      </c>
    </row>
    <row r="1207" spans="1:10" x14ac:dyDescent="0.3">
      <c r="A1207" s="33">
        <v>1206</v>
      </c>
      <c r="B1207" s="4">
        <v>47</v>
      </c>
      <c r="C1207" s="15">
        <v>137</v>
      </c>
      <c r="D1207" s="16">
        <v>6</v>
      </c>
      <c r="E1207" s="22">
        <v>44073</v>
      </c>
      <c r="F1207" s="17">
        <v>7</v>
      </c>
      <c r="G1207" s="18">
        <v>0.12</v>
      </c>
      <c r="H1207">
        <f>F1207*VLOOKUP(B1207,產品!$A$2:$H$61,7,FALSE)*(1-銷售總表!G1207)</f>
        <v>123200</v>
      </c>
      <c r="I1207" s="35">
        <f>H1207-F1207*VLOOKUP(銷售總表!B1207,產品!$A$2:$H$61,8,FALSE)</f>
        <v>32200</v>
      </c>
      <c r="J1207" s="20">
        <f t="shared" si="18"/>
        <v>0.26136363636363635</v>
      </c>
    </row>
    <row r="1208" spans="1:10" x14ac:dyDescent="0.3">
      <c r="A1208" s="33">
        <v>1207</v>
      </c>
      <c r="B1208" s="4">
        <v>5</v>
      </c>
      <c r="C1208" s="15">
        <v>112</v>
      </c>
      <c r="D1208" s="16">
        <v>7</v>
      </c>
      <c r="E1208" s="22">
        <v>44073</v>
      </c>
      <c r="F1208" s="17">
        <v>60</v>
      </c>
      <c r="G1208" s="18">
        <v>0.16</v>
      </c>
      <c r="H1208">
        <f>F1208*VLOOKUP(B1208,產品!$A$2:$H$61,7,FALSE)*(1-銷售總表!G1208)</f>
        <v>50400</v>
      </c>
      <c r="I1208" s="35">
        <f>H1208-F1208*VLOOKUP(銷售總表!B1208,產品!$A$2:$H$61,8,FALSE)</f>
        <v>26400</v>
      </c>
      <c r="J1208" s="20">
        <f t="shared" si="18"/>
        <v>0.52380952380952384</v>
      </c>
    </row>
    <row r="1209" spans="1:10" x14ac:dyDescent="0.3">
      <c r="A1209" s="33">
        <v>1208</v>
      </c>
      <c r="B1209" s="4">
        <v>42</v>
      </c>
      <c r="C1209" s="15">
        <v>6</v>
      </c>
      <c r="D1209" s="16">
        <v>1</v>
      </c>
      <c r="E1209" s="22">
        <v>44073</v>
      </c>
      <c r="F1209" s="17">
        <v>5</v>
      </c>
      <c r="G1209" s="18">
        <v>0.15</v>
      </c>
      <c r="H1209">
        <f>F1209*VLOOKUP(B1209,產品!$A$2:$H$61,7,FALSE)*(1-銷售總表!G1209)</f>
        <v>63750</v>
      </c>
      <c r="I1209" s="35">
        <f>H1209-F1209*VLOOKUP(銷售總表!B1209,產品!$A$2:$H$61,8,FALSE)</f>
        <v>15000</v>
      </c>
      <c r="J1209" s="20">
        <f t="shared" si="18"/>
        <v>0.23529411764705882</v>
      </c>
    </row>
    <row r="1210" spans="1:10" x14ac:dyDescent="0.3">
      <c r="A1210" s="33">
        <v>1209</v>
      </c>
      <c r="B1210" s="4">
        <v>4</v>
      </c>
      <c r="C1210" s="15">
        <v>280</v>
      </c>
      <c r="D1210" s="16">
        <v>6</v>
      </c>
      <c r="E1210" s="22">
        <v>44073</v>
      </c>
      <c r="F1210" s="19">
        <v>30</v>
      </c>
      <c r="G1210" s="18">
        <v>0.2</v>
      </c>
      <c r="H1210">
        <f>F1210*VLOOKUP(B1210,產品!$A$2:$H$61,7,FALSE)*(1-銷售總表!G1210)</f>
        <v>24000</v>
      </c>
      <c r="I1210" s="35">
        <f>H1210-F1210*VLOOKUP(銷售總表!B1210,產品!$A$2:$H$61,8,FALSE)</f>
        <v>12000</v>
      </c>
      <c r="J1210" s="20">
        <f t="shared" si="18"/>
        <v>0.5</v>
      </c>
    </row>
    <row r="1211" spans="1:10" x14ac:dyDescent="0.3">
      <c r="A1211" s="33">
        <v>1210</v>
      </c>
      <c r="B1211" s="4">
        <v>2</v>
      </c>
      <c r="C1211" s="15">
        <v>1</v>
      </c>
      <c r="D1211" s="16">
        <v>2</v>
      </c>
      <c r="E1211" s="22">
        <v>44073</v>
      </c>
      <c r="F1211" s="19">
        <v>16</v>
      </c>
      <c r="G1211" s="18">
        <v>0.08</v>
      </c>
      <c r="H1211">
        <f>F1211*VLOOKUP(B1211,產品!$A$2:$H$61,7,FALSE)*(1-銷售總表!G1211)</f>
        <v>14720</v>
      </c>
      <c r="I1211" s="35">
        <f>H1211-F1211*VLOOKUP(銷售總表!B1211,產品!$A$2:$H$61,8,FALSE)</f>
        <v>8320</v>
      </c>
      <c r="J1211" s="20">
        <f t="shared" si="18"/>
        <v>0.56521739130434778</v>
      </c>
    </row>
    <row r="1212" spans="1:10" x14ac:dyDescent="0.3">
      <c r="A1212" s="33">
        <v>1211</v>
      </c>
      <c r="B1212" s="4">
        <v>43</v>
      </c>
      <c r="C1212" s="15">
        <v>270</v>
      </c>
      <c r="D1212" s="16">
        <v>8</v>
      </c>
      <c r="E1212" s="22">
        <v>44074</v>
      </c>
      <c r="F1212" s="19">
        <v>7</v>
      </c>
      <c r="G1212" s="18">
        <v>0.17</v>
      </c>
      <c r="H1212">
        <f>F1212*VLOOKUP(B1212,產品!$A$2:$H$61,7,FALSE)*(1-銷售總表!G1212)</f>
        <v>104580</v>
      </c>
      <c r="I1212" s="35">
        <f>H1212-F1212*VLOOKUP(銷售總表!B1212,產品!$A$2:$H$61,8,FALSE)</f>
        <v>22680</v>
      </c>
      <c r="J1212" s="20">
        <f t="shared" si="18"/>
        <v>0.21686746987951808</v>
      </c>
    </row>
    <row r="1213" spans="1:10" x14ac:dyDescent="0.3">
      <c r="A1213" s="33">
        <v>1212</v>
      </c>
      <c r="B1213" s="4">
        <v>58</v>
      </c>
      <c r="C1213" s="15">
        <v>285</v>
      </c>
      <c r="D1213" s="16">
        <v>8</v>
      </c>
      <c r="E1213" s="22">
        <v>44074</v>
      </c>
      <c r="F1213" s="17">
        <v>6</v>
      </c>
      <c r="G1213" s="18">
        <v>0.15</v>
      </c>
      <c r="H1213">
        <f>F1213*VLOOKUP(B1213,產品!$A$2:$H$61,7,FALSE)*(1-銷售總表!G1213)</f>
        <v>107100</v>
      </c>
      <c r="I1213" s="35">
        <f>H1213-F1213*VLOOKUP(銷售總表!B1213,產品!$A$2:$H$61,8,FALSE)</f>
        <v>18900.000000000015</v>
      </c>
      <c r="J1213" s="20">
        <f t="shared" si="18"/>
        <v>0.17647058823529424</v>
      </c>
    </row>
    <row r="1214" spans="1:10" x14ac:dyDescent="0.3">
      <c r="A1214" s="33">
        <v>1213</v>
      </c>
      <c r="B1214" s="4">
        <v>28</v>
      </c>
      <c r="C1214" s="15">
        <v>125</v>
      </c>
      <c r="D1214" s="16">
        <v>1</v>
      </c>
      <c r="E1214" s="22">
        <v>44074</v>
      </c>
      <c r="F1214" s="17">
        <v>8</v>
      </c>
      <c r="G1214" s="18">
        <v>0.12</v>
      </c>
      <c r="H1214">
        <f>F1214*VLOOKUP(B1214,產品!$A$2:$H$61,7,FALSE)*(1-銷售總表!G1214)</f>
        <v>52800</v>
      </c>
      <c r="I1214" s="35">
        <f>H1214-F1214*VLOOKUP(銷售總表!B1214,產品!$A$2:$H$61,8,FALSE)</f>
        <v>16800</v>
      </c>
      <c r="J1214" s="20">
        <f t="shared" si="18"/>
        <v>0.31818181818181818</v>
      </c>
    </row>
    <row r="1215" spans="1:10" x14ac:dyDescent="0.3">
      <c r="A1215" s="33">
        <v>1214</v>
      </c>
      <c r="B1215" s="4">
        <v>42</v>
      </c>
      <c r="C1215" s="15">
        <v>276</v>
      </c>
      <c r="D1215" s="16">
        <v>5</v>
      </c>
      <c r="E1215" s="22">
        <v>44074</v>
      </c>
      <c r="F1215" s="17">
        <v>4</v>
      </c>
      <c r="G1215" s="18">
        <v>7.0000000000000007E-2</v>
      </c>
      <c r="H1215">
        <f>F1215*VLOOKUP(B1215,產品!$A$2:$H$61,7,FALSE)*(1-銷售總表!G1215)</f>
        <v>55799.999999999993</v>
      </c>
      <c r="I1215" s="35">
        <f>H1215-F1215*VLOOKUP(銷售總表!B1215,產品!$A$2:$H$61,8,FALSE)</f>
        <v>16799.999999999993</v>
      </c>
      <c r="J1215" s="20">
        <f t="shared" si="18"/>
        <v>0.3010752688172042</v>
      </c>
    </row>
    <row r="1216" spans="1:10" x14ac:dyDescent="0.3">
      <c r="A1216" s="33">
        <v>1215</v>
      </c>
      <c r="B1216" s="4">
        <v>59</v>
      </c>
      <c r="C1216" s="15">
        <v>124</v>
      </c>
      <c r="D1216" s="16">
        <v>8</v>
      </c>
      <c r="E1216" s="22">
        <v>44074</v>
      </c>
      <c r="F1216" s="17">
        <v>4</v>
      </c>
      <c r="G1216" s="18">
        <v>0.18</v>
      </c>
      <c r="H1216">
        <f>F1216*VLOOKUP(B1216,產品!$A$2:$H$61,7,FALSE)*(1-銷售總表!G1216)</f>
        <v>78720</v>
      </c>
      <c r="I1216" s="35">
        <f>H1216-F1216*VLOOKUP(銷售總表!B1216,產品!$A$2:$H$61,8,FALSE)</f>
        <v>11520</v>
      </c>
      <c r="J1216" s="20">
        <f t="shared" si="18"/>
        <v>0.14634146341463414</v>
      </c>
    </row>
    <row r="1217" spans="1:10" x14ac:dyDescent="0.3">
      <c r="A1217" s="33">
        <v>1216</v>
      </c>
      <c r="B1217" s="4">
        <v>34</v>
      </c>
      <c r="C1217" s="15">
        <v>10</v>
      </c>
      <c r="D1217" s="16">
        <v>2</v>
      </c>
      <c r="E1217" s="22">
        <v>44075</v>
      </c>
      <c r="F1217" s="19">
        <v>30</v>
      </c>
      <c r="G1217" s="18">
        <v>0.11</v>
      </c>
      <c r="H1217">
        <f>F1217*VLOOKUP(B1217,產品!$A$2:$H$61,7,FALSE)*(1-銷售總表!G1217)</f>
        <v>213600</v>
      </c>
      <c r="I1217" s="35">
        <f>H1217-F1217*VLOOKUP(銷售總表!B1217,產品!$A$2:$H$61,8,FALSE)</f>
        <v>69600</v>
      </c>
      <c r="J1217" s="20">
        <f t="shared" si="18"/>
        <v>0.3258426966292135</v>
      </c>
    </row>
    <row r="1218" spans="1:10" x14ac:dyDescent="0.3">
      <c r="A1218" s="33">
        <v>1217</v>
      </c>
      <c r="B1218" s="4">
        <v>39</v>
      </c>
      <c r="C1218" s="15">
        <v>275</v>
      </c>
      <c r="D1218" s="16">
        <v>1</v>
      </c>
      <c r="E1218" s="22">
        <v>44075</v>
      </c>
      <c r="F1218" s="17">
        <v>15</v>
      </c>
      <c r="G1218" s="18">
        <v>0.11</v>
      </c>
      <c r="H1218">
        <f>F1218*VLOOKUP(B1218,產品!$A$2:$H$61,7,FALSE)*(1-銷售總表!G1218)</f>
        <v>240300</v>
      </c>
      <c r="I1218" s="35">
        <f>H1218-F1218*VLOOKUP(銷售總表!B1218,產品!$A$2:$H$61,8,FALSE)</f>
        <v>64800</v>
      </c>
      <c r="J1218" s="20">
        <f t="shared" si="18"/>
        <v>0.2696629213483146</v>
      </c>
    </row>
    <row r="1219" spans="1:10" x14ac:dyDescent="0.3">
      <c r="A1219" s="33">
        <v>1218</v>
      </c>
      <c r="B1219" s="4">
        <v>45</v>
      </c>
      <c r="C1219" s="15">
        <v>278</v>
      </c>
      <c r="D1219" s="16">
        <v>3</v>
      </c>
      <c r="E1219" s="22">
        <v>44075</v>
      </c>
      <c r="F1219" s="17">
        <v>15</v>
      </c>
      <c r="G1219" s="18">
        <v>0.13</v>
      </c>
      <c r="H1219">
        <f>F1219*VLOOKUP(B1219,產品!$A$2:$H$61,7,FALSE)*(1-銷售總表!G1219)</f>
        <v>182700</v>
      </c>
      <c r="I1219" s="35">
        <f>H1219-F1219*VLOOKUP(銷售總表!B1219,產品!$A$2:$H$61,8,FALSE)</f>
        <v>46200</v>
      </c>
      <c r="J1219" s="20">
        <f t="shared" ref="J1219:J1282" si="19">I1219/H1219</f>
        <v>0.25287356321839083</v>
      </c>
    </row>
    <row r="1220" spans="1:10" x14ac:dyDescent="0.3">
      <c r="A1220" s="33">
        <v>1219</v>
      </c>
      <c r="B1220" s="4">
        <v>40</v>
      </c>
      <c r="C1220" s="15">
        <v>112</v>
      </c>
      <c r="D1220" s="16">
        <v>4</v>
      </c>
      <c r="E1220" s="22">
        <v>44075</v>
      </c>
      <c r="F1220" s="17">
        <v>7</v>
      </c>
      <c r="G1220" s="18">
        <v>0.05</v>
      </c>
      <c r="H1220">
        <f>F1220*VLOOKUP(B1220,產品!$A$2:$H$61,7,FALSE)*(1-銷售總表!G1220)</f>
        <v>133000</v>
      </c>
      <c r="I1220" s="35">
        <f>H1220-F1220*VLOOKUP(銷售總表!B1220,產品!$A$2:$H$61,8,FALSE)</f>
        <v>42000</v>
      </c>
      <c r="J1220" s="20">
        <f t="shared" si="19"/>
        <v>0.31578947368421051</v>
      </c>
    </row>
    <row r="1221" spans="1:10" x14ac:dyDescent="0.3">
      <c r="A1221" s="33">
        <v>1220</v>
      </c>
      <c r="B1221" s="4">
        <v>20</v>
      </c>
      <c r="C1221" s="15">
        <v>10</v>
      </c>
      <c r="D1221" s="16">
        <v>4</v>
      </c>
      <c r="E1221" s="22">
        <v>44075</v>
      </c>
      <c r="F1221" s="19">
        <v>45</v>
      </c>
      <c r="G1221" s="18">
        <v>0.1</v>
      </c>
      <c r="H1221">
        <f>F1221*VLOOKUP(B1221,產品!$A$2:$H$61,7,FALSE)*(1-銷售總表!G1221)</f>
        <v>72900</v>
      </c>
      <c r="I1221" s="35">
        <f>H1221-F1221*VLOOKUP(銷售總表!B1221,產品!$A$2:$H$61,8,FALSE)</f>
        <v>40500</v>
      </c>
      <c r="J1221" s="20">
        <f t="shared" si="19"/>
        <v>0.55555555555555558</v>
      </c>
    </row>
    <row r="1222" spans="1:10" x14ac:dyDescent="0.3">
      <c r="A1222" s="33">
        <v>1221</v>
      </c>
      <c r="B1222" s="4">
        <v>47</v>
      </c>
      <c r="C1222" s="15">
        <v>283</v>
      </c>
      <c r="D1222" s="16">
        <v>10</v>
      </c>
      <c r="E1222" s="22">
        <v>44075</v>
      </c>
      <c r="F1222" s="17">
        <v>3</v>
      </c>
      <c r="G1222" s="18">
        <v>0.2</v>
      </c>
      <c r="H1222">
        <f>F1222*VLOOKUP(B1222,產品!$A$2:$H$61,7,FALSE)*(1-銷售總表!G1222)</f>
        <v>48000</v>
      </c>
      <c r="I1222" s="35">
        <f>H1222-F1222*VLOOKUP(銷售總表!B1222,產品!$A$2:$H$61,8,FALSE)</f>
        <v>9000</v>
      </c>
      <c r="J1222" s="20">
        <f t="shared" si="19"/>
        <v>0.1875</v>
      </c>
    </row>
    <row r="1223" spans="1:10" x14ac:dyDescent="0.3">
      <c r="A1223" s="33">
        <v>1222</v>
      </c>
      <c r="B1223" s="4">
        <v>25</v>
      </c>
      <c r="C1223" s="15">
        <v>114</v>
      </c>
      <c r="D1223" s="16">
        <v>5</v>
      </c>
      <c r="E1223" s="22">
        <v>44075</v>
      </c>
      <c r="F1223" s="17">
        <v>5</v>
      </c>
      <c r="G1223" s="18">
        <v>0.2</v>
      </c>
      <c r="H1223">
        <f>F1223*VLOOKUP(B1223,產品!$A$2:$H$61,7,FALSE)*(1-銷售總表!G1223)</f>
        <v>24000</v>
      </c>
      <c r="I1223" s="35">
        <f>H1223-F1223*VLOOKUP(銷售總表!B1223,產品!$A$2:$H$61,8,FALSE)</f>
        <v>6000</v>
      </c>
      <c r="J1223" s="20">
        <f t="shared" si="19"/>
        <v>0.25</v>
      </c>
    </row>
    <row r="1224" spans="1:10" x14ac:dyDescent="0.3">
      <c r="A1224" s="33">
        <v>1223</v>
      </c>
      <c r="B1224" s="4">
        <v>45</v>
      </c>
      <c r="C1224" s="15">
        <v>6</v>
      </c>
      <c r="D1224" s="16">
        <v>1</v>
      </c>
      <c r="E1224" s="22">
        <v>44076</v>
      </c>
      <c r="F1224" s="19">
        <v>5</v>
      </c>
      <c r="G1224" s="18">
        <v>0.09</v>
      </c>
      <c r="H1224">
        <f>F1224*VLOOKUP(B1224,產品!$A$2:$H$61,7,FALSE)*(1-銷售總表!G1224)</f>
        <v>63700</v>
      </c>
      <c r="I1224" s="35">
        <f>H1224-F1224*VLOOKUP(銷售總表!B1224,產品!$A$2:$H$61,8,FALSE)</f>
        <v>18200</v>
      </c>
      <c r="J1224" s="20">
        <f t="shared" si="19"/>
        <v>0.2857142857142857</v>
      </c>
    </row>
    <row r="1225" spans="1:10" x14ac:dyDescent="0.3">
      <c r="A1225" s="33">
        <v>1224</v>
      </c>
      <c r="B1225" s="4">
        <v>19</v>
      </c>
      <c r="C1225" s="15">
        <v>121</v>
      </c>
      <c r="D1225" s="16">
        <v>1</v>
      </c>
      <c r="E1225" s="22">
        <v>44076</v>
      </c>
      <c r="F1225" s="17">
        <v>15</v>
      </c>
      <c r="G1225" s="18">
        <v>0.1</v>
      </c>
      <c r="H1225">
        <f>F1225*VLOOKUP(B1225,產品!$A$2:$H$61,7,FALSE)*(1-銷售總表!G1225)</f>
        <v>24300</v>
      </c>
      <c r="I1225" s="35">
        <f>H1225-F1225*VLOOKUP(銷售總表!B1225,產品!$A$2:$H$61,8,FALSE)</f>
        <v>13500</v>
      </c>
      <c r="J1225" s="20">
        <f t="shared" si="19"/>
        <v>0.55555555555555558</v>
      </c>
    </row>
    <row r="1226" spans="1:10" x14ac:dyDescent="0.3">
      <c r="A1226" s="33">
        <v>1225</v>
      </c>
      <c r="B1226" s="4">
        <v>30</v>
      </c>
      <c r="C1226" s="15">
        <v>269</v>
      </c>
      <c r="D1226" s="16">
        <v>4</v>
      </c>
      <c r="E1226" s="22">
        <v>44076</v>
      </c>
      <c r="F1226" s="19">
        <v>3</v>
      </c>
      <c r="G1226" s="18">
        <v>0.11</v>
      </c>
      <c r="H1226">
        <f>F1226*VLOOKUP(B1226,產品!$A$2:$H$61,7,FALSE)*(1-銷售總表!G1226)</f>
        <v>17355</v>
      </c>
      <c r="I1226" s="35">
        <f>H1226-F1226*VLOOKUP(銷售總表!B1226,產品!$A$2:$H$61,8,FALSE)</f>
        <v>5655</v>
      </c>
      <c r="J1226" s="20">
        <f t="shared" si="19"/>
        <v>0.3258426966292135</v>
      </c>
    </row>
    <row r="1227" spans="1:10" x14ac:dyDescent="0.3">
      <c r="A1227" s="33">
        <v>1226</v>
      </c>
      <c r="B1227" s="4">
        <v>47</v>
      </c>
      <c r="C1227" s="15">
        <v>138</v>
      </c>
      <c r="D1227" s="16">
        <v>6</v>
      </c>
      <c r="E1227" s="22">
        <v>44077</v>
      </c>
      <c r="F1227" s="17">
        <v>9</v>
      </c>
      <c r="G1227" s="18">
        <v>0.15</v>
      </c>
      <c r="H1227">
        <f>F1227*VLOOKUP(B1227,產品!$A$2:$H$61,7,FALSE)*(1-銷售總表!G1227)</f>
        <v>153000</v>
      </c>
      <c r="I1227" s="35">
        <f>H1227-F1227*VLOOKUP(銷售總表!B1227,產品!$A$2:$H$61,8,FALSE)</f>
        <v>36000</v>
      </c>
      <c r="J1227" s="20">
        <f t="shared" si="19"/>
        <v>0.23529411764705882</v>
      </c>
    </row>
    <row r="1228" spans="1:10" x14ac:dyDescent="0.3">
      <c r="A1228" s="33">
        <v>1227</v>
      </c>
      <c r="B1228" s="4">
        <v>8</v>
      </c>
      <c r="C1228" s="15">
        <v>261</v>
      </c>
      <c r="D1228" s="16">
        <v>8</v>
      </c>
      <c r="E1228" s="22">
        <v>44077</v>
      </c>
      <c r="F1228" s="19">
        <v>70</v>
      </c>
      <c r="G1228" s="18">
        <v>0.18</v>
      </c>
      <c r="H1228">
        <f>F1228*VLOOKUP(B1228,產品!$A$2:$H$61,7,FALSE)*(1-銷售總表!G1228)</f>
        <v>57400.000000000007</v>
      </c>
      <c r="I1228" s="35">
        <f>H1228-F1228*VLOOKUP(銷售總表!B1228,產品!$A$2:$H$61,8,FALSE)</f>
        <v>29400.000000000007</v>
      </c>
      <c r="J1228" s="20">
        <f t="shared" si="19"/>
        <v>0.51219512195121952</v>
      </c>
    </row>
    <row r="1229" spans="1:10" x14ac:dyDescent="0.3">
      <c r="A1229" s="33">
        <v>1228</v>
      </c>
      <c r="B1229" s="4">
        <v>18</v>
      </c>
      <c r="C1229" s="15">
        <v>5</v>
      </c>
      <c r="D1229" s="16">
        <v>4</v>
      </c>
      <c r="E1229" s="22">
        <v>44077</v>
      </c>
      <c r="F1229" s="19">
        <v>30</v>
      </c>
      <c r="G1229" s="18">
        <v>0.06</v>
      </c>
      <c r="H1229">
        <f>F1229*VLOOKUP(B1229,產品!$A$2:$H$61,7,FALSE)*(1-銷售總表!G1229)</f>
        <v>50760</v>
      </c>
      <c r="I1229" s="35">
        <f>H1229-F1229*VLOOKUP(銷售總表!B1229,產品!$A$2:$H$61,8,FALSE)</f>
        <v>29160</v>
      </c>
      <c r="J1229" s="20">
        <f t="shared" si="19"/>
        <v>0.57446808510638303</v>
      </c>
    </row>
    <row r="1230" spans="1:10" x14ac:dyDescent="0.3">
      <c r="A1230" s="33">
        <v>1229</v>
      </c>
      <c r="B1230" s="4">
        <v>23</v>
      </c>
      <c r="C1230" s="15">
        <v>270</v>
      </c>
      <c r="D1230" s="16">
        <v>2</v>
      </c>
      <c r="E1230" s="22">
        <v>44077</v>
      </c>
      <c r="F1230" s="17">
        <v>15</v>
      </c>
      <c r="G1230" s="18">
        <v>0.18</v>
      </c>
      <c r="H1230">
        <f>F1230*VLOOKUP(B1230,產品!$A$2:$H$61,7,FALSE)*(1-銷售總表!G1230)</f>
        <v>22140</v>
      </c>
      <c r="I1230" s="35">
        <f>H1230-F1230*VLOOKUP(銷售總表!B1230,產品!$A$2:$H$61,8,FALSE)</f>
        <v>11340</v>
      </c>
      <c r="J1230" s="20">
        <f t="shared" si="19"/>
        <v>0.51219512195121952</v>
      </c>
    </row>
    <row r="1231" spans="1:10" x14ac:dyDescent="0.3">
      <c r="A1231" s="33">
        <v>1230</v>
      </c>
      <c r="B1231" s="4">
        <v>24</v>
      </c>
      <c r="C1231" s="15">
        <v>291</v>
      </c>
      <c r="D1231" s="16">
        <v>10</v>
      </c>
      <c r="E1231" s="22">
        <v>44077</v>
      </c>
      <c r="F1231" s="17">
        <v>10</v>
      </c>
      <c r="G1231" s="18">
        <v>0.15</v>
      </c>
      <c r="H1231">
        <f>F1231*VLOOKUP(B1231,產品!$A$2:$H$61,7,FALSE)*(1-銷售總表!G1231)</f>
        <v>15300</v>
      </c>
      <c r="I1231" s="35">
        <f>H1231-F1231*VLOOKUP(銷售總表!B1231,產品!$A$2:$H$61,8,FALSE)</f>
        <v>8100</v>
      </c>
      <c r="J1231" s="20">
        <f t="shared" si="19"/>
        <v>0.52941176470588236</v>
      </c>
    </row>
    <row r="1232" spans="1:10" x14ac:dyDescent="0.3">
      <c r="A1232" s="33">
        <v>1231</v>
      </c>
      <c r="B1232" s="4">
        <v>54</v>
      </c>
      <c r="C1232" s="15">
        <v>278</v>
      </c>
      <c r="D1232" s="16">
        <v>1</v>
      </c>
      <c r="E1232" s="22">
        <v>44077</v>
      </c>
      <c r="F1232" s="17">
        <v>1</v>
      </c>
      <c r="G1232" s="18">
        <v>0.14000000000000001</v>
      </c>
      <c r="H1232">
        <f>F1232*VLOOKUP(B1232,產品!$A$2:$H$61,7,FALSE)*(1-銷售總表!G1232)</f>
        <v>15480</v>
      </c>
      <c r="I1232" s="35">
        <f>H1232-F1232*VLOOKUP(銷售總表!B1232,產品!$A$2:$H$61,8,FALSE)</f>
        <v>2880</v>
      </c>
      <c r="J1232" s="20">
        <f t="shared" si="19"/>
        <v>0.18604651162790697</v>
      </c>
    </row>
    <row r="1233" spans="1:10" x14ac:dyDescent="0.3">
      <c r="A1233" s="33">
        <v>1232</v>
      </c>
      <c r="B1233" s="4">
        <v>6</v>
      </c>
      <c r="C1233" s="15">
        <v>275</v>
      </c>
      <c r="D1233" s="16">
        <v>10</v>
      </c>
      <c r="E1233" s="22">
        <v>44078</v>
      </c>
      <c r="F1233" s="17">
        <v>150</v>
      </c>
      <c r="G1233" s="18">
        <v>0.14000000000000001</v>
      </c>
      <c r="H1233">
        <f>F1233*VLOOKUP(B1233,產品!$A$2:$H$61,7,FALSE)*(1-銷售總表!G1233)</f>
        <v>129000</v>
      </c>
      <c r="I1233" s="35">
        <f>H1233-F1233*VLOOKUP(銷售總表!B1233,產品!$A$2:$H$61,8,FALSE)</f>
        <v>69000</v>
      </c>
      <c r="J1233" s="20">
        <f t="shared" si="19"/>
        <v>0.53488372093023251</v>
      </c>
    </row>
    <row r="1234" spans="1:10" x14ac:dyDescent="0.3">
      <c r="A1234" s="33">
        <v>1233</v>
      </c>
      <c r="B1234" s="4">
        <v>57</v>
      </c>
      <c r="C1234" s="15">
        <v>6</v>
      </c>
      <c r="D1234" s="16">
        <v>4</v>
      </c>
      <c r="E1234" s="22">
        <v>44078</v>
      </c>
      <c r="F1234" s="19">
        <v>7</v>
      </c>
      <c r="G1234" s="18">
        <v>0.08</v>
      </c>
      <c r="H1234">
        <f>F1234*VLOOKUP(B1234,產品!$A$2:$H$61,7,FALSE)*(1-銷售總表!G1234)</f>
        <v>115920</v>
      </c>
      <c r="I1234" s="35">
        <f>H1234-F1234*VLOOKUP(銷售總表!B1234,產品!$A$2:$H$61,8,FALSE)</f>
        <v>27720</v>
      </c>
      <c r="J1234" s="20">
        <f t="shared" si="19"/>
        <v>0.2391304347826087</v>
      </c>
    </row>
    <row r="1235" spans="1:10" x14ac:dyDescent="0.3">
      <c r="A1235" s="33">
        <v>1234</v>
      </c>
      <c r="B1235" s="4">
        <v>11</v>
      </c>
      <c r="C1235" s="15">
        <v>5</v>
      </c>
      <c r="D1235" s="16">
        <v>9</v>
      </c>
      <c r="E1235" s="22">
        <v>44078</v>
      </c>
      <c r="F1235" s="19">
        <v>45</v>
      </c>
      <c r="G1235" s="18">
        <v>7.0000000000000007E-2</v>
      </c>
      <c r="H1235">
        <f>F1235*VLOOKUP(B1235,產品!$A$2:$H$61,7,FALSE)*(1-銷售總表!G1235)</f>
        <v>41850</v>
      </c>
      <c r="I1235" s="35">
        <f>H1235-F1235*VLOOKUP(銷售總表!B1235,產品!$A$2:$H$61,8,FALSE)</f>
        <v>23850</v>
      </c>
      <c r="J1235" s="20">
        <f t="shared" si="19"/>
        <v>0.56989247311827962</v>
      </c>
    </row>
    <row r="1236" spans="1:10" x14ac:dyDescent="0.3">
      <c r="A1236" s="33">
        <v>1235</v>
      </c>
      <c r="B1236" s="4">
        <v>45</v>
      </c>
      <c r="C1236" s="15">
        <v>263</v>
      </c>
      <c r="D1236" s="16">
        <v>2</v>
      </c>
      <c r="E1236" s="22">
        <v>44078</v>
      </c>
      <c r="F1236" s="19">
        <v>4</v>
      </c>
      <c r="G1236" s="18">
        <v>0.18</v>
      </c>
      <c r="H1236">
        <f>F1236*VLOOKUP(B1236,產品!$A$2:$H$61,7,FALSE)*(1-銷售總表!G1236)</f>
        <v>45920</v>
      </c>
      <c r="I1236" s="35">
        <f>H1236-F1236*VLOOKUP(銷售總表!B1236,產品!$A$2:$H$61,8,FALSE)</f>
        <v>9520</v>
      </c>
      <c r="J1236" s="20">
        <f t="shared" si="19"/>
        <v>0.2073170731707317</v>
      </c>
    </row>
    <row r="1237" spans="1:10" x14ac:dyDescent="0.3">
      <c r="A1237" s="33">
        <v>1236</v>
      </c>
      <c r="B1237" s="4">
        <v>53</v>
      </c>
      <c r="C1237" s="15">
        <v>6</v>
      </c>
      <c r="D1237" s="16">
        <v>10</v>
      </c>
      <c r="E1237" s="22">
        <v>44078</v>
      </c>
      <c r="F1237" s="19">
        <v>6</v>
      </c>
      <c r="G1237" s="18">
        <v>0.2</v>
      </c>
      <c r="H1237">
        <f>F1237*VLOOKUP(B1237,產品!$A$2:$H$61,7,FALSE)*(1-銷售總表!G1237)</f>
        <v>72000</v>
      </c>
      <c r="I1237" s="35">
        <f>H1237-F1237*VLOOKUP(銷售總表!B1237,產品!$A$2:$H$61,8,FALSE)</f>
        <v>9000</v>
      </c>
      <c r="J1237" s="20">
        <f t="shared" si="19"/>
        <v>0.125</v>
      </c>
    </row>
    <row r="1238" spans="1:10" x14ac:dyDescent="0.3">
      <c r="A1238" s="33">
        <v>1237</v>
      </c>
      <c r="B1238" s="4">
        <v>30</v>
      </c>
      <c r="C1238" s="15">
        <v>11</v>
      </c>
      <c r="D1238" s="16">
        <v>7</v>
      </c>
      <c r="E1238" s="22">
        <v>44078</v>
      </c>
      <c r="F1238" s="17">
        <v>5</v>
      </c>
      <c r="G1238" s="18">
        <v>0.18</v>
      </c>
      <c r="H1238">
        <f>F1238*VLOOKUP(B1238,產品!$A$2:$H$61,7,FALSE)*(1-銷售總表!G1238)</f>
        <v>26650.000000000004</v>
      </c>
      <c r="I1238" s="35">
        <f>H1238-F1238*VLOOKUP(銷售總表!B1238,產品!$A$2:$H$61,8,FALSE)</f>
        <v>7150.0000000000036</v>
      </c>
      <c r="J1238" s="20">
        <f t="shared" si="19"/>
        <v>0.2682926829268294</v>
      </c>
    </row>
    <row r="1239" spans="1:10" x14ac:dyDescent="0.3">
      <c r="A1239" s="33">
        <v>1238</v>
      </c>
      <c r="B1239" s="4">
        <v>39</v>
      </c>
      <c r="C1239" s="15">
        <v>284</v>
      </c>
      <c r="D1239" s="16">
        <v>5</v>
      </c>
      <c r="E1239" s="22">
        <v>44078</v>
      </c>
      <c r="F1239" s="19">
        <v>2</v>
      </c>
      <c r="G1239" s="18">
        <v>0.16</v>
      </c>
      <c r="H1239">
        <f>F1239*VLOOKUP(B1239,產品!$A$2:$H$61,7,FALSE)*(1-銷售總表!G1239)</f>
        <v>30240</v>
      </c>
      <c r="I1239" s="35">
        <f>H1239-F1239*VLOOKUP(銷售總表!B1239,產品!$A$2:$H$61,8,FALSE)</f>
        <v>6840</v>
      </c>
      <c r="J1239" s="20">
        <f t="shared" si="19"/>
        <v>0.22619047619047619</v>
      </c>
    </row>
    <row r="1240" spans="1:10" x14ac:dyDescent="0.3">
      <c r="A1240" s="33">
        <v>1239</v>
      </c>
      <c r="B1240" s="4">
        <v>46</v>
      </c>
      <c r="C1240" s="15">
        <v>263</v>
      </c>
      <c r="D1240" s="16">
        <v>1</v>
      </c>
      <c r="E1240" s="22">
        <v>44079</v>
      </c>
      <c r="F1240" s="17">
        <v>10</v>
      </c>
      <c r="G1240" s="18">
        <v>0.14000000000000001</v>
      </c>
      <c r="H1240">
        <f>F1240*VLOOKUP(B1240,產品!$A$2:$H$61,7,FALSE)*(1-銷售總表!G1240)</f>
        <v>146200</v>
      </c>
      <c r="I1240" s="35">
        <f>H1240-F1240*VLOOKUP(銷售總表!B1240,產品!$A$2:$H$61,8,FALSE)</f>
        <v>35700</v>
      </c>
      <c r="J1240" s="20">
        <f t="shared" si="19"/>
        <v>0.2441860465116279</v>
      </c>
    </row>
    <row r="1241" spans="1:10" x14ac:dyDescent="0.3">
      <c r="A1241" s="33">
        <v>1240</v>
      </c>
      <c r="B1241" s="4">
        <v>9</v>
      </c>
      <c r="C1241" s="15">
        <v>3</v>
      </c>
      <c r="D1241" s="16">
        <v>10</v>
      </c>
      <c r="E1241" s="22">
        <v>44079</v>
      </c>
      <c r="F1241" s="17">
        <v>11</v>
      </c>
      <c r="G1241" s="18">
        <v>0.16</v>
      </c>
      <c r="H1241">
        <f>F1241*VLOOKUP(B1241,產品!$A$2:$H$61,7,FALSE)*(1-銷售總表!G1241)</f>
        <v>9240</v>
      </c>
      <c r="I1241" s="35">
        <f>H1241-F1241*VLOOKUP(銷售總表!B1241,產品!$A$2:$H$61,8,FALSE)</f>
        <v>4840</v>
      </c>
      <c r="J1241" s="20">
        <f t="shared" si="19"/>
        <v>0.52380952380952384</v>
      </c>
    </row>
    <row r="1242" spans="1:10" x14ac:dyDescent="0.3">
      <c r="A1242" s="33">
        <v>1241</v>
      </c>
      <c r="B1242" s="4">
        <v>22</v>
      </c>
      <c r="C1242" s="15">
        <v>136</v>
      </c>
      <c r="D1242" s="16">
        <v>5</v>
      </c>
      <c r="E1242" s="22">
        <v>44080</v>
      </c>
      <c r="F1242" s="17">
        <v>60</v>
      </c>
      <c r="G1242" s="18">
        <v>0.08</v>
      </c>
      <c r="H1242">
        <f>F1242*VLOOKUP(B1242,產品!$A$2:$H$61,7,FALSE)*(1-銷售總表!G1242)</f>
        <v>99360</v>
      </c>
      <c r="I1242" s="35">
        <f>H1242-F1242*VLOOKUP(銷售總表!B1242,產品!$A$2:$H$61,8,FALSE)</f>
        <v>56160</v>
      </c>
      <c r="J1242" s="20">
        <f t="shared" si="19"/>
        <v>0.56521739130434778</v>
      </c>
    </row>
    <row r="1243" spans="1:10" x14ac:dyDescent="0.3">
      <c r="A1243" s="33">
        <v>1242</v>
      </c>
      <c r="B1243" s="4">
        <v>29</v>
      </c>
      <c r="C1243" s="15">
        <v>259</v>
      </c>
      <c r="D1243" s="16">
        <v>4</v>
      </c>
      <c r="E1243" s="22">
        <v>44080</v>
      </c>
      <c r="F1243" s="17">
        <v>25</v>
      </c>
      <c r="G1243" s="18">
        <v>0.06</v>
      </c>
      <c r="H1243">
        <f>F1243*VLOOKUP(B1243,產品!$A$2:$H$61,7,FALSE)*(1-銷售總表!G1243)</f>
        <v>141000</v>
      </c>
      <c r="I1243" s="35">
        <f>H1243-F1243*VLOOKUP(銷售總表!B1243,產品!$A$2:$H$61,8,FALSE)</f>
        <v>51000</v>
      </c>
      <c r="J1243" s="20">
        <f t="shared" si="19"/>
        <v>0.36170212765957449</v>
      </c>
    </row>
    <row r="1244" spans="1:10" x14ac:dyDescent="0.3">
      <c r="A1244" s="33">
        <v>1243</v>
      </c>
      <c r="B1244" s="4">
        <v>5</v>
      </c>
      <c r="C1244" s="15">
        <v>285</v>
      </c>
      <c r="D1244" s="16">
        <v>9</v>
      </c>
      <c r="E1244" s="22">
        <v>44080</v>
      </c>
      <c r="F1244" s="17">
        <v>60</v>
      </c>
      <c r="G1244" s="18">
        <v>0.14000000000000001</v>
      </c>
      <c r="H1244">
        <f>F1244*VLOOKUP(B1244,產品!$A$2:$H$61,7,FALSE)*(1-銷售總表!G1244)</f>
        <v>51600</v>
      </c>
      <c r="I1244" s="35">
        <f>H1244-F1244*VLOOKUP(銷售總表!B1244,產品!$A$2:$H$61,8,FALSE)</f>
        <v>27600</v>
      </c>
      <c r="J1244" s="20">
        <f t="shared" si="19"/>
        <v>0.53488372093023251</v>
      </c>
    </row>
    <row r="1245" spans="1:10" x14ac:dyDescent="0.3">
      <c r="A1245" s="33">
        <v>1244</v>
      </c>
      <c r="B1245" s="4">
        <v>48</v>
      </c>
      <c r="C1245" s="15">
        <v>112</v>
      </c>
      <c r="D1245" s="16">
        <v>1</v>
      </c>
      <c r="E1245" s="22">
        <v>44080</v>
      </c>
      <c r="F1245" s="17">
        <v>5</v>
      </c>
      <c r="G1245" s="18">
        <v>0.16</v>
      </c>
      <c r="H1245">
        <f>F1245*VLOOKUP(B1245,產品!$A$2:$H$61,7,FALSE)*(1-銷售總表!G1245)</f>
        <v>92400</v>
      </c>
      <c r="I1245" s="35">
        <f>H1245-F1245*VLOOKUP(銷售總表!B1245,產品!$A$2:$H$61,8,FALSE)</f>
        <v>20900</v>
      </c>
      <c r="J1245" s="20">
        <f t="shared" si="19"/>
        <v>0.22619047619047619</v>
      </c>
    </row>
    <row r="1246" spans="1:10" x14ac:dyDescent="0.3">
      <c r="A1246" s="33">
        <v>1245</v>
      </c>
      <c r="B1246" s="4">
        <v>1</v>
      </c>
      <c r="C1246" s="15">
        <v>265</v>
      </c>
      <c r="D1246" s="16">
        <v>10</v>
      </c>
      <c r="E1246" s="22">
        <v>44080</v>
      </c>
      <c r="F1246" s="17">
        <v>40</v>
      </c>
      <c r="G1246" s="18">
        <v>0.13</v>
      </c>
      <c r="H1246">
        <f>F1246*VLOOKUP(B1246,產品!$A$2:$H$61,7,FALSE)*(1-銷售總表!G1246)</f>
        <v>34800</v>
      </c>
      <c r="I1246" s="35">
        <f>H1246-F1246*VLOOKUP(銷售總表!B1246,產品!$A$2:$H$61,8,FALSE)</f>
        <v>18800</v>
      </c>
      <c r="J1246" s="20">
        <f t="shared" si="19"/>
        <v>0.54022988505747127</v>
      </c>
    </row>
    <row r="1247" spans="1:10" x14ac:dyDescent="0.3">
      <c r="A1247" s="33">
        <v>1246</v>
      </c>
      <c r="B1247" s="4">
        <v>11</v>
      </c>
      <c r="C1247" s="15">
        <v>289</v>
      </c>
      <c r="D1247" s="16">
        <v>3</v>
      </c>
      <c r="E1247" s="22">
        <v>44080</v>
      </c>
      <c r="F1247" s="19">
        <v>30</v>
      </c>
      <c r="G1247" s="18">
        <v>0.17</v>
      </c>
      <c r="H1247">
        <f>F1247*VLOOKUP(B1247,產品!$A$2:$H$61,7,FALSE)*(1-銷售總表!G1247)</f>
        <v>24900</v>
      </c>
      <c r="I1247" s="35">
        <f>H1247-F1247*VLOOKUP(銷售總表!B1247,產品!$A$2:$H$61,8,FALSE)</f>
        <v>12900</v>
      </c>
      <c r="J1247" s="20">
        <f t="shared" si="19"/>
        <v>0.51807228915662651</v>
      </c>
    </row>
    <row r="1248" spans="1:10" x14ac:dyDescent="0.3">
      <c r="A1248" s="33">
        <v>1247</v>
      </c>
      <c r="B1248" s="4">
        <v>56</v>
      </c>
      <c r="C1248" s="15">
        <v>267</v>
      </c>
      <c r="D1248" s="16">
        <v>4</v>
      </c>
      <c r="E1248" s="22">
        <v>44080</v>
      </c>
      <c r="F1248" s="19">
        <v>4</v>
      </c>
      <c r="G1248" s="18">
        <v>0.17</v>
      </c>
      <c r="H1248">
        <f>F1248*VLOOKUP(B1248,產品!$A$2:$H$61,7,FALSE)*(1-銷售總表!G1248)</f>
        <v>73040</v>
      </c>
      <c r="I1248" s="35">
        <f>H1248-F1248*VLOOKUP(銷售總表!B1248,產品!$A$2:$H$61,8,FALSE)</f>
        <v>11440.000000000007</v>
      </c>
      <c r="J1248" s="20">
        <f t="shared" si="19"/>
        <v>0.15662650602409647</v>
      </c>
    </row>
    <row r="1249" spans="1:10" x14ac:dyDescent="0.3">
      <c r="A1249" s="33">
        <v>1248</v>
      </c>
      <c r="B1249" s="4">
        <v>56</v>
      </c>
      <c r="C1249" s="15">
        <v>1</v>
      </c>
      <c r="D1249" s="16">
        <v>4</v>
      </c>
      <c r="E1249" s="22">
        <v>44080</v>
      </c>
      <c r="F1249" s="17">
        <v>2</v>
      </c>
      <c r="G1249" s="18">
        <v>0.05</v>
      </c>
      <c r="H1249">
        <f>F1249*VLOOKUP(B1249,產品!$A$2:$H$61,7,FALSE)*(1-銷售總表!G1249)</f>
        <v>41800</v>
      </c>
      <c r="I1249" s="35">
        <f>H1249-F1249*VLOOKUP(銷售總表!B1249,產品!$A$2:$H$61,8,FALSE)</f>
        <v>11000.000000000004</v>
      </c>
      <c r="J1249" s="20">
        <f t="shared" si="19"/>
        <v>0.2631578947368422</v>
      </c>
    </row>
    <row r="1250" spans="1:10" x14ac:dyDescent="0.3">
      <c r="A1250" s="33">
        <v>1249</v>
      </c>
      <c r="B1250" s="4">
        <v>54</v>
      </c>
      <c r="C1250" s="15">
        <v>274</v>
      </c>
      <c r="D1250" s="16">
        <v>8</v>
      </c>
      <c r="E1250" s="22">
        <v>44080</v>
      </c>
      <c r="F1250" s="17">
        <v>3</v>
      </c>
      <c r="G1250" s="18">
        <v>0.19</v>
      </c>
      <c r="H1250">
        <f>F1250*VLOOKUP(B1250,產品!$A$2:$H$61,7,FALSE)*(1-銷售總表!G1250)</f>
        <v>43740</v>
      </c>
      <c r="I1250" s="35">
        <f>H1250-F1250*VLOOKUP(銷售總表!B1250,產品!$A$2:$H$61,8,FALSE)</f>
        <v>5940</v>
      </c>
      <c r="J1250" s="20">
        <f t="shared" si="19"/>
        <v>0.13580246913580246</v>
      </c>
    </row>
    <row r="1251" spans="1:10" x14ac:dyDescent="0.3">
      <c r="A1251" s="33">
        <v>1250</v>
      </c>
      <c r="B1251" s="4">
        <v>29</v>
      </c>
      <c r="C1251" s="15">
        <v>121</v>
      </c>
      <c r="D1251" s="16">
        <v>5</v>
      </c>
      <c r="E1251" s="22">
        <v>44081</v>
      </c>
      <c r="F1251" s="19">
        <v>15</v>
      </c>
      <c r="G1251" s="18">
        <v>0.09</v>
      </c>
      <c r="H1251">
        <f>F1251*VLOOKUP(B1251,產品!$A$2:$H$61,7,FALSE)*(1-銷售總表!G1251)</f>
        <v>81900</v>
      </c>
      <c r="I1251" s="35">
        <f>H1251-F1251*VLOOKUP(銷售總表!B1251,產品!$A$2:$H$61,8,FALSE)</f>
        <v>27900</v>
      </c>
      <c r="J1251" s="20">
        <f t="shared" si="19"/>
        <v>0.34065934065934067</v>
      </c>
    </row>
    <row r="1252" spans="1:10" x14ac:dyDescent="0.3">
      <c r="A1252" s="33">
        <v>1251</v>
      </c>
      <c r="B1252" s="4">
        <v>28</v>
      </c>
      <c r="C1252" s="15">
        <v>138</v>
      </c>
      <c r="D1252" s="16">
        <v>9</v>
      </c>
      <c r="E1252" s="22">
        <v>44081</v>
      </c>
      <c r="F1252" s="17">
        <v>10</v>
      </c>
      <c r="G1252" s="18">
        <v>0.15</v>
      </c>
      <c r="H1252">
        <f>F1252*VLOOKUP(B1252,產品!$A$2:$H$61,7,FALSE)*(1-銷售總表!G1252)</f>
        <v>63750</v>
      </c>
      <c r="I1252" s="35">
        <f>H1252-F1252*VLOOKUP(銷售總表!B1252,產品!$A$2:$H$61,8,FALSE)</f>
        <v>18750</v>
      </c>
      <c r="J1252" s="20">
        <f t="shared" si="19"/>
        <v>0.29411764705882354</v>
      </c>
    </row>
    <row r="1253" spans="1:10" x14ac:dyDescent="0.3">
      <c r="A1253" s="33">
        <v>1252</v>
      </c>
      <c r="B1253" s="4">
        <v>30</v>
      </c>
      <c r="C1253" s="15">
        <v>118</v>
      </c>
      <c r="D1253" s="16">
        <v>2</v>
      </c>
      <c r="E1253" s="22">
        <v>44081</v>
      </c>
      <c r="F1253" s="19">
        <v>5</v>
      </c>
      <c r="G1253" s="18">
        <v>0.06</v>
      </c>
      <c r="H1253">
        <f>F1253*VLOOKUP(B1253,產品!$A$2:$H$61,7,FALSE)*(1-銷售總表!G1253)</f>
        <v>30550</v>
      </c>
      <c r="I1253" s="35">
        <f>H1253-F1253*VLOOKUP(銷售總表!B1253,產品!$A$2:$H$61,8,FALSE)</f>
        <v>11050</v>
      </c>
      <c r="J1253" s="20">
        <f t="shared" si="19"/>
        <v>0.36170212765957449</v>
      </c>
    </row>
    <row r="1254" spans="1:10" x14ac:dyDescent="0.3">
      <c r="A1254" s="33">
        <v>1253</v>
      </c>
      <c r="B1254" s="4">
        <v>38</v>
      </c>
      <c r="C1254" s="15">
        <v>126</v>
      </c>
      <c r="D1254" s="16">
        <v>5</v>
      </c>
      <c r="E1254" s="22">
        <v>44081</v>
      </c>
      <c r="F1254" s="19">
        <v>2</v>
      </c>
      <c r="G1254" s="18">
        <v>0.08</v>
      </c>
      <c r="H1254">
        <f>F1254*VLOOKUP(B1254,產品!$A$2:$H$61,7,FALSE)*(1-銷售總表!G1254)</f>
        <v>27600</v>
      </c>
      <c r="I1254" s="35">
        <f>H1254-F1254*VLOOKUP(銷售總表!B1254,產品!$A$2:$H$61,8,FALSE)</f>
        <v>8100</v>
      </c>
      <c r="J1254" s="20">
        <f t="shared" si="19"/>
        <v>0.29347826086956524</v>
      </c>
    </row>
    <row r="1255" spans="1:10" x14ac:dyDescent="0.3">
      <c r="A1255" s="33">
        <v>1254</v>
      </c>
      <c r="B1255" s="4">
        <v>52</v>
      </c>
      <c r="C1255" s="15">
        <v>260</v>
      </c>
      <c r="D1255" s="16">
        <v>5</v>
      </c>
      <c r="E1255" s="22">
        <v>44081</v>
      </c>
      <c r="F1255" s="17">
        <v>2</v>
      </c>
      <c r="G1255" s="18">
        <v>0.13</v>
      </c>
      <c r="H1255">
        <f>F1255*VLOOKUP(B1255,產品!$A$2:$H$61,7,FALSE)*(1-銷售總表!G1255)</f>
        <v>38280</v>
      </c>
      <c r="I1255" s="35">
        <f>H1255-F1255*VLOOKUP(銷售總表!B1255,產品!$A$2:$H$61,8,FALSE)</f>
        <v>7480.0000000000036</v>
      </c>
      <c r="J1255" s="20">
        <f t="shared" si="19"/>
        <v>0.19540229885057481</v>
      </c>
    </row>
    <row r="1256" spans="1:10" x14ac:dyDescent="0.3">
      <c r="A1256" s="33">
        <v>1255</v>
      </c>
      <c r="B1256" s="4">
        <v>21</v>
      </c>
      <c r="C1256" s="15">
        <v>114</v>
      </c>
      <c r="D1256" s="16">
        <v>9</v>
      </c>
      <c r="E1256" s="22">
        <v>44082</v>
      </c>
      <c r="F1256" s="17">
        <v>150</v>
      </c>
      <c r="G1256" s="18">
        <v>0.14000000000000001</v>
      </c>
      <c r="H1256">
        <f>F1256*VLOOKUP(B1256,產品!$A$2:$H$61,7,FALSE)*(1-銷售總表!G1256)</f>
        <v>232200</v>
      </c>
      <c r="I1256" s="35">
        <f>H1256-F1256*VLOOKUP(銷售總表!B1256,產品!$A$2:$H$61,8,FALSE)</f>
        <v>124200</v>
      </c>
      <c r="J1256" s="20">
        <f t="shared" si="19"/>
        <v>0.53488372093023251</v>
      </c>
    </row>
    <row r="1257" spans="1:10" x14ac:dyDescent="0.3">
      <c r="A1257" s="33">
        <v>1256</v>
      </c>
      <c r="B1257" s="4">
        <v>7</v>
      </c>
      <c r="C1257" s="15">
        <v>259</v>
      </c>
      <c r="D1257" s="16">
        <v>5</v>
      </c>
      <c r="E1257" s="22">
        <v>44082</v>
      </c>
      <c r="F1257" s="19">
        <v>20</v>
      </c>
      <c r="G1257" s="18">
        <v>0.2</v>
      </c>
      <c r="H1257">
        <f>F1257*VLOOKUP(B1257,產品!$A$2:$H$61,7,FALSE)*(1-銷售總表!G1257)</f>
        <v>16000</v>
      </c>
      <c r="I1257" s="35">
        <f>H1257-F1257*VLOOKUP(銷售總表!B1257,產品!$A$2:$H$61,8,FALSE)</f>
        <v>8000</v>
      </c>
      <c r="J1257" s="20">
        <f t="shared" si="19"/>
        <v>0.5</v>
      </c>
    </row>
    <row r="1258" spans="1:10" x14ac:dyDescent="0.3">
      <c r="A1258" s="33">
        <v>1257</v>
      </c>
      <c r="B1258" s="4">
        <v>35</v>
      </c>
      <c r="C1258" s="15">
        <v>6</v>
      </c>
      <c r="D1258" s="16">
        <v>10</v>
      </c>
      <c r="E1258" s="22">
        <v>44082</v>
      </c>
      <c r="F1258" s="19">
        <v>2</v>
      </c>
      <c r="G1258" s="18">
        <v>7.0000000000000007E-2</v>
      </c>
      <c r="H1258">
        <f>F1258*VLOOKUP(B1258,產品!$A$2:$H$61,7,FALSE)*(1-銷售總表!G1258)</f>
        <v>15809.999999999998</v>
      </c>
      <c r="I1258" s="35">
        <f>H1258-F1258*VLOOKUP(銷售總表!B1258,產品!$A$2:$H$61,8,FALSE)</f>
        <v>5609.9999999999982</v>
      </c>
      <c r="J1258" s="20">
        <f t="shared" si="19"/>
        <v>0.35483870967741926</v>
      </c>
    </row>
    <row r="1259" spans="1:10" x14ac:dyDescent="0.3">
      <c r="A1259" s="33">
        <v>1258</v>
      </c>
      <c r="B1259" s="4">
        <v>55</v>
      </c>
      <c r="C1259" s="15">
        <v>262</v>
      </c>
      <c r="D1259" s="16">
        <v>3</v>
      </c>
      <c r="E1259" s="22">
        <v>44083</v>
      </c>
      <c r="F1259" s="17">
        <v>6</v>
      </c>
      <c r="G1259" s="18">
        <v>0.06</v>
      </c>
      <c r="H1259">
        <f>F1259*VLOOKUP(B1259,產品!$A$2:$H$61,7,FALSE)*(1-銷售總表!G1259)</f>
        <v>112800</v>
      </c>
      <c r="I1259" s="35">
        <f>H1259-F1259*VLOOKUP(銷售總表!B1259,產品!$A$2:$H$61,8,FALSE)</f>
        <v>28800</v>
      </c>
      <c r="J1259" s="20">
        <f t="shared" si="19"/>
        <v>0.25531914893617019</v>
      </c>
    </row>
    <row r="1260" spans="1:10" x14ac:dyDescent="0.3">
      <c r="A1260" s="33">
        <v>1259</v>
      </c>
      <c r="B1260" s="4">
        <v>49</v>
      </c>
      <c r="C1260" s="15">
        <v>1</v>
      </c>
      <c r="D1260" s="16">
        <v>6</v>
      </c>
      <c r="E1260" s="22">
        <v>44083</v>
      </c>
      <c r="F1260" s="19">
        <v>2</v>
      </c>
      <c r="G1260" s="18">
        <v>0.1</v>
      </c>
      <c r="H1260">
        <f>F1260*VLOOKUP(B1260,產品!$A$2:$H$61,7,FALSE)*(1-銷售總表!G1260)</f>
        <v>27000</v>
      </c>
      <c r="I1260" s="35">
        <f>H1260-F1260*VLOOKUP(銷售總表!B1260,產品!$A$2:$H$61,8,FALSE)</f>
        <v>6000</v>
      </c>
      <c r="J1260" s="20">
        <f t="shared" si="19"/>
        <v>0.22222222222222221</v>
      </c>
    </row>
    <row r="1261" spans="1:10" x14ac:dyDescent="0.3">
      <c r="A1261" s="33">
        <v>1260</v>
      </c>
      <c r="B1261" s="4">
        <v>17</v>
      </c>
      <c r="C1261" s="15">
        <v>283</v>
      </c>
      <c r="D1261" s="16">
        <v>7</v>
      </c>
      <c r="E1261" s="22">
        <v>44084</v>
      </c>
      <c r="F1261" s="17">
        <v>60</v>
      </c>
      <c r="G1261" s="18">
        <v>0.05</v>
      </c>
      <c r="H1261">
        <f>F1261*VLOOKUP(B1261,產品!$A$2:$H$61,7,FALSE)*(1-銷售總表!G1261)</f>
        <v>102600</v>
      </c>
      <c r="I1261" s="35">
        <f>H1261-F1261*VLOOKUP(銷售總表!B1261,產品!$A$2:$H$61,8,FALSE)</f>
        <v>59400</v>
      </c>
      <c r="J1261" s="20">
        <f t="shared" si="19"/>
        <v>0.57894736842105265</v>
      </c>
    </row>
    <row r="1262" spans="1:10" x14ac:dyDescent="0.3">
      <c r="A1262" s="33">
        <v>1261</v>
      </c>
      <c r="B1262" s="4">
        <v>33</v>
      </c>
      <c r="C1262" s="15">
        <v>5</v>
      </c>
      <c r="D1262" s="16">
        <v>1</v>
      </c>
      <c r="E1262" s="22">
        <v>44084</v>
      </c>
      <c r="F1262" s="17">
        <v>30</v>
      </c>
      <c r="G1262" s="18">
        <v>0.19</v>
      </c>
      <c r="H1262">
        <f>F1262*VLOOKUP(B1262,產品!$A$2:$H$61,7,FALSE)*(1-銷售總表!G1262)</f>
        <v>182250</v>
      </c>
      <c r="I1262" s="35">
        <f>H1262-F1262*VLOOKUP(銷售總表!B1262,產品!$A$2:$H$61,8,FALSE)</f>
        <v>47250</v>
      </c>
      <c r="J1262" s="20">
        <f t="shared" si="19"/>
        <v>0.25925925925925924</v>
      </c>
    </row>
    <row r="1263" spans="1:10" x14ac:dyDescent="0.3">
      <c r="A1263" s="33">
        <v>1262</v>
      </c>
      <c r="B1263" s="4">
        <v>54</v>
      </c>
      <c r="C1263" s="15">
        <v>9</v>
      </c>
      <c r="D1263" s="16">
        <v>7</v>
      </c>
      <c r="E1263" s="22">
        <v>44084</v>
      </c>
      <c r="F1263" s="17">
        <v>8</v>
      </c>
      <c r="G1263" s="18">
        <v>7.0000000000000007E-2</v>
      </c>
      <c r="H1263">
        <f>F1263*VLOOKUP(B1263,產品!$A$2:$H$61,7,FALSE)*(1-銷售總表!G1263)</f>
        <v>133920</v>
      </c>
      <c r="I1263" s="35">
        <f>H1263-F1263*VLOOKUP(銷售總表!B1263,產品!$A$2:$H$61,8,FALSE)</f>
        <v>33120</v>
      </c>
      <c r="J1263" s="20">
        <f t="shared" si="19"/>
        <v>0.24731182795698925</v>
      </c>
    </row>
    <row r="1264" spans="1:10" x14ac:dyDescent="0.3">
      <c r="A1264" s="33">
        <v>1263</v>
      </c>
      <c r="B1264" s="4">
        <v>20</v>
      </c>
      <c r="C1264" s="15">
        <v>134</v>
      </c>
      <c r="D1264" s="16">
        <v>5</v>
      </c>
      <c r="E1264" s="22">
        <v>44084</v>
      </c>
      <c r="F1264" s="17">
        <v>30</v>
      </c>
      <c r="G1264" s="18">
        <v>0.18</v>
      </c>
      <c r="H1264">
        <f>F1264*VLOOKUP(B1264,產品!$A$2:$H$61,7,FALSE)*(1-銷售總表!G1264)</f>
        <v>44280</v>
      </c>
      <c r="I1264" s="35">
        <f>H1264-F1264*VLOOKUP(銷售總表!B1264,產品!$A$2:$H$61,8,FALSE)</f>
        <v>22680</v>
      </c>
      <c r="J1264" s="20">
        <f t="shared" si="19"/>
        <v>0.51219512195121952</v>
      </c>
    </row>
    <row r="1265" spans="1:10" x14ac:dyDescent="0.3">
      <c r="A1265" s="33">
        <v>1264</v>
      </c>
      <c r="B1265" s="4">
        <v>24</v>
      </c>
      <c r="C1265" s="15">
        <v>7</v>
      </c>
      <c r="D1265" s="16">
        <v>5</v>
      </c>
      <c r="E1265" s="22">
        <v>44084</v>
      </c>
      <c r="F1265" s="19">
        <v>10</v>
      </c>
      <c r="G1265" s="18">
        <v>0.13</v>
      </c>
      <c r="H1265">
        <f>F1265*VLOOKUP(B1265,產品!$A$2:$H$61,7,FALSE)*(1-銷售總表!G1265)</f>
        <v>15660</v>
      </c>
      <c r="I1265" s="35">
        <f>H1265-F1265*VLOOKUP(銷售總表!B1265,產品!$A$2:$H$61,8,FALSE)</f>
        <v>8460</v>
      </c>
      <c r="J1265" s="20">
        <f t="shared" si="19"/>
        <v>0.54022988505747127</v>
      </c>
    </row>
    <row r="1266" spans="1:10" x14ac:dyDescent="0.3">
      <c r="A1266" s="33">
        <v>1265</v>
      </c>
      <c r="B1266" s="4">
        <v>1</v>
      </c>
      <c r="C1266" s="15">
        <v>288</v>
      </c>
      <c r="D1266" s="16">
        <v>2</v>
      </c>
      <c r="E1266" s="22">
        <v>44085</v>
      </c>
      <c r="F1266" s="19">
        <v>100</v>
      </c>
      <c r="G1266" s="18">
        <v>0.13</v>
      </c>
      <c r="H1266">
        <f>F1266*VLOOKUP(B1266,產品!$A$2:$H$61,7,FALSE)*(1-銷售總表!G1266)</f>
        <v>87000</v>
      </c>
      <c r="I1266" s="35">
        <f>H1266-F1266*VLOOKUP(銷售總表!B1266,產品!$A$2:$H$61,8,FALSE)</f>
        <v>47000</v>
      </c>
      <c r="J1266" s="20">
        <f t="shared" si="19"/>
        <v>0.54022988505747127</v>
      </c>
    </row>
    <row r="1267" spans="1:10" x14ac:dyDescent="0.3">
      <c r="A1267" s="33">
        <v>1266</v>
      </c>
      <c r="B1267" s="4">
        <v>11</v>
      </c>
      <c r="C1267" s="15">
        <v>276</v>
      </c>
      <c r="D1267" s="16">
        <v>5</v>
      </c>
      <c r="E1267" s="22">
        <v>44085</v>
      </c>
      <c r="F1267" s="17">
        <v>80</v>
      </c>
      <c r="G1267" s="18">
        <v>0.09</v>
      </c>
      <c r="H1267">
        <f>F1267*VLOOKUP(B1267,產品!$A$2:$H$61,7,FALSE)*(1-銷售總表!G1267)</f>
        <v>72800</v>
      </c>
      <c r="I1267" s="35">
        <f>H1267-F1267*VLOOKUP(銷售總表!B1267,產品!$A$2:$H$61,8,FALSE)</f>
        <v>40800</v>
      </c>
      <c r="J1267" s="20">
        <f t="shared" si="19"/>
        <v>0.56043956043956045</v>
      </c>
    </row>
    <row r="1268" spans="1:10" x14ac:dyDescent="0.3">
      <c r="A1268" s="33">
        <v>1267</v>
      </c>
      <c r="B1268" s="4">
        <v>3</v>
      </c>
      <c r="C1268" s="15">
        <v>136</v>
      </c>
      <c r="D1268" s="16">
        <v>5</v>
      </c>
      <c r="E1268" s="22">
        <v>44085</v>
      </c>
      <c r="F1268" s="17">
        <v>70</v>
      </c>
      <c r="G1268" s="18">
        <v>0.18</v>
      </c>
      <c r="H1268">
        <f>F1268*VLOOKUP(B1268,產品!$A$2:$H$61,7,FALSE)*(1-銷售總表!G1268)</f>
        <v>57400.000000000007</v>
      </c>
      <c r="I1268" s="35">
        <f>H1268-F1268*VLOOKUP(銷售總表!B1268,產品!$A$2:$H$61,8,FALSE)</f>
        <v>29400.000000000007</v>
      </c>
      <c r="J1268" s="20">
        <f t="shared" si="19"/>
        <v>0.51219512195121952</v>
      </c>
    </row>
    <row r="1269" spans="1:10" x14ac:dyDescent="0.3">
      <c r="A1269" s="33">
        <v>1268</v>
      </c>
      <c r="B1269" s="4">
        <v>1</v>
      </c>
      <c r="C1269" s="15">
        <v>283</v>
      </c>
      <c r="D1269" s="16">
        <v>1</v>
      </c>
      <c r="E1269" s="22">
        <v>44085</v>
      </c>
      <c r="F1269" s="17">
        <v>60</v>
      </c>
      <c r="G1269" s="18">
        <v>0.17</v>
      </c>
      <c r="H1269">
        <f>F1269*VLOOKUP(B1269,產品!$A$2:$H$61,7,FALSE)*(1-銷售總表!G1269)</f>
        <v>49800</v>
      </c>
      <c r="I1269" s="35">
        <f>H1269-F1269*VLOOKUP(銷售總表!B1269,產品!$A$2:$H$61,8,FALSE)</f>
        <v>25800</v>
      </c>
      <c r="J1269" s="20">
        <f t="shared" si="19"/>
        <v>0.51807228915662651</v>
      </c>
    </row>
    <row r="1270" spans="1:10" x14ac:dyDescent="0.3">
      <c r="A1270" s="33">
        <v>1269</v>
      </c>
      <c r="B1270" s="4">
        <v>20</v>
      </c>
      <c r="C1270" s="15">
        <v>122</v>
      </c>
      <c r="D1270" s="16">
        <v>2</v>
      </c>
      <c r="E1270" s="22">
        <v>44085</v>
      </c>
      <c r="F1270" s="17">
        <v>10</v>
      </c>
      <c r="G1270" s="18">
        <v>7.0000000000000007E-2</v>
      </c>
      <c r="H1270">
        <f>F1270*VLOOKUP(B1270,產品!$A$2:$H$61,7,FALSE)*(1-銷售總表!G1270)</f>
        <v>16740</v>
      </c>
      <c r="I1270" s="35">
        <f>H1270-F1270*VLOOKUP(銷售總表!B1270,產品!$A$2:$H$61,8,FALSE)</f>
        <v>9540</v>
      </c>
      <c r="J1270" s="20">
        <f t="shared" si="19"/>
        <v>0.56989247311827962</v>
      </c>
    </row>
    <row r="1271" spans="1:10" x14ac:dyDescent="0.3">
      <c r="A1271" s="33">
        <v>1270</v>
      </c>
      <c r="B1271" s="4">
        <v>51</v>
      </c>
      <c r="C1271" s="15">
        <v>10</v>
      </c>
      <c r="D1271" s="16">
        <v>6</v>
      </c>
      <c r="E1271" s="22">
        <v>44086</v>
      </c>
      <c r="F1271" s="19">
        <v>13</v>
      </c>
      <c r="G1271" s="18">
        <v>0.09</v>
      </c>
      <c r="H1271">
        <f>F1271*VLOOKUP(B1271,產品!$A$2:$H$61,7,FALSE)*(1-銷售總表!G1271)</f>
        <v>236600</v>
      </c>
      <c r="I1271" s="35">
        <f>H1271-F1271*VLOOKUP(銷售總表!B1271,產品!$A$2:$H$61,8,FALSE)</f>
        <v>54600</v>
      </c>
      <c r="J1271" s="20">
        <f t="shared" si="19"/>
        <v>0.23076923076923078</v>
      </c>
    </row>
    <row r="1272" spans="1:10" x14ac:dyDescent="0.3">
      <c r="A1272" s="33">
        <v>1271</v>
      </c>
      <c r="B1272" s="4">
        <v>41</v>
      </c>
      <c r="C1272" s="15">
        <v>286</v>
      </c>
      <c r="D1272" s="16">
        <v>2</v>
      </c>
      <c r="E1272" s="22">
        <v>44086</v>
      </c>
      <c r="F1272" s="17">
        <v>18</v>
      </c>
      <c r="G1272" s="18">
        <v>0.17</v>
      </c>
      <c r="H1272">
        <f>F1272*VLOOKUP(B1272,產品!$A$2:$H$61,7,FALSE)*(1-銷售總表!G1272)</f>
        <v>179280</v>
      </c>
      <c r="I1272" s="35">
        <f>H1272-F1272*VLOOKUP(銷售總表!B1272,產品!$A$2:$H$61,8,FALSE)</f>
        <v>38880</v>
      </c>
      <c r="J1272" s="20">
        <f t="shared" si="19"/>
        <v>0.21686746987951808</v>
      </c>
    </row>
    <row r="1273" spans="1:10" x14ac:dyDescent="0.3">
      <c r="A1273" s="33">
        <v>1272</v>
      </c>
      <c r="B1273" s="4">
        <v>44</v>
      </c>
      <c r="C1273" s="15">
        <v>122</v>
      </c>
      <c r="D1273" s="16">
        <v>6</v>
      </c>
      <c r="E1273" s="22">
        <v>44086</v>
      </c>
      <c r="F1273" s="19">
        <v>6</v>
      </c>
      <c r="G1273" s="18">
        <v>0.1</v>
      </c>
      <c r="H1273">
        <f>F1273*VLOOKUP(B1273,產品!$A$2:$H$61,7,FALSE)*(1-銷售總表!G1273)</f>
        <v>108000</v>
      </c>
      <c r="I1273" s="35">
        <f>H1273-F1273*VLOOKUP(銷售總表!B1273,產品!$A$2:$H$61,8,FALSE)</f>
        <v>30000</v>
      </c>
      <c r="J1273" s="20">
        <f t="shared" si="19"/>
        <v>0.27777777777777779</v>
      </c>
    </row>
    <row r="1274" spans="1:10" x14ac:dyDescent="0.3">
      <c r="A1274" s="33">
        <v>1273</v>
      </c>
      <c r="B1274" s="4">
        <v>36</v>
      </c>
      <c r="C1274" s="15">
        <v>269</v>
      </c>
      <c r="D1274" s="16">
        <v>3</v>
      </c>
      <c r="E1274" s="22">
        <v>44086</v>
      </c>
      <c r="F1274" s="17">
        <v>9</v>
      </c>
      <c r="G1274" s="18">
        <v>0.06</v>
      </c>
      <c r="H1274">
        <f>F1274*VLOOKUP(B1274,產品!$A$2:$H$61,7,FALSE)*(1-銷售總表!G1274)</f>
        <v>76140</v>
      </c>
      <c r="I1274" s="35">
        <f>H1274-F1274*VLOOKUP(銷售總表!B1274,產品!$A$2:$H$61,8,FALSE)</f>
        <v>27540</v>
      </c>
      <c r="J1274" s="20">
        <f t="shared" si="19"/>
        <v>0.36170212765957449</v>
      </c>
    </row>
    <row r="1275" spans="1:10" x14ac:dyDescent="0.3">
      <c r="A1275" s="33">
        <v>1274</v>
      </c>
      <c r="B1275" s="4">
        <v>43</v>
      </c>
      <c r="C1275" s="15">
        <v>272</v>
      </c>
      <c r="D1275" s="16">
        <v>2</v>
      </c>
      <c r="E1275" s="22">
        <v>44086</v>
      </c>
      <c r="F1275" s="19">
        <v>6</v>
      </c>
      <c r="G1275" s="18">
        <v>0.16</v>
      </c>
      <c r="H1275">
        <f>F1275*VLOOKUP(B1275,產品!$A$2:$H$61,7,FALSE)*(1-銷售總表!G1275)</f>
        <v>90720</v>
      </c>
      <c r="I1275" s="35">
        <f>H1275-F1275*VLOOKUP(銷售總表!B1275,產品!$A$2:$H$61,8,FALSE)</f>
        <v>20520</v>
      </c>
      <c r="J1275" s="20">
        <f t="shared" si="19"/>
        <v>0.22619047619047619</v>
      </c>
    </row>
    <row r="1276" spans="1:10" x14ac:dyDescent="0.3">
      <c r="A1276" s="33">
        <v>1275</v>
      </c>
      <c r="B1276" s="4">
        <v>40</v>
      </c>
      <c r="C1276" s="15">
        <v>287</v>
      </c>
      <c r="D1276" s="16">
        <v>10</v>
      </c>
      <c r="E1276" s="22">
        <v>44086</v>
      </c>
      <c r="F1276" s="17">
        <v>3</v>
      </c>
      <c r="G1276" s="18">
        <v>0.1</v>
      </c>
      <c r="H1276">
        <f>F1276*VLOOKUP(B1276,產品!$A$2:$H$61,7,FALSE)*(1-銷售總表!G1276)</f>
        <v>54000</v>
      </c>
      <c r="I1276" s="35">
        <f>H1276-F1276*VLOOKUP(銷售總表!B1276,產品!$A$2:$H$61,8,FALSE)</f>
        <v>15000</v>
      </c>
      <c r="J1276" s="20">
        <f t="shared" si="19"/>
        <v>0.27777777777777779</v>
      </c>
    </row>
    <row r="1277" spans="1:10" x14ac:dyDescent="0.3">
      <c r="A1277" s="33">
        <v>1276</v>
      </c>
      <c r="B1277" s="4">
        <v>26</v>
      </c>
      <c r="C1277" s="15">
        <v>117</v>
      </c>
      <c r="D1277" s="16">
        <v>6</v>
      </c>
      <c r="E1277" s="22">
        <v>44087</v>
      </c>
      <c r="F1277" s="17">
        <v>15</v>
      </c>
      <c r="G1277" s="18">
        <v>0.18</v>
      </c>
      <c r="H1277">
        <f>F1277*VLOOKUP(B1277,產品!$A$2:$H$61,7,FALSE)*(1-銷售總表!G1277)</f>
        <v>79950</v>
      </c>
      <c r="I1277" s="35">
        <f>H1277-F1277*VLOOKUP(銷售總表!B1277,產品!$A$2:$H$61,8,FALSE)</f>
        <v>21450</v>
      </c>
      <c r="J1277" s="20">
        <f t="shared" si="19"/>
        <v>0.26829268292682928</v>
      </c>
    </row>
    <row r="1278" spans="1:10" x14ac:dyDescent="0.3">
      <c r="A1278" s="33">
        <v>1277</v>
      </c>
      <c r="B1278" s="4">
        <v>32</v>
      </c>
      <c r="C1278" s="15">
        <v>4</v>
      </c>
      <c r="D1278" s="16">
        <v>6</v>
      </c>
      <c r="E1278" s="22">
        <v>44087</v>
      </c>
      <c r="F1278" s="17">
        <v>5</v>
      </c>
      <c r="G1278" s="18">
        <v>0.1</v>
      </c>
      <c r="H1278">
        <f>F1278*VLOOKUP(B1278,產品!$A$2:$H$61,7,FALSE)*(1-銷售總表!G1278)</f>
        <v>33750</v>
      </c>
      <c r="I1278" s="35">
        <f>H1278-F1278*VLOOKUP(銷售總表!B1278,產品!$A$2:$H$61,8,FALSE)</f>
        <v>11250</v>
      </c>
      <c r="J1278" s="20">
        <f t="shared" si="19"/>
        <v>0.33333333333333331</v>
      </c>
    </row>
    <row r="1279" spans="1:10" x14ac:dyDescent="0.3">
      <c r="A1279" s="33">
        <v>1278</v>
      </c>
      <c r="B1279" s="4">
        <v>1</v>
      </c>
      <c r="C1279" s="15">
        <v>282</v>
      </c>
      <c r="D1279" s="16">
        <v>6</v>
      </c>
      <c r="E1279" s="22">
        <v>44087</v>
      </c>
      <c r="F1279" s="19">
        <v>20</v>
      </c>
      <c r="G1279" s="18">
        <v>0.17</v>
      </c>
      <c r="H1279">
        <f>F1279*VLOOKUP(B1279,產品!$A$2:$H$61,7,FALSE)*(1-銷售總表!G1279)</f>
        <v>16600</v>
      </c>
      <c r="I1279" s="35">
        <f>H1279-F1279*VLOOKUP(銷售總表!B1279,產品!$A$2:$H$61,8,FALSE)</f>
        <v>8600</v>
      </c>
      <c r="J1279" s="20">
        <f t="shared" si="19"/>
        <v>0.51807228915662651</v>
      </c>
    </row>
    <row r="1280" spans="1:10" x14ac:dyDescent="0.3">
      <c r="A1280" s="33">
        <v>1279</v>
      </c>
      <c r="B1280" s="4">
        <v>43</v>
      </c>
      <c r="C1280" s="15">
        <v>284</v>
      </c>
      <c r="D1280" s="16">
        <v>8</v>
      </c>
      <c r="E1280" s="22">
        <v>44087</v>
      </c>
      <c r="F1280" s="17">
        <v>2</v>
      </c>
      <c r="G1280" s="18">
        <v>0.13</v>
      </c>
      <c r="H1280">
        <f>F1280*VLOOKUP(B1280,產品!$A$2:$H$61,7,FALSE)*(1-銷售總表!G1280)</f>
        <v>31320</v>
      </c>
      <c r="I1280" s="35">
        <f>H1280-F1280*VLOOKUP(銷售總表!B1280,產品!$A$2:$H$61,8,FALSE)</f>
        <v>7920</v>
      </c>
      <c r="J1280" s="20">
        <f t="shared" si="19"/>
        <v>0.25287356321839083</v>
      </c>
    </row>
    <row r="1281" spans="1:10" x14ac:dyDescent="0.3">
      <c r="A1281" s="33">
        <v>1280</v>
      </c>
      <c r="B1281" s="4">
        <v>26</v>
      </c>
      <c r="C1281" s="15">
        <v>114</v>
      </c>
      <c r="D1281" s="16">
        <v>6</v>
      </c>
      <c r="E1281" s="22">
        <v>44087</v>
      </c>
      <c r="F1281" s="17">
        <v>2</v>
      </c>
      <c r="G1281" s="18">
        <v>0.16</v>
      </c>
      <c r="H1281">
        <f>F1281*VLOOKUP(B1281,產品!$A$2:$H$61,7,FALSE)*(1-銷售總表!G1281)</f>
        <v>10920</v>
      </c>
      <c r="I1281" s="35">
        <f>H1281-F1281*VLOOKUP(銷售總表!B1281,產品!$A$2:$H$61,8,FALSE)</f>
        <v>3120</v>
      </c>
      <c r="J1281" s="20">
        <f t="shared" si="19"/>
        <v>0.2857142857142857</v>
      </c>
    </row>
    <row r="1282" spans="1:10" x14ac:dyDescent="0.3">
      <c r="A1282" s="33">
        <v>1281</v>
      </c>
      <c r="B1282" s="4">
        <v>9</v>
      </c>
      <c r="C1282" s="15">
        <v>264</v>
      </c>
      <c r="D1282" s="16">
        <v>9</v>
      </c>
      <c r="E1282" s="22">
        <v>44088</v>
      </c>
      <c r="F1282" s="17">
        <v>40</v>
      </c>
      <c r="G1282" s="18">
        <v>0.12</v>
      </c>
      <c r="H1282">
        <f>F1282*VLOOKUP(B1282,產品!$A$2:$H$61,7,FALSE)*(1-銷售總表!G1282)</f>
        <v>35200</v>
      </c>
      <c r="I1282" s="35">
        <f>H1282-F1282*VLOOKUP(銷售總表!B1282,產品!$A$2:$H$61,8,FALSE)</f>
        <v>19200</v>
      </c>
      <c r="J1282" s="20">
        <f t="shared" si="19"/>
        <v>0.54545454545454541</v>
      </c>
    </row>
    <row r="1283" spans="1:10" x14ac:dyDescent="0.3">
      <c r="A1283" s="33">
        <v>1282</v>
      </c>
      <c r="B1283" s="4">
        <v>43</v>
      </c>
      <c r="C1283" s="15">
        <v>9</v>
      </c>
      <c r="D1283" s="16">
        <v>5</v>
      </c>
      <c r="E1283" s="22">
        <v>44088</v>
      </c>
      <c r="F1283" s="17">
        <v>5</v>
      </c>
      <c r="G1283" s="18">
        <v>0.19</v>
      </c>
      <c r="H1283">
        <f>F1283*VLOOKUP(B1283,產品!$A$2:$H$61,7,FALSE)*(1-銷售總表!G1283)</f>
        <v>72900</v>
      </c>
      <c r="I1283" s="35">
        <f>H1283-F1283*VLOOKUP(銷售總表!B1283,產品!$A$2:$H$61,8,FALSE)</f>
        <v>14400</v>
      </c>
      <c r="J1283" s="20">
        <f t="shared" ref="J1283:J1346" si="20">I1283/H1283</f>
        <v>0.19753086419753085</v>
      </c>
    </row>
    <row r="1284" spans="1:10" x14ac:dyDescent="0.3">
      <c r="A1284" s="33">
        <v>1283</v>
      </c>
      <c r="B1284" s="4">
        <v>6</v>
      </c>
      <c r="C1284" s="15">
        <v>261</v>
      </c>
      <c r="D1284" s="16">
        <v>4</v>
      </c>
      <c r="E1284" s="22">
        <v>44088</v>
      </c>
      <c r="F1284" s="19">
        <v>20</v>
      </c>
      <c r="G1284" s="18">
        <v>0.08</v>
      </c>
      <c r="H1284">
        <f>F1284*VLOOKUP(B1284,產品!$A$2:$H$61,7,FALSE)*(1-銷售總表!G1284)</f>
        <v>18400</v>
      </c>
      <c r="I1284" s="35">
        <f>H1284-F1284*VLOOKUP(銷售總表!B1284,產品!$A$2:$H$61,8,FALSE)</f>
        <v>10400</v>
      </c>
      <c r="J1284" s="20">
        <f t="shared" si="20"/>
        <v>0.56521739130434778</v>
      </c>
    </row>
    <row r="1285" spans="1:10" x14ac:dyDescent="0.3">
      <c r="A1285" s="33">
        <v>1284</v>
      </c>
      <c r="B1285" s="4">
        <v>12</v>
      </c>
      <c r="C1285" s="15">
        <v>126</v>
      </c>
      <c r="D1285" s="16">
        <v>3</v>
      </c>
      <c r="E1285" s="22">
        <v>44088</v>
      </c>
      <c r="F1285" s="19">
        <v>20</v>
      </c>
      <c r="G1285" s="18">
        <v>0.08</v>
      </c>
      <c r="H1285">
        <f>F1285*VLOOKUP(B1285,產品!$A$2:$H$61,7,FALSE)*(1-銷售總表!G1285)</f>
        <v>18400</v>
      </c>
      <c r="I1285" s="35">
        <f>H1285-F1285*VLOOKUP(銷售總表!B1285,產品!$A$2:$H$61,8,FALSE)</f>
        <v>10400</v>
      </c>
      <c r="J1285" s="20">
        <f t="shared" si="20"/>
        <v>0.56521739130434778</v>
      </c>
    </row>
    <row r="1286" spans="1:10" x14ac:dyDescent="0.3">
      <c r="A1286" s="33">
        <v>1285</v>
      </c>
      <c r="B1286" s="4">
        <v>32</v>
      </c>
      <c r="C1286" s="15">
        <v>5</v>
      </c>
      <c r="D1286" s="16">
        <v>10</v>
      </c>
      <c r="E1286" s="22">
        <v>44088</v>
      </c>
      <c r="F1286" s="17">
        <v>2</v>
      </c>
      <c r="G1286" s="18">
        <v>0.08</v>
      </c>
      <c r="H1286">
        <f>F1286*VLOOKUP(B1286,產品!$A$2:$H$61,7,FALSE)*(1-銷售總表!G1286)</f>
        <v>13800</v>
      </c>
      <c r="I1286" s="35">
        <f>H1286-F1286*VLOOKUP(銷售總表!B1286,產品!$A$2:$H$61,8,FALSE)</f>
        <v>4800</v>
      </c>
      <c r="J1286" s="20">
        <f t="shared" si="20"/>
        <v>0.34782608695652173</v>
      </c>
    </row>
    <row r="1287" spans="1:10" x14ac:dyDescent="0.3">
      <c r="A1287" s="33">
        <v>1286</v>
      </c>
      <c r="B1287" s="4">
        <v>21</v>
      </c>
      <c r="C1287" s="15">
        <v>8</v>
      </c>
      <c r="D1287" s="16">
        <v>9</v>
      </c>
      <c r="E1287" s="22">
        <v>44089</v>
      </c>
      <c r="F1287" s="19">
        <v>30</v>
      </c>
      <c r="G1287" s="18">
        <v>0.13</v>
      </c>
      <c r="H1287">
        <f>F1287*VLOOKUP(B1287,產品!$A$2:$H$61,7,FALSE)*(1-銷售總表!G1287)</f>
        <v>46980</v>
      </c>
      <c r="I1287" s="35">
        <f>H1287-F1287*VLOOKUP(銷售總表!B1287,產品!$A$2:$H$61,8,FALSE)</f>
        <v>25380</v>
      </c>
      <c r="J1287" s="20">
        <f t="shared" si="20"/>
        <v>0.54022988505747127</v>
      </c>
    </row>
    <row r="1288" spans="1:10" x14ac:dyDescent="0.3">
      <c r="A1288" s="33">
        <v>1287</v>
      </c>
      <c r="B1288" s="4">
        <v>44</v>
      </c>
      <c r="C1288" s="15">
        <v>1</v>
      </c>
      <c r="D1288" s="16">
        <v>8</v>
      </c>
      <c r="E1288" s="22">
        <v>44089</v>
      </c>
      <c r="F1288" s="19">
        <v>5</v>
      </c>
      <c r="G1288" s="18">
        <v>0.11</v>
      </c>
      <c r="H1288">
        <f>F1288*VLOOKUP(B1288,產品!$A$2:$H$61,7,FALSE)*(1-銷售總表!G1288)</f>
        <v>89000</v>
      </c>
      <c r="I1288" s="35">
        <f>H1288-F1288*VLOOKUP(銷售總表!B1288,產品!$A$2:$H$61,8,FALSE)</f>
        <v>24000</v>
      </c>
      <c r="J1288" s="20">
        <f t="shared" si="20"/>
        <v>0.2696629213483146</v>
      </c>
    </row>
    <row r="1289" spans="1:10" x14ac:dyDescent="0.3">
      <c r="A1289" s="33">
        <v>1288</v>
      </c>
      <c r="B1289" s="4">
        <v>33</v>
      </c>
      <c r="C1289" s="15">
        <v>283</v>
      </c>
      <c r="D1289" s="16">
        <v>7</v>
      </c>
      <c r="E1289" s="22">
        <v>44089</v>
      </c>
      <c r="F1289" s="17">
        <v>9</v>
      </c>
      <c r="G1289" s="18">
        <v>0.15</v>
      </c>
      <c r="H1289">
        <f>F1289*VLOOKUP(B1289,產品!$A$2:$H$61,7,FALSE)*(1-銷售總表!G1289)</f>
        <v>57375</v>
      </c>
      <c r="I1289" s="35">
        <f>H1289-F1289*VLOOKUP(銷售總表!B1289,產品!$A$2:$H$61,8,FALSE)</f>
        <v>16875</v>
      </c>
      <c r="J1289" s="20">
        <f t="shared" si="20"/>
        <v>0.29411764705882354</v>
      </c>
    </row>
    <row r="1290" spans="1:10" x14ac:dyDescent="0.3">
      <c r="A1290" s="33">
        <v>1289</v>
      </c>
      <c r="B1290" s="4">
        <v>20</v>
      </c>
      <c r="C1290" s="15">
        <v>8</v>
      </c>
      <c r="D1290" s="16">
        <v>9</v>
      </c>
      <c r="E1290" s="22">
        <v>44090</v>
      </c>
      <c r="F1290" s="17">
        <v>90</v>
      </c>
      <c r="G1290" s="18">
        <v>0.1</v>
      </c>
      <c r="H1290">
        <f>F1290*VLOOKUP(B1290,產品!$A$2:$H$61,7,FALSE)*(1-銷售總表!G1290)</f>
        <v>145800</v>
      </c>
      <c r="I1290" s="35">
        <f>H1290-F1290*VLOOKUP(銷售總表!B1290,產品!$A$2:$H$61,8,FALSE)</f>
        <v>81000</v>
      </c>
      <c r="J1290" s="20">
        <f t="shared" si="20"/>
        <v>0.55555555555555558</v>
      </c>
    </row>
    <row r="1291" spans="1:10" x14ac:dyDescent="0.3">
      <c r="A1291" s="33">
        <v>1290</v>
      </c>
      <c r="B1291" s="4">
        <v>8</v>
      </c>
      <c r="C1291" s="15">
        <v>138</v>
      </c>
      <c r="D1291" s="16">
        <v>3</v>
      </c>
      <c r="E1291" s="22">
        <v>44090</v>
      </c>
      <c r="F1291" s="17">
        <v>150</v>
      </c>
      <c r="G1291" s="18">
        <v>0.12</v>
      </c>
      <c r="H1291">
        <f>F1291*VLOOKUP(B1291,產品!$A$2:$H$61,7,FALSE)*(1-銷售總表!G1291)</f>
        <v>132000</v>
      </c>
      <c r="I1291" s="35">
        <f>H1291-F1291*VLOOKUP(銷售總表!B1291,產品!$A$2:$H$61,8,FALSE)</f>
        <v>72000</v>
      </c>
      <c r="J1291" s="20">
        <f t="shared" si="20"/>
        <v>0.54545454545454541</v>
      </c>
    </row>
    <row r="1292" spans="1:10" x14ac:dyDescent="0.3">
      <c r="A1292" s="33">
        <v>1291</v>
      </c>
      <c r="B1292" s="4">
        <v>33</v>
      </c>
      <c r="C1292" s="15">
        <v>8</v>
      </c>
      <c r="D1292" s="16">
        <v>10</v>
      </c>
      <c r="E1292" s="22">
        <v>44090</v>
      </c>
      <c r="F1292" s="17">
        <v>5</v>
      </c>
      <c r="G1292" s="18">
        <v>0.16</v>
      </c>
      <c r="H1292">
        <f>F1292*VLOOKUP(B1292,產品!$A$2:$H$61,7,FALSE)*(1-銷售總表!G1292)</f>
        <v>31500</v>
      </c>
      <c r="I1292" s="35">
        <f>H1292-F1292*VLOOKUP(銷售總表!B1292,產品!$A$2:$H$61,8,FALSE)</f>
        <v>9000</v>
      </c>
      <c r="J1292" s="20">
        <f t="shared" si="20"/>
        <v>0.2857142857142857</v>
      </c>
    </row>
    <row r="1293" spans="1:10" x14ac:dyDescent="0.3">
      <c r="A1293" s="33">
        <v>1292</v>
      </c>
      <c r="B1293" s="4">
        <v>1</v>
      </c>
      <c r="C1293" s="15">
        <v>283</v>
      </c>
      <c r="D1293" s="16">
        <v>6</v>
      </c>
      <c r="E1293" s="22">
        <v>44091</v>
      </c>
      <c r="F1293" s="17">
        <v>210</v>
      </c>
      <c r="G1293" s="18">
        <v>0.16</v>
      </c>
      <c r="H1293">
        <f>F1293*VLOOKUP(B1293,產品!$A$2:$H$61,7,FALSE)*(1-銷售總表!G1293)</f>
        <v>176400</v>
      </c>
      <c r="I1293" s="35">
        <f>H1293-F1293*VLOOKUP(銷售總表!B1293,產品!$A$2:$H$61,8,FALSE)</f>
        <v>92400</v>
      </c>
      <c r="J1293" s="20">
        <f t="shared" si="20"/>
        <v>0.52380952380952384</v>
      </c>
    </row>
    <row r="1294" spans="1:10" x14ac:dyDescent="0.3">
      <c r="A1294" s="33">
        <v>1293</v>
      </c>
      <c r="B1294" s="4">
        <v>17</v>
      </c>
      <c r="C1294" s="15">
        <v>274</v>
      </c>
      <c r="D1294" s="16">
        <v>8</v>
      </c>
      <c r="E1294" s="22">
        <v>44091</v>
      </c>
      <c r="F1294" s="17">
        <v>50</v>
      </c>
      <c r="G1294" s="18">
        <v>0.19</v>
      </c>
      <c r="H1294">
        <f>F1294*VLOOKUP(B1294,產品!$A$2:$H$61,7,FALSE)*(1-銷售總表!G1294)</f>
        <v>72900</v>
      </c>
      <c r="I1294" s="35">
        <f>H1294-F1294*VLOOKUP(銷售總表!B1294,產品!$A$2:$H$61,8,FALSE)</f>
        <v>36900</v>
      </c>
      <c r="J1294" s="20">
        <f t="shared" si="20"/>
        <v>0.50617283950617287</v>
      </c>
    </row>
    <row r="1295" spans="1:10" x14ac:dyDescent="0.3">
      <c r="A1295" s="33">
        <v>1294</v>
      </c>
      <c r="B1295" s="4">
        <v>18</v>
      </c>
      <c r="C1295" s="15">
        <v>6</v>
      </c>
      <c r="D1295" s="16">
        <v>8</v>
      </c>
      <c r="E1295" s="22">
        <v>44091</v>
      </c>
      <c r="F1295" s="17">
        <v>10</v>
      </c>
      <c r="G1295" s="18">
        <v>0.18</v>
      </c>
      <c r="H1295">
        <f>F1295*VLOOKUP(B1295,產品!$A$2:$H$61,7,FALSE)*(1-銷售總表!G1295)</f>
        <v>14760.000000000002</v>
      </c>
      <c r="I1295" s="35">
        <f>H1295-F1295*VLOOKUP(銷售總表!B1295,產品!$A$2:$H$61,8,FALSE)</f>
        <v>7560.0000000000018</v>
      </c>
      <c r="J1295" s="20">
        <f t="shared" si="20"/>
        <v>0.51219512195121952</v>
      </c>
    </row>
    <row r="1296" spans="1:10" x14ac:dyDescent="0.3">
      <c r="A1296" s="33">
        <v>1295</v>
      </c>
      <c r="B1296" s="4">
        <v>33</v>
      </c>
      <c r="C1296" s="15">
        <v>285</v>
      </c>
      <c r="D1296" s="16">
        <v>9</v>
      </c>
      <c r="E1296" s="22">
        <v>44091</v>
      </c>
      <c r="F1296" s="17">
        <v>2</v>
      </c>
      <c r="G1296" s="18">
        <v>0.19</v>
      </c>
      <c r="H1296">
        <f>F1296*VLOOKUP(B1296,產品!$A$2:$H$61,7,FALSE)*(1-銷售總表!G1296)</f>
        <v>12150</v>
      </c>
      <c r="I1296" s="35">
        <f>H1296-F1296*VLOOKUP(銷售總表!B1296,產品!$A$2:$H$61,8,FALSE)</f>
        <v>3150</v>
      </c>
      <c r="J1296" s="20">
        <f t="shared" si="20"/>
        <v>0.25925925925925924</v>
      </c>
    </row>
    <row r="1297" spans="1:10" x14ac:dyDescent="0.3">
      <c r="A1297" s="33">
        <v>1296</v>
      </c>
      <c r="B1297" s="4">
        <v>20</v>
      </c>
      <c r="C1297" s="15">
        <v>5</v>
      </c>
      <c r="D1297" s="16">
        <v>8</v>
      </c>
      <c r="E1297" s="22">
        <v>44092</v>
      </c>
      <c r="F1297" s="17">
        <v>100</v>
      </c>
      <c r="G1297" s="18">
        <v>0.06</v>
      </c>
      <c r="H1297">
        <f>F1297*VLOOKUP(B1297,產品!$A$2:$H$61,7,FALSE)*(1-銷售總表!G1297)</f>
        <v>169200</v>
      </c>
      <c r="I1297" s="35">
        <f>H1297-F1297*VLOOKUP(銷售總表!B1297,產品!$A$2:$H$61,8,FALSE)</f>
        <v>97200</v>
      </c>
      <c r="J1297" s="20">
        <f t="shared" si="20"/>
        <v>0.57446808510638303</v>
      </c>
    </row>
    <row r="1298" spans="1:10" x14ac:dyDescent="0.3">
      <c r="A1298" s="33">
        <v>1297</v>
      </c>
      <c r="B1298" s="4">
        <v>16</v>
      </c>
      <c r="C1298" s="15">
        <v>120</v>
      </c>
      <c r="D1298" s="16">
        <v>7</v>
      </c>
      <c r="E1298" s="22">
        <v>44092</v>
      </c>
      <c r="F1298" s="19">
        <v>150</v>
      </c>
      <c r="G1298" s="18">
        <v>0.16</v>
      </c>
      <c r="H1298">
        <f>F1298*VLOOKUP(B1298,產品!$A$2:$H$61,7,FALSE)*(1-銷售總表!G1298)</f>
        <v>226800</v>
      </c>
      <c r="I1298" s="35">
        <f>H1298-F1298*VLOOKUP(銷售總表!B1298,產品!$A$2:$H$61,8,FALSE)</f>
        <v>118800</v>
      </c>
      <c r="J1298" s="20">
        <f t="shared" si="20"/>
        <v>0.52380952380952384</v>
      </c>
    </row>
    <row r="1299" spans="1:10" x14ac:dyDescent="0.3">
      <c r="A1299" s="33">
        <v>1298</v>
      </c>
      <c r="B1299" s="4">
        <v>18</v>
      </c>
      <c r="C1299" s="15">
        <v>2</v>
      </c>
      <c r="D1299" s="16">
        <v>7</v>
      </c>
      <c r="E1299" s="22">
        <v>44092</v>
      </c>
      <c r="F1299" s="17">
        <v>150</v>
      </c>
      <c r="G1299" s="18">
        <v>0.2</v>
      </c>
      <c r="H1299">
        <f>F1299*VLOOKUP(B1299,產品!$A$2:$H$61,7,FALSE)*(1-銷售總表!G1299)</f>
        <v>216000</v>
      </c>
      <c r="I1299" s="35">
        <f>H1299-F1299*VLOOKUP(銷售總表!B1299,產品!$A$2:$H$61,8,FALSE)</f>
        <v>108000</v>
      </c>
      <c r="J1299" s="20">
        <f t="shared" si="20"/>
        <v>0.5</v>
      </c>
    </row>
    <row r="1300" spans="1:10" x14ac:dyDescent="0.3">
      <c r="A1300" s="33">
        <v>1299</v>
      </c>
      <c r="B1300" s="4">
        <v>37</v>
      </c>
      <c r="C1300" s="15">
        <v>267</v>
      </c>
      <c r="D1300" s="16">
        <v>8</v>
      </c>
      <c r="E1300" s="22">
        <v>44092</v>
      </c>
      <c r="F1300" s="17">
        <v>10</v>
      </c>
      <c r="G1300" s="18">
        <v>0.05</v>
      </c>
      <c r="H1300">
        <f>F1300*VLOOKUP(B1300,產品!$A$2:$H$61,7,FALSE)*(1-銷售總表!G1300)</f>
        <v>114000</v>
      </c>
      <c r="I1300" s="35">
        <f>H1300-F1300*VLOOKUP(銷售總表!B1300,產品!$A$2:$H$61,8,FALSE)</f>
        <v>36000</v>
      </c>
      <c r="J1300" s="20">
        <f t="shared" si="20"/>
        <v>0.31578947368421051</v>
      </c>
    </row>
    <row r="1301" spans="1:10" x14ac:dyDescent="0.3">
      <c r="A1301" s="33">
        <v>1300</v>
      </c>
      <c r="B1301" s="4">
        <v>20</v>
      </c>
      <c r="C1301" s="15">
        <v>123</v>
      </c>
      <c r="D1301" s="16">
        <v>2</v>
      </c>
      <c r="E1301" s="22">
        <v>44093</v>
      </c>
      <c r="F1301" s="17">
        <v>125</v>
      </c>
      <c r="G1301" s="18">
        <v>0.16</v>
      </c>
      <c r="H1301">
        <f>F1301*VLOOKUP(B1301,產品!$A$2:$H$61,7,FALSE)*(1-銷售總表!G1301)</f>
        <v>189000</v>
      </c>
      <c r="I1301" s="35">
        <f>H1301-F1301*VLOOKUP(銷售總表!B1301,產品!$A$2:$H$61,8,FALSE)</f>
        <v>99000</v>
      </c>
      <c r="J1301" s="20">
        <f t="shared" si="20"/>
        <v>0.52380952380952384</v>
      </c>
    </row>
    <row r="1302" spans="1:10" x14ac:dyDescent="0.3">
      <c r="A1302" s="33">
        <v>1301</v>
      </c>
      <c r="B1302" s="4">
        <v>31</v>
      </c>
      <c r="C1302" s="15">
        <v>1</v>
      </c>
      <c r="D1302" s="16">
        <v>4</v>
      </c>
      <c r="E1302" s="22">
        <v>44093</v>
      </c>
      <c r="F1302" s="19">
        <v>15</v>
      </c>
      <c r="G1302" s="18">
        <v>7.0000000000000007E-2</v>
      </c>
      <c r="H1302">
        <f>F1302*VLOOKUP(B1302,產品!$A$2:$H$61,7,FALSE)*(1-銷售總表!G1302)</f>
        <v>97650</v>
      </c>
      <c r="I1302" s="35">
        <f>H1302-F1302*VLOOKUP(銷售總表!B1302,產品!$A$2:$H$61,8,FALSE)</f>
        <v>34650</v>
      </c>
      <c r="J1302" s="20">
        <f t="shared" si="20"/>
        <v>0.35483870967741937</v>
      </c>
    </row>
    <row r="1303" spans="1:10" x14ac:dyDescent="0.3">
      <c r="A1303" s="33">
        <v>1302</v>
      </c>
      <c r="B1303" s="4">
        <v>21</v>
      </c>
      <c r="C1303" s="15">
        <v>7</v>
      </c>
      <c r="D1303" s="16">
        <v>8</v>
      </c>
      <c r="E1303" s="22">
        <v>44093</v>
      </c>
      <c r="F1303" s="17">
        <v>40</v>
      </c>
      <c r="G1303" s="18">
        <v>0.15</v>
      </c>
      <c r="H1303">
        <f>F1303*VLOOKUP(B1303,產品!$A$2:$H$61,7,FALSE)*(1-銷售總表!G1303)</f>
        <v>61200</v>
      </c>
      <c r="I1303" s="35">
        <f>H1303-F1303*VLOOKUP(銷售總表!B1303,產品!$A$2:$H$61,8,FALSE)</f>
        <v>32400</v>
      </c>
      <c r="J1303" s="20">
        <f t="shared" si="20"/>
        <v>0.52941176470588236</v>
      </c>
    </row>
    <row r="1304" spans="1:10" x14ac:dyDescent="0.3">
      <c r="A1304" s="33">
        <v>1303</v>
      </c>
      <c r="B1304" s="4">
        <v>60</v>
      </c>
      <c r="C1304" s="15">
        <v>2</v>
      </c>
      <c r="D1304" s="16">
        <v>1</v>
      </c>
      <c r="E1304" s="22">
        <v>44093</v>
      </c>
      <c r="F1304" s="17">
        <v>6</v>
      </c>
      <c r="G1304" s="18">
        <v>0.14000000000000001</v>
      </c>
      <c r="H1304">
        <f>F1304*VLOOKUP(B1304,產品!$A$2:$H$61,7,FALSE)*(1-銷售總表!G1304)</f>
        <v>129000</v>
      </c>
      <c r="I1304" s="35">
        <f>H1304-F1304*VLOOKUP(銷售總表!B1304,產品!$A$2:$H$61,8,FALSE)</f>
        <v>24000</v>
      </c>
      <c r="J1304" s="20">
        <f t="shared" si="20"/>
        <v>0.18604651162790697</v>
      </c>
    </row>
    <row r="1305" spans="1:10" x14ac:dyDescent="0.3">
      <c r="A1305" s="33">
        <v>1304</v>
      </c>
      <c r="B1305" s="4">
        <v>14</v>
      </c>
      <c r="C1305" s="15">
        <v>259</v>
      </c>
      <c r="D1305" s="16">
        <v>5</v>
      </c>
      <c r="E1305" s="22">
        <v>44093</v>
      </c>
      <c r="F1305" s="19">
        <v>30</v>
      </c>
      <c r="G1305" s="18">
        <v>0.2</v>
      </c>
      <c r="H1305">
        <f>F1305*VLOOKUP(B1305,產品!$A$2:$H$61,7,FALSE)*(1-銷售總表!G1305)</f>
        <v>43200</v>
      </c>
      <c r="I1305" s="35">
        <f>H1305-F1305*VLOOKUP(銷售總表!B1305,產品!$A$2:$H$61,8,FALSE)</f>
        <v>21600</v>
      </c>
      <c r="J1305" s="20">
        <f t="shared" si="20"/>
        <v>0.5</v>
      </c>
    </row>
    <row r="1306" spans="1:10" x14ac:dyDescent="0.3">
      <c r="A1306" s="33">
        <v>1305</v>
      </c>
      <c r="B1306" s="4">
        <v>27</v>
      </c>
      <c r="C1306" s="15">
        <v>8</v>
      </c>
      <c r="D1306" s="16">
        <v>1</v>
      </c>
      <c r="E1306" s="22">
        <v>44093</v>
      </c>
      <c r="F1306" s="19">
        <v>10</v>
      </c>
      <c r="G1306" s="18">
        <v>0.11</v>
      </c>
      <c r="H1306">
        <f>F1306*VLOOKUP(B1306,產品!$A$2:$H$61,7,FALSE)*(1-銷售總表!G1306)</f>
        <v>62300</v>
      </c>
      <c r="I1306" s="35">
        <f>H1306-F1306*VLOOKUP(銷售總表!B1306,產品!$A$2:$H$61,8,FALSE)</f>
        <v>20300</v>
      </c>
      <c r="J1306" s="20">
        <f t="shared" si="20"/>
        <v>0.3258426966292135</v>
      </c>
    </row>
    <row r="1307" spans="1:10" x14ac:dyDescent="0.3">
      <c r="A1307" s="33">
        <v>1306</v>
      </c>
      <c r="B1307" s="4">
        <v>23</v>
      </c>
      <c r="C1307" s="15">
        <v>5</v>
      </c>
      <c r="D1307" s="16">
        <v>1</v>
      </c>
      <c r="E1307" s="22">
        <v>44094</v>
      </c>
      <c r="F1307" s="19">
        <v>40</v>
      </c>
      <c r="G1307" s="18">
        <v>0.12</v>
      </c>
      <c r="H1307">
        <f>F1307*VLOOKUP(B1307,產品!$A$2:$H$61,7,FALSE)*(1-銷售總表!G1307)</f>
        <v>63360</v>
      </c>
      <c r="I1307" s="35">
        <f>H1307-F1307*VLOOKUP(銷售總表!B1307,產品!$A$2:$H$61,8,FALSE)</f>
        <v>34560</v>
      </c>
      <c r="J1307" s="20">
        <f t="shared" si="20"/>
        <v>0.54545454545454541</v>
      </c>
    </row>
    <row r="1308" spans="1:10" x14ac:dyDescent="0.3">
      <c r="A1308" s="33">
        <v>1307</v>
      </c>
      <c r="B1308" s="4">
        <v>45</v>
      </c>
      <c r="C1308" s="15">
        <v>5</v>
      </c>
      <c r="D1308" s="16">
        <v>9</v>
      </c>
      <c r="E1308" s="22">
        <v>44094</v>
      </c>
      <c r="F1308" s="19">
        <v>5</v>
      </c>
      <c r="G1308" s="18">
        <v>0.11</v>
      </c>
      <c r="H1308">
        <f>F1308*VLOOKUP(B1308,產品!$A$2:$H$61,7,FALSE)*(1-銷售總表!G1308)</f>
        <v>62300</v>
      </c>
      <c r="I1308" s="35">
        <f>H1308-F1308*VLOOKUP(銷售總表!B1308,產品!$A$2:$H$61,8,FALSE)</f>
        <v>16800</v>
      </c>
      <c r="J1308" s="20">
        <f t="shared" si="20"/>
        <v>0.2696629213483146</v>
      </c>
    </row>
    <row r="1309" spans="1:10" x14ac:dyDescent="0.3">
      <c r="A1309" s="33">
        <v>1308</v>
      </c>
      <c r="B1309" s="4">
        <v>18</v>
      </c>
      <c r="C1309" s="15">
        <v>121</v>
      </c>
      <c r="D1309" s="16">
        <v>9</v>
      </c>
      <c r="E1309" s="22">
        <v>44094</v>
      </c>
      <c r="F1309" s="19">
        <v>20</v>
      </c>
      <c r="G1309" s="18">
        <v>0.17</v>
      </c>
      <c r="H1309">
        <f>F1309*VLOOKUP(B1309,產品!$A$2:$H$61,7,FALSE)*(1-銷售總表!G1309)</f>
        <v>29880</v>
      </c>
      <c r="I1309" s="35">
        <f>H1309-F1309*VLOOKUP(銷售總表!B1309,產品!$A$2:$H$61,8,FALSE)</f>
        <v>15480</v>
      </c>
      <c r="J1309" s="20">
        <f t="shared" si="20"/>
        <v>0.51807228915662651</v>
      </c>
    </row>
    <row r="1310" spans="1:10" x14ac:dyDescent="0.3">
      <c r="A1310" s="33">
        <v>1309</v>
      </c>
      <c r="B1310" s="4">
        <v>8</v>
      </c>
      <c r="C1310" s="15">
        <v>283</v>
      </c>
      <c r="D1310" s="16">
        <v>10</v>
      </c>
      <c r="E1310" s="22">
        <v>44094</v>
      </c>
      <c r="F1310" s="17">
        <v>12</v>
      </c>
      <c r="G1310" s="18">
        <v>0.11</v>
      </c>
      <c r="H1310">
        <f>F1310*VLOOKUP(B1310,產品!$A$2:$H$61,7,FALSE)*(1-銷售總表!G1310)</f>
        <v>10680</v>
      </c>
      <c r="I1310" s="35">
        <f>H1310-F1310*VLOOKUP(銷售總表!B1310,產品!$A$2:$H$61,8,FALSE)</f>
        <v>5880</v>
      </c>
      <c r="J1310" s="20">
        <f t="shared" si="20"/>
        <v>0.550561797752809</v>
      </c>
    </row>
    <row r="1311" spans="1:10" x14ac:dyDescent="0.3">
      <c r="A1311" s="33">
        <v>1310</v>
      </c>
      <c r="B1311" s="4">
        <v>4</v>
      </c>
      <c r="C1311" s="15">
        <v>266</v>
      </c>
      <c r="D1311" s="16">
        <v>1</v>
      </c>
      <c r="E1311" s="22">
        <v>44095</v>
      </c>
      <c r="F1311" s="19">
        <v>100</v>
      </c>
      <c r="G1311" s="18">
        <v>0.19</v>
      </c>
      <c r="H1311">
        <f>F1311*VLOOKUP(B1311,產品!$A$2:$H$61,7,FALSE)*(1-銷售總表!G1311)</f>
        <v>81000</v>
      </c>
      <c r="I1311" s="35">
        <f>H1311-F1311*VLOOKUP(銷售總表!B1311,產品!$A$2:$H$61,8,FALSE)</f>
        <v>41000</v>
      </c>
      <c r="J1311" s="20">
        <f t="shared" si="20"/>
        <v>0.50617283950617287</v>
      </c>
    </row>
    <row r="1312" spans="1:10" x14ac:dyDescent="0.3">
      <c r="A1312" s="33">
        <v>1311</v>
      </c>
      <c r="B1312" s="4">
        <v>21</v>
      </c>
      <c r="C1312" s="15">
        <v>289</v>
      </c>
      <c r="D1312" s="16">
        <v>3</v>
      </c>
      <c r="E1312" s="22">
        <v>44095</v>
      </c>
      <c r="F1312" s="19">
        <v>30</v>
      </c>
      <c r="G1312" s="18">
        <v>0.11</v>
      </c>
      <c r="H1312">
        <f>F1312*VLOOKUP(B1312,產品!$A$2:$H$61,7,FALSE)*(1-銷售總表!G1312)</f>
        <v>48060</v>
      </c>
      <c r="I1312" s="35">
        <f>H1312-F1312*VLOOKUP(銷售總表!B1312,產品!$A$2:$H$61,8,FALSE)</f>
        <v>26460</v>
      </c>
      <c r="J1312" s="20">
        <f t="shared" si="20"/>
        <v>0.550561797752809</v>
      </c>
    </row>
    <row r="1313" spans="1:10" x14ac:dyDescent="0.3">
      <c r="A1313" s="33">
        <v>1312</v>
      </c>
      <c r="B1313" s="4">
        <v>27</v>
      </c>
      <c r="C1313" s="15">
        <v>288</v>
      </c>
      <c r="D1313" s="16">
        <v>2</v>
      </c>
      <c r="E1313" s="22">
        <v>44095</v>
      </c>
      <c r="F1313" s="19">
        <v>7</v>
      </c>
      <c r="G1313" s="18">
        <v>0.12</v>
      </c>
      <c r="H1313">
        <f>F1313*VLOOKUP(B1313,產品!$A$2:$H$61,7,FALSE)*(1-銷售總表!G1313)</f>
        <v>43120</v>
      </c>
      <c r="I1313" s="35">
        <f>H1313-F1313*VLOOKUP(銷售總表!B1313,產品!$A$2:$H$61,8,FALSE)</f>
        <v>13720</v>
      </c>
      <c r="J1313" s="20">
        <f t="shared" si="20"/>
        <v>0.31818181818181818</v>
      </c>
    </row>
    <row r="1314" spans="1:10" x14ac:dyDescent="0.3">
      <c r="A1314" s="33">
        <v>1313</v>
      </c>
      <c r="B1314" s="4">
        <v>55</v>
      </c>
      <c r="C1314" s="15">
        <v>268</v>
      </c>
      <c r="D1314" s="16">
        <v>5</v>
      </c>
      <c r="E1314" s="22">
        <v>44096</v>
      </c>
      <c r="F1314" s="17">
        <v>7</v>
      </c>
      <c r="G1314" s="18">
        <v>0.05</v>
      </c>
      <c r="H1314">
        <f>F1314*VLOOKUP(B1314,產品!$A$2:$H$61,7,FALSE)*(1-銷售總表!G1314)</f>
        <v>133000</v>
      </c>
      <c r="I1314" s="35">
        <f>H1314-F1314*VLOOKUP(銷售總表!B1314,產品!$A$2:$H$61,8,FALSE)</f>
        <v>35000</v>
      </c>
      <c r="J1314" s="20">
        <f t="shared" si="20"/>
        <v>0.26315789473684209</v>
      </c>
    </row>
    <row r="1315" spans="1:10" x14ac:dyDescent="0.3">
      <c r="A1315" s="33">
        <v>1314</v>
      </c>
      <c r="B1315" s="4">
        <v>2</v>
      </c>
      <c r="C1315" s="15">
        <v>125</v>
      </c>
      <c r="D1315" s="16">
        <v>5</v>
      </c>
      <c r="E1315" s="22">
        <v>44096</v>
      </c>
      <c r="F1315" s="19">
        <v>60</v>
      </c>
      <c r="G1315" s="18">
        <v>0.06</v>
      </c>
      <c r="H1315">
        <f>F1315*VLOOKUP(B1315,產品!$A$2:$H$61,7,FALSE)*(1-銷售總表!G1315)</f>
        <v>56400</v>
      </c>
      <c r="I1315" s="35">
        <f>H1315-F1315*VLOOKUP(銷售總表!B1315,產品!$A$2:$H$61,8,FALSE)</f>
        <v>32400</v>
      </c>
      <c r="J1315" s="20">
        <f t="shared" si="20"/>
        <v>0.57446808510638303</v>
      </c>
    </row>
    <row r="1316" spans="1:10" x14ac:dyDescent="0.3">
      <c r="A1316" s="33">
        <v>1315</v>
      </c>
      <c r="B1316" s="4">
        <v>34</v>
      </c>
      <c r="C1316" s="15">
        <v>258</v>
      </c>
      <c r="D1316" s="16">
        <v>8</v>
      </c>
      <c r="E1316" s="22">
        <v>44096</v>
      </c>
      <c r="F1316" s="19">
        <v>13</v>
      </c>
      <c r="G1316" s="18">
        <v>0.17</v>
      </c>
      <c r="H1316">
        <f>F1316*VLOOKUP(B1316,產品!$A$2:$H$61,7,FALSE)*(1-銷售總表!G1316)</f>
        <v>86320</v>
      </c>
      <c r="I1316" s="35">
        <f>H1316-F1316*VLOOKUP(銷售總表!B1316,產品!$A$2:$H$61,8,FALSE)</f>
        <v>23920</v>
      </c>
      <c r="J1316" s="20">
        <f t="shared" si="20"/>
        <v>0.27710843373493976</v>
      </c>
    </row>
    <row r="1317" spans="1:10" x14ac:dyDescent="0.3">
      <c r="A1317" s="33">
        <v>1316</v>
      </c>
      <c r="B1317" s="4">
        <v>7</v>
      </c>
      <c r="C1317" s="15">
        <v>122</v>
      </c>
      <c r="D1317" s="16">
        <v>3</v>
      </c>
      <c r="E1317" s="22">
        <v>44096</v>
      </c>
      <c r="F1317" s="19">
        <v>45</v>
      </c>
      <c r="G1317" s="18">
        <v>0.13</v>
      </c>
      <c r="H1317">
        <f>F1317*VLOOKUP(B1317,產品!$A$2:$H$61,7,FALSE)*(1-銷售總表!G1317)</f>
        <v>39150</v>
      </c>
      <c r="I1317" s="35">
        <f>H1317-F1317*VLOOKUP(銷售總表!B1317,產品!$A$2:$H$61,8,FALSE)</f>
        <v>21150</v>
      </c>
      <c r="J1317" s="20">
        <f t="shared" si="20"/>
        <v>0.54022988505747127</v>
      </c>
    </row>
    <row r="1318" spans="1:10" x14ac:dyDescent="0.3">
      <c r="A1318" s="33">
        <v>1317</v>
      </c>
      <c r="B1318" s="4">
        <v>5</v>
      </c>
      <c r="C1318" s="15">
        <v>267</v>
      </c>
      <c r="D1318" s="16">
        <v>10</v>
      </c>
      <c r="E1318" s="22">
        <v>44096</v>
      </c>
      <c r="F1318" s="19">
        <v>30</v>
      </c>
      <c r="G1318" s="18">
        <v>0.17</v>
      </c>
      <c r="H1318">
        <f>F1318*VLOOKUP(B1318,產品!$A$2:$H$61,7,FALSE)*(1-銷售總表!G1318)</f>
        <v>24900</v>
      </c>
      <c r="I1318" s="35">
        <f>H1318-F1318*VLOOKUP(銷售總表!B1318,產品!$A$2:$H$61,8,FALSE)</f>
        <v>12900</v>
      </c>
      <c r="J1318" s="20">
        <f t="shared" si="20"/>
        <v>0.51807228915662651</v>
      </c>
    </row>
    <row r="1319" spans="1:10" x14ac:dyDescent="0.3">
      <c r="A1319" s="33">
        <v>1318</v>
      </c>
      <c r="B1319" s="4">
        <v>5</v>
      </c>
      <c r="C1319" s="15">
        <v>7</v>
      </c>
      <c r="D1319" s="16">
        <v>8</v>
      </c>
      <c r="E1319" s="22">
        <v>44096</v>
      </c>
      <c r="F1319" s="17">
        <v>14</v>
      </c>
      <c r="G1319" s="18">
        <v>0.08</v>
      </c>
      <c r="H1319">
        <f>F1319*VLOOKUP(B1319,產品!$A$2:$H$61,7,FALSE)*(1-銷售總表!G1319)</f>
        <v>12880</v>
      </c>
      <c r="I1319" s="35">
        <f>H1319-F1319*VLOOKUP(銷售總表!B1319,產品!$A$2:$H$61,8,FALSE)</f>
        <v>7280</v>
      </c>
      <c r="J1319" s="20">
        <f t="shared" si="20"/>
        <v>0.56521739130434778</v>
      </c>
    </row>
    <row r="1320" spans="1:10" x14ac:dyDescent="0.3">
      <c r="A1320" s="33">
        <v>1319</v>
      </c>
      <c r="B1320" s="4">
        <v>27</v>
      </c>
      <c r="C1320" s="15">
        <v>293</v>
      </c>
      <c r="D1320" s="16">
        <v>9</v>
      </c>
      <c r="E1320" s="22">
        <v>44096</v>
      </c>
      <c r="F1320" s="19">
        <v>4</v>
      </c>
      <c r="G1320" s="18">
        <v>0.2</v>
      </c>
      <c r="H1320">
        <f>F1320*VLOOKUP(B1320,產品!$A$2:$H$61,7,FALSE)*(1-銷售總表!G1320)</f>
        <v>22400</v>
      </c>
      <c r="I1320" s="35">
        <f>H1320-F1320*VLOOKUP(銷售總表!B1320,產品!$A$2:$H$61,8,FALSE)</f>
        <v>5600</v>
      </c>
      <c r="J1320" s="20">
        <f t="shared" si="20"/>
        <v>0.25</v>
      </c>
    </row>
    <row r="1321" spans="1:10" x14ac:dyDescent="0.3">
      <c r="A1321" s="33">
        <v>1320</v>
      </c>
      <c r="B1321" s="4">
        <v>2</v>
      </c>
      <c r="C1321" s="15">
        <v>12</v>
      </c>
      <c r="D1321" s="16">
        <v>8</v>
      </c>
      <c r="E1321" s="22">
        <v>44097</v>
      </c>
      <c r="F1321" s="17">
        <v>90</v>
      </c>
      <c r="G1321" s="18">
        <v>7.0000000000000007E-2</v>
      </c>
      <c r="H1321">
        <f>F1321*VLOOKUP(B1321,產品!$A$2:$H$61,7,FALSE)*(1-銷售總表!G1321)</f>
        <v>83700</v>
      </c>
      <c r="I1321" s="35">
        <f>H1321-F1321*VLOOKUP(銷售總表!B1321,產品!$A$2:$H$61,8,FALSE)</f>
        <v>47700</v>
      </c>
      <c r="J1321" s="20">
        <f t="shared" si="20"/>
        <v>0.56989247311827962</v>
      </c>
    </row>
    <row r="1322" spans="1:10" x14ac:dyDescent="0.3">
      <c r="A1322" s="33">
        <v>1321</v>
      </c>
      <c r="B1322" s="4">
        <v>60</v>
      </c>
      <c r="C1322" s="15">
        <v>259</v>
      </c>
      <c r="D1322" s="16">
        <v>7</v>
      </c>
      <c r="E1322" s="22">
        <v>44097</v>
      </c>
      <c r="F1322" s="19">
        <v>10</v>
      </c>
      <c r="G1322" s="18">
        <v>0.13</v>
      </c>
      <c r="H1322">
        <f>F1322*VLOOKUP(B1322,產品!$A$2:$H$61,7,FALSE)*(1-銷售總表!G1322)</f>
        <v>217500</v>
      </c>
      <c r="I1322" s="35">
        <f>H1322-F1322*VLOOKUP(銷售總表!B1322,產品!$A$2:$H$61,8,FALSE)</f>
        <v>42500</v>
      </c>
      <c r="J1322" s="20">
        <f t="shared" si="20"/>
        <v>0.19540229885057472</v>
      </c>
    </row>
    <row r="1323" spans="1:10" x14ac:dyDescent="0.3">
      <c r="A1323" s="33">
        <v>1322</v>
      </c>
      <c r="B1323" s="4">
        <v>28</v>
      </c>
      <c r="C1323" s="15">
        <v>120</v>
      </c>
      <c r="D1323" s="16">
        <v>8</v>
      </c>
      <c r="E1323" s="22">
        <v>44097</v>
      </c>
      <c r="F1323" s="19">
        <v>20</v>
      </c>
      <c r="G1323" s="18">
        <v>0.13</v>
      </c>
      <c r="H1323">
        <f>F1323*VLOOKUP(B1323,產品!$A$2:$H$61,7,FALSE)*(1-銷售總表!G1323)</f>
        <v>130500</v>
      </c>
      <c r="I1323" s="35">
        <f>H1323-F1323*VLOOKUP(銷售總表!B1323,產品!$A$2:$H$61,8,FALSE)</f>
        <v>40500</v>
      </c>
      <c r="J1323" s="20">
        <f t="shared" si="20"/>
        <v>0.31034482758620691</v>
      </c>
    </row>
    <row r="1324" spans="1:10" x14ac:dyDescent="0.3">
      <c r="A1324" s="33">
        <v>1323</v>
      </c>
      <c r="B1324" s="4">
        <v>2</v>
      </c>
      <c r="C1324" s="15">
        <v>5</v>
      </c>
      <c r="D1324" s="16">
        <v>3</v>
      </c>
      <c r="E1324" s="22">
        <v>44097</v>
      </c>
      <c r="F1324" s="17">
        <v>60</v>
      </c>
      <c r="G1324" s="18">
        <v>0.08</v>
      </c>
      <c r="H1324">
        <f>F1324*VLOOKUP(B1324,產品!$A$2:$H$61,7,FALSE)*(1-銷售總表!G1324)</f>
        <v>55200</v>
      </c>
      <c r="I1324" s="35">
        <f>H1324-F1324*VLOOKUP(銷售總表!B1324,產品!$A$2:$H$61,8,FALSE)</f>
        <v>31200</v>
      </c>
      <c r="J1324" s="20">
        <f t="shared" si="20"/>
        <v>0.56521739130434778</v>
      </c>
    </row>
    <row r="1325" spans="1:10" x14ac:dyDescent="0.3">
      <c r="A1325" s="33">
        <v>1324</v>
      </c>
      <c r="B1325" s="4">
        <v>27</v>
      </c>
      <c r="C1325" s="15">
        <v>287</v>
      </c>
      <c r="D1325" s="16">
        <v>8</v>
      </c>
      <c r="E1325" s="22">
        <v>44097</v>
      </c>
      <c r="F1325" s="17">
        <v>20</v>
      </c>
      <c r="G1325" s="18">
        <v>0.2</v>
      </c>
      <c r="H1325">
        <f>F1325*VLOOKUP(B1325,產品!$A$2:$H$61,7,FALSE)*(1-銷售總表!G1325)</f>
        <v>112000</v>
      </c>
      <c r="I1325" s="35">
        <f>H1325-F1325*VLOOKUP(銷售總表!B1325,產品!$A$2:$H$61,8,FALSE)</f>
        <v>28000</v>
      </c>
      <c r="J1325" s="20">
        <f t="shared" si="20"/>
        <v>0.25</v>
      </c>
    </row>
    <row r="1326" spans="1:10" x14ac:dyDescent="0.3">
      <c r="A1326" s="33">
        <v>1325</v>
      </c>
      <c r="B1326" s="4">
        <v>4</v>
      </c>
      <c r="C1326" s="15">
        <v>123</v>
      </c>
      <c r="D1326" s="16">
        <v>3</v>
      </c>
      <c r="E1326" s="22">
        <v>44097</v>
      </c>
      <c r="F1326" s="17">
        <v>40</v>
      </c>
      <c r="G1326" s="18">
        <v>0.12</v>
      </c>
      <c r="H1326">
        <f>F1326*VLOOKUP(B1326,產品!$A$2:$H$61,7,FALSE)*(1-銷售總表!G1326)</f>
        <v>35200</v>
      </c>
      <c r="I1326" s="35">
        <f>H1326-F1326*VLOOKUP(銷售總表!B1326,產品!$A$2:$H$61,8,FALSE)</f>
        <v>19200</v>
      </c>
      <c r="J1326" s="20">
        <f t="shared" si="20"/>
        <v>0.54545454545454541</v>
      </c>
    </row>
    <row r="1327" spans="1:10" x14ac:dyDescent="0.3">
      <c r="A1327" s="33">
        <v>1326</v>
      </c>
      <c r="B1327" s="4">
        <v>32</v>
      </c>
      <c r="C1327" s="15">
        <v>5</v>
      </c>
      <c r="D1327" s="16">
        <v>2</v>
      </c>
      <c r="E1327" s="22">
        <v>44097</v>
      </c>
      <c r="F1327" s="17">
        <v>3</v>
      </c>
      <c r="G1327" s="18">
        <v>0.12</v>
      </c>
      <c r="H1327">
        <f>F1327*VLOOKUP(B1327,產品!$A$2:$H$61,7,FALSE)*(1-銷售總表!G1327)</f>
        <v>19800</v>
      </c>
      <c r="I1327" s="35">
        <f>H1327-F1327*VLOOKUP(銷售總表!B1327,產品!$A$2:$H$61,8,FALSE)</f>
        <v>6300</v>
      </c>
      <c r="J1327" s="20">
        <f t="shared" si="20"/>
        <v>0.31818181818181818</v>
      </c>
    </row>
    <row r="1328" spans="1:10" x14ac:dyDescent="0.3">
      <c r="A1328" s="33">
        <v>1327</v>
      </c>
      <c r="B1328" s="4">
        <v>52</v>
      </c>
      <c r="C1328" s="15">
        <v>1</v>
      </c>
      <c r="D1328" s="16">
        <v>2</v>
      </c>
      <c r="E1328" s="22">
        <v>44097</v>
      </c>
      <c r="F1328" s="19">
        <v>1</v>
      </c>
      <c r="G1328" s="18">
        <v>0.12</v>
      </c>
      <c r="H1328">
        <f>F1328*VLOOKUP(B1328,產品!$A$2:$H$61,7,FALSE)*(1-銷售總表!G1328)</f>
        <v>19360</v>
      </c>
      <c r="I1328" s="35">
        <f>H1328-F1328*VLOOKUP(銷售總表!B1328,產品!$A$2:$H$61,8,FALSE)</f>
        <v>3960.0000000000018</v>
      </c>
      <c r="J1328" s="20">
        <f t="shared" si="20"/>
        <v>0.20454545454545464</v>
      </c>
    </row>
    <row r="1329" spans="1:10" x14ac:dyDescent="0.3">
      <c r="A1329" s="33">
        <v>1328</v>
      </c>
      <c r="B1329" s="4">
        <v>57</v>
      </c>
      <c r="C1329" s="15">
        <v>260</v>
      </c>
      <c r="D1329" s="16">
        <v>4</v>
      </c>
      <c r="E1329" s="22">
        <v>44097</v>
      </c>
      <c r="F1329" s="17">
        <v>1</v>
      </c>
      <c r="G1329" s="18">
        <v>0.14000000000000001</v>
      </c>
      <c r="H1329">
        <f>F1329*VLOOKUP(B1329,產品!$A$2:$H$61,7,FALSE)*(1-銷售總表!G1329)</f>
        <v>15480</v>
      </c>
      <c r="I1329" s="35">
        <f>H1329-F1329*VLOOKUP(銷售總表!B1329,產品!$A$2:$H$61,8,FALSE)</f>
        <v>2880</v>
      </c>
      <c r="J1329" s="20">
        <f t="shared" si="20"/>
        <v>0.18604651162790697</v>
      </c>
    </row>
    <row r="1330" spans="1:10" x14ac:dyDescent="0.3">
      <c r="A1330" s="33">
        <v>1329</v>
      </c>
      <c r="B1330" s="4">
        <v>33</v>
      </c>
      <c r="C1330" s="15">
        <v>122</v>
      </c>
      <c r="D1330" s="16">
        <v>1</v>
      </c>
      <c r="E1330" s="22">
        <v>44098</v>
      </c>
      <c r="F1330" s="19">
        <v>7</v>
      </c>
      <c r="G1330" s="18">
        <v>0.05</v>
      </c>
      <c r="H1330">
        <f>F1330*VLOOKUP(B1330,產品!$A$2:$H$61,7,FALSE)*(1-銷售總表!G1330)</f>
        <v>49875</v>
      </c>
      <c r="I1330" s="35">
        <f>H1330-F1330*VLOOKUP(銷售總表!B1330,產品!$A$2:$H$61,8,FALSE)</f>
        <v>18375</v>
      </c>
      <c r="J1330" s="20">
        <f t="shared" si="20"/>
        <v>0.36842105263157893</v>
      </c>
    </row>
    <row r="1331" spans="1:10" x14ac:dyDescent="0.3">
      <c r="A1331" s="33">
        <v>1330</v>
      </c>
      <c r="B1331" s="4">
        <v>49</v>
      </c>
      <c r="C1331" s="15">
        <v>269</v>
      </c>
      <c r="D1331" s="16">
        <v>10</v>
      </c>
      <c r="E1331" s="22">
        <v>44098</v>
      </c>
      <c r="F1331" s="17">
        <v>6</v>
      </c>
      <c r="G1331" s="18">
        <v>0.14000000000000001</v>
      </c>
      <c r="H1331">
        <f>F1331*VLOOKUP(B1331,產品!$A$2:$H$61,7,FALSE)*(1-銷售總表!G1331)</f>
        <v>77400</v>
      </c>
      <c r="I1331" s="35">
        <f>H1331-F1331*VLOOKUP(銷售總表!B1331,產品!$A$2:$H$61,8,FALSE)</f>
        <v>14400</v>
      </c>
      <c r="J1331" s="20">
        <f t="shared" si="20"/>
        <v>0.18604651162790697</v>
      </c>
    </row>
    <row r="1332" spans="1:10" x14ac:dyDescent="0.3">
      <c r="A1332" s="33">
        <v>1331</v>
      </c>
      <c r="B1332" s="4">
        <v>8</v>
      </c>
      <c r="C1332" s="15">
        <v>258</v>
      </c>
      <c r="D1332" s="16">
        <v>9</v>
      </c>
      <c r="E1332" s="22">
        <v>44098</v>
      </c>
      <c r="F1332" s="17">
        <v>30</v>
      </c>
      <c r="G1332" s="18">
        <v>0.2</v>
      </c>
      <c r="H1332">
        <f>F1332*VLOOKUP(B1332,產品!$A$2:$H$61,7,FALSE)*(1-銷售總表!G1332)</f>
        <v>24000</v>
      </c>
      <c r="I1332" s="35">
        <f>H1332-F1332*VLOOKUP(銷售總表!B1332,產品!$A$2:$H$61,8,FALSE)</f>
        <v>12000</v>
      </c>
      <c r="J1332" s="20">
        <f t="shared" si="20"/>
        <v>0.5</v>
      </c>
    </row>
    <row r="1333" spans="1:10" x14ac:dyDescent="0.3">
      <c r="A1333" s="33">
        <v>1332</v>
      </c>
      <c r="B1333" s="4">
        <v>28</v>
      </c>
      <c r="C1333" s="15">
        <v>140</v>
      </c>
      <c r="D1333" s="16">
        <v>6</v>
      </c>
      <c r="E1333" s="22">
        <v>44098</v>
      </c>
      <c r="F1333" s="19">
        <v>7</v>
      </c>
      <c r="G1333" s="18">
        <v>0.19</v>
      </c>
      <c r="H1333">
        <f>F1333*VLOOKUP(B1333,產品!$A$2:$H$61,7,FALSE)*(1-銷售總表!G1333)</f>
        <v>42525</v>
      </c>
      <c r="I1333" s="35">
        <f>H1333-F1333*VLOOKUP(銷售總表!B1333,產品!$A$2:$H$61,8,FALSE)</f>
        <v>11025</v>
      </c>
      <c r="J1333" s="20">
        <f t="shared" si="20"/>
        <v>0.25925925925925924</v>
      </c>
    </row>
    <row r="1334" spans="1:10" x14ac:dyDescent="0.3">
      <c r="A1334" s="33">
        <v>1333</v>
      </c>
      <c r="B1334" s="4">
        <v>18</v>
      </c>
      <c r="C1334" s="15">
        <v>258</v>
      </c>
      <c r="D1334" s="16">
        <v>3</v>
      </c>
      <c r="E1334" s="22">
        <v>44098</v>
      </c>
      <c r="F1334" s="17">
        <v>10</v>
      </c>
      <c r="G1334" s="18">
        <v>0.11</v>
      </c>
      <c r="H1334">
        <f>F1334*VLOOKUP(B1334,產品!$A$2:$H$61,7,FALSE)*(1-銷售總表!G1334)</f>
        <v>16020</v>
      </c>
      <c r="I1334" s="35">
        <f>H1334-F1334*VLOOKUP(銷售總表!B1334,產品!$A$2:$H$61,8,FALSE)</f>
        <v>8820</v>
      </c>
      <c r="J1334" s="20">
        <f t="shared" si="20"/>
        <v>0.550561797752809</v>
      </c>
    </row>
    <row r="1335" spans="1:10" x14ac:dyDescent="0.3">
      <c r="A1335" s="33">
        <v>1334</v>
      </c>
      <c r="B1335" s="4">
        <v>19</v>
      </c>
      <c r="C1335" s="15">
        <v>3</v>
      </c>
      <c r="D1335" s="16">
        <v>1</v>
      </c>
      <c r="E1335" s="22">
        <v>44099</v>
      </c>
      <c r="F1335" s="17">
        <v>150</v>
      </c>
      <c r="G1335" s="18">
        <v>0.14000000000000001</v>
      </c>
      <c r="H1335">
        <f>F1335*VLOOKUP(B1335,產品!$A$2:$H$61,7,FALSE)*(1-銷售總表!G1335)</f>
        <v>232200</v>
      </c>
      <c r="I1335" s="35">
        <f>H1335-F1335*VLOOKUP(銷售總表!B1335,產品!$A$2:$H$61,8,FALSE)</f>
        <v>124200</v>
      </c>
      <c r="J1335" s="20">
        <f t="shared" si="20"/>
        <v>0.53488372093023251</v>
      </c>
    </row>
    <row r="1336" spans="1:10" x14ac:dyDescent="0.3">
      <c r="A1336" s="33">
        <v>1335</v>
      </c>
      <c r="B1336" s="4">
        <v>23</v>
      </c>
      <c r="C1336" s="15">
        <v>118</v>
      </c>
      <c r="D1336" s="16">
        <v>2</v>
      </c>
      <c r="E1336" s="22">
        <v>44099</v>
      </c>
      <c r="F1336" s="17">
        <v>80</v>
      </c>
      <c r="G1336" s="18">
        <v>0.05</v>
      </c>
      <c r="H1336">
        <f>F1336*VLOOKUP(B1336,產品!$A$2:$H$61,7,FALSE)*(1-銷售總表!G1336)</f>
        <v>136800</v>
      </c>
      <c r="I1336" s="35">
        <f>H1336-F1336*VLOOKUP(銷售總表!B1336,產品!$A$2:$H$61,8,FALSE)</f>
        <v>79200</v>
      </c>
      <c r="J1336" s="20">
        <f t="shared" si="20"/>
        <v>0.57894736842105265</v>
      </c>
    </row>
    <row r="1337" spans="1:10" x14ac:dyDescent="0.3">
      <c r="A1337" s="33">
        <v>1336</v>
      </c>
      <c r="B1337" s="4">
        <v>10</v>
      </c>
      <c r="C1337" s="15">
        <v>116</v>
      </c>
      <c r="D1337" s="16">
        <v>5</v>
      </c>
      <c r="E1337" s="22">
        <v>44099</v>
      </c>
      <c r="F1337" s="17">
        <v>60</v>
      </c>
      <c r="G1337" s="18">
        <v>0.11</v>
      </c>
      <c r="H1337">
        <f>F1337*VLOOKUP(B1337,產品!$A$2:$H$61,7,FALSE)*(1-銷售總表!G1337)</f>
        <v>53400</v>
      </c>
      <c r="I1337" s="35">
        <f>H1337-F1337*VLOOKUP(銷售總表!B1337,產品!$A$2:$H$61,8,FALSE)</f>
        <v>29400</v>
      </c>
      <c r="J1337" s="20">
        <f t="shared" si="20"/>
        <v>0.550561797752809</v>
      </c>
    </row>
    <row r="1338" spans="1:10" x14ac:dyDescent="0.3">
      <c r="A1338" s="33">
        <v>1337</v>
      </c>
      <c r="B1338" s="4">
        <v>48</v>
      </c>
      <c r="C1338" s="15">
        <v>11</v>
      </c>
      <c r="D1338" s="16">
        <v>4</v>
      </c>
      <c r="E1338" s="22">
        <v>44099</v>
      </c>
      <c r="F1338" s="19">
        <v>3</v>
      </c>
      <c r="G1338" s="18">
        <v>0.14000000000000001</v>
      </c>
      <c r="H1338">
        <f>F1338*VLOOKUP(B1338,產品!$A$2:$H$61,7,FALSE)*(1-銷售總表!G1338)</f>
        <v>56760</v>
      </c>
      <c r="I1338" s="35">
        <f>H1338-F1338*VLOOKUP(銷售總表!B1338,產品!$A$2:$H$61,8,FALSE)</f>
        <v>13860</v>
      </c>
      <c r="J1338" s="20">
        <f t="shared" si="20"/>
        <v>0.2441860465116279</v>
      </c>
    </row>
    <row r="1339" spans="1:10" x14ac:dyDescent="0.3">
      <c r="A1339" s="33">
        <v>1338</v>
      </c>
      <c r="B1339" s="4">
        <v>9</v>
      </c>
      <c r="C1339" s="15">
        <v>123</v>
      </c>
      <c r="D1339" s="16">
        <v>1</v>
      </c>
      <c r="E1339" s="22">
        <v>44099</v>
      </c>
      <c r="F1339" s="17">
        <v>13</v>
      </c>
      <c r="G1339" s="18">
        <v>0.14000000000000001</v>
      </c>
      <c r="H1339">
        <f>F1339*VLOOKUP(B1339,產品!$A$2:$H$61,7,FALSE)*(1-銷售總表!G1339)</f>
        <v>11180</v>
      </c>
      <c r="I1339" s="35">
        <f>H1339-F1339*VLOOKUP(銷售總表!B1339,產品!$A$2:$H$61,8,FALSE)</f>
        <v>5980</v>
      </c>
      <c r="J1339" s="20">
        <f t="shared" si="20"/>
        <v>0.53488372093023251</v>
      </c>
    </row>
    <row r="1340" spans="1:10" x14ac:dyDescent="0.3">
      <c r="A1340" s="33">
        <v>1339</v>
      </c>
      <c r="B1340" s="4">
        <v>29</v>
      </c>
      <c r="C1340" s="15">
        <v>267</v>
      </c>
      <c r="D1340" s="16">
        <v>8</v>
      </c>
      <c r="E1340" s="22">
        <v>44099</v>
      </c>
      <c r="F1340" s="17">
        <v>3</v>
      </c>
      <c r="G1340" s="18">
        <v>0.18</v>
      </c>
      <c r="H1340">
        <f>F1340*VLOOKUP(B1340,產品!$A$2:$H$61,7,FALSE)*(1-銷售總表!G1340)</f>
        <v>14760.000000000002</v>
      </c>
      <c r="I1340" s="35">
        <f>H1340-F1340*VLOOKUP(銷售總表!B1340,產品!$A$2:$H$61,8,FALSE)</f>
        <v>3960.0000000000018</v>
      </c>
      <c r="J1340" s="20">
        <f t="shared" si="20"/>
        <v>0.26829268292682934</v>
      </c>
    </row>
    <row r="1341" spans="1:10" x14ac:dyDescent="0.3">
      <c r="A1341" s="33">
        <v>1340</v>
      </c>
      <c r="B1341" s="4">
        <v>53</v>
      </c>
      <c r="C1341" s="15">
        <v>2</v>
      </c>
      <c r="D1341" s="16">
        <v>10</v>
      </c>
      <c r="E1341" s="22">
        <v>44099</v>
      </c>
      <c r="F1341" s="17">
        <v>2</v>
      </c>
      <c r="G1341" s="18">
        <v>0.2</v>
      </c>
      <c r="H1341">
        <f>F1341*VLOOKUP(B1341,產品!$A$2:$H$61,7,FALSE)*(1-銷售總表!G1341)</f>
        <v>24000</v>
      </c>
      <c r="I1341" s="35">
        <f>H1341-F1341*VLOOKUP(銷售總表!B1341,產品!$A$2:$H$61,8,FALSE)</f>
        <v>3000</v>
      </c>
      <c r="J1341" s="20">
        <f t="shared" si="20"/>
        <v>0.125</v>
      </c>
    </row>
    <row r="1342" spans="1:10" x14ac:dyDescent="0.3">
      <c r="A1342" s="33">
        <v>1341</v>
      </c>
      <c r="B1342" s="4">
        <v>42</v>
      </c>
      <c r="C1342" s="15">
        <v>284</v>
      </c>
      <c r="D1342" s="16">
        <v>3</v>
      </c>
      <c r="E1342" s="22">
        <v>44099</v>
      </c>
      <c r="F1342" s="17">
        <v>1</v>
      </c>
      <c r="G1342" s="18">
        <v>0.17</v>
      </c>
      <c r="H1342">
        <f>F1342*VLOOKUP(B1342,產品!$A$2:$H$61,7,FALSE)*(1-銷售總表!G1342)</f>
        <v>12450</v>
      </c>
      <c r="I1342" s="35">
        <f>H1342-F1342*VLOOKUP(銷售總表!B1342,產品!$A$2:$H$61,8,FALSE)</f>
        <v>2700</v>
      </c>
      <c r="J1342" s="20">
        <f t="shared" si="20"/>
        <v>0.21686746987951808</v>
      </c>
    </row>
    <row r="1343" spans="1:10" x14ac:dyDescent="0.3">
      <c r="A1343" s="33">
        <v>1342</v>
      </c>
      <c r="B1343" s="4">
        <v>2</v>
      </c>
      <c r="C1343" s="15">
        <v>6</v>
      </c>
      <c r="D1343" s="16">
        <v>1</v>
      </c>
      <c r="E1343" s="22">
        <v>44100</v>
      </c>
      <c r="F1343" s="17">
        <v>225</v>
      </c>
      <c r="G1343" s="18">
        <v>0.09</v>
      </c>
      <c r="H1343">
        <f>F1343*VLOOKUP(B1343,產品!$A$2:$H$61,7,FALSE)*(1-銷售總表!G1343)</f>
        <v>204750</v>
      </c>
      <c r="I1343" s="35">
        <f>H1343-F1343*VLOOKUP(銷售總表!B1343,產品!$A$2:$H$61,8,FALSE)</f>
        <v>114750</v>
      </c>
      <c r="J1343" s="20">
        <f t="shared" si="20"/>
        <v>0.56043956043956045</v>
      </c>
    </row>
    <row r="1344" spans="1:10" x14ac:dyDescent="0.3">
      <c r="A1344" s="33">
        <v>1343</v>
      </c>
      <c r="B1344" s="4">
        <v>40</v>
      </c>
      <c r="C1344" s="15">
        <v>12</v>
      </c>
      <c r="D1344" s="16">
        <v>5</v>
      </c>
      <c r="E1344" s="22">
        <v>44100</v>
      </c>
      <c r="F1344" s="17">
        <v>2</v>
      </c>
      <c r="G1344" s="18">
        <v>0.14000000000000001</v>
      </c>
      <c r="H1344">
        <f>F1344*VLOOKUP(B1344,產品!$A$2:$H$61,7,FALSE)*(1-銷售總表!G1344)</f>
        <v>34400</v>
      </c>
      <c r="I1344" s="35">
        <f>H1344-F1344*VLOOKUP(銷售總表!B1344,產品!$A$2:$H$61,8,FALSE)</f>
        <v>8400</v>
      </c>
      <c r="J1344" s="20">
        <f t="shared" si="20"/>
        <v>0.2441860465116279</v>
      </c>
    </row>
    <row r="1345" spans="1:10" x14ac:dyDescent="0.3">
      <c r="A1345" s="33">
        <v>1344</v>
      </c>
      <c r="B1345" s="4">
        <v>15</v>
      </c>
      <c r="C1345" s="15">
        <v>1</v>
      </c>
      <c r="D1345" s="16">
        <v>8</v>
      </c>
      <c r="E1345" s="22">
        <v>44100</v>
      </c>
      <c r="F1345" s="17">
        <v>20</v>
      </c>
      <c r="G1345" s="18">
        <v>0.08</v>
      </c>
      <c r="H1345">
        <f>F1345*VLOOKUP(B1345,產品!$A$2:$H$61,7,FALSE)*(1-銷售總表!G1345)</f>
        <v>33120</v>
      </c>
      <c r="I1345" s="35">
        <f>H1345-F1345*VLOOKUP(銷售總表!B1345,產品!$A$2:$H$61,8,FALSE)</f>
        <v>18720</v>
      </c>
      <c r="J1345" s="20">
        <f t="shared" si="20"/>
        <v>0.56521739130434778</v>
      </c>
    </row>
    <row r="1346" spans="1:10" x14ac:dyDescent="0.3">
      <c r="A1346" s="33">
        <v>1345</v>
      </c>
      <c r="B1346" s="4">
        <v>50</v>
      </c>
      <c r="C1346" s="15">
        <v>272</v>
      </c>
      <c r="D1346" s="16">
        <v>5</v>
      </c>
      <c r="E1346" s="22">
        <v>44100</v>
      </c>
      <c r="F1346" s="19">
        <v>3</v>
      </c>
      <c r="G1346" s="18">
        <v>0.11</v>
      </c>
      <c r="H1346">
        <f>F1346*VLOOKUP(B1346,產品!$A$2:$H$61,7,FALSE)*(1-銷售總表!G1346)</f>
        <v>48060</v>
      </c>
      <c r="I1346" s="35">
        <f>H1346-F1346*VLOOKUP(銷售總表!B1346,產品!$A$2:$H$61,8,FALSE)</f>
        <v>10260</v>
      </c>
      <c r="J1346" s="20">
        <f t="shared" si="20"/>
        <v>0.21348314606741572</v>
      </c>
    </row>
    <row r="1347" spans="1:10" x14ac:dyDescent="0.3">
      <c r="A1347" s="33">
        <v>1346</v>
      </c>
      <c r="B1347" s="4">
        <v>31</v>
      </c>
      <c r="C1347" s="15">
        <v>275</v>
      </c>
      <c r="D1347" s="16">
        <v>7</v>
      </c>
      <c r="E1347" s="22">
        <v>44100</v>
      </c>
      <c r="F1347" s="19">
        <v>4</v>
      </c>
      <c r="G1347" s="18">
        <v>0.13</v>
      </c>
      <c r="H1347">
        <f>F1347*VLOOKUP(B1347,產品!$A$2:$H$61,7,FALSE)*(1-銷售總表!G1347)</f>
        <v>24360</v>
      </c>
      <c r="I1347" s="35">
        <f>H1347-F1347*VLOOKUP(銷售總表!B1347,產品!$A$2:$H$61,8,FALSE)</f>
        <v>7560</v>
      </c>
      <c r="J1347" s="20">
        <f t="shared" ref="J1347:J1410" si="21">I1347/H1347</f>
        <v>0.31034482758620691</v>
      </c>
    </row>
    <row r="1348" spans="1:10" x14ac:dyDescent="0.3">
      <c r="A1348" s="33">
        <v>1347</v>
      </c>
      <c r="B1348" s="4">
        <v>4</v>
      </c>
      <c r="C1348" s="15">
        <v>4</v>
      </c>
      <c r="D1348" s="16">
        <v>5</v>
      </c>
      <c r="E1348" s="22">
        <v>44100</v>
      </c>
      <c r="F1348" s="17">
        <v>10</v>
      </c>
      <c r="G1348" s="18">
        <v>0.06</v>
      </c>
      <c r="H1348">
        <f>F1348*VLOOKUP(B1348,產品!$A$2:$H$61,7,FALSE)*(1-銷售總表!G1348)</f>
        <v>9400</v>
      </c>
      <c r="I1348" s="35">
        <f>H1348-F1348*VLOOKUP(銷售總表!B1348,產品!$A$2:$H$61,8,FALSE)</f>
        <v>5400</v>
      </c>
      <c r="J1348" s="20">
        <f t="shared" si="21"/>
        <v>0.57446808510638303</v>
      </c>
    </row>
    <row r="1349" spans="1:10" x14ac:dyDescent="0.3">
      <c r="A1349" s="33">
        <v>1348</v>
      </c>
      <c r="B1349" s="4">
        <v>33</v>
      </c>
      <c r="C1349" s="15">
        <v>8</v>
      </c>
      <c r="D1349" s="16">
        <v>5</v>
      </c>
      <c r="E1349" s="22">
        <v>44100</v>
      </c>
      <c r="F1349" s="19">
        <v>3</v>
      </c>
      <c r="G1349" s="18">
        <v>0.2</v>
      </c>
      <c r="H1349">
        <f>F1349*VLOOKUP(B1349,產品!$A$2:$H$61,7,FALSE)*(1-銷售總表!G1349)</f>
        <v>18000</v>
      </c>
      <c r="I1349" s="35">
        <f>H1349-F1349*VLOOKUP(銷售總表!B1349,產品!$A$2:$H$61,8,FALSE)</f>
        <v>4500</v>
      </c>
      <c r="J1349" s="20">
        <f t="shared" si="21"/>
        <v>0.25</v>
      </c>
    </row>
    <row r="1350" spans="1:10" x14ac:dyDescent="0.3">
      <c r="A1350" s="33">
        <v>1349</v>
      </c>
      <c r="B1350" s="4">
        <v>24</v>
      </c>
      <c r="C1350" s="15">
        <v>11</v>
      </c>
      <c r="D1350" s="16">
        <v>6</v>
      </c>
      <c r="E1350" s="22">
        <v>44101</v>
      </c>
      <c r="F1350" s="17">
        <v>90</v>
      </c>
      <c r="G1350" s="18">
        <v>0.18</v>
      </c>
      <c r="H1350">
        <f>F1350*VLOOKUP(B1350,產品!$A$2:$H$61,7,FALSE)*(1-銷售總表!G1350)</f>
        <v>132840</v>
      </c>
      <c r="I1350" s="35">
        <f>H1350-F1350*VLOOKUP(銷售總表!B1350,產品!$A$2:$H$61,8,FALSE)</f>
        <v>68040</v>
      </c>
      <c r="J1350" s="20">
        <f t="shared" si="21"/>
        <v>0.51219512195121952</v>
      </c>
    </row>
    <row r="1351" spans="1:10" x14ac:dyDescent="0.3">
      <c r="A1351" s="33">
        <v>1350</v>
      </c>
      <c r="B1351" s="4">
        <v>9</v>
      </c>
      <c r="C1351" s="15">
        <v>3</v>
      </c>
      <c r="D1351" s="16">
        <v>6</v>
      </c>
      <c r="E1351" s="22">
        <v>44101</v>
      </c>
      <c r="F1351" s="17">
        <v>60</v>
      </c>
      <c r="G1351" s="18">
        <v>0.05</v>
      </c>
      <c r="H1351">
        <f>F1351*VLOOKUP(B1351,產品!$A$2:$H$61,7,FALSE)*(1-銷售總表!G1351)</f>
        <v>57000</v>
      </c>
      <c r="I1351" s="35">
        <f>H1351-F1351*VLOOKUP(銷售總表!B1351,產品!$A$2:$H$61,8,FALSE)</f>
        <v>33000</v>
      </c>
      <c r="J1351" s="20">
        <f t="shared" si="21"/>
        <v>0.57894736842105265</v>
      </c>
    </row>
    <row r="1352" spans="1:10" x14ac:dyDescent="0.3">
      <c r="A1352" s="33">
        <v>1351</v>
      </c>
      <c r="B1352" s="4">
        <v>44</v>
      </c>
      <c r="C1352" s="15">
        <v>282</v>
      </c>
      <c r="D1352" s="16">
        <v>7</v>
      </c>
      <c r="E1352" s="22">
        <v>44101</v>
      </c>
      <c r="F1352" s="17">
        <v>1</v>
      </c>
      <c r="G1352" s="18">
        <v>0.05</v>
      </c>
      <c r="H1352">
        <f>F1352*VLOOKUP(B1352,產品!$A$2:$H$61,7,FALSE)*(1-銷售總表!G1352)</f>
        <v>19000</v>
      </c>
      <c r="I1352" s="35">
        <f>H1352-F1352*VLOOKUP(銷售總表!B1352,產品!$A$2:$H$61,8,FALSE)</f>
        <v>6000</v>
      </c>
      <c r="J1352" s="20">
        <f t="shared" si="21"/>
        <v>0.31578947368421051</v>
      </c>
    </row>
    <row r="1353" spans="1:10" x14ac:dyDescent="0.3">
      <c r="A1353" s="33">
        <v>1352</v>
      </c>
      <c r="B1353" s="4">
        <v>11</v>
      </c>
      <c r="C1353" s="15">
        <v>117</v>
      </c>
      <c r="D1353" s="16">
        <v>1</v>
      </c>
      <c r="E1353" s="22">
        <v>44102</v>
      </c>
      <c r="F1353" s="17">
        <v>250</v>
      </c>
      <c r="G1353" s="18">
        <v>0.14000000000000001</v>
      </c>
      <c r="H1353">
        <f>F1353*VLOOKUP(B1353,產品!$A$2:$H$61,7,FALSE)*(1-銷售總表!G1353)</f>
        <v>215000</v>
      </c>
      <c r="I1353" s="35">
        <f>H1353-F1353*VLOOKUP(銷售總表!B1353,產品!$A$2:$H$61,8,FALSE)</f>
        <v>115000</v>
      </c>
      <c r="J1353" s="20">
        <f t="shared" si="21"/>
        <v>0.53488372093023251</v>
      </c>
    </row>
    <row r="1354" spans="1:10" x14ac:dyDescent="0.3">
      <c r="A1354" s="33">
        <v>1353</v>
      </c>
      <c r="B1354" s="4">
        <v>36</v>
      </c>
      <c r="C1354" s="15">
        <v>114</v>
      </c>
      <c r="D1354" s="16">
        <v>5</v>
      </c>
      <c r="E1354" s="22">
        <v>44102</v>
      </c>
      <c r="F1354" s="19">
        <v>25</v>
      </c>
      <c r="G1354" s="18">
        <v>0.12</v>
      </c>
      <c r="H1354">
        <f>F1354*VLOOKUP(B1354,產品!$A$2:$H$61,7,FALSE)*(1-銷售總表!G1354)</f>
        <v>198000</v>
      </c>
      <c r="I1354" s="35">
        <f>H1354-F1354*VLOOKUP(銷售總表!B1354,產品!$A$2:$H$61,8,FALSE)</f>
        <v>63000</v>
      </c>
      <c r="J1354" s="20">
        <f t="shared" si="21"/>
        <v>0.31818181818181818</v>
      </c>
    </row>
    <row r="1355" spans="1:10" x14ac:dyDescent="0.3">
      <c r="A1355" s="33">
        <v>1354</v>
      </c>
      <c r="B1355" s="4">
        <v>54</v>
      </c>
      <c r="C1355" s="15">
        <v>274</v>
      </c>
      <c r="D1355" s="16">
        <v>10</v>
      </c>
      <c r="E1355" s="22">
        <v>44102</v>
      </c>
      <c r="F1355" s="19">
        <v>15</v>
      </c>
      <c r="G1355" s="18">
        <v>0.1</v>
      </c>
      <c r="H1355">
        <f>F1355*VLOOKUP(B1355,產品!$A$2:$H$61,7,FALSE)*(1-銷售總表!G1355)</f>
        <v>243000</v>
      </c>
      <c r="I1355" s="35">
        <f>H1355-F1355*VLOOKUP(銷售總表!B1355,產品!$A$2:$H$61,8,FALSE)</f>
        <v>54000</v>
      </c>
      <c r="J1355" s="20">
        <f t="shared" si="21"/>
        <v>0.22222222222222221</v>
      </c>
    </row>
    <row r="1356" spans="1:10" x14ac:dyDescent="0.3">
      <c r="A1356" s="33">
        <v>1355</v>
      </c>
      <c r="B1356" s="4">
        <v>1</v>
      </c>
      <c r="C1356" s="15">
        <v>138</v>
      </c>
      <c r="D1356" s="16">
        <v>2</v>
      </c>
      <c r="E1356" s="22">
        <v>44102</v>
      </c>
      <c r="F1356" s="17">
        <v>100</v>
      </c>
      <c r="G1356" s="18">
        <v>0.15</v>
      </c>
      <c r="H1356">
        <f>F1356*VLOOKUP(B1356,產品!$A$2:$H$61,7,FALSE)*(1-銷售總表!G1356)</f>
        <v>85000</v>
      </c>
      <c r="I1356" s="35">
        <f>H1356-F1356*VLOOKUP(銷售總表!B1356,產品!$A$2:$H$61,8,FALSE)</f>
        <v>45000</v>
      </c>
      <c r="J1356" s="20">
        <f t="shared" si="21"/>
        <v>0.52941176470588236</v>
      </c>
    </row>
    <row r="1357" spans="1:10" x14ac:dyDescent="0.3">
      <c r="A1357" s="33">
        <v>1356</v>
      </c>
      <c r="B1357" s="4">
        <v>21</v>
      </c>
      <c r="C1357" s="15">
        <v>139</v>
      </c>
      <c r="D1357" s="16">
        <v>9</v>
      </c>
      <c r="E1357" s="22">
        <v>44102</v>
      </c>
      <c r="F1357" s="17">
        <v>50</v>
      </c>
      <c r="G1357" s="18">
        <v>0.16</v>
      </c>
      <c r="H1357">
        <f>F1357*VLOOKUP(B1357,產品!$A$2:$H$61,7,FALSE)*(1-銷售總表!G1357)</f>
        <v>75600</v>
      </c>
      <c r="I1357" s="35">
        <f>H1357-F1357*VLOOKUP(銷售總表!B1357,產品!$A$2:$H$61,8,FALSE)</f>
        <v>39600</v>
      </c>
      <c r="J1357" s="20">
        <f t="shared" si="21"/>
        <v>0.52380952380952384</v>
      </c>
    </row>
    <row r="1358" spans="1:10" x14ac:dyDescent="0.3">
      <c r="A1358" s="33">
        <v>1357</v>
      </c>
      <c r="B1358" s="4">
        <v>48</v>
      </c>
      <c r="C1358" s="15">
        <v>125</v>
      </c>
      <c r="D1358" s="16">
        <v>8</v>
      </c>
      <c r="E1358" s="22">
        <v>44102</v>
      </c>
      <c r="F1358" s="19">
        <v>2</v>
      </c>
      <c r="G1358" s="18">
        <v>0.11</v>
      </c>
      <c r="H1358">
        <f>F1358*VLOOKUP(B1358,產品!$A$2:$H$61,7,FALSE)*(1-銷售總表!G1358)</f>
        <v>39160</v>
      </c>
      <c r="I1358" s="35">
        <f>H1358-F1358*VLOOKUP(銷售總表!B1358,產品!$A$2:$H$61,8,FALSE)</f>
        <v>10560</v>
      </c>
      <c r="J1358" s="20">
        <f t="shared" si="21"/>
        <v>0.2696629213483146</v>
      </c>
    </row>
    <row r="1359" spans="1:10" x14ac:dyDescent="0.3">
      <c r="A1359" s="33">
        <v>1358</v>
      </c>
      <c r="B1359" s="4">
        <v>46</v>
      </c>
      <c r="C1359" s="15">
        <v>293</v>
      </c>
      <c r="D1359" s="16">
        <v>1</v>
      </c>
      <c r="E1359" s="22">
        <v>44102</v>
      </c>
      <c r="F1359" s="17">
        <v>2</v>
      </c>
      <c r="G1359" s="18">
        <v>0.09</v>
      </c>
      <c r="H1359">
        <f>F1359*VLOOKUP(B1359,產品!$A$2:$H$61,7,FALSE)*(1-銷售總表!G1359)</f>
        <v>30940</v>
      </c>
      <c r="I1359" s="35">
        <f>H1359-F1359*VLOOKUP(銷售總表!B1359,產品!$A$2:$H$61,8,FALSE)</f>
        <v>8840</v>
      </c>
      <c r="J1359" s="20">
        <f t="shared" si="21"/>
        <v>0.2857142857142857</v>
      </c>
    </row>
    <row r="1360" spans="1:10" x14ac:dyDescent="0.3">
      <c r="A1360" s="33">
        <v>1359</v>
      </c>
      <c r="B1360" s="4">
        <v>56</v>
      </c>
      <c r="C1360" s="15">
        <v>12</v>
      </c>
      <c r="D1360" s="16">
        <v>8</v>
      </c>
      <c r="E1360" s="22">
        <v>44102</v>
      </c>
      <c r="F1360" s="19">
        <v>2</v>
      </c>
      <c r="G1360" s="18">
        <v>0.16</v>
      </c>
      <c r="H1360">
        <f>F1360*VLOOKUP(B1360,產品!$A$2:$H$61,7,FALSE)*(1-銷售總表!G1360)</f>
        <v>36960</v>
      </c>
      <c r="I1360" s="35">
        <f>H1360-F1360*VLOOKUP(銷售總表!B1360,產品!$A$2:$H$61,8,FALSE)</f>
        <v>6160.0000000000036</v>
      </c>
      <c r="J1360" s="20">
        <f t="shared" si="21"/>
        <v>0.16666666666666677</v>
      </c>
    </row>
    <row r="1361" spans="1:10" x14ac:dyDescent="0.3">
      <c r="A1361" s="33">
        <v>1360</v>
      </c>
      <c r="B1361" s="4">
        <v>19</v>
      </c>
      <c r="C1361" s="15">
        <v>124</v>
      </c>
      <c r="D1361" s="16">
        <v>4</v>
      </c>
      <c r="E1361" s="22">
        <v>44103</v>
      </c>
      <c r="F1361" s="19">
        <v>80</v>
      </c>
      <c r="G1361" s="18">
        <v>0.19</v>
      </c>
      <c r="H1361">
        <f>F1361*VLOOKUP(B1361,產品!$A$2:$H$61,7,FALSE)*(1-銷售總表!G1361)</f>
        <v>116640.00000000001</v>
      </c>
      <c r="I1361" s="35">
        <f>H1361-F1361*VLOOKUP(銷售總表!B1361,產品!$A$2:$H$61,8,FALSE)</f>
        <v>59040.000000000015</v>
      </c>
      <c r="J1361" s="20">
        <f t="shared" si="21"/>
        <v>0.50617283950617287</v>
      </c>
    </row>
    <row r="1362" spans="1:10" x14ac:dyDescent="0.3">
      <c r="A1362" s="33">
        <v>1361</v>
      </c>
      <c r="B1362" s="4">
        <v>40</v>
      </c>
      <c r="C1362" s="15">
        <v>286</v>
      </c>
      <c r="D1362" s="16">
        <v>3</v>
      </c>
      <c r="E1362" s="22">
        <v>44103</v>
      </c>
      <c r="F1362" s="17">
        <v>5</v>
      </c>
      <c r="G1362" s="18">
        <v>0.08</v>
      </c>
      <c r="H1362">
        <f>F1362*VLOOKUP(B1362,產品!$A$2:$H$61,7,FALSE)*(1-銷售總表!G1362)</f>
        <v>92000</v>
      </c>
      <c r="I1362" s="35">
        <f>H1362-F1362*VLOOKUP(銷售總表!B1362,產品!$A$2:$H$61,8,FALSE)</f>
        <v>27000</v>
      </c>
      <c r="J1362" s="20">
        <f t="shared" si="21"/>
        <v>0.29347826086956524</v>
      </c>
    </row>
    <row r="1363" spans="1:10" x14ac:dyDescent="0.3">
      <c r="A1363" s="33">
        <v>1362</v>
      </c>
      <c r="B1363" s="4">
        <v>24</v>
      </c>
      <c r="C1363" s="15">
        <v>119</v>
      </c>
      <c r="D1363" s="16">
        <v>10</v>
      </c>
      <c r="E1363" s="22">
        <v>44103</v>
      </c>
      <c r="F1363" s="19">
        <v>20</v>
      </c>
      <c r="G1363" s="18">
        <v>0.18</v>
      </c>
      <c r="H1363">
        <f>F1363*VLOOKUP(B1363,產品!$A$2:$H$61,7,FALSE)*(1-銷售總表!G1363)</f>
        <v>29520.000000000004</v>
      </c>
      <c r="I1363" s="35">
        <f>H1363-F1363*VLOOKUP(銷售總表!B1363,產品!$A$2:$H$61,8,FALSE)</f>
        <v>15120.000000000004</v>
      </c>
      <c r="J1363" s="20">
        <f t="shared" si="21"/>
        <v>0.51219512195121952</v>
      </c>
    </row>
    <row r="1364" spans="1:10" x14ac:dyDescent="0.3">
      <c r="A1364" s="33">
        <v>1363</v>
      </c>
      <c r="B1364" s="4">
        <v>11</v>
      </c>
      <c r="C1364" s="15">
        <v>119</v>
      </c>
      <c r="D1364" s="16">
        <v>4</v>
      </c>
      <c r="E1364" s="22">
        <v>44103</v>
      </c>
      <c r="F1364" s="17">
        <v>30</v>
      </c>
      <c r="G1364" s="18">
        <v>0.13</v>
      </c>
      <c r="H1364">
        <f>F1364*VLOOKUP(B1364,產品!$A$2:$H$61,7,FALSE)*(1-銷售總表!G1364)</f>
        <v>26100</v>
      </c>
      <c r="I1364" s="35">
        <f>H1364-F1364*VLOOKUP(銷售總表!B1364,產品!$A$2:$H$61,8,FALSE)</f>
        <v>14100</v>
      </c>
      <c r="J1364" s="20">
        <f t="shared" si="21"/>
        <v>0.54022988505747127</v>
      </c>
    </row>
    <row r="1365" spans="1:10" x14ac:dyDescent="0.3">
      <c r="A1365" s="33">
        <v>1364</v>
      </c>
      <c r="B1365" s="4">
        <v>31</v>
      </c>
      <c r="C1365" s="15">
        <v>271</v>
      </c>
      <c r="D1365" s="16">
        <v>5</v>
      </c>
      <c r="E1365" s="22">
        <v>44103</v>
      </c>
      <c r="F1365" s="17">
        <v>5</v>
      </c>
      <c r="G1365" s="18">
        <v>0.1</v>
      </c>
      <c r="H1365">
        <f>F1365*VLOOKUP(B1365,產品!$A$2:$H$61,7,FALSE)*(1-銷售總表!G1365)</f>
        <v>31500</v>
      </c>
      <c r="I1365" s="35">
        <f>H1365-F1365*VLOOKUP(銷售總表!B1365,產品!$A$2:$H$61,8,FALSE)</f>
        <v>10500</v>
      </c>
      <c r="J1365" s="20">
        <f t="shared" si="21"/>
        <v>0.33333333333333331</v>
      </c>
    </row>
    <row r="1366" spans="1:10" x14ac:dyDescent="0.3">
      <c r="A1366" s="33">
        <v>1365</v>
      </c>
      <c r="B1366" s="4">
        <v>41</v>
      </c>
      <c r="C1366" s="15">
        <v>284</v>
      </c>
      <c r="D1366" s="16">
        <v>5</v>
      </c>
      <c r="E1366" s="22">
        <v>44103</v>
      </c>
      <c r="F1366" s="17">
        <v>3</v>
      </c>
      <c r="G1366" s="18">
        <v>0.19</v>
      </c>
      <c r="H1366">
        <f>F1366*VLOOKUP(B1366,產品!$A$2:$H$61,7,FALSE)*(1-銷售總表!G1366)</f>
        <v>29160.000000000004</v>
      </c>
      <c r="I1366" s="35">
        <f>H1366-F1366*VLOOKUP(銷售總表!B1366,產品!$A$2:$H$61,8,FALSE)</f>
        <v>5760.0000000000036</v>
      </c>
      <c r="J1366" s="20">
        <f t="shared" si="21"/>
        <v>0.19753086419753096</v>
      </c>
    </row>
    <row r="1367" spans="1:10" x14ac:dyDescent="0.3">
      <c r="A1367" s="33">
        <v>1366</v>
      </c>
      <c r="B1367" s="4">
        <v>37</v>
      </c>
      <c r="C1367" s="15">
        <v>11</v>
      </c>
      <c r="D1367" s="16">
        <v>4</v>
      </c>
      <c r="E1367" s="22">
        <v>44103</v>
      </c>
      <c r="F1367" s="19">
        <v>3</v>
      </c>
      <c r="G1367" s="18">
        <v>0.19</v>
      </c>
      <c r="H1367">
        <f>F1367*VLOOKUP(B1367,產品!$A$2:$H$61,7,FALSE)*(1-銷售總表!G1367)</f>
        <v>29160.000000000004</v>
      </c>
      <c r="I1367" s="35">
        <f>H1367-F1367*VLOOKUP(銷售總表!B1367,產品!$A$2:$H$61,8,FALSE)</f>
        <v>5760.0000000000036</v>
      </c>
      <c r="J1367" s="20">
        <f t="shared" si="21"/>
        <v>0.19753086419753096</v>
      </c>
    </row>
    <row r="1368" spans="1:10" x14ac:dyDescent="0.3">
      <c r="A1368" s="33">
        <v>1367</v>
      </c>
      <c r="B1368" s="4">
        <v>49</v>
      </c>
      <c r="C1368" s="15">
        <v>139</v>
      </c>
      <c r="D1368" s="16">
        <v>1</v>
      </c>
      <c r="E1368" s="22">
        <v>44103</v>
      </c>
      <c r="F1368" s="17">
        <v>1</v>
      </c>
      <c r="G1368" s="18">
        <v>0.08</v>
      </c>
      <c r="H1368">
        <f>F1368*VLOOKUP(B1368,產品!$A$2:$H$61,7,FALSE)*(1-銷售總表!G1368)</f>
        <v>13800</v>
      </c>
      <c r="I1368" s="35">
        <f>H1368-F1368*VLOOKUP(銷售總表!B1368,產品!$A$2:$H$61,8,FALSE)</f>
        <v>3300</v>
      </c>
      <c r="J1368" s="20">
        <f t="shared" si="21"/>
        <v>0.2391304347826087</v>
      </c>
    </row>
    <row r="1369" spans="1:10" x14ac:dyDescent="0.3">
      <c r="A1369" s="33">
        <v>1368</v>
      </c>
      <c r="B1369" s="4">
        <v>24</v>
      </c>
      <c r="C1369" s="15">
        <v>12</v>
      </c>
      <c r="D1369" s="16">
        <v>6</v>
      </c>
      <c r="E1369" s="22">
        <v>44104</v>
      </c>
      <c r="F1369" s="17">
        <v>125</v>
      </c>
      <c r="G1369" s="18">
        <v>0.13</v>
      </c>
      <c r="H1369">
        <f>F1369*VLOOKUP(B1369,產品!$A$2:$H$61,7,FALSE)*(1-銷售總表!G1369)</f>
        <v>195750</v>
      </c>
      <c r="I1369" s="35">
        <f>H1369-F1369*VLOOKUP(銷售總表!B1369,產品!$A$2:$H$61,8,FALSE)</f>
        <v>105750</v>
      </c>
      <c r="J1369" s="20">
        <f t="shared" si="21"/>
        <v>0.54022988505747127</v>
      </c>
    </row>
    <row r="1370" spans="1:10" x14ac:dyDescent="0.3">
      <c r="A1370" s="33">
        <v>1369</v>
      </c>
      <c r="B1370" s="4">
        <v>17</v>
      </c>
      <c r="C1370" s="15">
        <v>10</v>
      </c>
      <c r="D1370" s="16">
        <v>7</v>
      </c>
      <c r="E1370" s="22">
        <v>44104</v>
      </c>
      <c r="F1370" s="19">
        <v>105</v>
      </c>
      <c r="G1370" s="18">
        <v>0.14000000000000001</v>
      </c>
      <c r="H1370">
        <f>F1370*VLOOKUP(B1370,產品!$A$2:$H$61,7,FALSE)*(1-銷售總表!G1370)</f>
        <v>162540</v>
      </c>
      <c r="I1370" s="35">
        <f>H1370-F1370*VLOOKUP(銷售總表!B1370,產品!$A$2:$H$61,8,FALSE)</f>
        <v>86940</v>
      </c>
      <c r="J1370" s="20">
        <f t="shared" si="21"/>
        <v>0.53488372093023251</v>
      </c>
    </row>
    <row r="1371" spans="1:10" x14ac:dyDescent="0.3">
      <c r="A1371" s="33">
        <v>1370</v>
      </c>
      <c r="B1371" s="4">
        <v>13</v>
      </c>
      <c r="C1371" s="15">
        <v>4</v>
      </c>
      <c r="D1371" s="16">
        <v>9</v>
      </c>
      <c r="E1371" s="22">
        <v>44104</v>
      </c>
      <c r="F1371" s="17">
        <v>100</v>
      </c>
      <c r="G1371" s="18">
        <v>0.17</v>
      </c>
      <c r="H1371">
        <f>F1371*VLOOKUP(B1371,產品!$A$2:$H$61,7,FALSE)*(1-銷售總表!G1371)</f>
        <v>149400</v>
      </c>
      <c r="I1371" s="35">
        <f>H1371-F1371*VLOOKUP(銷售總表!B1371,產品!$A$2:$H$61,8,FALSE)</f>
        <v>77400</v>
      </c>
      <c r="J1371" s="20">
        <f t="shared" si="21"/>
        <v>0.51807228915662651</v>
      </c>
    </row>
    <row r="1372" spans="1:10" x14ac:dyDescent="0.3">
      <c r="A1372" s="33">
        <v>1371</v>
      </c>
      <c r="B1372" s="4">
        <v>7</v>
      </c>
      <c r="C1372" s="15">
        <v>5</v>
      </c>
      <c r="D1372" s="16">
        <v>4</v>
      </c>
      <c r="E1372" s="22">
        <v>44104</v>
      </c>
      <c r="F1372" s="19">
        <v>90</v>
      </c>
      <c r="G1372" s="18">
        <v>0.09</v>
      </c>
      <c r="H1372">
        <f>F1372*VLOOKUP(B1372,產品!$A$2:$H$61,7,FALSE)*(1-銷售總表!G1372)</f>
        <v>81900</v>
      </c>
      <c r="I1372" s="35">
        <f>H1372-F1372*VLOOKUP(銷售總表!B1372,產品!$A$2:$H$61,8,FALSE)</f>
        <v>45900</v>
      </c>
      <c r="J1372" s="20">
        <f t="shared" si="21"/>
        <v>0.56043956043956045</v>
      </c>
    </row>
    <row r="1373" spans="1:10" x14ac:dyDescent="0.3">
      <c r="A1373" s="33">
        <v>1372</v>
      </c>
      <c r="B1373" s="4">
        <v>45</v>
      </c>
      <c r="C1373" s="15">
        <v>290</v>
      </c>
      <c r="D1373" s="16">
        <v>6</v>
      </c>
      <c r="E1373" s="22">
        <v>44104</v>
      </c>
      <c r="F1373" s="19">
        <v>15</v>
      </c>
      <c r="G1373" s="18">
        <v>0.2</v>
      </c>
      <c r="H1373">
        <f>F1373*VLOOKUP(B1373,產品!$A$2:$H$61,7,FALSE)*(1-銷售總表!G1373)</f>
        <v>168000</v>
      </c>
      <c r="I1373" s="35">
        <f>H1373-F1373*VLOOKUP(銷售總表!B1373,產品!$A$2:$H$61,8,FALSE)</f>
        <v>31500</v>
      </c>
      <c r="J1373" s="20">
        <f t="shared" si="21"/>
        <v>0.1875</v>
      </c>
    </row>
    <row r="1374" spans="1:10" x14ac:dyDescent="0.3">
      <c r="A1374" s="33">
        <v>1373</v>
      </c>
      <c r="B1374" s="4">
        <v>32</v>
      </c>
      <c r="C1374" s="15">
        <v>10</v>
      </c>
      <c r="D1374" s="16">
        <v>2</v>
      </c>
      <c r="E1374" s="22">
        <v>44104</v>
      </c>
      <c r="F1374" s="19">
        <v>20</v>
      </c>
      <c r="G1374" s="18">
        <v>0.19</v>
      </c>
      <c r="H1374">
        <f>F1374*VLOOKUP(B1374,產品!$A$2:$H$61,7,FALSE)*(1-銷售總表!G1374)</f>
        <v>121500.00000000001</v>
      </c>
      <c r="I1374" s="35">
        <f>H1374-F1374*VLOOKUP(銷售總表!B1374,產品!$A$2:$H$61,8,FALSE)</f>
        <v>31500.000000000015</v>
      </c>
      <c r="J1374" s="20">
        <f t="shared" si="21"/>
        <v>0.25925925925925936</v>
      </c>
    </row>
    <row r="1375" spans="1:10" x14ac:dyDescent="0.3">
      <c r="A1375" s="33">
        <v>1374</v>
      </c>
      <c r="B1375" s="4">
        <v>24</v>
      </c>
      <c r="C1375" s="15">
        <v>5</v>
      </c>
      <c r="D1375" s="16">
        <v>10</v>
      </c>
      <c r="E1375" s="22">
        <v>44105</v>
      </c>
      <c r="F1375" s="17">
        <v>60</v>
      </c>
      <c r="G1375" s="18">
        <v>0.09</v>
      </c>
      <c r="H1375">
        <f>F1375*VLOOKUP(B1375,產品!$A$2:$H$61,7,FALSE)*(1-銷售總表!G1375)</f>
        <v>98280</v>
      </c>
      <c r="I1375" s="35">
        <f>H1375-F1375*VLOOKUP(銷售總表!B1375,產品!$A$2:$H$61,8,FALSE)</f>
        <v>55080</v>
      </c>
      <c r="J1375" s="20">
        <f t="shared" si="21"/>
        <v>0.56043956043956045</v>
      </c>
    </row>
    <row r="1376" spans="1:10" x14ac:dyDescent="0.3">
      <c r="A1376" s="33">
        <v>1375</v>
      </c>
      <c r="B1376" s="4">
        <v>54</v>
      </c>
      <c r="C1376" s="15">
        <v>125</v>
      </c>
      <c r="D1376" s="16">
        <v>10</v>
      </c>
      <c r="E1376" s="22">
        <v>44105</v>
      </c>
      <c r="F1376" s="17">
        <v>12</v>
      </c>
      <c r="G1376" s="18">
        <v>0.17</v>
      </c>
      <c r="H1376">
        <f>F1376*VLOOKUP(B1376,產品!$A$2:$H$61,7,FALSE)*(1-銷售總表!G1376)</f>
        <v>179280</v>
      </c>
      <c r="I1376" s="35">
        <f>H1376-F1376*VLOOKUP(銷售總表!B1376,產品!$A$2:$H$61,8,FALSE)</f>
        <v>28080</v>
      </c>
      <c r="J1376" s="20">
        <f t="shared" si="21"/>
        <v>0.15662650602409639</v>
      </c>
    </row>
    <row r="1377" spans="1:10" x14ac:dyDescent="0.3">
      <c r="A1377" s="33">
        <v>1376</v>
      </c>
      <c r="B1377" s="4">
        <v>37</v>
      </c>
      <c r="C1377" s="15">
        <v>10</v>
      </c>
      <c r="D1377" s="16">
        <v>9</v>
      </c>
      <c r="E1377" s="22">
        <v>44105</v>
      </c>
      <c r="F1377" s="17">
        <v>3</v>
      </c>
      <c r="G1377" s="18">
        <v>0.08</v>
      </c>
      <c r="H1377">
        <f>F1377*VLOOKUP(B1377,產品!$A$2:$H$61,7,FALSE)*(1-銷售總表!G1377)</f>
        <v>33120</v>
      </c>
      <c r="I1377" s="35">
        <f>H1377-F1377*VLOOKUP(銷售總表!B1377,產品!$A$2:$H$61,8,FALSE)</f>
        <v>9720</v>
      </c>
      <c r="J1377" s="20">
        <f t="shared" si="21"/>
        <v>0.29347826086956524</v>
      </c>
    </row>
    <row r="1378" spans="1:10" x14ac:dyDescent="0.3">
      <c r="A1378" s="33">
        <v>1377</v>
      </c>
      <c r="B1378" s="4">
        <v>37</v>
      </c>
      <c r="C1378" s="15">
        <v>282</v>
      </c>
      <c r="D1378" s="16">
        <v>10</v>
      </c>
      <c r="E1378" s="22">
        <v>44105</v>
      </c>
      <c r="F1378" s="17">
        <v>3</v>
      </c>
      <c r="G1378" s="18">
        <v>0.1</v>
      </c>
      <c r="H1378">
        <f>F1378*VLOOKUP(B1378,產品!$A$2:$H$61,7,FALSE)*(1-銷售總表!G1378)</f>
        <v>32400</v>
      </c>
      <c r="I1378" s="35">
        <f>H1378-F1378*VLOOKUP(銷售總表!B1378,產品!$A$2:$H$61,8,FALSE)</f>
        <v>9000</v>
      </c>
      <c r="J1378" s="20">
        <f t="shared" si="21"/>
        <v>0.27777777777777779</v>
      </c>
    </row>
    <row r="1379" spans="1:10" x14ac:dyDescent="0.3">
      <c r="A1379" s="33">
        <v>1378</v>
      </c>
      <c r="B1379" s="4">
        <v>19</v>
      </c>
      <c r="C1379" s="15">
        <v>112</v>
      </c>
      <c r="D1379" s="16">
        <v>10</v>
      </c>
      <c r="E1379" s="22">
        <v>44106</v>
      </c>
      <c r="F1379" s="19">
        <v>125</v>
      </c>
      <c r="G1379" s="18">
        <v>0.14000000000000001</v>
      </c>
      <c r="H1379">
        <f>F1379*VLOOKUP(B1379,產品!$A$2:$H$61,7,FALSE)*(1-銷售總表!G1379)</f>
        <v>193500</v>
      </c>
      <c r="I1379" s="35">
        <f>H1379-F1379*VLOOKUP(銷售總表!B1379,產品!$A$2:$H$61,8,FALSE)</f>
        <v>103500</v>
      </c>
      <c r="J1379" s="20">
        <f t="shared" si="21"/>
        <v>0.53488372093023251</v>
      </c>
    </row>
    <row r="1380" spans="1:10" x14ac:dyDescent="0.3">
      <c r="A1380" s="33">
        <v>1379</v>
      </c>
      <c r="B1380" s="4">
        <v>21</v>
      </c>
      <c r="C1380" s="15">
        <v>262</v>
      </c>
      <c r="D1380" s="16">
        <v>4</v>
      </c>
      <c r="E1380" s="22">
        <v>44106</v>
      </c>
      <c r="F1380" s="17">
        <v>26</v>
      </c>
      <c r="G1380" s="18">
        <v>0.12</v>
      </c>
      <c r="H1380">
        <f>F1380*VLOOKUP(B1380,產品!$A$2:$H$61,7,FALSE)*(1-銷售總表!G1380)</f>
        <v>41184</v>
      </c>
      <c r="I1380" s="35">
        <f>H1380-F1380*VLOOKUP(銷售總表!B1380,產品!$A$2:$H$61,8,FALSE)</f>
        <v>22464</v>
      </c>
      <c r="J1380" s="20">
        <f t="shared" si="21"/>
        <v>0.54545454545454541</v>
      </c>
    </row>
    <row r="1381" spans="1:10" x14ac:dyDescent="0.3">
      <c r="A1381" s="33">
        <v>1380</v>
      </c>
      <c r="B1381" s="4">
        <v>24</v>
      </c>
      <c r="C1381" s="15">
        <v>3</v>
      </c>
      <c r="D1381" s="16">
        <v>5</v>
      </c>
      <c r="E1381" s="22">
        <v>44107</v>
      </c>
      <c r="F1381" s="19">
        <v>80</v>
      </c>
      <c r="G1381" s="18">
        <v>0.17</v>
      </c>
      <c r="H1381">
        <f>F1381*VLOOKUP(B1381,產品!$A$2:$H$61,7,FALSE)*(1-銷售總表!G1381)</f>
        <v>119520</v>
      </c>
      <c r="I1381" s="35">
        <f>H1381-F1381*VLOOKUP(銷售總表!B1381,產品!$A$2:$H$61,8,FALSE)</f>
        <v>61920</v>
      </c>
      <c r="J1381" s="20">
        <f t="shared" si="21"/>
        <v>0.51807228915662651</v>
      </c>
    </row>
    <row r="1382" spans="1:10" x14ac:dyDescent="0.3">
      <c r="A1382" s="33">
        <v>1381</v>
      </c>
      <c r="B1382" s="4">
        <v>47</v>
      </c>
      <c r="C1382" s="15">
        <v>281</v>
      </c>
      <c r="D1382" s="16">
        <v>6</v>
      </c>
      <c r="E1382" s="22">
        <v>44107</v>
      </c>
      <c r="F1382" s="17">
        <v>15</v>
      </c>
      <c r="G1382" s="18">
        <v>0.17</v>
      </c>
      <c r="H1382">
        <f>F1382*VLOOKUP(B1382,產品!$A$2:$H$61,7,FALSE)*(1-銷售總表!G1382)</f>
        <v>249000</v>
      </c>
      <c r="I1382" s="35">
        <f>H1382-F1382*VLOOKUP(銷售總表!B1382,產品!$A$2:$H$61,8,FALSE)</f>
        <v>54000</v>
      </c>
      <c r="J1382" s="20">
        <f t="shared" si="21"/>
        <v>0.21686746987951808</v>
      </c>
    </row>
    <row r="1383" spans="1:10" x14ac:dyDescent="0.3">
      <c r="A1383" s="33">
        <v>1382</v>
      </c>
      <c r="B1383" s="4">
        <v>37</v>
      </c>
      <c r="C1383" s="15">
        <v>10</v>
      </c>
      <c r="D1383" s="16">
        <v>2</v>
      </c>
      <c r="E1383" s="22">
        <v>44107</v>
      </c>
      <c r="F1383" s="19">
        <v>14</v>
      </c>
      <c r="G1383" s="18">
        <v>0.16</v>
      </c>
      <c r="H1383">
        <f>F1383*VLOOKUP(B1383,產品!$A$2:$H$61,7,FALSE)*(1-銷售總表!G1383)</f>
        <v>141120</v>
      </c>
      <c r="I1383" s="35">
        <f>H1383-F1383*VLOOKUP(銷售總表!B1383,產品!$A$2:$H$61,8,FALSE)</f>
        <v>31920</v>
      </c>
      <c r="J1383" s="20">
        <f t="shared" si="21"/>
        <v>0.22619047619047619</v>
      </c>
    </row>
    <row r="1384" spans="1:10" x14ac:dyDescent="0.3">
      <c r="A1384" s="33">
        <v>1383</v>
      </c>
      <c r="B1384" s="4">
        <v>58</v>
      </c>
      <c r="C1384" s="15">
        <v>118</v>
      </c>
      <c r="D1384" s="16">
        <v>5</v>
      </c>
      <c r="E1384" s="22">
        <v>44107</v>
      </c>
      <c r="F1384" s="17">
        <v>11</v>
      </c>
      <c r="G1384" s="18">
        <v>0.17</v>
      </c>
      <c r="H1384">
        <f>F1384*VLOOKUP(B1384,產品!$A$2:$H$61,7,FALSE)*(1-銷售總表!G1384)</f>
        <v>191730</v>
      </c>
      <c r="I1384" s="35">
        <f>H1384-F1384*VLOOKUP(銷售總表!B1384,產品!$A$2:$H$61,8,FALSE)</f>
        <v>30030.000000000029</v>
      </c>
      <c r="J1384" s="20">
        <f t="shared" si="21"/>
        <v>0.15662650602409653</v>
      </c>
    </row>
    <row r="1385" spans="1:10" x14ac:dyDescent="0.3">
      <c r="A1385" s="33">
        <v>1384</v>
      </c>
      <c r="B1385" s="4">
        <v>52</v>
      </c>
      <c r="C1385" s="15">
        <v>282</v>
      </c>
      <c r="D1385" s="16">
        <v>6</v>
      </c>
      <c r="E1385" s="22">
        <v>44107</v>
      </c>
      <c r="F1385" s="19">
        <v>6</v>
      </c>
      <c r="G1385" s="18">
        <v>0.12</v>
      </c>
      <c r="H1385">
        <f>F1385*VLOOKUP(B1385,產品!$A$2:$H$61,7,FALSE)*(1-銷售總表!G1385)</f>
        <v>116160</v>
      </c>
      <c r="I1385" s="35">
        <f>H1385-F1385*VLOOKUP(銷售總表!B1385,產品!$A$2:$H$61,8,FALSE)</f>
        <v>23760.000000000015</v>
      </c>
      <c r="J1385" s="20">
        <f t="shared" si="21"/>
        <v>0.20454545454545467</v>
      </c>
    </row>
    <row r="1386" spans="1:10" x14ac:dyDescent="0.3">
      <c r="A1386" s="33">
        <v>1385</v>
      </c>
      <c r="B1386" s="4">
        <v>1</v>
      </c>
      <c r="C1386" s="15">
        <v>268</v>
      </c>
      <c r="D1386" s="16">
        <v>5</v>
      </c>
      <c r="E1386" s="22">
        <v>44107</v>
      </c>
      <c r="F1386" s="17">
        <v>13</v>
      </c>
      <c r="G1386" s="18">
        <v>0.08</v>
      </c>
      <c r="H1386">
        <f>F1386*VLOOKUP(B1386,產品!$A$2:$H$61,7,FALSE)*(1-銷售總表!G1386)</f>
        <v>11960</v>
      </c>
      <c r="I1386" s="35">
        <f>H1386-F1386*VLOOKUP(銷售總表!B1386,產品!$A$2:$H$61,8,FALSE)</f>
        <v>6760</v>
      </c>
      <c r="J1386" s="20">
        <f t="shared" si="21"/>
        <v>0.56521739130434778</v>
      </c>
    </row>
    <row r="1387" spans="1:10" x14ac:dyDescent="0.3">
      <c r="A1387" s="33">
        <v>1386</v>
      </c>
      <c r="B1387" s="4">
        <v>33</v>
      </c>
      <c r="C1387" s="15">
        <v>260</v>
      </c>
      <c r="D1387" s="16">
        <v>6</v>
      </c>
      <c r="E1387" s="22">
        <v>44107</v>
      </c>
      <c r="F1387" s="17">
        <v>3</v>
      </c>
      <c r="G1387" s="18">
        <v>0.12</v>
      </c>
      <c r="H1387">
        <f>F1387*VLOOKUP(B1387,產品!$A$2:$H$61,7,FALSE)*(1-銷售總表!G1387)</f>
        <v>19800</v>
      </c>
      <c r="I1387" s="35">
        <f>H1387-F1387*VLOOKUP(銷售總表!B1387,產品!$A$2:$H$61,8,FALSE)</f>
        <v>6300</v>
      </c>
      <c r="J1387" s="20">
        <f t="shared" si="21"/>
        <v>0.31818181818181818</v>
      </c>
    </row>
    <row r="1388" spans="1:10" x14ac:dyDescent="0.3">
      <c r="A1388" s="33">
        <v>1387</v>
      </c>
      <c r="B1388" s="4">
        <v>9</v>
      </c>
      <c r="C1388" s="15">
        <v>258</v>
      </c>
      <c r="D1388" s="16">
        <v>4</v>
      </c>
      <c r="E1388" s="22">
        <v>44107</v>
      </c>
      <c r="F1388" s="19">
        <v>13</v>
      </c>
      <c r="G1388" s="18">
        <v>0.14000000000000001</v>
      </c>
      <c r="H1388">
        <f>F1388*VLOOKUP(B1388,產品!$A$2:$H$61,7,FALSE)*(1-銷售總表!G1388)</f>
        <v>11180</v>
      </c>
      <c r="I1388" s="35">
        <f>H1388-F1388*VLOOKUP(銷售總表!B1388,產品!$A$2:$H$61,8,FALSE)</f>
        <v>5980</v>
      </c>
      <c r="J1388" s="20">
        <f t="shared" si="21"/>
        <v>0.53488372093023251</v>
      </c>
    </row>
    <row r="1389" spans="1:10" x14ac:dyDescent="0.3">
      <c r="A1389" s="33">
        <v>1388</v>
      </c>
      <c r="B1389" s="4">
        <v>56</v>
      </c>
      <c r="C1389" s="15">
        <v>125</v>
      </c>
      <c r="D1389" s="16">
        <v>9</v>
      </c>
      <c r="E1389" s="22">
        <v>44108</v>
      </c>
      <c r="F1389" s="17">
        <v>10</v>
      </c>
      <c r="G1389" s="18">
        <v>0.11</v>
      </c>
      <c r="H1389">
        <f>F1389*VLOOKUP(B1389,產品!$A$2:$H$61,7,FALSE)*(1-銷售總表!G1389)</f>
        <v>195800</v>
      </c>
      <c r="I1389" s="35">
        <f>H1389-F1389*VLOOKUP(銷售總表!B1389,產品!$A$2:$H$61,8,FALSE)</f>
        <v>41800.000000000029</v>
      </c>
      <c r="J1389" s="20">
        <f t="shared" si="21"/>
        <v>0.21348314606741589</v>
      </c>
    </row>
    <row r="1390" spans="1:10" x14ac:dyDescent="0.3">
      <c r="A1390" s="33">
        <v>1389</v>
      </c>
      <c r="B1390" s="4">
        <v>21</v>
      </c>
      <c r="C1390" s="15">
        <v>264</v>
      </c>
      <c r="D1390" s="16">
        <v>1</v>
      </c>
      <c r="E1390" s="22">
        <v>44108</v>
      </c>
      <c r="F1390" s="19">
        <v>40</v>
      </c>
      <c r="G1390" s="18">
        <v>0.15</v>
      </c>
      <c r="H1390">
        <f>F1390*VLOOKUP(B1390,產品!$A$2:$H$61,7,FALSE)*(1-銷售總表!G1390)</f>
        <v>61200</v>
      </c>
      <c r="I1390" s="35">
        <f>H1390-F1390*VLOOKUP(銷售總表!B1390,產品!$A$2:$H$61,8,FALSE)</f>
        <v>32400</v>
      </c>
      <c r="J1390" s="20">
        <f t="shared" si="21"/>
        <v>0.52941176470588236</v>
      </c>
    </row>
    <row r="1391" spans="1:10" x14ac:dyDescent="0.3">
      <c r="A1391" s="33">
        <v>1390</v>
      </c>
      <c r="B1391" s="4">
        <v>26</v>
      </c>
      <c r="C1391" s="15">
        <v>12</v>
      </c>
      <c r="D1391" s="16">
        <v>9</v>
      </c>
      <c r="E1391" s="22">
        <v>44108</v>
      </c>
      <c r="F1391" s="19">
        <v>10</v>
      </c>
      <c r="G1391" s="18">
        <v>0.06</v>
      </c>
      <c r="H1391">
        <f>F1391*VLOOKUP(B1391,產品!$A$2:$H$61,7,FALSE)*(1-銷售總表!G1391)</f>
        <v>61100</v>
      </c>
      <c r="I1391" s="35">
        <f>H1391-F1391*VLOOKUP(銷售總表!B1391,產品!$A$2:$H$61,8,FALSE)</f>
        <v>22100</v>
      </c>
      <c r="J1391" s="20">
        <f t="shared" si="21"/>
        <v>0.36170212765957449</v>
      </c>
    </row>
    <row r="1392" spans="1:10" x14ac:dyDescent="0.3">
      <c r="A1392" s="33">
        <v>1391</v>
      </c>
      <c r="B1392" s="4">
        <v>12</v>
      </c>
      <c r="C1392" s="15">
        <v>3</v>
      </c>
      <c r="D1392" s="16">
        <v>7</v>
      </c>
      <c r="E1392" s="22">
        <v>44108</v>
      </c>
      <c r="F1392" s="19">
        <v>45</v>
      </c>
      <c r="G1392" s="18">
        <v>0.18</v>
      </c>
      <c r="H1392">
        <f>F1392*VLOOKUP(B1392,產品!$A$2:$H$61,7,FALSE)*(1-銷售總表!G1392)</f>
        <v>36900</v>
      </c>
      <c r="I1392" s="35">
        <f>H1392-F1392*VLOOKUP(銷售總表!B1392,產品!$A$2:$H$61,8,FALSE)</f>
        <v>18900</v>
      </c>
      <c r="J1392" s="20">
        <f t="shared" si="21"/>
        <v>0.51219512195121952</v>
      </c>
    </row>
    <row r="1393" spans="1:10" x14ac:dyDescent="0.3">
      <c r="A1393" s="33">
        <v>1392</v>
      </c>
      <c r="B1393" s="4">
        <v>7</v>
      </c>
      <c r="C1393" s="15">
        <v>9</v>
      </c>
      <c r="D1393" s="16">
        <v>1</v>
      </c>
      <c r="E1393" s="22">
        <v>44108</v>
      </c>
      <c r="F1393" s="19">
        <v>40</v>
      </c>
      <c r="G1393" s="18">
        <v>0.15</v>
      </c>
      <c r="H1393">
        <f>F1393*VLOOKUP(B1393,產品!$A$2:$H$61,7,FALSE)*(1-銷售總表!G1393)</f>
        <v>34000</v>
      </c>
      <c r="I1393" s="35">
        <f>H1393-F1393*VLOOKUP(銷售總表!B1393,產品!$A$2:$H$61,8,FALSE)</f>
        <v>18000</v>
      </c>
      <c r="J1393" s="20">
        <f t="shared" si="21"/>
        <v>0.52941176470588236</v>
      </c>
    </row>
    <row r="1394" spans="1:10" x14ac:dyDescent="0.3">
      <c r="A1394" s="33">
        <v>1393</v>
      </c>
      <c r="B1394" s="4">
        <v>14</v>
      </c>
      <c r="C1394" s="15">
        <v>6</v>
      </c>
      <c r="D1394" s="16">
        <v>9</v>
      </c>
      <c r="E1394" s="22">
        <v>44108</v>
      </c>
      <c r="F1394" s="17">
        <v>15</v>
      </c>
      <c r="G1394" s="18">
        <v>7.0000000000000007E-2</v>
      </c>
      <c r="H1394">
        <f>F1394*VLOOKUP(B1394,產品!$A$2:$H$61,7,FALSE)*(1-銷售總表!G1394)</f>
        <v>25110</v>
      </c>
      <c r="I1394" s="35">
        <f>H1394-F1394*VLOOKUP(銷售總表!B1394,產品!$A$2:$H$61,8,FALSE)</f>
        <v>14310</v>
      </c>
      <c r="J1394" s="20">
        <f t="shared" si="21"/>
        <v>0.56989247311827962</v>
      </c>
    </row>
    <row r="1395" spans="1:10" x14ac:dyDescent="0.3">
      <c r="A1395" s="33">
        <v>1394</v>
      </c>
      <c r="B1395" s="4">
        <v>52</v>
      </c>
      <c r="C1395" s="15">
        <v>123</v>
      </c>
      <c r="D1395" s="16">
        <v>6</v>
      </c>
      <c r="E1395" s="22">
        <v>44108</v>
      </c>
      <c r="F1395" s="17">
        <v>3</v>
      </c>
      <c r="G1395" s="18">
        <v>0.15</v>
      </c>
      <c r="H1395">
        <f>F1395*VLOOKUP(B1395,產品!$A$2:$H$61,7,FALSE)*(1-銷售總表!G1395)</f>
        <v>56100</v>
      </c>
      <c r="I1395" s="35">
        <f>H1395-F1395*VLOOKUP(銷售總表!B1395,產品!$A$2:$H$61,8,FALSE)</f>
        <v>9900.0000000000073</v>
      </c>
      <c r="J1395" s="20">
        <f t="shared" si="21"/>
        <v>0.17647058823529424</v>
      </c>
    </row>
    <row r="1396" spans="1:10" x14ac:dyDescent="0.3">
      <c r="A1396" s="33">
        <v>1395</v>
      </c>
      <c r="B1396" s="4">
        <v>28</v>
      </c>
      <c r="C1396" s="15">
        <v>115</v>
      </c>
      <c r="D1396" s="16">
        <v>3</v>
      </c>
      <c r="E1396" s="22">
        <v>44108</v>
      </c>
      <c r="F1396" s="19">
        <v>3</v>
      </c>
      <c r="G1396" s="18">
        <v>0.15</v>
      </c>
      <c r="H1396">
        <f>F1396*VLOOKUP(B1396,產品!$A$2:$H$61,7,FALSE)*(1-銷售總表!G1396)</f>
        <v>19125</v>
      </c>
      <c r="I1396" s="35">
        <f>H1396-F1396*VLOOKUP(銷售總表!B1396,產品!$A$2:$H$61,8,FALSE)</f>
        <v>5625</v>
      </c>
      <c r="J1396" s="20">
        <f t="shared" si="21"/>
        <v>0.29411764705882354</v>
      </c>
    </row>
    <row r="1397" spans="1:10" x14ac:dyDescent="0.3">
      <c r="A1397" s="33">
        <v>1396</v>
      </c>
      <c r="B1397" s="4">
        <v>26</v>
      </c>
      <c r="C1397" s="15">
        <v>261</v>
      </c>
      <c r="D1397" s="16">
        <v>8</v>
      </c>
      <c r="E1397" s="22">
        <v>44109</v>
      </c>
      <c r="F1397" s="19">
        <v>15</v>
      </c>
      <c r="G1397" s="18">
        <v>7.0000000000000007E-2</v>
      </c>
      <c r="H1397">
        <f>F1397*VLOOKUP(B1397,產品!$A$2:$H$61,7,FALSE)*(1-銷售總表!G1397)</f>
        <v>90675</v>
      </c>
      <c r="I1397" s="35">
        <f>H1397-F1397*VLOOKUP(銷售總表!B1397,產品!$A$2:$H$61,8,FALSE)</f>
        <v>32175</v>
      </c>
      <c r="J1397" s="20">
        <f t="shared" si="21"/>
        <v>0.35483870967741937</v>
      </c>
    </row>
    <row r="1398" spans="1:10" x14ac:dyDescent="0.3">
      <c r="A1398" s="33">
        <v>1397</v>
      </c>
      <c r="B1398" s="4">
        <v>53</v>
      </c>
      <c r="C1398" s="15">
        <v>281</v>
      </c>
      <c r="D1398" s="16">
        <v>2</v>
      </c>
      <c r="E1398" s="22">
        <v>44109</v>
      </c>
      <c r="F1398" s="19">
        <v>15</v>
      </c>
      <c r="G1398" s="18">
        <v>0.2</v>
      </c>
      <c r="H1398">
        <f>F1398*VLOOKUP(B1398,產品!$A$2:$H$61,7,FALSE)*(1-銷售總表!G1398)</f>
        <v>180000</v>
      </c>
      <c r="I1398" s="35">
        <f>H1398-F1398*VLOOKUP(銷售總表!B1398,產品!$A$2:$H$61,8,FALSE)</f>
        <v>22500</v>
      </c>
      <c r="J1398" s="20">
        <f t="shared" si="21"/>
        <v>0.125</v>
      </c>
    </row>
    <row r="1399" spans="1:10" x14ac:dyDescent="0.3">
      <c r="A1399" s="33">
        <v>1398</v>
      </c>
      <c r="B1399" s="4">
        <v>40</v>
      </c>
      <c r="C1399" s="15">
        <v>7</v>
      </c>
      <c r="D1399" s="16">
        <v>7</v>
      </c>
      <c r="E1399" s="22">
        <v>44109</v>
      </c>
      <c r="F1399" s="17">
        <v>3</v>
      </c>
      <c r="G1399" s="18">
        <v>0.05</v>
      </c>
      <c r="H1399">
        <f>F1399*VLOOKUP(B1399,產品!$A$2:$H$61,7,FALSE)*(1-銷售總表!G1399)</f>
        <v>57000</v>
      </c>
      <c r="I1399" s="35">
        <f>H1399-F1399*VLOOKUP(銷售總表!B1399,產品!$A$2:$H$61,8,FALSE)</f>
        <v>18000</v>
      </c>
      <c r="J1399" s="20">
        <f t="shared" si="21"/>
        <v>0.31578947368421051</v>
      </c>
    </row>
    <row r="1400" spans="1:10" x14ac:dyDescent="0.3">
      <c r="A1400" s="33">
        <v>1399</v>
      </c>
      <c r="B1400" s="4">
        <v>51</v>
      </c>
      <c r="C1400" s="15">
        <v>291</v>
      </c>
      <c r="D1400" s="16">
        <v>7</v>
      </c>
      <c r="E1400" s="22">
        <v>44109</v>
      </c>
      <c r="F1400" s="19">
        <v>4</v>
      </c>
      <c r="G1400" s="18">
        <v>0.08</v>
      </c>
      <c r="H1400">
        <f>F1400*VLOOKUP(B1400,產品!$A$2:$H$61,7,FALSE)*(1-銷售總表!G1400)</f>
        <v>73600</v>
      </c>
      <c r="I1400" s="35">
        <f>H1400-F1400*VLOOKUP(銷售總表!B1400,產品!$A$2:$H$61,8,FALSE)</f>
        <v>17600</v>
      </c>
      <c r="J1400" s="20">
        <f t="shared" si="21"/>
        <v>0.2391304347826087</v>
      </c>
    </row>
    <row r="1401" spans="1:10" x14ac:dyDescent="0.3">
      <c r="A1401" s="33">
        <v>1400</v>
      </c>
      <c r="B1401" s="4">
        <v>35</v>
      </c>
      <c r="C1401" s="15">
        <v>9</v>
      </c>
      <c r="D1401" s="16">
        <v>1</v>
      </c>
      <c r="E1401" s="22">
        <v>44109</v>
      </c>
      <c r="F1401" s="17">
        <v>10</v>
      </c>
      <c r="G1401" s="18">
        <v>0.2</v>
      </c>
      <c r="H1401">
        <f>F1401*VLOOKUP(B1401,產品!$A$2:$H$61,7,FALSE)*(1-銷售總表!G1401)</f>
        <v>68000</v>
      </c>
      <c r="I1401" s="35">
        <f>H1401-F1401*VLOOKUP(銷售總表!B1401,產品!$A$2:$H$61,8,FALSE)</f>
        <v>17000</v>
      </c>
      <c r="J1401" s="20">
        <f t="shared" si="21"/>
        <v>0.25</v>
      </c>
    </row>
    <row r="1402" spans="1:10" x14ac:dyDescent="0.3">
      <c r="A1402" s="33">
        <v>1401</v>
      </c>
      <c r="B1402" s="4">
        <v>16</v>
      </c>
      <c r="C1402" s="15">
        <v>1</v>
      </c>
      <c r="D1402" s="16">
        <v>4</v>
      </c>
      <c r="E1402" s="22">
        <v>44110</v>
      </c>
      <c r="F1402" s="19">
        <v>125</v>
      </c>
      <c r="G1402" s="18">
        <v>0.16</v>
      </c>
      <c r="H1402">
        <f>F1402*VLOOKUP(B1402,產品!$A$2:$H$61,7,FALSE)*(1-銷售總表!G1402)</f>
        <v>189000</v>
      </c>
      <c r="I1402" s="35">
        <f>H1402-F1402*VLOOKUP(銷售總表!B1402,產品!$A$2:$H$61,8,FALSE)</f>
        <v>99000</v>
      </c>
      <c r="J1402" s="20">
        <f t="shared" si="21"/>
        <v>0.52380952380952384</v>
      </c>
    </row>
    <row r="1403" spans="1:10" x14ac:dyDescent="0.3">
      <c r="A1403" s="33">
        <v>1402</v>
      </c>
      <c r="B1403" s="4">
        <v>46</v>
      </c>
      <c r="C1403" s="15">
        <v>3</v>
      </c>
      <c r="D1403" s="16">
        <v>9</v>
      </c>
      <c r="E1403" s="22">
        <v>44110</v>
      </c>
      <c r="F1403" s="19">
        <v>4</v>
      </c>
      <c r="G1403" s="18">
        <v>7.0000000000000007E-2</v>
      </c>
      <c r="H1403">
        <f>F1403*VLOOKUP(B1403,產品!$A$2:$H$61,7,FALSE)*(1-銷售總表!G1403)</f>
        <v>63239.999999999993</v>
      </c>
      <c r="I1403" s="35">
        <f>H1403-F1403*VLOOKUP(銷售總表!B1403,產品!$A$2:$H$61,8,FALSE)</f>
        <v>19039.999999999993</v>
      </c>
      <c r="J1403" s="20">
        <f t="shared" si="21"/>
        <v>0.3010752688172042</v>
      </c>
    </row>
    <row r="1404" spans="1:10" x14ac:dyDescent="0.3">
      <c r="A1404" s="33">
        <v>1403</v>
      </c>
      <c r="B1404" s="4">
        <v>26</v>
      </c>
      <c r="C1404" s="15">
        <v>272</v>
      </c>
      <c r="D1404" s="16">
        <v>5</v>
      </c>
      <c r="E1404" s="22">
        <v>44110</v>
      </c>
      <c r="F1404" s="17">
        <v>10</v>
      </c>
      <c r="G1404" s="18">
        <v>0.18</v>
      </c>
      <c r="H1404">
        <f>F1404*VLOOKUP(B1404,產品!$A$2:$H$61,7,FALSE)*(1-銷售總表!G1404)</f>
        <v>53300.000000000007</v>
      </c>
      <c r="I1404" s="35">
        <f>H1404-F1404*VLOOKUP(銷售總表!B1404,產品!$A$2:$H$61,8,FALSE)</f>
        <v>14300.000000000007</v>
      </c>
      <c r="J1404" s="20">
        <f t="shared" si="21"/>
        <v>0.2682926829268294</v>
      </c>
    </row>
    <row r="1405" spans="1:10" x14ac:dyDescent="0.3">
      <c r="A1405" s="33">
        <v>1404</v>
      </c>
      <c r="B1405" s="4">
        <v>8</v>
      </c>
      <c r="C1405" s="15">
        <v>11</v>
      </c>
      <c r="D1405" s="16">
        <v>10</v>
      </c>
      <c r="E1405" s="22">
        <v>44110</v>
      </c>
      <c r="F1405" s="17">
        <v>20</v>
      </c>
      <c r="G1405" s="18">
        <v>0.15</v>
      </c>
      <c r="H1405">
        <f>F1405*VLOOKUP(B1405,產品!$A$2:$H$61,7,FALSE)*(1-銷售總表!G1405)</f>
        <v>17000</v>
      </c>
      <c r="I1405" s="35">
        <f>H1405-F1405*VLOOKUP(銷售總表!B1405,產品!$A$2:$H$61,8,FALSE)</f>
        <v>9000</v>
      </c>
      <c r="J1405" s="20">
        <f t="shared" si="21"/>
        <v>0.52941176470588236</v>
      </c>
    </row>
    <row r="1406" spans="1:10" x14ac:dyDescent="0.3">
      <c r="A1406" s="33">
        <v>1405</v>
      </c>
      <c r="B1406" s="4">
        <v>27</v>
      </c>
      <c r="C1406" s="15">
        <v>116</v>
      </c>
      <c r="D1406" s="16">
        <v>7</v>
      </c>
      <c r="E1406" s="22">
        <v>44110</v>
      </c>
      <c r="F1406" s="17">
        <v>3</v>
      </c>
      <c r="G1406" s="18">
        <v>0.14000000000000001</v>
      </c>
      <c r="H1406">
        <f>F1406*VLOOKUP(B1406,產品!$A$2:$H$61,7,FALSE)*(1-銷售總表!G1406)</f>
        <v>18060</v>
      </c>
      <c r="I1406" s="35">
        <f>H1406-F1406*VLOOKUP(銷售總表!B1406,產品!$A$2:$H$61,8,FALSE)</f>
        <v>5460</v>
      </c>
      <c r="J1406" s="20">
        <f t="shared" si="21"/>
        <v>0.30232558139534882</v>
      </c>
    </row>
    <row r="1407" spans="1:10" x14ac:dyDescent="0.3">
      <c r="A1407" s="33">
        <v>1406</v>
      </c>
      <c r="B1407" s="4">
        <v>6</v>
      </c>
      <c r="C1407" s="15">
        <v>124</v>
      </c>
      <c r="D1407" s="16">
        <v>7</v>
      </c>
      <c r="E1407" s="22">
        <v>44111</v>
      </c>
      <c r="F1407" s="17">
        <v>90</v>
      </c>
      <c r="G1407" s="18">
        <v>0.09</v>
      </c>
      <c r="H1407">
        <f>F1407*VLOOKUP(B1407,產品!$A$2:$H$61,7,FALSE)*(1-銷售總表!G1407)</f>
        <v>81900</v>
      </c>
      <c r="I1407" s="35">
        <f>H1407-F1407*VLOOKUP(銷售總表!B1407,產品!$A$2:$H$61,8,FALSE)</f>
        <v>45900</v>
      </c>
      <c r="J1407" s="20">
        <f t="shared" si="21"/>
        <v>0.56043956043956045</v>
      </c>
    </row>
    <row r="1408" spans="1:10" x14ac:dyDescent="0.3">
      <c r="A1408" s="33">
        <v>1407</v>
      </c>
      <c r="B1408" s="4">
        <v>20</v>
      </c>
      <c r="C1408" s="15">
        <v>273</v>
      </c>
      <c r="D1408" s="16">
        <v>10</v>
      </c>
      <c r="E1408" s="22">
        <v>44111</v>
      </c>
      <c r="F1408" s="19">
        <v>50</v>
      </c>
      <c r="G1408" s="18">
        <v>0.19</v>
      </c>
      <c r="H1408">
        <f>F1408*VLOOKUP(B1408,產品!$A$2:$H$61,7,FALSE)*(1-銷售總表!G1408)</f>
        <v>72900</v>
      </c>
      <c r="I1408" s="35">
        <f>H1408-F1408*VLOOKUP(銷售總表!B1408,產品!$A$2:$H$61,8,FALSE)</f>
        <v>36900</v>
      </c>
      <c r="J1408" s="20">
        <f t="shared" si="21"/>
        <v>0.50617283950617287</v>
      </c>
    </row>
    <row r="1409" spans="1:10" x14ac:dyDescent="0.3">
      <c r="A1409" s="33">
        <v>1408</v>
      </c>
      <c r="B1409" s="4">
        <v>35</v>
      </c>
      <c r="C1409" s="15">
        <v>7</v>
      </c>
      <c r="D1409" s="16">
        <v>3</v>
      </c>
      <c r="E1409" s="22">
        <v>44111</v>
      </c>
      <c r="F1409" s="19">
        <v>13</v>
      </c>
      <c r="G1409" s="18">
        <v>7.0000000000000007E-2</v>
      </c>
      <c r="H1409">
        <f>F1409*VLOOKUP(B1409,產品!$A$2:$H$61,7,FALSE)*(1-銷售總表!G1409)</f>
        <v>102765</v>
      </c>
      <c r="I1409" s="35">
        <f>H1409-F1409*VLOOKUP(銷售總表!B1409,產品!$A$2:$H$61,8,FALSE)</f>
        <v>36465</v>
      </c>
      <c r="J1409" s="20">
        <f t="shared" si="21"/>
        <v>0.35483870967741937</v>
      </c>
    </row>
    <row r="1410" spans="1:10" x14ac:dyDescent="0.3">
      <c r="A1410" s="33">
        <v>1409</v>
      </c>
      <c r="B1410" s="4">
        <v>49</v>
      </c>
      <c r="C1410" s="15">
        <v>8</v>
      </c>
      <c r="D1410" s="16">
        <v>8</v>
      </c>
      <c r="E1410" s="22">
        <v>44111</v>
      </c>
      <c r="F1410" s="17">
        <v>5</v>
      </c>
      <c r="G1410" s="18">
        <v>0.08</v>
      </c>
      <c r="H1410">
        <f>F1410*VLOOKUP(B1410,產品!$A$2:$H$61,7,FALSE)*(1-銷售總表!G1410)</f>
        <v>69000</v>
      </c>
      <c r="I1410" s="35">
        <f>H1410-F1410*VLOOKUP(銷售總表!B1410,產品!$A$2:$H$61,8,FALSE)</f>
        <v>16500</v>
      </c>
      <c r="J1410" s="20">
        <f t="shared" si="21"/>
        <v>0.2391304347826087</v>
      </c>
    </row>
    <row r="1411" spans="1:10" x14ac:dyDescent="0.3">
      <c r="A1411" s="33">
        <v>1410</v>
      </c>
      <c r="B1411" s="4">
        <v>7</v>
      </c>
      <c r="C1411" s="15">
        <v>277</v>
      </c>
      <c r="D1411" s="16">
        <v>3</v>
      </c>
      <c r="E1411" s="22">
        <v>44111</v>
      </c>
      <c r="F1411" s="17">
        <v>20</v>
      </c>
      <c r="G1411" s="18">
        <v>0.06</v>
      </c>
      <c r="H1411">
        <f>F1411*VLOOKUP(B1411,產品!$A$2:$H$61,7,FALSE)*(1-銷售總表!G1411)</f>
        <v>18800</v>
      </c>
      <c r="I1411" s="35">
        <f>H1411-F1411*VLOOKUP(銷售總表!B1411,產品!$A$2:$H$61,8,FALSE)</f>
        <v>10800</v>
      </c>
      <c r="J1411" s="20">
        <f t="shared" ref="J1411:J1474" si="22">I1411/H1411</f>
        <v>0.57446808510638303</v>
      </c>
    </row>
    <row r="1412" spans="1:10" x14ac:dyDescent="0.3">
      <c r="A1412" s="33">
        <v>1411</v>
      </c>
      <c r="B1412" s="4">
        <v>38</v>
      </c>
      <c r="C1412" s="15">
        <v>3</v>
      </c>
      <c r="D1412" s="16">
        <v>1</v>
      </c>
      <c r="E1412" s="22">
        <v>44111</v>
      </c>
      <c r="F1412" s="19">
        <v>1</v>
      </c>
      <c r="G1412" s="18">
        <v>0.15</v>
      </c>
      <c r="H1412">
        <f>F1412*VLOOKUP(B1412,產品!$A$2:$H$61,7,FALSE)*(1-銷售總表!G1412)</f>
        <v>12750</v>
      </c>
      <c r="I1412" s="35">
        <f>H1412-F1412*VLOOKUP(銷售總表!B1412,產品!$A$2:$H$61,8,FALSE)</f>
        <v>3000</v>
      </c>
      <c r="J1412" s="20">
        <f t="shared" si="22"/>
        <v>0.23529411764705882</v>
      </c>
    </row>
    <row r="1413" spans="1:10" x14ac:dyDescent="0.3">
      <c r="A1413" s="33">
        <v>1412</v>
      </c>
      <c r="B1413" s="4">
        <v>6</v>
      </c>
      <c r="C1413" s="15">
        <v>120</v>
      </c>
      <c r="D1413" s="16">
        <v>1</v>
      </c>
      <c r="E1413" s="22">
        <v>44112</v>
      </c>
      <c r="F1413" s="19">
        <v>150</v>
      </c>
      <c r="G1413" s="18">
        <v>0.08</v>
      </c>
      <c r="H1413">
        <f>F1413*VLOOKUP(B1413,產品!$A$2:$H$61,7,FALSE)*(1-銷售總表!G1413)</f>
        <v>138000</v>
      </c>
      <c r="I1413" s="35">
        <f>H1413-F1413*VLOOKUP(銷售總表!B1413,產品!$A$2:$H$61,8,FALSE)</f>
        <v>78000</v>
      </c>
      <c r="J1413" s="20">
        <f t="shared" si="22"/>
        <v>0.56521739130434778</v>
      </c>
    </row>
    <row r="1414" spans="1:10" x14ac:dyDescent="0.3">
      <c r="A1414" s="33">
        <v>1413</v>
      </c>
      <c r="B1414" s="4">
        <v>15</v>
      </c>
      <c r="C1414" s="15">
        <v>116</v>
      </c>
      <c r="D1414" s="16">
        <v>4</v>
      </c>
      <c r="E1414" s="22">
        <v>44112</v>
      </c>
      <c r="F1414" s="19">
        <v>80</v>
      </c>
      <c r="G1414" s="18">
        <v>0.12</v>
      </c>
      <c r="H1414">
        <f>F1414*VLOOKUP(B1414,產品!$A$2:$H$61,7,FALSE)*(1-銷售總表!G1414)</f>
        <v>126720</v>
      </c>
      <c r="I1414" s="35">
        <f>H1414-F1414*VLOOKUP(銷售總表!B1414,產品!$A$2:$H$61,8,FALSE)</f>
        <v>69120</v>
      </c>
      <c r="J1414" s="20">
        <f t="shared" si="22"/>
        <v>0.54545454545454541</v>
      </c>
    </row>
    <row r="1415" spans="1:10" x14ac:dyDescent="0.3">
      <c r="A1415" s="33">
        <v>1414</v>
      </c>
      <c r="B1415" s="4">
        <v>14</v>
      </c>
      <c r="C1415" s="15">
        <v>257</v>
      </c>
      <c r="D1415" s="16">
        <v>2</v>
      </c>
      <c r="E1415" s="22">
        <v>44112</v>
      </c>
      <c r="F1415" s="19">
        <v>40</v>
      </c>
      <c r="G1415" s="18">
        <v>0.15</v>
      </c>
      <c r="H1415">
        <f>F1415*VLOOKUP(B1415,產品!$A$2:$H$61,7,FALSE)*(1-銷售總表!G1415)</f>
        <v>61200</v>
      </c>
      <c r="I1415" s="35">
        <f>H1415-F1415*VLOOKUP(銷售總表!B1415,產品!$A$2:$H$61,8,FALSE)</f>
        <v>32400</v>
      </c>
      <c r="J1415" s="20">
        <f t="shared" si="22"/>
        <v>0.52941176470588236</v>
      </c>
    </row>
    <row r="1416" spans="1:10" x14ac:dyDescent="0.3">
      <c r="A1416" s="33">
        <v>1415</v>
      </c>
      <c r="B1416" s="4">
        <v>39</v>
      </c>
      <c r="C1416" s="15">
        <v>258</v>
      </c>
      <c r="D1416" s="16">
        <v>8</v>
      </c>
      <c r="E1416" s="22">
        <v>44112</v>
      </c>
      <c r="F1416" s="17">
        <v>6</v>
      </c>
      <c r="G1416" s="18">
        <v>0.08</v>
      </c>
      <c r="H1416">
        <f>F1416*VLOOKUP(B1416,產品!$A$2:$H$61,7,FALSE)*(1-銷售總表!G1416)</f>
        <v>99360</v>
      </c>
      <c r="I1416" s="35">
        <f>H1416-F1416*VLOOKUP(銷售總表!B1416,產品!$A$2:$H$61,8,FALSE)</f>
        <v>29160</v>
      </c>
      <c r="J1416" s="20">
        <f t="shared" si="22"/>
        <v>0.29347826086956524</v>
      </c>
    </row>
    <row r="1417" spans="1:10" x14ac:dyDescent="0.3">
      <c r="A1417" s="33">
        <v>1416</v>
      </c>
      <c r="B1417" s="4">
        <v>51</v>
      </c>
      <c r="C1417" s="15">
        <v>285</v>
      </c>
      <c r="D1417" s="16">
        <v>2</v>
      </c>
      <c r="E1417" s="22">
        <v>44112</v>
      </c>
      <c r="F1417" s="17">
        <v>6</v>
      </c>
      <c r="G1417" s="18">
        <v>0.12</v>
      </c>
      <c r="H1417">
        <f>F1417*VLOOKUP(B1417,產品!$A$2:$H$61,7,FALSE)*(1-銷售總表!G1417)</f>
        <v>105600</v>
      </c>
      <c r="I1417" s="35">
        <f>H1417-F1417*VLOOKUP(銷售總表!B1417,產品!$A$2:$H$61,8,FALSE)</f>
        <v>21600</v>
      </c>
      <c r="J1417" s="20">
        <f t="shared" si="22"/>
        <v>0.20454545454545456</v>
      </c>
    </row>
    <row r="1418" spans="1:10" x14ac:dyDescent="0.3">
      <c r="A1418" s="33">
        <v>1417</v>
      </c>
      <c r="B1418" s="4">
        <v>11</v>
      </c>
      <c r="C1418" s="15">
        <v>124</v>
      </c>
      <c r="D1418" s="16">
        <v>7</v>
      </c>
      <c r="E1418" s="22">
        <v>44112</v>
      </c>
      <c r="F1418" s="17">
        <v>20</v>
      </c>
      <c r="G1418" s="18">
        <v>0.18</v>
      </c>
      <c r="H1418">
        <f>F1418*VLOOKUP(B1418,產品!$A$2:$H$61,7,FALSE)*(1-銷售總表!G1418)</f>
        <v>16400</v>
      </c>
      <c r="I1418" s="35">
        <f>H1418-F1418*VLOOKUP(銷售總表!B1418,產品!$A$2:$H$61,8,FALSE)</f>
        <v>8400</v>
      </c>
      <c r="J1418" s="20">
        <f t="shared" si="22"/>
        <v>0.51219512195121952</v>
      </c>
    </row>
    <row r="1419" spans="1:10" x14ac:dyDescent="0.3">
      <c r="A1419" s="33">
        <v>1418</v>
      </c>
      <c r="B1419" s="4">
        <v>15</v>
      </c>
      <c r="C1419" s="15">
        <v>136</v>
      </c>
      <c r="D1419" s="16">
        <v>2</v>
      </c>
      <c r="E1419" s="22">
        <v>44113</v>
      </c>
      <c r="F1419" s="17">
        <v>70</v>
      </c>
      <c r="G1419" s="18">
        <v>7.0000000000000007E-2</v>
      </c>
      <c r="H1419">
        <f>F1419*VLOOKUP(B1419,產品!$A$2:$H$61,7,FALSE)*(1-銷售總表!G1419)</f>
        <v>117179.99999999999</v>
      </c>
      <c r="I1419" s="35">
        <f>H1419-F1419*VLOOKUP(銷售總表!B1419,產品!$A$2:$H$61,8,FALSE)</f>
        <v>66779.999999999985</v>
      </c>
      <c r="J1419" s="20">
        <f t="shared" si="22"/>
        <v>0.56989247311827951</v>
      </c>
    </row>
    <row r="1420" spans="1:10" x14ac:dyDescent="0.3">
      <c r="A1420" s="33">
        <v>1419</v>
      </c>
      <c r="B1420" s="4">
        <v>10</v>
      </c>
      <c r="C1420" s="15">
        <v>5</v>
      </c>
      <c r="D1420" s="16">
        <v>3</v>
      </c>
      <c r="E1420" s="22">
        <v>44113</v>
      </c>
      <c r="F1420" s="19">
        <v>30</v>
      </c>
      <c r="G1420" s="18">
        <v>0.12</v>
      </c>
      <c r="H1420">
        <f>F1420*VLOOKUP(B1420,產品!$A$2:$H$61,7,FALSE)*(1-銷售總表!G1420)</f>
        <v>26400</v>
      </c>
      <c r="I1420" s="35">
        <f>H1420-F1420*VLOOKUP(銷售總表!B1420,產品!$A$2:$H$61,8,FALSE)</f>
        <v>14400</v>
      </c>
      <c r="J1420" s="20">
        <f t="shared" si="22"/>
        <v>0.54545454545454541</v>
      </c>
    </row>
    <row r="1421" spans="1:10" x14ac:dyDescent="0.3">
      <c r="A1421" s="33">
        <v>1420</v>
      </c>
      <c r="B1421" s="4">
        <v>6</v>
      </c>
      <c r="C1421" s="15">
        <v>261</v>
      </c>
      <c r="D1421" s="16">
        <v>4</v>
      </c>
      <c r="E1421" s="22">
        <v>44113</v>
      </c>
      <c r="F1421" s="19">
        <v>20</v>
      </c>
      <c r="G1421" s="18">
        <v>0.2</v>
      </c>
      <c r="H1421">
        <f>F1421*VLOOKUP(B1421,產品!$A$2:$H$61,7,FALSE)*(1-銷售總表!G1421)</f>
        <v>16000</v>
      </c>
      <c r="I1421" s="35">
        <f>H1421-F1421*VLOOKUP(銷售總表!B1421,產品!$A$2:$H$61,8,FALSE)</f>
        <v>8000</v>
      </c>
      <c r="J1421" s="20">
        <f t="shared" si="22"/>
        <v>0.5</v>
      </c>
    </row>
    <row r="1422" spans="1:10" x14ac:dyDescent="0.3">
      <c r="A1422" s="33">
        <v>1421</v>
      </c>
      <c r="B1422" s="4">
        <v>3</v>
      </c>
      <c r="C1422" s="15">
        <v>140</v>
      </c>
      <c r="D1422" s="16">
        <v>7</v>
      </c>
      <c r="E1422" s="22">
        <v>44113</v>
      </c>
      <c r="F1422" s="17">
        <v>10</v>
      </c>
      <c r="G1422" s="18">
        <v>0.17</v>
      </c>
      <c r="H1422">
        <f>F1422*VLOOKUP(B1422,產品!$A$2:$H$61,7,FALSE)*(1-銷售總表!G1422)</f>
        <v>8300</v>
      </c>
      <c r="I1422" s="35">
        <f>H1422-F1422*VLOOKUP(銷售總表!B1422,產品!$A$2:$H$61,8,FALSE)</f>
        <v>4300</v>
      </c>
      <c r="J1422" s="20">
        <f t="shared" si="22"/>
        <v>0.51807228915662651</v>
      </c>
    </row>
    <row r="1423" spans="1:10" x14ac:dyDescent="0.3">
      <c r="A1423" s="33">
        <v>1422</v>
      </c>
      <c r="B1423" s="4">
        <v>6</v>
      </c>
      <c r="C1423" s="15">
        <v>258</v>
      </c>
      <c r="D1423" s="16">
        <v>1</v>
      </c>
      <c r="E1423" s="22">
        <v>44114</v>
      </c>
      <c r="F1423" s="17">
        <v>250</v>
      </c>
      <c r="G1423" s="18">
        <v>0.16</v>
      </c>
      <c r="H1423">
        <f>F1423*VLOOKUP(B1423,產品!$A$2:$H$61,7,FALSE)*(1-銷售總表!G1423)</f>
        <v>210000</v>
      </c>
      <c r="I1423" s="35">
        <f>H1423-F1423*VLOOKUP(銷售總表!B1423,產品!$A$2:$H$61,8,FALSE)</f>
        <v>110000</v>
      </c>
      <c r="J1423" s="20">
        <f t="shared" si="22"/>
        <v>0.52380952380952384</v>
      </c>
    </row>
    <row r="1424" spans="1:10" x14ac:dyDescent="0.3">
      <c r="A1424" s="33">
        <v>1423</v>
      </c>
      <c r="B1424" s="4">
        <v>53</v>
      </c>
      <c r="C1424" s="15">
        <v>4</v>
      </c>
      <c r="D1424" s="16">
        <v>1</v>
      </c>
      <c r="E1424" s="22">
        <v>44114</v>
      </c>
      <c r="F1424" s="17">
        <v>15</v>
      </c>
      <c r="G1424" s="18">
        <v>0.06</v>
      </c>
      <c r="H1424">
        <f>F1424*VLOOKUP(B1424,產品!$A$2:$H$61,7,FALSE)*(1-銷售總表!G1424)</f>
        <v>211500</v>
      </c>
      <c r="I1424" s="35">
        <f>H1424-F1424*VLOOKUP(銷售總表!B1424,產品!$A$2:$H$61,8,FALSE)</f>
        <v>54000</v>
      </c>
      <c r="J1424" s="20">
        <f t="shared" si="22"/>
        <v>0.25531914893617019</v>
      </c>
    </row>
    <row r="1425" spans="1:10" x14ac:dyDescent="0.3">
      <c r="A1425" s="33">
        <v>1424</v>
      </c>
      <c r="B1425" s="4">
        <v>49</v>
      </c>
      <c r="C1425" s="15">
        <v>1</v>
      </c>
      <c r="D1425" s="16">
        <v>8</v>
      </c>
      <c r="E1425" s="22">
        <v>44114</v>
      </c>
      <c r="F1425" s="17">
        <v>10</v>
      </c>
      <c r="G1425" s="18">
        <v>0.06</v>
      </c>
      <c r="H1425">
        <f>F1425*VLOOKUP(B1425,產品!$A$2:$H$61,7,FALSE)*(1-銷售總表!G1425)</f>
        <v>141000</v>
      </c>
      <c r="I1425" s="35">
        <f>H1425-F1425*VLOOKUP(銷售總表!B1425,產品!$A$2:$H$61,8,FALSE)</f>
        <v>36000</v>
      </c>
      <c r="J1425" s="20">
        <f t="shared" si="22"/>
        <v>0.25531914893617019</v>
      </c>
    </row>
    <row r="1426" spans="1:10" x14ac:dyDescent="0.3">
      <c r="A1426" s="33">
        <v>1425</v>
      </c>
      <c r="B1426" s="4">
        <v>9</v>
      </c>
      <c r="C1426" s="15">
        <v>285</v>
      </c>
      <c r="D1426" s="16">
        <v>4</v>
      </c>
      <c r="E1426" s="22">
        <v>44114</v>
      </c>
      <c r="F1426" s="19">
        <v>70</v>
      </c>
      <c r="G1426" s="18">
        <v>0.13</v>
      </c>
      <c r="H1426">
        <f>F1426*VLOOKUP(B1426,產品!$A$2:$H$61,7,FALSE)*(1-銷售總表!G1426)</f>
        <v>60900</v>
      </c>
      <c r="I1426" s="35">
        <f>H1426-F1426*VLOOKUP(銷售總表!B1426,產品!$A$2:$H$61,8,FALSE)</f>
        <v>32900</v>
      </c>
      <c r="J1426" s="20">
        <f t="shared" si="22"/>
        <v>0.54022988505747127</v>
      </c>
    </row>
    <row r="1427" spans="1:10" x14ac:dyDescent="0.3">
      <c r="A1427" s="33">
        <v>1426</v>
      </c>
      <c r="B1427" s="4">
        <v>55</v>
      </c>
      <c r="C1427" s="15">
        <v>10</v>
      </c>
      <c r="D1427" s="16">
        <v>3</v>
      </c>
      <c r="E1427" s="22">
        <v>44114</v>
      </c>
      <c r="F1427" s="17">
        <v>10</v>
      </c>
      <c r="G1427" s="18">
        <v>0.15</v>
      </c>
      <c r="H1427">
        <f>F1427*VLOOKUP(B1427,產品!$A$2:$H$61,7,FALSE)*(1-銷售總表!G1427)</f>
        <v>170000</v>
      </c>
      <c r="I1427" s="35">
        <f>H1427-F1427*VLOOKUP(銷售總表!B1427,產品!$A$2:$H$61,8,FALSE)</f>
        <v>30000</v>
      </c>
      <c r="J1427" s="20">
        <f t="shared" si="22"/>
        <v>0.17647058823529413</v>
      </c>
    </row>
    <row r="1428" spans="1:10" x14ac:dyDescent="0.3">
      <c r="A1428" s="33">
        <v>1427</v>
      </c>
      <c r="B1428" s="4">
        <v>17</v>
      </c>
      <c r="C1428" s="15">
        <v>294</v>
      </c>
      <c r="D1428" s="16">
        <v>10</v>
      </c>
      <c r="E1428" s="22">
        <v>44114</v>
      </c>
      <c r="F1428" s="17">
        <v>24</v>
      </c>
      <c r="G1428" s="18">
        <v>0.16</v>
      </c>
      <c r="H1428">
        <f>F1428*VLOOKUP(B1428,產品!$A$2:$H$61,7,FALSE)*(1-銷售總表!G1428)</f>
        <v>36288</v>
      </c>
      <c r="I1428" s="35">
        <f>H1428-F1428*VLOOKUP(銷售總表!B1428,產品!$A$2:$H$61,8,FALSE)</f>
        <v>19008</v>
      </c>
      <c r="J1428" s="20">
        <f t="shared" si="22"/>
        <v>0.52380952380952384</v>
      </c>
    </row>
    <row r="1429" spans="1:10" x14ac:dyDescent="0.3">
      <c r="A1429" s="33">
        <v>1428</v>
      </c>
      <c r="B1429" s="4">
        <v>37</v>
      </c>
      <c r="C1429" s="15">
        <v>9</v>
      </c>
      <c r="D1429" s="16">
        <v>10</v>
      </c>
      <c r="E1429" s="22">
        <v>44115</v>
      </c>
      <c r="F1429" s="19">
        <v>15</v>
      </c>
      <c r="G1429" s="18">
        <v>0.08</v>
      </c>
      <c r="H1429">
        <f>F1429*VLOOKUP(B1429,產品!$A$2:$H$61,7,FALSE)*(1-銷售總表!G1429)</f>
        <v>165600</v>
      </c>
      <c r="I1429" s="35">
        <f>H1429-F1429*VLOOKUP(銷售總表!B1429,產品!$A$2:$H$61,8,FALSE)</f>
        <v>48600</v>
      </c>
      <c r="J1429" s="20">
        <f t="shared" si="22"/>
        <v>0.29347826086956524</v>
      </c>
    </row>
    <row r="1430" spans="1:10" x14ac:dyDescent="0.3">
      <c r="A1430" s="33">
        <v>1429</v>
      </c>
      <c r="B1430" s="4">
        <v>6</v>
      </c>
      <c r="C1430" s="15">
        <v>2</v>
      </c>
      <c r="D1430" s="16">
        <v>3</v>
      </c>
      <c r="E1430" s="22">
        <v>44115</v>
      </c>
      <c r="F1430" s="19">
        <v>100</v>
      </c>
      <c r="G1430" s="18">
        <v>0.13</v>
      </c>
      <c r="H1430">
        <f>F1430*VLOOKUP(B1430,產品!$A$2:$H$61,7,FALSE)*(1-銷售總表!G1430)</f>
        <v>87000</v>
      </c>
      <c r="I1430" s="35">
        <f>H1430-F1430*VLOOKUP(銷售總表!B1430,產品!$A$2:$H$61,8,FALSE)</f>
        <v>47000</v>
      </c>
      <c r="J1430" s="20">
        <f t="shared" si="22"/>
        <v>0.54022988505747127</v>
      </c>
    </row>
    <row r="1431" spans="1:10" x14ac:dyDescent="0.3">
      <c r="A1431" s="33">
        <v>1430</v>
      </c>
      <c r="B1431" s="4">
        <v>55</v>
      </c>
      <c r="C1431" s="15">
        <v>267</v>
      </c>
      <c r="D1431" s="16">
        <v>4</v>
      </c>
      <c r="E1431" s="22">
        <v>44115</v>
      </c>
      <c r="F1431" s="17">
        <v>5</v>
      </c>
      <c r="G1431" s="18">
        <v>0.13</v>
      </c>
      <c r="H1431">
        <f>F1431*VLOOKUP(B1431,產品!$A$2:$H$61,7,FALSE)*(1-銷售總表!G1431)</f>
        <v>87000</v>
      </c>
      <c r="I1431" s="35">
        <f>H1431-F1431*VLOOKUP(銷售總表!B1431,產品!$A$2:$H$61,8,FALSE)</f>
        <v>17000</v>
      </c>
      <c r="J1431" s="20">
        <f t="shared" si="22"/>
        <v>0.19540229885057472</v>
      </c>
    </row>
    <row r="1432" spans="1:10" x14ac:dyDescent="0.3">
      <c r="A1432" s="33">
        <v>1431</v>
      </c>
      <c r="B1432" s="4">
        <v>29</v>
      </c>
      <c r="C1432" s="15">
        <v>267</v>
      </c>
      <c r="D1432" s="16">
        <v>2</v>
      </c>
      <c r="E1432" s="22">
        <v>44115</v>
      </c>
      <c r="F1432" s="17">
        <v>6</v>
      </c>
      <c r="G1432" s="18">
        <v>0.05</v>
      </c>
      <c r="H1432">
        <f>F1432*VLOOKUP(B1432,產品!$A$2:$H$61,7,FALSE)*(1-銷售總表!G1432)</f>
        <v>34200</v>
      </c>
      <c r="I1432" s="35">
        <f>H1432-F1432*VLOOKUP(銷售總表!B1432,產品!$A$2:$H$61,8,FALSE)</f>
        <v>12600</v>
      </c>
      <c r="J1432" s="20">
        <f t="shared" si="22"/>
        <v>0.36842105263157893</v>
      </c>
    </row>
    <row r="1433" spans="1:10" x14ac:dyDescent="0.3">
      <c r="A1433" s="33">
        <v>1432</v>
      </c>
      <c r="B1433" s="4">
        <v>16</v>
      </c>
      <c r="C1433" s="15">
        <v>123</v>
      </c>
      <c r="D1433" s="16">
        <v>10</v>
      </c>
      <c r="E1433" s="22">
        <v>44115</v>
      </c>
      <c r="F1433" s="17">
        <v>16</v>
      </c>
      <c r="G1433" s="18">
        <v>0.19</v>
      </c>
      <c r="H1433">
        <f>F1433*VLOOKUP(B1433,產品!$A$2:$H$61,7,FALSE)*(1-銷售總表!G1433)</f>
        <v>23328</v>
      </c>
      <c r="I1433" s="35">
        <f>H1433-F1433*VLOOKUP(銷售總表!B1433,產品!$A$2:$H$61,8,FALSE)</f>
        <v>11808</v>
      </c>
      <c r="J1433" s="20">
        <f t="shared" si="22"/>
        <v>0.50617283950617287</v>
      </c>
    </row>
    <row r="1434" spans="1:10" x14ac:dyDescent="0.3">
      <c r="A1434" s="33">
        <v>1433</v>
      </c>
      <c r="B1434" s="4">
        <v>50</v>
      </c>
      <c r="C1434" s="15">
        <v>264</v>
      </c>
      <c r="D1434" s="16">
        <v>1</v>
      </c>
      <c r="E1434" s="22">
        <v>44115</v>
      </c>
      <c r="F1434" s="19">
        <v>4</v>
      </c>
      <c r="G1434" s="18">
        <v>0.2</v>
      </c>
      <c r="H1434">
        <f>F1434*VLOOKUP(B1434,產品!$A$2:$H$61,7,FALSE)*(1-銷售總表!G1434)</f>
        <v>57600</v>
      </c>
      <c r="I1434" s="35">
        <f>H1434-F1434*VLOOKUP(銷售總表!B1434,產品!$A$2:$H$61,8,FALSE)</f>
        <v>7200</v>
      </c>
      <c r="J1434" s="20">
        <f t="shared" si="22"/>
        <v>0.125</v>
      </c>
    </row>
    <row r="1435" spans="1:10" x14ac:dyDescent="0.3">
      <c r="A1435" s="33">
        <v>1434</v>
      </c>
      <c r="B1435" s="4">
        <v>14</v>
      </c>
      <c r="C1435" s="15">
        <v>119</v>
      </c>
      <c r="D1435" s="16">
        <v>5</v>
      </c>
      <c r="E1435" s="22">
        <v>44116</v>
      </c>
      <c r="F1435" s="17">
        <v>40</v>
      </c>
      <c r="G1435" s="18">
        <v>0.17</v>
      </c>
      <c r="H1435">
        <f>F1435*VLOOKUP(B1435,產品!$A$2:$H$61,7,FALSE)*(1-銷售總表!G1435)</f>
        <v>59760</v>
      </c>
      <c r="I1435" s="35">
        <f>H1435-F1435*VLOOKUP(銷售總表!B1435,產品!$A$2:$H$61,8,FALSE)</f>
        <v>30960</v>
      </c>
      <c r="J1435" s="20">
        <f t="shared" si="22"/>
        <v>0.51807228915662651</v>
      </c>
    </row>
    <row r="1436" spans="1:10" x14ac:dyDescent="0.3">
      <c r="A1436" s="33">
        <v>1435</v>
      </c>
      <c r="B1436" s="4">
        <v>12</v>
      </c>
      <c r="C1436" s="15">
        <v>11</v>
      </c>
      <c r="D1436" s="16">
        <v>9</v>
      </c>
      <c r="E1436" s="22">
        <v>44116</v>
      </c>
      <c r="F1436" s="19">
        <v>50</v>
      </c>
      <c r="G1436" s="18">
        <v>0.09</v>
      </c>
      <c r="H1436">
        <f>F1436*VLOOKUP(B1436,產品!$A$2:$H$61,7,FALSE)*(1-銷售總表!G1436)</f>
        <v>45500</v>
      </c>
      <c r="I1436" s="35">
        <f>H1436-F1436*VLOOKUP(銷售總表!B1436,產品!$A$2:$H$61,8,FALSE)</f>
        <v>25500</v>
      </c>
      <c r="J1436" s="20">
        <f t="shared" si="22"/>
        <v>0.56043956043956045</v>
      </c>
    </row>
    <row r="1437" spans="1:10" x14ac:dyDescent="0.3">
      <c r="A1437" s="33">
        <v>1436</v>
      </c>
      <c r="B1437" s="4">
        <v>36</v>
      </c>
      <c r="C1437" s="15">
        <v>5</v>
      </c>
      <c r="D1437" s="16">
        <v>4</v>
      </c>
      <c r="E1437" s="22">
        <v>44116</v>
      </c>
      <c r="F1437" s="19">
        <v>6</v>
      </c>
      <c r="G1437" s="18">
        <v>0.13</v>
      </c>
      <c r="H1437">
        <f>F1437*VLOOKUP(B1437,產品!$A$2:$H$61,7,FALSE)*(1-銷售總表!G1437)</f>
        <v>46980</v>
      </c>
      <c r="I1437" s="35">
        <f>H1437-F1437*VLOOKUP(銷售總表!B1437,產品!$A$2:$H$61,8,FALSE)</f>
        <v>14580</v>
      </c>
      <c r="J1437" s="20">
        <f t="shared" si="22"/>
        <v>0.31034482758620691</v>
      </c>
    </row>
    <row r="1438" spans="1:10" x14ac:dyDescent="0.3">
      <c r="A1438" s="33">
        <v>1437</v>
      </c>
      <c r="B1438" s="4">
        <v>37</v>
      </c>
      <c r="C1438" s="15">
        <v>275</v>
      </c>
      <c r="D1438" s="16">
        <v>6</v>
      </c>
      <c r="E1438" s="22">
        <v>44117</v>
      </c>
      <c r="F1438" s="19">
        <v>15</v>
      </c>
      <c r="G1438" s="18">
        <v>0.06</v>
      </c>
      <c r="H1438">
        <f>F1438*VLOOKUP(B1438,產品!$A$2:$H$61,7,FALSE)*(1-銷售總表!G1438)</f>
        <v>169200</v>
      </c>
      <c r="I1438" s="35">
        <f>H1438-F1438*VLOOKUP(銷售總表!B1438,產品!$A$2:$H$61,8,FALSE)</f>
        <v>52200</v>
      </c>
      <c r="J1438" s="20">
        <f t="shared" si="22"/>
        <v>0.30851063829787234</v>
      </c>
    </row>
    <row r="1439" spans="1:10" x14ac:dyDescent="0.3">
      <c r="A1439" s="33">
        <v>1438</v>
      </c>
      <c r="B1439" s="4">
        <v>31</v>
      </c>
      <c r="C1439" s="15">
        <v>2</v>
      </c>
      <c r="D1439" s="16">
        <v>1</v>
      </c>
      <c r="E1439" s="22">
        <v>44117</v>
      </c>
      <c r="F1439" s="17">
        <v>13</v>
      </c>
      <c r="G1439" s="18">
        <v>0.13</v>
      </c>
      <c r="H1439">
        <f>F1439*VLOOKUP(B1439,產品!$A$2:$H$61,7,FALSE)*(1-銷售總表!G1439)</f>
        <v>79170</v>
      </c>
      <c r="I1439" s="35">
        <f>H1439-F1439*VLOOKUP(銷售總表!B1439,產品!$A$2:$H$61,8,FALSE)</f>
        <v>24570</v>
      </c>
      <c r="J1439" s="20">
        <f t="shared" si="22"/>
        <v>0.31034482758620691</v>
      </c>
    </row>
    <row r="1440" spans="1:10" x14ac:dyDescent="0.3">
      <c r="A1440" s="33">
        <v>1439</v>
      </c>
      <c r="B1440" s="4">
        <v>34</v>
      </c>
      <c r="C1440" s="15">
        <v>287</v>
      </c>
      <c r="D1440" s="16">
        <v>3</v>
      </c>
      <c r="E1440" s="22">
        <v>44117</v>
      </c>
      <c r="F1440" s="17">
        <v>8</v>
      </c>
      <c r="G1440" s="18">
        <v>7.0000000000000007E-2</v>
      </c>
      <c r="H1440">
        <f>F1440*VLOOKUP(B1440,產品!$A$2:$H$61,7,FALSE)*(1-銷售總表!G1440)</f>
        <v>59519.999999999993</v>
      </c>
      <c r="I1440" s="35">
        <f>H1440-F1440*VLOOKUP(銷售總表!B1440,產品!$A$2:$H$61,8,FALSE)</f>
        <v>21119.999999999993</v>
      </c>
      <c r="J1440" s="20">
        <f t="shared" si="22"/>
        <v>0.35483870967741926</v>
      </c>
    </row>
    <row r="1441" spans="1:10" x14ac:dyDescent="0.3">
      <c r="A1441" s="33">
        <v>1440</v>
      </c>
      <c r="B1441" s="4">
        <v>29</v>
      </c>
      <c r="C1441" s="15">
        <v>7</v>
      </c>
      <c r="D1441" s="16">
        <v>1</v>
      </c>
      <c r="E1441" s="22">
        <v>44117</v>
      </c>
      <c r="F1441" s="19">
        <v>3</v>
      </c>
      <c r="G1441" s="18">
        <v>0.17</v>
      </c>
      <c r="H1441">
        <f>F1441*VLOOKUP(B1441,產品!$A$2:$H$61,7,FALSE)*(1-銷售總表!G1441)</f>
        <v>14940</v>
      </c>
      <c r="I1441" s="35">
        <f>H1441-F1441*VLOOKUP(銷售總表!B1441,產品!$A$2:$H$61,8,FALSE)</f>
        <v>4140</v>
      </c>
      <c r="J1441" s="20">
        <f t="shared" si="22"/>
        <v>0.27710843373493976</v>
      </c>
    </row>
    <row r="1442" spans="1:10" x14ac:dyDescent="0.3">
      <c r="A1442" s="33">
        <v>1441</v>
      </c>
      <c r="B1442" s="4">
        <v>22</v>
      </c>
      <c r="C1442" s="15">
        <v>122</v>
      </c>
      <c r="D1442" s="16">
        <v>10</v>
      </c>
      <c r="E1442" s="22">
        <v>44118</v>
      </c>
      <c r="F1442" s="19">
        <v>100</v>
      </c>
      <c r="G1442" s="18">
        <v>0.18</v>
      </c>
      <c r="H1442">
        <f>F1442*VLOOKUP(B1442,產品!$A$2:$H$61,7,FALSE)*(1-銷售總表!G1442)</f>
        <v>147600</v>
      </c>
      <c r="I1442" s="35">
        <f>H1442-F1442*VLOOKUP(銷售總表!B1442,產品!$A$2:$H$61,8,FALSE)</f>
        <v>75600</v>
      </c>
      <c r="J1442" s="20">
        <f t="shared" si="22"/>
        <v>0.51219512195121952</v>
      </c>
    </row>
    <row r="1443" spans="1:10" x14ac:dyDescent="0.3">
      <c r="A1443" s="33">
        <v>1442</v>
      </c>
      <c r="B1443" s="4">
        <v>1</v>
      </c>
      <c r="C1443" s="15">
        <v>257</v>
      </c>
      <c r="D1443" s="16">
        <v>7</v>
      </c>
      <c r="E1443" s="22">
        <v>44118</v>
      </c>
      <c r="F1443" s="17">
        <v>12</v>
      </c>
      <c r="G1443" s="18">
        <v>0.17</v>
      </c>
      <c r="H1443">
        <f>F1443*VLOOKUP(B1443,產品!$A$2:$H$61,7,FALSE)*(1-銷售總表!G1443)</f>
        <v>9960</v>
      </c>
      <c r="I1443" s="35">
        <f>H1443-F1443*VLOOKUP(銷售總表!B1443,產品!$A$2:$H$61,8,FALSE)</f>
        <v>5160</v>
      </c>
      <c r="J1443" s="20">
        <f t="shared" si="22"/>
        <v>0.51807228915662651</v>
      </c>
    </row>
    <row r="1444" spans="1:10" x14ac:dyDescent="0.3">
      <c r="A1444" s="33">
        <v>1443</v>
      </c>
      <c r="B1444" s="4">
        <v>15</v>
      </c>
      <c r="C1444" s="15">
        <v>258</v>
      </c>
      <c r="D1444" s="16">
        <v>6</v>
      </c>
      <c r="E1444" s="22">
        <v>44119</v>
      </c>
      <c r="F1444" s="19">
        <v>150</v>
      </c>
      <c r="G1444" s="18">
        <v>0.08</v>
      </c>
      <c r="H1444">
        <f>F1444*VLOOKUP(B1444,產品!$A$2:$H$61,7,FALSE)*(1-銷售總表!G1444)</f>
        <v>248400</v>
      </c>
      <c r="I1444" s="35">
        <f>H1444-F1444*VLOOKUP(銷售總表!B1444,產品!$A$2:$H$61,8,FALSE)</f>
        <v>140400</v>
      </c>
      <c r="J1444" s="20">
        <f t="shared" si="22"/>
        <v>0.56521739130434778</v>
      </c>
    </row>
    <row r="1445" spans="1:10" x14ac:dyDescent="0.3">
      <c r="A1445" s="33">
        <v>1444</v>
      </c>
      <c r="B1445" s="4">
        <v>18</v>
      </c>
      <c r="C1445" s="15">
        <v>5</v>
      </c>
      <c r="D1445" s="16">
        <v>2</v>
      </c>
      <c r="E1445" s="22">
        <v>44119</v>
      </c>
      <c r="F1445" s="17">
        <v>60</v>
      </c>
      <c r="G1445" s="18">
        <v>0.08</v>
      </c>
      <c r="H1445">
        <f>F1445*VLOOKUP(B1445,產品!$A$2:$H$61,7,FALSE)*(1-銷售總表!G1445)</f>
        <v>99360</v>
      </c>
      <c r="I1445" s="35">
        <f>H1445-F1445*VLOOKUP(銷售總表!B1445,產品!$A$2:$H$61,8,FALSE)</f>
        <v>56160</v>
      </c>
      <c r="J1445" s="20">
        <f t="shared" si="22"/>
        <v>0.56521739130434778</v>
      </c>
    </row>
    <row r="1446" spans="1:10" x14ac:dyDescent="0.3">
      <c r="A1446" s="33">
        <v>1445</v>
      </c>
      <c r="B1446" s="4">
        <v>53</v>
      </c>
      <c r="C1446" s="15">
        <v>113</v>
      </c>
      <c r="D1446" s="16">
        <v>6</v>
      </c>
      <c r="E1446" s="22">
        <v>44119</v>
      </c>
      <c r="F1446" s="17">
        <v>13</v>
      </c>
      <c r="G1446" s="18">
        <v>0.08</v>
      </c>
      <c r="H1446">
        <f>F1446*VLOOKUP(B1446,產品!$A$2:$H$61,7,FALSE)*(1-銷售總表!G1446)</f>
        <v>179400</v>
      </c>
      <c r="I1446" s="35">
        <f>H1446-F1446*VLOOKUP(銷售總表!B1446,產品!$A$2:$H$61,8,FALSE)</f>
        <v>42900</v>
      </c>
      <c r="J1446" s="20">
        <f t="shared" si="22"/>
        <v>0.2391304347826087</v>
      </c>
    </row>
    <row r="1447" spans="1:10" x14ac:dyDescent="0.3">
      <c r="A1447" s="33">
        <v>1446</v>
      </c>
      <c r="B1447" s="4">
        <v>1</v>
      </c>
      <c r="C1447" s="15">
        <v>293</v>
      </c>
      <c r="D1447" s="16">
        <v>3</v>
      </c>
      <c r="E1447" s="22">
        <v>44119</v>
      </c>
      <c r="F1447" s="17">
        <v>60</v>
      </c>
      <c r="G1447" s="18">
        <v>0.19</v>
      </c>
      <c r="H1447">
        <f>F1447*VLOOKUP(B1447,產品!$A$2:$H$61,7,FALSE)*(1-銷售總表!G1447)</f>
        <v>48600</v>
      </c>
      <c r="I1447" s="35">
        <f>H1447-F1447*VLOOKUP(銷售總表!B1447,產品!$A$2:$H$61,8,FALSE)</f>
        <v>24600</v>
      </c>
      <c r="J1447" s="20">
        <f t="shared" si="22"/>
        <v>0.50617283950617287</v>
      </c>
    </row>
    <row r="1448" spans="1:10" x14ac:dyDescent="0.3">
      <c r="A1448" s="33">
        <v>1447</v>
      </c>
      <c r="B1448" s="4">
        <v>10</v>
      </c>
      <c r="C1448" s="15">
        <v>264</v>
      </c>
      <c r="D1448" s="16">
        <v>9</v>
      </c>
      <c r="E1448" s="22">
        <v>44119</v>
      </c>
      <c r="F1448" s="19">
        <v>50</v>
      </c>
      <c r="G1448" s="18">
        <v>0.12</v>
      </c>
      <c r="H1448">
        <f>F1448*VLOOKUP(B1448,產品!$A$2:$H$61,7,FALSE)*(1-銷售總表!G1448)</f>
        <v>44000</v>
      </c>
      <c r="I1448" s="35">
        <f>H1448-F1448*VLOOKUP(銷售總表!B1448,產品!$A$2:$H$61,8,FALSE)</f>
        <v>24000</v>
      </c>
      <c r="J1448" s="20">
        <f t="shared" si="22"/>
        <v>0.54545454545454541</v>
      </c>
    </row>
    <row r="1449" spans="1:10" x14ac:dyDescent="0.3">
      <c r="A1449" s="33">
        <v>1448</v>
      </c>
      <c r="B1449" s="4">
        <v>33</v>
      </c>
      <c r="C1449" s="15">
        <v>124</v>
      </c>
      <c r="D1449" s="16">
        <v>8</v>
      </c>
      <c r="E1449" s="22">
        <v>44119</v>
      </c>
      <c r="F1449" s="19">
        <v>8</v>
      </c>
      <c r="G1449" s="18">
        <v>0.05</v>
      </c>
      <c r="H1449">
        <f>F1449*VLOOKUP(B1449,產品!$A$2:$H$61,7,FALSE)*(1-銷售總表!G1449)</f>
        <v>57000</v>
      </c>
      <c r="I1449" s="35">
        <f>H1449-F1449*VLOOKUP(銷售總表!B1449,產品!$A$2:$H$61,8,FALSE)</f>
        <v>21000</v>
      </c>
      <c r="J1449" s="20">
        <f t="shared" si="22"/>
        <v>0.36842105263157893</v>
      </c>
    </row>
    <row r="1450" spans="1:10" x14ac:dyDescent="0.3">
      <c r="A1450" s="33">
        <v>1449</v>
      </c>
      <c r="B1450" s="4">
        <v>19</v>
      </c>
      <c r="C1450" s="15">
        <v>121</v>
      </c>
      <c r="D1450" s="16">
        <v>10</v>
      </c>
      <c r="E1450" s="22">
        <v>44119</v>
      </c>
      <c r="F1450" s="19">
        <v>20</v>
      </c>
      <c r="G1450" s="18">
        <v>0.15</v>
      </c>
      <c r="H1450">
        <f>F1450*VLOOKUP(B1450,產品!$A$2:$H$61,7,FALSE)*(1-銷售總表!G1450)</f>
        <v>30600</v>
      </c>
      <c r="I1450" s="35">
        <f>H1450-F1450*VLOOKUP(銷售總表!B1450,產品!$A$2:$H$61,8,FALSE)</f>
        <v>16200</v>
      </c>
      <c r="J1450" s="20">
        <f t="shared" si="22"/>
        <v>0.52941176470588236</v>
      </c>
    </row>
    <row r="1451" spans="1:10" x14ac:dyDescent="0.3">
      <c r="A1451" s="33">
        <v>1450</v>
      </c>
      <c r="B1451" s="4">
        <v>33</v>
      </c>
      <c r="C1451" s="15">
        <v>280</v>
      </c>
      <c r="D1451" s="16">
        <v>8</v>
      </c>
      <c r="E1451" s="22">
        <v>44119</v>
      </c>
      <c r="F1451" s="17">
        <v>6</v>
      </c>
      <c r="G1451" s="18">
        <v>0.05</v>
      </c>
      <c r="H1451">
        <f>F1451*VLOOKUP(B1451,產品!$A$2:$H$61,7,FALSE)*(1-銷售總表!G1451)</f>
        <v>42750</v>
      </c>
      <c r="I1451" s="35">
        <f>H1451-F1451*VLOOKUP(銷售總表!B1451,產品!$A$2:$H$61,8,FALSE)</f>
        <v>15750</v>
      </c>
      <c r="J1451" s="20">
        <f t="shared" si="22"/>
        <v>0.36842105263157893</v>
      </c>
    </row>
    <row r="1452" spans="1:10" x14ac:dyDescent="0.3">
      <c r="A1452" s="33">
        <v>1451</v>
      </c>
      <c r="B1452" s="4">
        <v>29</v>
      </c>
      <c r="C1452" s="15">
        <v>282</v>
      </c>
      <c r="D1452" s="16">
        <v>1</v>
      </c>
      <c r="E1452" s="22">
        <v>44119</v>
      </c>
      <c r="F1452" s="17">
        <v>5</v>
      </c>
      <c r="G1452" s="18">
        <v>0.17</v>
      </c>
      <c r="H1452">
        <f>F1452*VLOOKUP(B1452,產品!$A$2:$H$61,7,FALSE)*(1-銷售總表!G1452)</f>
        <v>24900</v>
      </c>
      <c r="I1452" s="35">
        <f>H1452-F1452*VLOOKUP(銷售總表!B1452,產品!$A$2:$H$61,8,FALSE)</f>
        <v>6900</v>
      </c>
      <c r="J1452" s="20">
        <f t="shared" si="22"/>
        <v>0.27710843373493976</v>
      </c>
    </row>
    <row r="1453" spans="1:10" x14ac:dyDescent="0.3">
      <c r="A1453" s="33">
        <v>1452</v>
      </c>
      <c r="B1453" s="4">
        <v>36</v>
      </c>
      <c r="C1453" s="15">
        <v>135</v>
      </c>
      <c r="D1453" s="16">
        <v>3</v>
      </c>
      <c r="E1453" s="22">
        <v>44120</v>
      </c>
      <c r="F1453" s="19">
        <v>15</v>
      </c>
      <c r="G1453" s="18">
        <v>0.16</v>
      </c>
      <c r="H1453">
        <f>F1453*VLOOKUP(B1453,產品!$A$2:$H$61,7,FALSE)*(1-銷售總表!G1453)</f>
        <v>113400</v>
      </c>
      <c r="I1453" s="35">
        <f>H1453-F1453*VLOOKUP(銷售總表!B1453,產品!$A$2:$H$61,8,FALSE)</f>
        <v>32400</v>
      </c>
      <c r="J1453" s="20">
        <f t="shared" si="22"/>
        <v>0.2857142857142857</v>
      </c>
    </row>
    <row r="1454" spans="1:10" x14ac:dyDescent="0.3">
      <c r="A1454" s="33">
        <v>1453</v>
      </c>
      <c r="B1454" s="4">
        <v>43</v>
      </c>
      <c r="C1454" s="15">
        <v>275</v>
      </c>
      <c r="D1454" s="16">
        <v>7</v>
      </c>
      <c r="E1454" s="22">
        <v>44120</v>
      </c>
      <c r="F1454" s="17">
        <v>6</v>
      </c>
      <c r="G1454" s="18">
        <v>0.14000000000000001</v>
      </c>
      <c r="H1454">
        <f>F1454*VLOOKUP(B1454,產品!$A$2:$H$61,7,FALSE)*(1-銷售總表!G1454)</f>
        <v>92880</v>
      </c>
      <c r="I1454" s="35">
        <f>H1454-F1454*VLOOKUP(銷售總表!B1454,產品!$A$2:$H$61,8,FALSE)</f>
        <v>22680</v>
      </c>
      <c r="J1454" s="20">
        <f t="shared" si="22"/>
        <v>0.2441860465116279</v>
      </c>
    </row>
    <row r="1455" spans="1:10" x14ac:dyDescent="0.3">
      <c r="A1455" s="33">
        <v>1454</v>
      </c>
      <c r="B1455" s="4">
        <v>16</v>
      </c>
      <c r="C1455" s="15">
        <v>291</v>
      </c>
      <c r="D1455" s="16">
        <v>5</v>
      </c>
      <c r="E1455" s="22">
        <v>44120</v>
      </c>
      <c r="F1455" s="17">
        <v>16</v>
      </c>
      <c r="G1455" s="18">
        <v>0.18</v>
      </c>
      <c r="H1455">
        <f>F1455*VLOOKUP(B1455,產品!$A$2:$H$61,7,FALSE)*(1-銷售總表!G1455)</f>
        <v>23616</v>
      </c>
      <c r="I1455" s="35">
        <f>H1455-F1455*VLOOKUP(銷售總表!B1455,產品!$A$2:$H$61,8,FALSE)</f>
        <v>12096</v>
      </c>
      <c r="J1455" s="20">
        <f t="shared" si="22"/>
        <v>0.51219512195121952</v>
      </c>
    </row>
    <row r="1456" spans="1:10" x14ac:dyDescent="0.3">
      <c r="A1456" s="33">
        <v>1455</v>
      </c>
      <c r="B1456" s="4">
        <v>5</v>
      </c>
      <c r="C1456" s="15">
        <v>6</v>
      </c>
      <c r="D1456" s="16">
        <v>1</v>
      </c>
      <c r="E1456" s="22">
        <v>44120</v>
      </c>
      <c r="F1456" s="19">
        <v>12</v>
      </c>
      <c r="G1456" s="18">
        <v>0.09</v>
      </c>
      <c r="H1456">
        <f>F1456*VLOOKUP(B1456,產品!$A$2:$H$61,7,FALSE)*(1-銷售總表!G1456)</f>
        <v>10920</v>
      </c>
      <c r="I1456" s="35">
        <f>H1456-F1456*VLOOKUP(銷售總表!B1456,產品!$A$2:$H$61,8,FALSE)</f>
        <v>6120</v>
      </c>
      <c r="J1456" s="20">
        <f t="shared" si="22"/>
        <v>0.56043956043956045</v>
      </c>
    </row>
    <row r="1457" spans="1:10" x14ac:dyDescent="0.3">
      <c r="A1457" s="33">
        <v>1456</v>
      </c>
      <c r="B1457" s="4">
        <v>29</v>
      </c>
      <c r="C1457" s="15">
        <v>285</v>
      </c>
      <c r="D1457" s="16">
        <v>2</v>
      </c>
      <c r="E1457" s="22">
        <v>44120</v>
      </c>
      <c r="F1457" s="17">
        <v>2</v>
      </c>
      <c r="G1457" s="18">
        <v>0.12</v>
      </c>
      <c r="H1457">
        <f>F1457*VLOOKUP(B1457,產品!$A$2:$H$61,7,FALSE)*(1-銷售總表!G1457)</f>
        <v>10560</v>
      </c>
      <c r="I1457" s="35">
        <f>H1457-F1457*VLOOKUP(銷售總表!B1457,產品!$A$2:$H$61,8,FALSE)</f>
        <v>3360</v>
      </c>
      <c r="J1457" s="20">
        <f t="shared" si="22"/>
        <v>0.31818181818181818</v>
      </c>
    </row>
    <row r="1458" spans="1:10" x14ac:dyDescent="0.3">
      <c r="A1458" s="33">
        <v>1457</v>
      </c>
      <c r="B1458" s="4">
        <v>22</v>
      </c>
      <c r="C1458" s="15">
        <v>288</v>
      </c>
      <c r="D1458" s="16">
        <v>6</v>
      </c>
      <c r="E1458" s="22">
        <v>44121</v>
      </c>
      <c r="F1458" s="19">
        <v>75</v>
      </c>
      <c r="G1458" s="18">
        <v>0.09</v>
      </c>
      <c r="H1458">
        <f>F1458*VLOOKUP(B1458,產品!$A$2:$H$61,7,FALSE)*(1-銷售總表!G1458)</f>
        <v>122850</v>
      </c>
      <c r="I1458" s="35">
        <f>H1458-F1458*VLOOKUP(銷售總表!B1458,產品!$A$2:$H$61,8,FALSE)</f>
        <v>68850</v>
      </c>
      <c r="J1458" s="20">
        <f t="shared" si="22"/>
        <v>0.56043956043956045</v>
      </c>
    </row>
    <row r="1459" spans="1:10" x14ac:dyDescent="0.3">
      <c r="A1459" s="33">
        <v>1458</v>
      </c>
      <c r="B1459" s="4">
        <v>3</v>
      </c>
      <c r="C1459" s="15">
        <v>259</v>
      </c>
      <c r="D1459" s="16">
        <v>5</v>
      </c>
      <c r="E1459" s="22">
        <v>44121</v>
      </c>
      <c r="F1459" s="17">
        <v>60</v>
      </c>
      <c r="G1459" s="18">
        <v>0.2</v>
      </c>
      <c r="H1459">
        <f>F1459*VLOOKUP(B1459,產品!$A$2:$H$61,7,FALSE)*(1-銷售總表!G1459)</f>
        <v>48000</v>
      </c>
      <c r="I1459" s="35">
        <f>H1459-F1459*VLOOKUP(銷售總表!B1459,產品!$A$2:$H$61,8,FALSE)</f>
        <v>24000</v>
      </c>
      <c r="J1459" s="20">
        <f t="shared" si="22"/>
        <v>0.5</v>
      </c>
    </row>
    <row r="1460" spans="1:10" x14ac:dyDescent="0.3">
      <c r="A1460" s="33">
        <v>1459</v>
      </c>
      <c r="B1460" s="4">
        <v>54</v>
      </c>
      <c r="C1460" s="15">
        <v>140</v>
      </c>
      <c r="D1460" s="16">
        <v>7</v>
      </c>
      <c r="E1460" s="22">
        <v>44121</v>
      </c>
      <c r="F1460" s="17">
        <v>5</v>
      </c>
      <c r="G1460" s="18">
        <v>0.1</v>
      </c>
      <c r="H1460">
        <f>F1460*VLOOKUP(B1460,產品!$A$2:$H$61,7,FALSE)*(1-銷售總表!G1460)</f>
        <v>81000</v>
      </c>
      <c r="I1460" s="35">
        <f>H1460-F1460*VLOOKUP(銷售總表!B1460,產品!$A$2:$H$61,8,FALSE)</f>
        <v>18000</v>
      </c>
      <c r="J1460" s="20">
        <f t="shared" si="22"/>
        <v>0.22222222222222221</v>
      </c>
    </row>
    <row r="1461" spans="1:10" x14ac:dyDescent="0.3">
      <c r="A1461" s="33">
        <v>1460</v>
      </c>
      <c r="B1461" s="4">
        <v>24</v>
      </c>
      <c r="C1461" s="15">
        <v>7</v>
      </c>
      <c r="D1461" s="16">
        <v>5</v>
      </c>
      <c r="E1461" s="22">
        <v>44121</v>
      </c>
      <c r="F1461" s="17">
        <v>10</v>
      </c>
      <c r="G1461" s="18">
        <v>0.06</v>
      </c>
      <c r="H1461">
        <f>F1461*VLOOKUP(B1461,產品!$A$2:$H$61,7,FALSE)*(1-銷售總表!G1461)</f>
        <v>16920</v>
      </c>
      <c r="I1461" s="35">
        <f>H1461-F1461*VLOOKUP(銷售總表!B1461,產品!$A$2:$H$61,8,FALSE)</f>
        <v>9720</v>
      </c>
      <c r="J1461" s="20">
        <f t="shared" si="22"/>
        <v>0.57446808510638303</v>
      </c>
    </row>
    <row r="1462" spans="1:10" x14ac:dyDescent="0.3">
      <c r="A1462" s="33">
        <v>1461</v>
      </c>
      <c r="B1462" s="4">
        <v>16</v>
      </c>
      <c r="C1462" s="15">
        <v>126</v>
      </c>
      <c r="D1462" s="16">
        <v>8</v>
      </c>
      <c r="E1462" s="22">
        <v>44121</v>
      </c>
      <c r="F1462" s="17">
        <v>10</v>
      </c>
      <c r="G1462" s="18">
        <v>0.09</v>
      </c>
      <c r="H1462">
        <f>F1462*VLOOKUP(B1462,產品!$A$2:$H$61,7,FALSE)*(1-銷售總表!G1462)</f>
        <v>16380</v>
      </c>
      <c r="I1462" s="35">
        <f>H1462-F1462*VLOOKUP(銷售總表!B1462,產品!$A$2:$H$61,8,FALSE)</f>
        <v>9180</v>
      </c>
      <c r="J1462" s="20">
        <f t="shared" si="22"/>
        <v>0.56043956043956045</v>
      </c>
    </row>
    <row r="1463" spans="1:10" x14ac:dyDescent="0.3">
      <c r="A1463" s="33">
        <v>1462</v>
      </c>
      <c r="B1463" s="4">
        <v>7</v>
      </c>
      <c r="C1463" s="15">
        <v>283</v>
      </c>
      <c r="D1463" s="16">
        <v>3</v>
      </c>
      <c r="E1463" s="22">
        <v>44122</v>
      </c>
      <c r="F1463" s="17">
        <v>250</v>
      </c>
      <c r="G1463" s="18">
        <v>0.08</v>
      </c>
      <c r="H1463">
        <f>F1463*VLOOKUP(B1463,產品!$A$2:$H$61,7,FALSE)*(1-銷售總表!G1463)</f>
        <v>230000</v>
      </c>
      <c r="I1463" s="35">
        <f>H1463-F1463*VLOOKUP(銷售總表!B1463,產品!$A$2:$H$61,8,FALSE)</f>
        <v>130000</v>
      </c>
      <c r="J1463" s="20">
        <f t="shared" si="22"/>
        <v>0.56521739130434778</v>
      </c>
    </row>
    <row r="1464" spans="1:10" x14ac:dyDescent="0.3">
      <c r="A1464" s="33">
        <v>1463</v>
      </c>
      <c r="B1464" s="4">
        <v>15</v>
      </c>
      <c r="C1464" s="15">
        <v>137</v>
      </c>
      <c r="D1464" s="16">
        <v>3</v>
      </c>
      <c r="E1464" s="22">
        <v>44122</v>
      </c>
      <c r="F1464" s="17">
        <v>45</v>
      </c>
      <c r="G1464" s="18">
        <v>0.08</v>
      </c>
      <c r="H1464">
        <f>F1464*VLOOKUP(B1464,產品!$A$2:$H$61,7,FALSE)*(1-銷售總表!G1464)</f>
        <v>74520</v>
      </c>
      <c r="I1464" s="35">
        <f>H1464-F1464*VLOOKUP(銷售總表!B1464,產品!$A$2:$H$61,8,FALSE)</f>
        <v>42120</v>
      </c>
      <c r="J1464" s="20">
        <f t="shared" si="22"/>
        <v>0.56521739130434778</v>
      </c>
    </row>
    <row r="1465" spans="1:10" x14ac:dyDescent="0.3">
      <c r="A1465" s="33">
        <v>1464</v>
      </c>
      <c r="B1465" s="4">
        <v>50</v>
      </c>
      <c r="C1465" s="15">
        <v>4</v>
      </c>
      <c r="D1465" s="16">
        <v>6</v>
      </c>
      <c r="E1465" s="22">
        <v>44122</v>
      </c>
      <c r="F1465" s="19">
        <v>15</v>
      </c>
      <c r="G1465" s="18">
        <v>0.2</v>
      </c>
      <c r="H1465">
        <f>F1465*VLOOKUP(B1465,產品!$A$2:$H$61,7,FALSE)*(1-銷售總表!G1465)</f>
        <v>216000</v>
      </c>
      <c r="I1465" s="35">
        <f>H1465-F1465*VLOOKUP(銷售總表!B1465,產品!$A$2:$H$61,8,FALSE)</f>
        <v>27000</v>
      </c>
      <c r="J1465" s="20">
        <f t="shared" si="22"/>
        <v>0.125</v>
      </c>
    </row>
    <row r="1466" spans="1:10" x14ac:dyDescent="0.3">
      <c r="A1466" s="33">
        <v>1465</v>
      </c>
      <c r="B1466" s="4">
        <v>24</v>
      </c>
      <c r="C1466" s="15">
        <v>118</v>
      </c>
      <c r="D1466" s="16">
        <v>3</v>
      </c>
      <c r="E1466" s="22">
        <v>44122</v>
      </c>
      <c r="F1466" s="19">
        <v>20</v>
      </c>
      <c r="G1466" s="18">
        <v>0.14000000000000001</v>
      </c>
      <c r="H1466">
        <f>F1466*VLOOKUP(B1466,產品!$A$2:$H$61,7,FALSE)*(1-銷售總表!G1466)</f>
        <v>30960</v>
      </c>
      <c r="I1466" s="35">
        <f>H1466-F1466*VLOOKUP(銷售總表!B1466,產品!$A$2:$H$61,8,FALSE)</f>
        <v>16560</v>
      </c>
      <c r="J1466" s="20">
        <f t="shared" si="22"/>
        <v>0.53488372093023251</v>
      </c>
    </row>
    <row r="1467" spans="1:10" x14ac:dyDescent="0.3">
      <c r="A1467" s="33">
        <v>1466</v>
      </c>
      <c r="B1467" s="4">
        <v>3</v>
      </c>
      <c r="C1467" s="15">
        <v>260</v>
      </c>
      <c r="D1467" s="16">
        <v>10</v>
      </c>
      <c r="E1467" s="22">
        <v>44122</v>
      </c>
      <c r="F1467" s="19">
        <v>20</v>
      </c>
      <c r="G1467" s="18">
        <v>0.11</v>
      </c>
      <c r="H1467">
        <f>F1467*VLOOKUP(B1467,產品!$A$2:$H$61,7,FALSE)*(1-銷售總表!G1467)</f>
        <v>17800</v>
      </c>
      <c r="I1467" s="35">
        <f>H1467-F1467*VLOOKUP(銷售總表!B1467,產品!$A$2:$H$61,8,FALSE)</f>
        <v>9800</v>
      </c>
      <c r="J1467" s="20">
        <f t="shared" si="22"/>
        <v>0.550561797752809</v>
      </c>
    </row>
    <row r="1468" spans="1:10" x14ac:dyDescent="0.3">
      <c r="A1468" s="33">
        <v>1467</v>
      </c>
      <c r="B1468" s="4">
        <v>32</v>
      </c>
      <c r="C1468" s="15">
        <v>8</v>
      </c>
      <c r="D1468" s="16">
        <v>4</v>
      </c>
      <c r="E1468" s="22">
        <v>44122</v>
      </c>
      <c r="F1468" s="17">
        <v>2</v>
      </c>
      <c r="G1468" s="18">
        <v>0.05</v>
      </c>
      <c r="H1468">
        <f>F1468*VLOOKUP(B1468,產品!$A$2:$H$61,7,FALSE)*(1-銷售總表!G1468)</f>
        <v>14250</v>
      </c>
      <c r="I1468" s="35">
        <f>H1468-F1468*VLOOKUP(銷售總表!B1468,產品!$A$2:$H$61,8,FALSE)</f>
        <v>5250</v>
      </c>
      <c r="J1468" s="20">
        <f t="shared" si="22"/>
        <v>0.36842105263157893</v>
      </c>
    </row>
    <row r="1469" spans="1:10" x14ac:dyDescent="0.3">
      <c r="A1469" s="33">
        <v>1468</v>
      </c>
      <c r="B1469" s="4">
        <v>48</v>
      </c>
      <c r="C1469" s="15">
        <v>267</v>
      </c>
      <c r="D1469" s="16">
        <v>1</v>
      </c>
      <c r="E1469" s="22">
        <v>44123</v>
      </c>
      <c r="F1469" s="17">
        <v>10</v>
      </c>
      <c r="G1469" s="18">
        <v>0.14000000000000001</v>
      </c>
      <c r="H1469">
        <f>F1469*VLOOKUP(B1469,產品!$A$2:$H$61,7,FALSE)*(1-銷售總表!G1469)</f>
        <v>189200</v>
      </c>
      <c r="I1469" s="35">
        <f>H1469-F1469*VLOOKUP(銷售總表!B1469,產品!$A$2:$H$61,8,FALSE)</f>
        <v>46200</v>
      </c>
      <c r="J1469" s="20">
        <f t="shared" si="22"/>
        <v>0.2441860465116279</v>
      </c>
    </row>
    <row r="1470" spans="1:10" x14ac:dyDescent="0.3">
      <c r="A1470" s="33">
        <v>1469</v>
      </c>
      <c r="B1470" s="4">
        <v>34</v>
      </c>
      <c r="C1470" s="15">
        <v>10</v>
      </c>
      <c r="D1470" s="16">
        <v>3</v>
      </c>
      <c r="E1470" s="22">
        <v>44123</v>
      </c>
      <c r="F1470" s="17">
        <v>15</v>
      </c>
      <c r="G1470" s="18">
        <v>0.1</v>
      </c>
      <c r="H1470">
        <f>F1470*VLOOKUP(B1470,產品!$A$2:$H$61,7,FALSE)*(1-銷售總表!G1470)</f>
        <v>108000</v>
      </c>
      <c r="I1470" s="35">
        <f>H1470-F1470*VLOOKUP(銷售總表!B1470,產品!$A$2:$H$61,8,FALSE)</f>
        <v>36000</v>
      </c>
      <c r="J1470" s="20">
        <f t="shared" si="22"/>
        <v>0.33333333333333331</v>
      </c>
    </row>
    <row r="1471" spans="1:10" x14ac:dyDescent="0.3">
      <c r="A1471" s="33">
        <v>1470</v>
      </c>
      <c r="B1471" s="4">
        <v>41</v>
      </c>
      <c r="C1471" s="15">
        <v>285</v>
      </c>
      <c r="D1471" s="16">
        <v>4</v>
      </c>
      <c r="E1471" s="22">
        <v>44123</v>
      </c>
      <c r="F1471" s="19">
        <v>4</v>
      </c>
      <c r="G1471" s="18">
        <v>0.08</v>
      </c>
      <c r="H1471">
        <f>F1471*VLOOKUP(B1471,產品!$A$2:$H$61,7,FALSE)*(1-銷售總表!G1471)</f>
        <v>44160</v>
      </c>
      <c r="I1471" s="35">
        <f>H1471-F1471*VLOOKUP(銷售總表!B1471,產品!$A$2:$H$61,8,FALSE)</f>
        <v>12960</v>
      </c>
      <c r="J1471" s="20">
        <f t="shared" si="22"/>
        <v>0.29347826086956524</v>
      </c>
    </row>
    <row r="1472" spans="1:10" x14ac:dyDescent="0.3">
      <c r="A1472" s="33">
        <v>1471</v>
      </c>
      <c r="B1472" s="4">
        <v>40</v>
      </c>
      <c r="C1472" s="15">
        <v>280</v>
      </c>
      <c r="D1472" s="16">
        <v>5</v>
      </c>
      <c r="E1472" s="22">
        <v>44123</v>
      </c>
      <c r="F1472" s="17">
        <v>3</v>
      </c>
      <c r="G1472" s="18">
        <v>0.19</v>
      </c>
      <c r="H1472">
        <f>F1472*VLOOKUP(B1472,產品!$A$2:$H$61,7,FALSE)*(1-銷售總表!G1472)</f>
        <v>48600</v>
      </c>
      <c r="I1472" s="35">
        <f>H1472-F1472*VLOOKUP(銷售總表!B1472,產品!$A$2:$H$61,8,FALSE)</f>
        <v>9600</v>
      </c>
      <c r="J1472" s="20">
        <f t="shared" si="22"/>
        <v>0.19753086419753085</v>
      </c>
    </row>
    <row r="1473" spans="1:10" x14ac:dyDescent="0.3">
      <c r="A1473" s="33">
        <v>1472</v>
      </c>
      <c r="B1473" s="4">
        <v>21</v>
      </c>
      <c r="C1473" s="15">
        <v>116</v>
      </c>
      <c r="D1473" s="16">
        <v>5</v>
      </c>
      <c r="E1473" s="22">
        <v>44124</v>
      </c>
      <c r="F1473" s="19">
        <v>70</v>
      </c>
      <c r="G1473" s="18">
        <v>0.1</v>
      </c>
      <c r="H1473">
        <f>F1473*VLOOKUP(B1473,產品!$A$2:$H$61,7,FALSE)*(1-銷售總表!G1473)</f>
        <v>113400</v>
      </c>
      <c r="I1473" s="35">
        <f>H1473-F1473*VLOOKUP(銷售總表!B1473,產品!$A$2:$H$61,8,FALSE)</f>
        <v>63000</v>
      </c>
      <c r="J1473" s="20">
        <f t="shared" si="22"/>
        <v>0.55555555555555558</v>
      </c>
    </row>
    <row r="1474" spans="1:10" x14ac:dyDescent="0.3">
      <c r="A1474" s="33">
        <v>1473</v>
      </c>
      <c r="B1474" s="4">
        <v>47</v>
      </c>
      <c r="C1474" s="15">
        <v>134</v>
      </c>
      <c r="D1474" s="16">
        <v>2</v>
      </c>
      <c r="E1474" s="22">
        <v>44124</v>
      </c>
      <c r="F1474" s="17">
        <v>10</v>
      </c>
      <c r="G1474" s="18">
        <v>0.1</v>
      </c>
      <c r="H1474">
        <f>F1474*VLOOKUP(B1474,產品!$A$2:$H$61,7,FALSE)*(1-銷售總表!G1474)</f>
        <v>180000</v>
      </c>
      <c r="I1474" s="35">
        <f>H1474-F1474*VLOOKUP(銷售總表!B1474,產品!$A$2:$H$61,8,FALSE)</f>
        <v>50000</v>
      </c>
      <c r="J1474" s="20">
        <f t="shared" si="22"/>
        <v>0.27777777777777779</v>
      </c>
    </row>
    <row r="1475" spans="1:10" x14ac:dyDescent="0.3">
      <c r="A1475" s="33">
        <v>1474</v>
      </c>
      <c r="B1475" s="4">
        <v>14</v>
      </c>
      <c r="C1475" s="15">
        <v>264</v>
      </c>
      <c r="D1475" s="16">
        <v>4</v>
      </c>
      <c r="E1475" s="22">
        <v>44124</v>
      </c>
      <c r="F1475" s="17">
        <v>20</v>
      </c>
      <c r="G1475" s="18">
        <v>0.16</v>
      </c>
      <c r="H1475">
        <f>F1475*VLOOKUP(B1475,產品!$A$2:$H$61,7,FALSE)*(1-銷售總表!G1475)</f>
        <v>30240</v>
      </c>
      <c r="I1475" s="35">
        <f>H1475-F1475*VLOOKUP(銷售總表!B1475,產品!$A$2:$H$61,8,FALSE)</f>
        <v>15840</v>
      </c>
      <c r="J1475" s="20">
        <f t="shared" ref="J1475:J1538" si="23">I1475/H1475</f>
        <v>0.52380952380952384</v>
      </c>
    </row>
    <row r="1476" spans="1:10" x14ac:dyDescent="0.3">
      <c r="A1476" s="33">
        <v>1475</v>
      </c>
      <c r="B1476" s="4">
        <v>10</v>
      </c>
      <c r="C1476" s="15">
        <v>115</v>
      </c>
      <c r="D1476" s="16">
        <v>5</v>
      </c>
      <c r="E1476" s="22">
        <v>44125</v>
      </c>
      <c r="F1476" s="17">
        <v>10</v>
      </c>
      <c r="G1476" s="18">
        <v>0.12</v>
      </c>
      <c r="H1476">
        <f>F1476*VLOOKUP(B1476,產品!$A$2:$H$61,7,FALSE)*(1-銷售總表!G1476)</f>
        <v>8800</v>
      </c>
      <c r="I1476" s="35">
        <f>H1476-F1476*VLOOKUP(銷售總表!B1476,產品!$A$2:$H$61,8,FALSE)</f>
        <v>4800</v>
      </c>
      <c r="J1476" s="20">
        <f t="shared" si="23"/>
        <v>0.54545454545454541</v>
      </c>
    </row>
    <row r="1477" spans="1:10" x14ac:dyDescent="0.3">
      <c r="A1477" s="33">
        <v>1476</v>
      </c>
      <c r="B1477" s="4">
        <v>6</v>
      </c>
      <c r="C1477" s="15">
        <v>134</v>
      </c>
      <c r="D1477" s="16">
        <v>9</v>
      </c>
      <c r="E1477" s="22">
        <v>44125</v>
      </c>
      <c r="F1477" s="17">
        <v>10</v>
      </c>
      <c r="G1477" s="18">
        <v>0.13</v>
      </c>
      <c r="H1477">
        <f>F1477*VLOOKUP(B1477,產品!$A$2:$H$61,7,FALSE)*(1-銷售總表!G1477)</f>
        <v>8700</v>
      </c>
      <c r="I1477" s="35">
        <f>H1477-F1477*VLOOKUP(銷售總表!B1477,產品!$A$2:$H$61,8,FALSE)</f>
        <v>4700</v>
      </c>
      <c r="J1477" s="20">
        <f t="shared" si="23"/>
        <v>0.54022988505747127</v>
      </c>
    </row>
    <row r="1478" spans="1:10" x14ac:dyDescent="0.3">
      <c r="A1478" s="33">
        <v>1477</v>
      </c>
      <c r="B1478" s="4">
        <v>57</v>
      </c>
      <c r="C1478" s="15">
        <v>6</v>
      </c>
      <c r="D1478" s="16">
        <v>9</v>
      </c>
      <c r="E1478" s="22">
        <v>44126</v>
      </c>
      <c r="F1478" s="17">
        <v>3</v>
      </c>
      <c r="G1478" s="18">
        <v>0.16</v>
      </c>
      <c r="H1478">
        <f>F1478*VLOOKUP(B1478,產品!$A$2:$H$61,7,FALSE)*(1-銷售總表!G1478)</f>
        <v>45360</v>
      </c>
      <c r="I1478" s="35">
        <f>H1478-F1478*VLOOKUP(銷售總表!B1478,產品!$A$2:$H$61,8,FALSE)</f>
        <v>7560</v>
      </c>
      <c r="J1478" s="20">
        <f t="shared" si="23"/>
        <v>0.16666666666666666</v>
      </c>
    </row>
    <row r="1479" spans="1:10" x14ac:dyDescent="0.3">
      <c r="A1479" s="33">
        <v>1478</v>
      </c>
      <c r="B1479" s="4">
        <v>10</v>
      </c>
      <c r="C1479" s="15">
        <v>10</v>
      </c>
      <c r="D1479" s="16">
        <v>8</v>
      </c>
      <c r="E1479" s="22">
        <v>44126</v>
      </c>
      <c r="F1479" s="17">
        <v>10</v>
      </c>
      <c r="G1479" s="18">
        <v>0.19</v>
      </c>
      <c r="H1479">
        <f>F1479*VLOOKUP(B1479,產品!$A$2:$H$61,7,FALSE)*(1-銷售總表!G1479)</f>
        <v>8100.0000000000009</v>
      </c>
      <c r="I1479" s="35">
        <f>H1479-F1479*VLOOKUP(銷售總表!B1479,產品!$A$2:$H$61,8,FALSE)</f>
        <v>4100.0000000000009</v>
      </c>
      <c r="J1479" s="20">
        <f t="shared" si="23"/>
        <v>0.50617283950617287</v>
      </c>
    </row>
    <row r="1480" spans="1:10" x14ac:dyDescent="0.3">
      <c r="A1480" s="33">
        <v>1479</v>
      </c>
      <c r="B1480" s="4">
        <v>5</v>
      </c>
      <c r="C1480" s="15">
        <v>284</v>
      </c>
      <c r="D1480" s="16">
        <v>3</v>
      </c>
      <c r="E1480" s="22">
        <v>44127</v>
      </c>
      <c r="F1480" s="19">
        <v>60</v>
      </c>
      <c r="G1480" s="18">
        <v>0.19</v>
      </c>
      <c r="H1480">
        <f>F1480*VLOOKUP(B1480,產品!$A$2:$H$61,7,FALSE)*(1-銷售總表!G1480)</f>
        <v>48600</v>
      </c>
      <c r="I1480" s="35">
        <f>H1480-F1480*VLOOKUP(銷售總表!B1480,產品!$A$2:$H$61,8,FALSE)</f>
        <v>24600</v>
      </c>
      <c r="J1480" s="20">
        <f t="shared" si="23"/>
        <v>0.50617283950617287</v>
      </c>
    </row>
    <row r="1481" spans="1:10" x14ac:dyDescent="0.3">
      <c r="A1481" s="33">
        <v>1480</v>
      </c>
      <c r="B1481" s="4">
        <v>5</v>
      </c>
      <c r="C1481" s="15">
        <v>285</v>
      </c>
      <c r="D1481" s="16">
        <v>8</v>
      </c>
      <c r="E1481" s="22">
        <v>44127</v>
      </c>
      <c r="F1481" s="19">
        <v>20</v>
      </c>
      <c r="G1481" s="18">
        <v>0.19</v>
      </c>
      <c r="H1481">
        <f>F1481*VLOOKUP(B1481,產品!$A$2:$H$61,7,FALSE)*(1-銷售總表!G1481)</f>
        <v>16200.000000000002</v>
      </c>
      <c r="I1481" s="35">
        <f>H1481-F1481*VLOOKUP(銷售總表!B1481,產品!$A$2:$H$61,8,FALSE)</f>
        <v>8200.0000000000018</v>
      </c>
      <c r="J1481" s="20">
        <f t="shared" si="23"/>
        <v>0.50617283950617287</v>
      </c>
    </row>
    <row r="1482" spans="1:10" x14ac:dyDescent="0.3">
      <c r="A1482" s="33">
        <v>1481</v>
      </c>
      <c r="B1482" s="4">
        <v>34</v>
      </c>
      <c r="C1482" s="15">
        <v>9</v>
      </c>
      <c r="D1482" s="16">
        <v>10</v>
      </c>
      <c r="E1482" s="22">
        <v>44127</v>
      </c>
      <c r="F1482" s="17">
        <v>3</v>
      </c>
      <c r="G1482" s="18">
        <v>0.09</v>
      </c>
      <c r="H1482">
        <f>F1482*VLOOKUP(B1482,產品!$A$2:$H$61,7,FALSE)*(1-銷售總表!G1482)</f>
        <v>21840</v>
      </c>
      <c r="I1482" s="35">
        <f>H1482-F1482*VLOOKUP(銷售總表!B1482,產品!$A$2:$H$61,8,FALSE)</f>
        <v>7440</v>
      </c>
      <c r="J1482" s="20">
        <f t="shared" si="23"/>
        <v>0.34065934065934067</v>
      </c>
    </row>
    <row r="1483" spans="1:10" x14ac:dyDescent="0.3">
      <c r="A1483" s="33">
        <v>1482</v>
      </c>
      <c r="B1483" s="4">
        <v>23</v>
      </c>
      <c r="C1483" s="15">
        <v>11</v>
      </c>
      <c r="D1483" s="16">
        <v>8</v>
      </c>
      <c r="E1483" s="22">
        <v>44128</v>
      </c>
      <c r="F1483" s="19">
        <v>70</v>
      </c>
      <c r="G1483" s="18">
        <v>0.12</v>
      </c>
      <c r="H1483">
        <f>F1483*VLOOKUP(B1483,產品!$A$2:$H$61,7,FALSE)*(1-銷售總表!G1483)</f>
        <v>110880</v>
      </c>
      <c r="I1483" s="35">
        <f>H1483-F1483*VLOOKUP(銷售總表!B1483,產品!$A$2:$H$61,8,FALSE)</f>
        <v>60480</v>
      </c>
      <c r="J1483" s="20">
        <f t="shared" si="23"/>
        <v>0.54545454545454541</v>
      </c>
    </row>
    <row r="1484" spans="1:10" x14ac:dyDescent="0.3">
      <c r="A1484" s="33">
        <v>1483</v>
      </c>
      <c r="B1484" s="4">
        <v>53</v>
      </c>
      <c r="C1484" s="15">
        <v>123</v>
      </c>
      <c r="D1484" s="16">
        <v>8</v>
      </c>
      <c r="E1484" s="22">
        <v>44128</v>
      </c>
      <c r="F1484" s="19">
        <v>10</v>
      </c>
      <c r="G1484" s="18">
        <v>0.09</v>
      </c>
      <c r="H1484">
        <f>F1484*VLOOKUP(B1484,產品!$A$2:$H$61,7,FALSE)*(1-銷售總表!G1484)</f>
        <v>136500</v>
      </c>
      <c r="I1484" s="35">
        <f>H1484-F1484*VLOOKUP(銷售總表!B1484,產品!$A$2:$H$61,8,FALSE)</f>
        <v>31500</v>
      </c>
      <c r="J1484" s="20">
        <f t="shared" si="23"/>
        <v>0.23076923076923078</v>
      </c>
    </row>
    <row r="1485" spans="1:10" x14ac:dyDescent="0.3">
      <c r="A1485" s="33">
        <v>1484</v>
      </c>
      <c r="B1485" s="4">
        <v>16</v>
      </c>
      <c r="C1485" s="15">
        <v>1</v>
      </c>
      <c r="D1485" s="16">
        <v>5</v>
      </c>
      <c r="E1485" s="22">
        <v>44128</v>
      </c>
      <c r="F1485" s="17">
        <v>30</v>
      </c>
      <c r="G1485" s="18">
        <v>0.16</v>
      </c>
      <c r="H1485">
        <f>F1485*VLOOKUP(B1485,產品!$A$2:$H$61,7,FALSE)*(1-銷售總表!G1485)</f>
        <v>45360</v>
      </c>
      <c r="I1485" s="35">
        <f>H1485-F1485*VLOOKUP(銷售總表!B1485,產品!$A$2:$H$61,8,FALSE)</f>
        <v>23760</v>
      </c>
      <c r="J1485" s="20">
        <f t="shared" si="23"/>
        <v>0.52380952380952384</v>
      </c>
    </row>
    <row r="1486" spans="1:10" x14ac:dyDescent="0.3">
      <c r="A1486" s="33">
        <v>1485</v>
      </c>
      <c r="B1486" s="4">
        <v>11</v>
      </c>
      <c r="C1486" s="15">
        <v>140</v>
      </c>
      <c r="D1486" s="16">
        <v>8</v>
      </c>
      <c r="E1486" s="22">
        <v>44128</v>
      </c>
      <c r="F1486" s="17">
        <v>50</v>
      </c>
      <c r="G1486" s="18">
        <v>0.13</v>
      </c>
      <c r="H1486">
        <f>F1486*VLOOKUP(B1486,產品!$A$2:$H$61,7,FALSE)*(1-銷售總表!G1486)</f>
        <v>43500</v>
      </c>
      <c r="I1486" s="35">
        <f>H1486-F1486*VLOOKUP(銷售總表!B1486,產品!$A$2:$H$61,8,FALSE)</f>
        <v>23500</v>
      </c>
      <c r="J1486" s="20">
        <f t="shared" si="23"/>
        <v>0.54022988505747127</v>
      </c>
    </row>
    <row r="1487" spans="1:10" x14ac:dyDescent="0.3">
      <c r="A1487" s="33">
        <v>1486</v>
      </c>
      <c r="B1487" s="4">
        <v>58</v>
      </c>
      <c r="C1487" s="15">
        <v>1</v>
      </c>
      <c r="D1487" s="16">
        <v>3</v>
      </c>
      <c r="E1487" s="22">
        <v>44128</v>
      </c>
      <c r="F1487" s="17">
        <v>4</v>
      </c>
      <c r="G1487" s="18">
        <v>0.17</v>
      </c>
      <c r="H1487">
        <f>F1487*VLOOKUP(B1487,產品!$A$2:$H$61,7,FALSE)*(1-銷售總表!G1487)</f>
        <v>69720</v>
      </c>
      <c r="I1487" s="35">
        <f>H1487-F1487*VLOOKUP(銷售總表!B1487,產品!$A$2:$H$61,8,FALSE)</f>
        <v>10920.000000000007</v>
      </c>
      <c r="J1487" s="20">
        <f t="shared" si="23"/>
        <v>0.1566265060240965</v>
      </c>
    </row>
    <row r="1488" spans="1:10" x14ac:dyDescent="0.3">
      <c r="A1488" s="33">
        <v>1487</v>
      </c>
      <c r="B1488" s="4">
        <v>25</v>
      </c>
      <c r="C1488" s="15">
        <v>126</v>
      </c>
      <c r="D1488" s="16">
        <v>6</v>
      </c>
      <c r="E1488" s="22">
        <v>44128</v>
      </c>
      <c r="F1488" s="19">
        <v>3</v>
      </c>
      <c r="G1488" s="18">
        <v>0.1</v>
      </c>
      <c r="H1488">
        <f>F1488*VLOOKUP(B1488,產品!$A$2:$H$61,7,FALSE)*(1-銷售總表!G1488)</f>
        <v>16200</v>
      </c>
      <c r="I1488" s="35">
        <f>H1488-F1488*VLOOKUP(銷售總表!B1488,產品!$A$2:$H$61,8,FALSE)</f>
        <v>5400</v>
      </c>
      <c r="J1488" s="20">
        <f t="shared" si="23"/>
        <v>0.33333333333333331</v>
      </c>
    </row>
    <row r="1489" spans="1:10" x14ac:dyDescent="0.3">
      <c r="A1489" s="33">
        <v>1488</v>
      </c>
      <c r="B1489" s="4">
        <v>26</v>
      </c>
      <c r="C1489" s="15">
        <v>122</v>
      </c>
      <c r="D1489" s="16">
        <v>2</v>
      </c>
      <c r="E1489" s="22">
        <v>44129</v>
      </c>
      <c r="F1489" s="19">
        <v>35</v>
      </c>
      <c r="G1489" s="18">
        <v>0.13</v>
      </c>
      <c r="H1489">
        <f>F1489*VLOOKUP(B1489,產品!$A$2:$H$61,7,FALSE)*(1-銷售總表!G1489)</f>
        <v>197925</v>
      </c>
      <c r="I1489" s="35">
        <f>H1489-F1489*VLOOKUP(銷售總表!B1489,產品!$A$2:$H$61,8,FALSE)</f>
        <v>61425</v>
      </c>
      <c r="J1489" s="20">
        <f t="shared" si="23"/>
        <v>0.31034482758620691</v>
      </c>
    </row>
    <row r="1490" spans="1:10" x14ac:dyDescent="0.3">
      <c r="A1490" s="33">
        <v>1489</v>
      </c>
      <c r="B1490" s="4">
        <v>3</v>
      </c>
      <c r="C1490" s="15">
        <v>258</v>
      </c>
      <c r="D1490" s="16">
        <v>4</v>
      </c>
      <c r="E1490" s="22">
        <v>44129</v>
      </c>
      <c r="F1490" s="19">
        <v>75</v>
      </c>
      <c r="G1490" s="18">
        <v>0.14000000000000001</v>
      </c>
      <c r="H1490">
        <f>F1490*VLOOKUP(B1490,產品!$A$2:$H$61,7,FALSE)*(1-銷售總表!G1490)</f>
        <v>64500</v>
      </c>
      <c r="I1490" s="35">
        <f>H1490-F1490*VLOOKUP(銷售總表!B1490,產品!$A$2:$H$61,8,FALSE)</f>
        <v>34500</v>
      </c>
      <c r="J1490" s="20">
        <f t="shared" si="23"/>
        <v>0.53488372093023251</v>
      </c>
    </row>
    <row r="1491" spans="1:10" x14ac:dyDescent="0.3">
      <c r="A1491" s="33">
        <v>1490</v>
      </c>
      <c r="B1491" s="4">
        <v>50</v>
      </c>
      <c r="C1491" s="15">
        <v>2</v>
      </c>
      <c r="D1491" s="16">
        <v>2</v>
      </c>
      <c r="E1491" s="22">
        <v>44129</v>
      </c>
      <c r="F1491" s="17">
        <v>6</v>
      </c>
      <c r="G1491" s="18">
        <v>0.18</v>
      </c>
      <c r="H1491">
        <f>F1491*VLOOKUP(B1491,產品!$A$2:$H$61,7,FALSE)*(1-銷售總表!G1491)</f>
        <v>88560</v>
      </c>
      <c r="I1491" s="35">
        <f>H1491-F1491*VLOOKUP(銷售總表!B1491,產品!$A$2:$H$61,8,FALSE)</f>
        <v>12960</v>
      </c>
      <c r="J1491" s="20">
        <f t="shared" si="23"/>
        <v>0.14634146341463414</v>
      </c>
    </row>
    <row r="1492" spans="1:10" x14ac:dyDescent="0.3">
      <c r="A1492" s="33">
        <v>1491</v>
      </c>
      <c r="B1492" s="4">
        <v>46</v>
      </c>
      <c r="C1492" s="15">
        <v>258</v>
      </c>
      <c r="D1492" s="16">
        <v>9</v>
      </c>
      <c r="E1492" s="22">
        <v>44130</v>
      </c>
      <c r="F1492" s="17">
        <v>15</v>
      </c>
      <c r="G1492" s="18">
        <v>0.08</v>
      </c>
      <c r="H1492">
        <f>F1492*VLOOKUP(B1492,產品!$A$2:$H$61,7,FALSE)*(1-銷售總表!G1492)</f>
        <v>234600</v>
      </c>
      <c r="I1492" s="35">
        <f>H1492-F1492*VLOOKUP(銷售總表!B1492,產品!$A$2:$H$61,8,FALSE)</f>
        <v>68850</v>
      </c>
      <c r="J1492" s="20">
        <f t="shared" si="23"/>
        <v>0.29347826086956524</v>
      </c>
    </row>
    <row r="1493" spans="1:10" x14ac:dyDescent="0.3">
      <c r="A1493" s="33">
        <v>1492</v>
      </c>
      <c r="B1493" s="4">
        <v>25</v>
      </c>
      <c r="C1493" s="15">
        <v>8</v>
      </c>
      <c r="D1493" s="16">
        <v>4</v>
      </c>
      <c r="E1493" s="22">
        <v>44130</v>
      </c>
      <c r="F1493" s="19">
        <v>20</v>
      </c>
      <c r="G1493" s="18">
        <v>0.14000000000000001</v>
      </c>
      <c r="H1493">
        <f>F1493*VLOOKUP(B1493,產品!$A$2:$H$61,7,FALSE)*(1-銷售總表!G1493)</f>
        <v>103200</v>
      </c>
      <c r="I1493" s="35">
        <f>H1493-F1493*VLOOKUP(銷售總表!B1493,產品!$A$2:$H$61,8,FALSE)</f>
        <v>31200</v>
      </c>
      <c r="J1493" s="20">
        <f t="shared" si="23"/>
        <v>0.30232558139534882</v>
      </c>
    </row>
    <row r="1494" spans="1:10" x14ac:dyDescent="0.3">
      <c r="A1494" s="33">
        <v>1493</v>
      </c>
      <c r="B1494" s="4">
        <v>43</v>
      </c>
      <c r="C1494" s="15">
        <v>5</v>
      </c>
      <c r="D1494" s="16">
        <v>6</v>
      </c>
      <c r="E1494" s="22">
        <v>44130</v>
      </c>
      <c r="F1494" s="19">
        <v>5</v>
      </c>
      <c r="G1494" s="18">
        <v>0.14000000000000001</v>
      </c>
      <c r="H1494">
        <f>F1494*VLOOKUP(B1494,產品!$A$2:$H$61,7,FALSE)*(1-銷售總表!G1494)</f>
        <v>77400</v>
      </c>
      <c r="I1494" s="35">
        <f>H1494-F1494*VLOOKUP(銷售總表!B1494,產品!$A$2:$H$61,8,FALSE)</f>
        <v>18900</v>
      </c>
      <c r="J1494" s="20">
        <f t="shared" si="23"/>
        <v>0.2441860465116279</v>
      </c>
    </row>
    <row r="1495" spans="1:10" x14ac:dyDescent="0.3">
      <c r="A1495" s="33">
        <v>1494</v>
      </c>
      <c r="B1495" s="4">
        <v>30</v>
      </c>
      <c r="C1495" s="15">
        <v>264</v>
      </c>
      <c r="D1495" s="16">
        <v>7</v>
      </c>
      <c r="E1495" s="22">
        <v>44130</v>
      </c>
      <c r="F1495" s="19">
        <v>2</v>
      </c>
      <c r="G1495" s="18">
        <v>0.18</v>
      </c>
      <c r="H1495">
        <f>F1495*VLOOKUP(B1495,產品!$A$2:$H$61,7,FALSE)*(1-銷售總表!G1495)</f>
        <v>10660</v>
      </c>
      <c r="I1495" s="35">
        <f>H1495-F1495*VLOOKUP(銷售總表!B1495,產品!$A$2:$H$61,8,FALSE)</f>
        <v>2860</v>
      </c>
      <c r="J1495" s="20">
        <f t="shared" si="23"/>
        <v>0.26829268292682928</v>
      </c>
    </row>
    <row r="1496" spans="1:10" x14ac:dyDescent="0.3">
      <c r="A1496" s="33">
        <v>1495</v>
      </c>
      <c r="B1496" s="4">
        <v>9</v>
      </c>
      <c r="C1496" s="15">
        <v>272</v>
      </c>
      <c r="D1496" s="16">
        <v>7</v>
      </c>
      <c r="E1496" s="22">
        <v>44131</v>
      </c>
      <c r="F1496" s="19">
        <v>195</v>
      </c>
      <c r="G1496" s="18">
        <v>0.17</v>
      </c>
      <c r="H1496">
        <f>F1496*VLOOKUP(B1496,產品!$A$2:$H$61,7,FALSE)*(1-銷售總表!G1496)</f>
        <v>161850</v>
      </c>
      <c r="I1496" s="35">
        <f>H1496-F1496*VLOOKUP(銷售總表!B1496,產品!$A$2:$H$61,8,FALSE)</f>
        <v>83850</v>
      </c>
      <c r="J1496" s="20">
        <f t="shared" si="23"/>
        <v>0.51807228915662651</v>
      </c>
    </row>
    <row r="1497" spans="1:10" x14ac:dyDescent="0.3">
      <c r="A1497" s="33">
        <v>1496</v>
      </c>
      <c r="B1497" s="4">
        <v>17</v>
      </c>
      <c r="C1497" s="15">
        <v>277</v>
      </c>
      <c r="D1497" s="16">
        <v>7</v>
      </c>
      <c r="E1497" s="22">
        <v>44131</v>
      </c>
      <c r="F1497" s="17">
        <v>40</v>
      </c>
      <c r="G1497" s="18">
        <v>0.13</v>
      </c>
      <c r="H1497">
        <f>F1497*VLOOKUP(B1497,產品!$A$2:$H$61,7,FALSE)*(1-銷售總表!G1497)</f>
        <v>62640</v>
      </c>
      <c r="I1497" s="35">
        <f>H1497-F1497*VLOOKUP(銷售總表!B1497,產品!$A$2:$H$61,8,FALSE)</f>
        <v>33840</v>
      </c>
      <c r="J1497" s="20">
        <f t="shared" si="23"/>
        <v>0.54022988505747127</v>
      </c>
    </row>
    <row r="1498" spans="1:10" x14ac:dyDescent="0.3">
      <c r="A1498" s="33">
        <v>1497</v>
      </c>
      <c r="B1498" s="4">
        <v>45</v>
      </c>
      <c r="C1498" s="15">
        <v>138</v>
      </c>
      <c r="D1498" s="16">
        <v>6</v>
      </c>
      <c r="E1498" s="22">
        <v>44131</v>
      </c>
      <c r="F1498" s="17">
        <v>10</v>
      </c>
      <c r="G1498" s="18">
        <v>0.12</v>
      </c>
      <c r="H1498">
        <f>F1498*VLOOKUP(B1498,產品!$A$2:$H$61,7,FALSE)*(1-銷售總表!G1498)</f>
        <v>123200</v>
      </c>
      <c r="I1498" s="35">
        <f>H1498-F1498*VLOOKUP(銷售總表!B1498,產品!$A$2:$H$61,8,FALSE)</f>
        <v>32200</v>
      </c>
      <c r="J1498" s="20">
        <f t="shared" si="23"/>
        <v>0.26136363636363635</v>
      </c>
    </row>
    <row r="1499" spans="1:10" x14ac:dyDescent="0.3">
      <c r="A1499" s="33">
        <v>1498</v>
      </c>
      <c r="B1499" s="4">
        <v>54</v>
      </c>
      <c r="C1499" s="15">
        <v>260</v>
      </c>
      <c r="D1499" s="16">
        <v>9</v>
      </c>
      <c r="E1499" s="22">
        <v>44131</v>
      </c>
      <c r="F1499" s="17">
        <v>14</v>
      </c>
      <c r="G1499" s="18">
        <v>0.19</v>
      </c>
      <c r="H1499">
        <f>F1499*VLOOKUP(B1499,產品!$A$2:$H$61,7,FALSE)*(1-銷售總表!G1499)</f>
        <v>204120</v>
      </c>
      <c r="I1499" s="35">
        <f>H1499-F1499*VLOOKUP(銷售總表!B1499,產品!$A$2:$H$61,8,FALSE)</f>
        <v>27720</v>
      </c>
      <c r="J1499" s="20">
        <f t="shared" si="23"/>
        <v>0.13580246913580246</v>
      </c>
    </row>
    <row r="1500" spans="1:10" x14ac:dyDescent="0.3">
      <c r="A1500" s="33">
        <v>1499</v>
      </c>
      <c r="B1500" s="4">
        <v>13</v>
      </c>
      <c r="C1500" s="15">
        <v>9</v>
      </c>
      <c r="D1500" s="16">
        <v>8</v>
      </c>
      <c r="E1500" s="22">
        <v>44132</v>
      </c>
      <c r="F1500" s="19">
        <v>150</v>
      </c>
      <c r="G1500" s="18">
        <v>0.14000000000000001</v>
      </c>
      <c r="H1500">
        <f>F1500*VLOOKUP(B1500,產品!$A$2:$H$61,7,FALSE)*(1-銷售總表!G1500)</f>
        <v>232200</v>
      </c>
      <c r="I1500" s="35">
        <f>H1500-F1500*VLOOKUP(銷售總表!B1500,產品!$A$2:$H$61,8,FALSE)</f>
        <v>124200</v>
      </c>
      <c r="J1500" s="20">
        <f t="shared" si="23"/>
        <v>0.53488372093023251</v>
      </c>
    </row>
    <row r="1501" spans="1:10" x14ac:dyDescent="0.3">
      <c r="A1501" s="33">
        <v>1500</v>
      </c>
      <c r="B1501" s="4">
        <v>4</v>
      </c>
      <c r="C1501" s="15">
        <v>138</v>
      </c>
      <c r="D1501" s="16">
        <v>1</v>
      </c>
      <c r="E1501" s="22">
        <v>44132</v>
      </c>
      <c r="F1501" s="17">
        <v>150</v>
      </c>
      <c r="G1501" s="18">
        <v>0.12</v>
      </c>
      <c r="H1501">
        <f>F1501*VLOOKUP(B1501,產品!$A$2:$H$61,7,FALSE)*(1-銷售總表!G1501)</f>
        <v>132000</v>
      </c>
      <c r="I1501" s="35">
        <f>H1501-F1501*VLOOKUP(銷售總表!B1501,產品!$A$2:$H$61,8,FALSE)</f>
        <v>72000</v>
      </c>
      <c r="J1501" s="20">
        <f t="shared" si="23"/>
        <v>0.54545454545454541</v>
      </c>
    </row>
    <row r="1502" spans="1:10" x14ac:dyDescent="0.3">
      <c r="A1502" s="33">
        <v>1501</v>
      </c>
      <c r="B1502" s="4">
        <v>48</v>
      </c>
      <c r="C1502" s="15">
        <v>121</v>
      </c>
      <c r="D1502" s="16">
        <v>4</v>
      </c>
      <c r="E1502" s="22">
        <v>44132</v>
      </c>
      <c r="F1502" s="17">
        <v>4</v>
      </c>
      <c r="G1502" s="18">
        <v>0.1</v>
      </c>
      <c r="H1502">
        <f>F1502*VLOOKUP(B1502,產品!$A$2:$H$61,7,FALSE)*(1-銷售總表!G1502)</f>
        <v>79200</v>
      </c>
      <c r="I1502" s="35">
        <f>H1502-F1502*VLOOKUP(銷售總表!B1502,產品!$A$2:$H$61,8,FALSE)</f>
        <v>22000</v>
      </c>
      <c r="J1502" s="20">
        <f t="shared" si="23"/>
        <v>0.27777777777777779</v>
      </c>
    </row>
    <row r="1503" spans="1:10" x14ac:dyDescent="0.3">
      <c r="A1503" s="33">
        <v>1502</v>
      </c>
      <c r="B1503" s="4">
        <v>33</v>
      </c>
      <c r="C1503" s="15">
        <v>10</v>
      </c>
      <c r="D1503" s="16">
        <v>2</v>
      </c>
      <c r="E1503" s="22">
        <v>44132</v>
      </c>
      <c r="F1503" s="19">
        <v>7</v>
      </c>
      <c r="G1503" s="18">
        <v>0.09</v>
      </c>
      <c r="H1503">
        <f>F1503*VLOOKUP(B1503,產品!$A$2:$H$61,7,FALSE)*(1-銷售總表!G1503)</f>
        <v>47775</v>
      </c>
      <c r="I1503" s="35">
        <f>H1503-F1503*VLOOKUP(銷售總表!B1503,產品!$A$2:$H$61,8,FALSE)</f>
        <v>16275</v>
      </c>
      <c r="J1503" s="20">
        <f t="shared" si="23"/>
        <v>0.34065934065934067</v>
      </c>
    </row>
    <row r="1504" spans="1:10" x14ac:dyDescent="0.3">
      <c r="A1504" s="33">
        <v>1503</v>
      </c>
      <c r="B1504" s="4">
        <v>3</v>
      </c>
      <c r="C1504" s="15">
        <v>257</v>
      </c>
      <c r="D1504" s="16">
        <v>8</v>
      </c>
      <c r="E1504" s="22">
        <v>44132</v>
      </c>
      <c r="F1504" s="19">
        <v>30</v>
      </c>
      <c r="G1504" s="18">
        <v>0.14000000000000001</v>
      </c>
      <c r="H1504">
        <f>F1504*VLOOKUP(B1504,產品!$A$2:$H$61,7,FALSE)*(1-銷售總表!G1504)</f>
        <v>25800</v>
      </c>
      <c r="I1504" s="35">
        <f>H1504-F1504*VLOOKUP(銷售總表!B1504,產品!$A$2:$H$61,8,FALSE)</f>
        <v>13800</v>
      </c>
      <c r="J1504" s="20">
        <f t="shared" si="23"/>
        <v>0.53488372093023251</v>
      </c>
    </row>
    <row r="1505" spans="1:10" x14ac:dyDescent="0.3">
      <c r="A1505" s="33">
        <v>1504</v>
      </c>
      <c r="B1505" s="4">
        <v>59</v>
      </c>
      <c r="C1505" s="15">
        <v>267</v>
      </c>
      <c r="D1505" s="16">
        <v>7</v>
      </c>
      <c r="E1505" s="22">
        <v>44133</v>
      </c>
      <c r="F1505" s="19">
        <v>4</v>
      </c>
      <c r="G1505" s="18">
        <v>0.11</v>
      </c>
      <c r="H1505">
        <f>F1505*VLOOKUP(B1505,產品!$A$2:$H$61,7,FALSE)*(1-銷售總表!G1505)</f>
        <v>85440</v>
      </c>
      <c r="I1505" s="35">
        <f>H1505-F1505*VLOOKUP(銷售總表!B1505,產品!$A$2:$H$61,8,FALSE)</f>
        <v>18240</v>
      </c>
      <c r="J1505" s="20">
        <f t="shared" si="23"/>
        <v>0.21348314606741572</v>
      </c>
    </row>
    <row r="1506" spans="1:10" x14ac:dyDescent="0.3">
      <c r="A1506" s="33">
        <v>1505</v>
      </c>
      <c r="B1506" s="4">
        <v>20</v>
      </c>
      <c r="C1506" s="15">
        <v>272</v>
      </c>
      <c r="D1506" s="16">
        <v>9</v>
      </c>
      <c r="E1506" s="22">
        <v>44134</v>
      </c>
      <c r="F1506" s="19">
        <v>150</v>
      </c>
      <c r="G1506" s="18">
        <v>0.12</v>
      </c>
      <c r="H1506">
        <f>F1506*VLOOKUP(B1506,產品!$A$2:$H$61,7,FALSE)*(1-銷售總表!G1506)</f>
        <v>237600</v>
      </c>
      <c r="I1506" s="35">
        <f>H1506-F1506*VLOOKUP(銷售總表!B1506,產品!$A$2:$H$61,8,FALSE)</f>
        <v>129600</v>
      </c>
      <c r="J1506" s="20">
        <f t="shared" si="23"/>
        <v>0.54545454545454541</v>
      </c>
    </row>
    <row r="1507" spans="1:10" x14ac:dyDescent="0.3">
      <c r="A1507" s="33">
        <v>1506</v>
      </c>
      <c r="B1507" s="4">
        <v>51</v>
      </c>
      <c r="C1507" s="15">
        <v>4</v>
      </c>
      <c r="D1507" s="16">
        <v>9</v>
      </c>
      <c r="E1507" s="22">
        <v>44134</v>
      </c>
      <c r="F1507" s="17">
        <v>15</v>
      </c>
      <c r="G1507" s="18">
        <v>7.0000000000000007E-2</v>
      </c>
      <c r="H1507">
        <f>F1507*VLOOKUP(B1507,產品!$A$2:$H$61,7,FALSE)*(1-銷售總表!G1507)</f>
        <v>279000</v>
      </c>
      <c r="I1507" s="35">
        <f>H1507-F1507*VLOOKUP(銷售總表!B1507,產品!$A$2:$H$61,8,FALSE)</f>
        <v>69000</v>
      </c>
      <c r="J1507" s="20">
        <f t="shared" si="23"/>
        <v>0.24731182795698925</v>
      </c>
    </row>
    <row r="1508" spans="1:10" x14ac:dyDescent="0.3">
      <c r="A1508" s="33">
        <v>1507</v>
      </c>
      <c r="B1508" s="4">
        <v>16</v>
      </c>
      <c r="C1508" s="15">
        <v>267</v>
      </c>
      <c r="D1508" s="16">
        <v>2</v>
      </c>
      <c r="E1508" s="22">
        <v>44134</v>
      </c>
      <c r="F1508" s="17">
        <v>40</v>
      </c>
      <c r="G1508" s="18">
        <v>0.05</v>
      </c>
      <c r="H1508">
        <f>F1508*VLOOKUP(B1508,產品!$A$2:$H$61,7,FALSE)*(1-銷售總表!G1508)</f>
        <v>68400</v>
      </c>
      <c r="I1508" s="35">
        <f>H1508-F1508*VLOOKUP(銷售總表!B1508,產品!$A$2:$H$61,8,FALSE)</f>
        <v>39600</v>
      </c>
      <c r="J1508" s="20">
        <f t="shared" si="23"/>
        <v>0.57894736842105265</v>
      </c>
    </row>
    <row r="1509" spans="1:10" x14ac:dyDescent="0.3">
      <c r="A1509" s="33">
        <v>1508</v>
      </c>
      <c r="B1509" s="4">
        <v>48</v>
      </c>
      <c r="C1509" s="15">
        <v>265</v>
      </c>
      <c r="D1509" s="16">
        <v>7</v>
      </c>
      <c r="E1509" s="22">
        <v>44134</v>
      </c>
      <c r="F1509" s="17">
        <v>5</v>
      </c>
      <c r="G1509" s="18">
        <v>7.0000000000000007E-2</v>
      </c>
      <c r="H1509">
        <f>F1509*VLOOKUP(B1509,產品!$A$2:$H$61,7,FALSE)*(1-銷售總表!G1509)</f>
        <v>102300</v>
      </c>
      <c r="I1509" s="35">
        <f>H1509-F1509*VLOOKUP(銷售總表!B1509,產品!$A$2:$H$61,8,FALSE)</f>
        <v>30800</v>
      </c>
      <c r="J1509" s="20">
        <f t="shared" si="23"/>
        <v>0.30107526881720431</v>
      </c>
    </row>
    <row r="1510" spans="1:10" x14ac:dyDescent="0.3">
      <c r="A1510" s="33">
        <v>1509</v>
      </c>
      <c r="B1510" s="4">
        <v>60</v>
      </c>
      <c r="C1510" s="15">
        <v>265</v>
      </c>
      <c r="D1510" s="16">
        <v>2</v>
      </c>
      <c r="E1510" s="22">
        <v>44134</v>
      </c>
      <c r="F1510" s="19">
        <v>3</v>
      </c>
      <c r="G1510" s="18">
        <v>0.08</v>
      </c>
      <c r="H1510">
        <f>F1510*VLOOKUP(B1510,產品!$A$2:$H$61,7,FALSE)*(1-銷售總表!G1510)</f>
        <v>69000</v>
      </c>
      <c r="I1510" s="35">
        <f>H1510-F1510*VLOOKUP(銷售總表!B1510,產品!$A$2:$H$61,8,FALSE)</f>
        <v>16500</v>
      </c>
      <c r="J1510" s="20">
        <f t="shared" si="23"/>
        <v>0.2391304347826087</v>
      </c>
    </row>
    <row r="1511" spans="1:10" x14ac:dyDescent="0.3">
      <c r="A1511" s="33">
        <v>1510</v>
      </c>
      <c r="B1511" s="4">
        <v>27</v>
      </c>
      <c r="C1511" s="15">
        <v>124</v>
      </c>
      <c r="D1511" s="16">
        <v>5</v>
      </c>
      <c r="E1511" s="22">
        <v>44134</v>
      </c>
      <c r="F1511" s="19">
        <v>4</v>
      </c>
      <c r="G1511" s="18">
        <v>0.15</v>
      </c>
      <c r="H1511">
        <f>F1511*VLOOKUP(B1511,產品!$A$2:$H$61,7,FALSE)*(1-銷售總表!G1511)</f>
        <v>23800</v>
      </c>
      <c r="I1511" s="35">
        <f>H1511-F1511*VLOOKUP(銷售總表!B1511,產品!$A$2:$H$61,8,FALSE)</f>
        <v>7000</v>
      </c>
      <c r="J1511" s="20">
        <f t="shared" si="23"/>
        <v>0.29411764705882354</v>
      </c>
    </row>
    <row r="1512" spans="1:10" x14ac:dyDescent="0.3">
      <c r="A1512" s="33">
        <v>1511</v>
      </c>
      <c r="B1512" s="4">
        <v>39</v>
      </c>
      <c r="C1512" s="15">
        <v>115</v>
      </c>
      <c r="D1512" s="16">
        <v>3</v>
      </c>
      <c r="E1512" s="22">
        <v>44135</v>
      </c>
      <c r="F1512" s="19">
        <v>15</v>
      </c>
      <c r="G1512" s="18">
        <v>7.0000000000000007E-2</v>
      </c>
      <c r="H1512">
        <f>F1512*VLOOKUP(B1512,產品!$A$2:$H$61,7,FALSE)*(1-銷售總表!G1512)</f>
        <v>251099.99999999997</v>
      </c>
      <c r="I1512" s="35">
        <f>H1512-F1512*VLOOKUP(銷售總表!B1512,產品!$A$2:$H$61,8,FALSE)</f>
        <v>75599.999999999971</v>
      </c>
      <c r="J1512" s="20">
        <f t="shared" si="23"/>
        <v>0.3010752688172042</v>
      </c>
    </row>
    <row r="1513" spans="1:10" x14ac:dyDescent="0.3">
      <c r="A1513" s="33">
        <v>1512</v>
      </c>
      <c r="B1513" s="4">
        <v>5</v>
      </c>
      <c r="C1513" s="15">
        <v>1</v>
      </c>
      <c r="D1513" s="16">
        <v>4</v>
      </c>
      <c r="E1513" s="22">
        <v>44135</v>
      </c>
      <c r="F1513" s="17">
        <v>100</v>
      </c>
      <c r="G1513" s="18">
        <v>0.09</v>
      </c>
      <c r="H1513">
        <f>F1513*VLOOKUP(B1513,產品!$A$2:$H$61,7,FALSE)*(1-銷售總表!G1513)</f>
        <v>91000</v>
      </c>
      <c r="I1513" s="35">
        <f>H1513-F1513*VLOOKUP(銷售總表!B1513,產品!$A$2:$H$61,8,FALSE)</f>
        <v>51000</v>
      </c>
      <c r="J1513" s="20">
        <f t="shared" si="23"/>
        <v>0.56043956043956045</v>
      </c>
    </row>
    <row r="1514" spans="1:10" x14ac:dyDescent="0.3">
      <c r="A1514" s="33">
        <v>1513</v>
      </c>
      <c r="B1514" s="4">
        <v>52</v>
      </c>
      <c r="C1514" s="15">
        <v>265</v>
      </c>
      <c r="D1514" s="16">
        <v>9</v>
      </c>
      <c r="E1514" s="22">
        <v>44135</v>
      </c>
      <c r="F1514" s="19">
        <v>5</v>
      </c>
      <c r="G1514" s="18">
        <v>0.2</v>
      </c>
      <c r="H1514">
        <f>F1514*VLOOKUP(B1514,產品!$A$2:$H$61,7,FALSE)*(1-銷售總表!G1514)</f>
        <v>88000</v>
      </c>
      <c r="I1514" s="35">
        <f>H1514-F1514*VLOOKUP(銷售總表!B1514,產品!$A$2:$H$61,8,FALSE)</f>
        <v>11000.000000000015</v>
      </c>
      <c r="J1514" s="20">
        <f t="shared" si="23"/>
        <v>0.12500000000000017</v>
      </c>
    </row>
    <row r="1515" spans="1:10" x14ac:dyDescent="0.3">
      <c r="A1515" s="33">
        <v>1514</v>
      </c>
      <c r="B1515" s="4">
        <v>12</v>
      </c>
      <c r="C1515" s="15">
        <v>2</v>
      </c>
      <c r="D1515" s="16">
        <v>2</v>
      </c>
      <c r="E1515" s="22">
        <v>44136</v>
      </c>
      <c r="F1515" s="19">
        <v>250</v>
      </c>
      <c r="G1515" s="18">
        <v>0.16</v>
      </c>
      <c r="H1515">
        <f>F1515*VLOOKUP(B1515,產品!$A$2:$H$61,7,FALSE)*(1-銷售總表!G1515)</f>
        <v>210000</v>
      </c>
      <c r="I1515" s="35">
        <f>H1515-F1515*VLOOKUP(銷售總表!B1515,產品!$A$2:$H$61,8,FALSE)</f>
        <v>110000</v>
      </c>
      <c r="J1515" s="20">
        <f t="shared" si="23"/>
        <v>0.52380952380952384</v>
      </c>
    </row>
    <row r="1516" spans="1:10" x14ac:dyDescent="0.3">
      <c r="A1516" s="33">
        <v>1515</v>
      </c>
      <c r="B1516" s="4">
        <v>14</v>
      </c>
      <c r="C1516" s="15">
        <v>291</v>
      </c>
      <c r="D1516" s="16">
        <v>8</v>
      </c>
      <c r="E1516" s="22">
        <v>44136</v>
      </c>
      <c r="F1516" s="17">
        <v>70</v>
      </c>
      <c r="G1516" s="18">
        <v>0.16</v>
      </c>
      <c r="H1516">
        <f>F1516*VLOOKUP(B1516,產品!$A$2:$H$61,7,FALSE)*(1-銷售總表!G1516)</f>
        <v>105840</v>
      </c>
      <c r="I1516" s="35">
        <f>H1516-F1516*VLOOKUP(銷售總表!B1516,產品!$A$2:$H$61,8,FALSE)</f>
        <v>55440</v>
      </c>
      <c r="J1516" s="20">
        <f t="shared" si="23"/>
        <v>0.52380952380952384</v>
      </c>
    </row>
    <row r="1517" spans="1:10" x14ac:dyDescent="0.3">
      <c r="A1517" s="33">
        <v>1516</v>
      </c>
      <c r="B1517" s="4">
        <v>34</v>
      </c>
      <c r="C1517" s="15">
        <v>282</v>
      </c>
      <c r="D1517" s="16">
        <v>6</v>
      </c>
      <c r="E1517" s="22">
        <v>44136</v>
      </c>
      <c r="F1517" s="19">
        <v>6</v>
      </c>
      <c r="G1517" s="18">
        <v>0.1</v>
      </c>
      <c r="H1517">
        <f>F1517*VLOOKUP(B1517,產品!$A$2:$H$61,7,FALSE)*(1-銷售總表!G1517)</f>
        <v>43200</v>
      </c>
      <c r="I1517" s="35">
        <f>H1517-F1517*VLOOKUP(銷售總表!B1517,產品!$A$2:$H$61,8,FALSE)</f>
        <v>14400</v>
      </c>
      <c r="J1517" s="20">
        <f t="shared" si="23"/>
        <v>0.33333333333333331</v>
      </c>
    </row>
    <row r="1518" spans="1:10" x14ac:dyDescent="0.3">
      <c r="A1518" s="33">
        <v>1517</v>
      </c>
      <c r="B1518" s="4">
        <v>35</v>
      </c>
      <c r="C1518" s="15">
        <v>122</v>
      </c>
      <c r="D1518" s="16">
        <v>7</v>
      </c>
      <c r="E1518" s="22">
        <v>44136</v>
      </c>
      <c r="F1518" s="17">
        <v>3</v>
      </c>
      <c r="G1518" s="18">
        <v>0.15</v>
      </c>
      <c r="H1518">
        <f>F1518*VLOOKUP(B1518,產品!$A$2:$H$61,7,FALSE)*(1-銷售總表!G1518)</f>
        <v>21675</v>
      </c>
      <c r="I1518" s="35">
        <f>H1518-F1518*VLOOKUP(銷售總表!B1518,產品!$A$2:$H$61,8,FALSE)</f>
        <v>6375</v>
      </c>
      <c r="J1518" s="20">
        <f t="shared" si="23"/>
        <v>0.29411764705882354</v>
      </c>
    </row>
    <row r="1519" spans="1:10" x14ac:dyDescent="0.3">
      <c r="A1519" s="33">
        <v>1518</v>
      </c>
      <c r="B1519" s="4">
        <v>13</v>
      </c>
      <c r="C1519" s="15">
        <v>257</v>
      </c>
      <c r="D1519" s="16">
        <v>1</v>
      </c>
      <c r="E1519" s="22">
        <v>44137</v>
      </c>
      <c r="F1519" s="19">
        <v>30</v>
      </c>
      <c r="G1519" s="18">
        <v>7.0000000000000007E-2</v>
      </c>
      <c r="H1519">
        <f>F1519*VLOOKUP(B1519,產品!$A$2:$H$61,7,FALSE)*(1-銷售總表!G1519)</f>
        <v>50220</v>
      </c>
      <c r="I1519" s="35">
        <f>H1519-F1519*VLOOKUP(銷售總表!B1519,產品!$A$2:$H$61,8,FALSE)</f>
        <v>28620</v>
      </c>
      <c r="J1519" s="20">
        <f t="shared" si="23"/>
        <v>0.56989247311827962</v>
      </c>
    </row>
    <row r="1520" spans="1:10" x14ac:dyDescent="0.3">
      <c r="A1520" s="33">
        <v>1519</v>
      </c>
      <c r="B1520" s="4">
        <v>60</v>
      </c>
      <c r="C1520" s="15">
        <v>285</v>
      </c>
      <c r="D1520" s="16">
        <v>8</v>
      </c>
      <c r="E1520" s="22">
        <v>44137</v>
      </c>
      <c r="F1520" s="17">
        <v>4</v>
      </c>
      <c r="G1520" s="18">
        <v>0.09</v>
      </c>
      <c r="H1520">
        <f>F1520*VLOOKUP(B1520,產品!$A$2:$H$61,7,FALSE)*(1-銷售總表!G1520)</f>
        <v>91000</v>
      </c>
      <c r="I1520" s="35">
        <f>H1520-F1520*VLOOKUP(銷售總表!B1520,產品!$A$2:$H$61,8,FALSE)</f>
        <v>21000</v>
      </c>
      <c r="J1520" s="20">
        <f t="shared" si="23"/>
        <v>0.23076923076923078</v>
      </c>
    </row>
    <row r="1521" spans="1:10" x14ac:dyDescent="0.3">
      <c r="A1521" s="33">
        <v>1520</v>
      </c>
      <c r="B1521" s="4">
        <v>13</v>
      </c>
      <c r="C1521" s="15">
        <v>8</v>
      </c>
      <c r="D1521" s="16">
        <v>8</v>
      </c>
      <c r="E1521" s="22">
        <v>44137</v>
      </c>
      <c r="F1521" s="17">
        <v>20</v>
      </c>
      <c r="G1521" s="18">
        <v>0.13</v>
      </c>
      <c r="H1521">
        <f>F1521*VLOOKUP(B1521,產品!$A$2:$H$61,7,FALSE)*(1-銷售總表!G1521)</f>
        <v>31320</v>
      </c>
      <c r="I1521" s="35">
        <f>H1521-F1521*VLOOKUP(銷售總表!B1521,產品!$A$2:$H$61,8,FALSE)</f>
        <v>16920</v>
      </c>
      <c r="J1521" s="20">
        <f t="shared" si="23"/>
        <v>0.54022988505747127</v>
      </c>
    </row>
    <row r="1522" spans="1:10" x14ac:dyDescent="0.3">
      <c r="A1522" s="33">
        <v>1521</v>
      </c>
      <c r="B1522" s="4">
        <v>46</v>
      </c>
      <c r="C1522" s="15">
        <v>124</v>
      </c>
      <c r="D1522" s="16">
        <v>1</v>
      </c>
      <c r="E1522" s="22">
        <v>44137</v>
      </c>
      <c r="F1522" s="19">
        <v>3</v>
      </c>
      <c r="G1522" s="18">
        <v>0.16</v>
      </c>
      <c r="H1522">
        <f>F1522*VLOOKUP(B1522,產品!$A$2:$H$61,7,FALSE)*(1-銷售總表!G1522)</f>
        <v>42840</v>
      </c>
      <c r="I1522" s="35">
        <f>H1522-F1522*VLOOKUP(銷售總表!B1522,產品!$A$2:$H$61,8,FALSE)</f>
        <v>9690</v>
      </c>
      <c r="J1522" s="20">
        <f t="shared" si="23"/>
        <v>0.22619047619047619</v>
      </c>
    </row>
    <row r="1523" spans="1:10" x14ac:dyDescent="0.3">
      <c r="A1523" s="33">
        <v>1522</v>
      </c>
      <c r="B1523" s="4">
        <v>50</v>
      </c>
      <c r="C1523" s="15">
        <v>290</v>
      </c>
      <c r="D1523" s="16">
        <v>4</v>
      </c>
      <c r="E1523" s="22">
        <v>44137</v>
      </c>
      <c r="F1523" s="19">
        <v>2</v>
      </c>
      <c r="G1523" s="18">
        <v>0.1</v>
      </c>
      <c r="H1523">
        <f>F1523*VLOOKUP(B1523,產品!$A$2:$H$61,7,FALSE)*(1-銷售總表!G1523)</f>
        <v>32400</v>
      </c>
      <c r="I1523" s="35">
        <f>H1523-F1523*VLOOKUP(銷售總表!B1523,產品!$A$2:$H$61,8,FALSE)</f>
        <v>7200</v>
      </c>
      <c r="J1523" s="20">
        <f t="shared" si="23"/>
        <v>0.22222222222222221</v>
      </c>
    </row>
    <row r="1524" spans="1:10" x14ac:dyDescent="0.3">
      <c r="A1524" s="33">
        <v>1523</v>
      </c>
      <c r="B1524" s="4">
        <v>18</v>
      </c>
      <c r="C1524" s="15">
        <v>122</v>
      </c>
      <c r="D1524" s="16">
        <v>4</v>
      </c>
      <c r="E1524" s="22">
        <v>44138</v>
      </c>
      <c r="F1524" s="17">
        <v>150</v>
      </c>
      <c r="G1524" s="18">
        <v>0.17</v>
      </c>
      <c r="H1524">
        <f>F1524*VLOOKUP(B1524,產品!$A$2:$H$61,7,FALSE)*(1-銷售總表!G1524)</f>
        <v>224100</v>
      </c>
      <c r="I1524" s="35">
        <f>H1524-F1524*VLOOKUP(銷售總表!B1524,產品!$A$2:$H$61,8,FALSE)</f>
        <v>116100</v>
      </c>
      <c r="J1524" s="20">
        <f t="shared" si="23"/>
        <v>0.51807228915662651</v>
      </c>
    </row>
    <row r="1525" spans="1:10" x14ac:dyDescent="0.3">
      <c r="A1525" s="33">
        <v>1524</v>
      </c>
      <c r="B1525" s="4">
        <v>18</v>
      </c>
      <c r="C1525" s="15">
        <v>271</v>
      </c>
      <c r="D1525" s="16">
        <v>1</v>
      </c>
      <c r="E1525" s="22">
        <v>44138</v>
      </c>
      <c r="F1525" s="17">
        <v>90</v>
      </c>
      <c r="G1525" s="18">
        <v>0.16</v>
      </c>
      <c r="H1525">
        <f>F1525*VLOOKUP(B1525,產品!$A$2:$H$61,7,FALSE)*(1-銷售總表!G1525)</f>
        <v>136080</v>
      </c>
      <c r="I1525" s="35">
        <f>H1525-F1525*VLOOKUP(銷售總表!B1525,產品!$A$2:$H$61,8,FALSE)</f>
        <v>71280</v>
      </c>
      <c r="J1525" s="20">
        <f t="shared" si="23"/>
        <v>0.52380952380952384</v>
      </c>
    </row>
    <row r="1526" spans="1:10" x14ac:dyDescent="0.3">
      <c r="A1526" s="33">
        <v>1525</v>
      </c>
      <c r="B1526" s="4">
        <v>28</v>
      </c>
      <c r="C1526" s="15">
        <v>274</v>
      </c>
      <c r="D1526" s="16">
        <v>9</v>
      </c>
      <c r="E1526" s="22">
        <v>44138</v>
      </c>
      <c r="F1526" s="19">
        <v>20</v>
      </c>
      <c r="G1526" s="18">
        <v>0.09</v>
      </c>
      <c r="H1526">
        <f>F1526*VLOOKUP(B1526,產品!$A$2:$H$61,7,FALSE)*(1-銷售總表!G1526)</f>
        <v>136500</v>
      </c>
      <c r="I1526" s="35">
        <f>H1526-F1526*VLOOKUP(銷售總表!B1526,產品!$A$2:$H$61,8,FALSE)</f>
        <v>46500</v>
      </c>
      <c r="J1526" s="20">
        <f t="shared" si="23"/>
        <v>0.34065934065934067</v>
      </c>
    </row>
    <row r="1527" spans="1:10" x14ac:dyDescent="0.3">
      <c r="A1527" s="33">
        <v>1526</v>
      </c>
      <c r="B1527" s="4">
        <v>55</v>
      </c>
      <c r="C1527" s="15">
        <v>5</v>
      </c>
      <c r="D1527" s="16">
        <v>7</v>
      </c>
      <c r="E1527" s="22">
        <v>44138</v>
      </c>
      <c r="F1527" s="19">
        <v>6</v>
      </c>
      <c r="G1527" s="18">
        <v>0.09</v>
      </c>
      <c r="H1527">
        <f>F1527*VLOOKUP(B1527,產品!$A$2:$H$61,7,FALSE)*(1-銷售總表!G1527)</f>
        <v>109200</v>
      </c>
      <c r="I1527" s="35">
        <f>H1527-F1527*VLOOKUP(銷售總表!B1527,產品!$A$2:$H$61,8,FALSE)</f>
        <v>25200</v>
      </c>
      <c r="J1527" s="20">
        <f t="shared" si="23"/>
        <v>0.23076923076923078</v>
      </c>
    </row>
    <row r="1528" spans="1:10" x14ac:dyDescent="0.3">
      <c r="A1528" s="33">
        <v>1527</v>
      </c>
      <c r="B1528" s="4">
        <v>15</v>
      </c>
      <c r="C1528" s="15">
        <v>10</v>
      </c>
      <c r="D1528" s="16">
        <v>8</v>
      </c>
      <c r="E1528" s="22">
        <v>44138</v>
      </c>
      <c r="F1528" s="17">
        <v>15</v>
      </c>
      <c r="G1528" s="18">
        <v>0.08</v>
      </c>
      <c r="H1528">
        <f>F1528*VLOOKUP(B1528,產品!$A$2:$H$61,7,FALSE)*(1-銷售總表!G1528)</f>
        <v>24840</v>
      </c>
      <c r="I1528" s="35">
        <f>H1528-F1528*VLOOKUP(銷售總表!B1528,產品!$A$2:$H$61,8,FALSE)</f>
        <v>14040</v>
      </c>
      <c r="J1528" s="20">
        <f t="shared" si="23"/>
        <v>0.56521739130434778</v>
      </c>
    </row>
    <row r="1529" spans="1:10" x14ac:dyDescent="0.3">
      <c r="A1529" s="33">
        <v>1528</v>
      </c>
      <c r="B1529" s="4">
        <v>6</v>
      </c>
      <c r="C1529" s="15">
        <v>11</v>
      </c>
      <c r="D1529" s="16">
        <v>6</v>
      </c>
      <c r="E1529" s="22">
        <v>44139</v>
      </c>
      <c r="F1529" s="17">
        <v>40</v>
      </c>
      <c r="G1529" s="18">
        <v>0.13</v>
      </c>
      <c r="H1529">
        <f>F1529*VLOOKUP(B1529,產品!$A$2:$H$61,7,FALSE)*(1-銷售總表!G1529)</f>
        <v>34800</v>
      </c>
      <c r="I1529" s="35">
        <f>H1529-F1529*VLOOKUP(銷售總表!B1529,產品!$A$2:$H$61,8,FALSE)</f>
        <v>18800</v>
      </c>
      <c r="J1529" s="20">
        <f t="shared" si="23"/>
        <v>0.54022988505747127</v>
      </c>
    </row>
    <row r="1530" spans="1:10" x14ac:dyDescent="0.3">
      <c r="A1530" s="33">
        <v>1529</v>
      </c>
      <c r="B1530" s="4">
        <v>28</v>
      </c>
      <c r="C1530" s="15">
        <v>272</v>
      </c>
      <c r="D1530" s="16">
        <v>5</v>
      </c>
      <c r="E1530" s="22">
        <v>44139</v>
      </c>
      <c r="F1530" s="19">
        <v>3</v>
      </c>
      <c r="G1530" s="18">
        <v>0.12</v>
      </c>
      <c r="H1530">
        <f>F1530*VLOOKUP(B1530,產品!$A$2:$H$61,7,FALSE)*(1-銷售總表!G1530)</f>
        <v>19800</v>
      </c>
      <c r="I1530" s="35">
        <f>H1530-F1530*VLOOKUP(銷售總表!B1530,產品!$A$2:$H$61,8,FALSE)</f>
        <v>6300</v>
      </c>
      <c r="J1530" s="20">
        <f t="shared" si="23"/>
        <v>0.31818181818181818</v>
      </c>
    </row>
    <row r="1531" spans="1:10" x14ac:dyDescent="0.3">
      <c r="A1531" s="33">
        <v>1530</v>
      </c>
      <c r="B1531" s="4">
        <v>28</v>
      </c>
      <c r="C1531" s="15">
        <v>8</v>
      </c>
      <c r="D1531" s="16">
        <v>5</v>
      </c>
      <c r="E1531" s="22">
        <v>44140</v>
      </c>
      <c r="F1531" s="19">
        <v>10</v>
      </c>
      <c r="G1531" s="18">
        <v>0.2</v>
      </c>
      <c r="H1531">
        <f>F1531*VLOOKUP(B1531,產品!$A$2:$H$61,7,FALSE)*(1-銷售總表!G1531)</f>
        <v>60000</v>
      </c>
      <c r="I1531" s="35">
        <f>H1531-F1531*VLOOKUP(銷售總表!B1531,產品!$A$2:$H$61,8,FALSE)</f>
        <v>15000</v>
      </c>
      <c r="J1531" s="20">
        <f t="shared" si="23"/>
        <v>0.25</v>
      </c>
    </row>
    <row r="1532" spans="1:10" x14ac:dyDescent="0.3">
      <c r="A1532" s="33">
        <v>1531</v>
      </c>
      <c r="B1532" s="4">
        <v>20</v>
      </c>
      <c r="C1532" s="15">
        <v>122</v>
      </c>
      <c r="D1532" s="16">
        <v>10</v>
      </c>
      <c r="E1532" s="22">
        <v>44140</v>
      </c>
      <c r="F1532" s="17">
        <v>10</v>
      </c>
      <c r="G1532" s="18">
        <v>0.08</v>
      </c>
      <c r="H1532">
        <f>F1532*VLOOKUP(B1532,產品!$A$2:$H$61,7,FALSE)*(1-銷售總表!G1532)</f>
        <v>16560</v>
      </c>
      <c r="I1532" s="35">
        <f>H1532-F1532*VLOOKUP(銷售總表!B1532,產品!$A$2:$H$61,8,FALSE)</f>
        <v>9360</v>
      </c>
      <c r="J1532" s="20">
        <f t="shared" si="23"/>
        <v>0.56521739130434778</v>
      </c>
    </row>
    <row r="1533" spans="1:10" x14ac:dyDescent="0.3">
      <c r="A1533" s="33">
        <v>1532</v>
      </c>
      <c r="B1533" s="4">
        <v>21</v>
      </c>
      <c r="C1533" s="15">
        <v>112</v>
      </c>
      <c r="D1533" s="16">
        <v>9</v>
      </c>
      <c r="E1533" s="22">
        <v>44141</v>
      </c>
      <c r="F1533" s="17">
        <v>150</v>
      </c>
      <c r="G1533" s="18">
        <v>7.0000000000000007E-2</v>
      </c>
      <c r="H1533">
        <f>F1533*VLOOKUP(B1533,產品!$A$2:$H$61,7,FALSE)*(1-銷售總表!G1533)</f>
        <v>251099.99999999997</v>
      </c>
      <c r="I1533" s="35">
        <f>H1533-F1533*VLOOKUP(銷售總表!B1533,產品!$A$2:$H$61,8,FALSE)</f>
        <v>143099.99999999997</v>
      </c>
      <c r="J1533" s="20">
        <f t="shared" si="23"/>
        <v>0.56989247311827951</v>
      </c>
    </row>
    <row r="1534" spans="1:10" x14ac:dyDescent="0.3">
      <c r="A1534" s="33">
        <v>1533</v>
      </c>
      <c r="B1534" s="4">
        <v>11</v>
      </c>
      <c r="C1534" s="15">
        <v>113</v>
      </c>
      <c r="D1534" s="16">
        <v>9</v>
      </c>
      <c r="E1534" s="22">
        <v>44141</v>
      </c>
      <c r="F1534" s="19">
        <v>150</v>
      </c>
      <c r="G1534" s="18">
        <v>0.15</v>
      </c>
      <c r="H1534">
        <f>F1534*VLOOKUP(B1534,產品!$A$2:$H$61,7,FALSE)*(1-銷售總表!G1534)</f>
        <v>127500</v>
      </c>
      <c r="I1534" s="35">
        <f>H1534-F1534*VLOOKUP(銷售總表!B1534,產品!$A$2:$H$61,8,FALSE)</f>
        <v>67500</v>
      </c>
      <c r="J1534" s="20">
        <f t="shared" si="23"/>
        <v>0.52941176470588236</v>
      </c>
    </row>
    <row r="1535" spans="1:10" x14ac:dyDescent="0.3">
      <c r="A1535" s="33">
        <v>1534</v>
      </c>
      <c r="B1535" s="4">
        <v>37</v>
      </c>
      <c r="C1535" s="15">
        <v>10</v>
      </c>
      <c r="D1535" s="16">
        <v>4</v>
      </c>
      <c r="E1535" s="22">
        <v>44141</v>
      </c>
      <c r="F1535" s="17">
        <v>20</v>
      </c>
      <c r="G1535" s="18">
        <v>0.12</v>
      </c>
      <c r="H1535">
        <f>F1535*VLOOKUP(B1535,產品!$A$2:$H$61,7,FALSE)*(1-銷售總表!G1535)</f>
        <v>211200</v>
      </c>
      <c r="I1535" s="35">
        <f>H1535-F1535*VLOOKUP(銷售總表!B1535,產品!$A$2:$H$61,8,FALSE)</f>
        <v>55200</v>
      </c>
      <c r="J1535" s="20">
        <f t="shared" si="23"/>
        <v>0.26136363636363635</v>
      </c>
    </row>
    <row r="1536" spans="1:10" x14ac:dyDescent="0.3">
      <c r="A1536" s="33">
        <v>1535</v>
      </c>
      <c r="B1536" s="4">
        <v>49</v>
      </c>
      <c r="C1536" s="15">
        <v>123</v>
      </c>
      <c r="D1536" s="16">
        <v>10</v>
      </c>
      <c r="E1536" s="22">
        <v>44141</v>
      </c>
      <c r="F1536" s="19">
        <v>5</v>
      </c>
      <c r="G1536" s="18">
        <v>0.12</v>
      </c>
      <c r="H1536">
        <f>F1536*VLOOKUP(B1536,產品!$A$2:$H$61,7,FALSE)*(1-銷售總表!G1536)</f>
        <v>66000</v>
      </c>
      <c r="I1536" s="35">
        <f>H1536-F1536*VLOOKUP(銷售總表!B1536,產品!$A$2:$H$61,8,FALSE)</f>
        <v>13500</v>
      </c>
      <c r="J1536" s="20">
        <f t="shared" si="23"/>
        <v>0.20454545454545456</v>
      </c>
    </row>
    <row r="1537" spans="1:10" x14ac:dyDescent="0.3">
      <c r="A1537" s="33">
        <v>1536</v>
      </c>
      <c r="B1537" s="4">
        <v>53</v>
      </c>
      <c r="C1537" s="15">
        <v>119</v>
      </c>
      <c r="D1537" s="16">
        <v>6</v>
      </c>
      <c r="E1537" s="22">
        <v>44141</v>
      </c>
      <c r="F1537" s="17">
        <v>5</v>
      </c>
      <c r="G1537" s="18">
        <v>0.2</v>
      </c>
      <c r="H1537">
        <f>F1537*VLOOKUP(B1537,產品!$A$2:$H$61,7,FALSE)*(1-銷售總表!G1537)</f>
        <v>60000</v>
      </c>
      <c r="I1537" s="35">
        <f>H1537-F1537*VLOOKUP(銷售總表!B1537,產品!$A$2:$H$61,8,FALSE)</f>
        <v>7500</v>
      </c>
      <c r="J1537" s="20">
        <f t="shared" si="23"/>
        <v>0.125</v>
      </c>
    </row>
    <row r="1538" spans="1:10" x14ac:dyDescent="0.3">
      <c r="A1538" s="33">
        <v>1537</v>
      </c>
      <c r="B1538" s="4">
        <v>28</v>
      </c>
      <c r="C1538" s="15">
        <v>257</v>
      </c>
      <c r="D1538" s="16">
        <v>9</v>
      </c>
      <c r="E1538" s="22">
        <v>44141</v>
      </c>
      <c r="F1538" s="19">
        <v>3</v>
      </c>
      <c r="G1538" s="18">
        <v>0.1</v>
      </c>
      <c r="H1538">
        <f>F1538*VLOOKUP(B1538,產品!$A$2:$H$61,7,FALSE)*(1-銷售總表!G1538)</f>
        <v>20250</v>
      </c>
      <c r="I1538" s="35">
        <f>H1538-F1538*VLOOKUP(銷售總表!B1538,產品!$A$2:$H$61,8,FALSE)</f>
        <v>6750</v>
      </c>
      <c r="J1538" s="20">
        <f t="shared" si="23"/>
        <v>0.33333333333333331</v>
      </c>
    </row>
    <row r="1539" spans="1:10" x14ac:dyDescent="0.3">
      <c r="A1539" s="33">
        <v>1538</v>
      </c>
      <c r="B1539" s="4">
        <v>45</v>
      </c>
      <c r="C1539" s="15">
        <v>260</v>
      </c>
      <c r="D1539" s="16">
        <v>8</v>
      </c>
      <c r="E1539" s="22">
        <v>44141</v>
      </c>
      <c r="F1539" s="19">
        <v>2</v>
      </c>
      <c r="G1539" s="18">
        <v>0.13</v>
      </c>
      <c r="H1539">
        <f>F1539*VLOOKUP(B1539,產品!$A$2:$H$61,7,FALSE)*(1-銷售總表!G1539)</f>
        <v>24360</v>
      </c>
      <c r="I1539" s="35">
        <f>H1539-F1539*VLOOKUP(銷售總表!B1539,產品!$A$2:$H$61,8,FALSE)</f>
        <v>6160</v>
      </c>
      <c r="J1539" s="20">
        <f t="shared" ref="J1539:J1602" si="24">I1539/H1539</f>
        <v>0.25287356321839083</v>
      </c>
    </row>
    <row r="1540" spans="1:10" x14ac:dyDescent="0.3">
      <c r="A1540" s="33">
        <v>1539</v>
      </c>
      <c r="B1540" s="4">
        <v>35</v>
      </c>
      <c r="C1540" s="15">
        <v>265</v>
      </c>
      <c r="D1540" s="16">
        <v>4</v>
      </c>
      <c r="E1540" s="22">
        <v>44141</v>
      </c>
      <c r="F1540" s="17">
        <v>3</v>
      </c>
      <c r="G1540" s="18">
        <v>0.19</v>
      </c>
      <c r="H1540">
        <f>F1540*VLOOKUP(B1540,產品!$A$2:$H$61,7,FALSE)*(1-銷售總表!G1540)</f>
        <v>20655</v>
      </c>
      <c r="I1540" s="35">
        <f>H1540-F1540*VLOOKUP(銷售總表!B1540,產品!$A$2:$H$61,8,FALSE)</f>
        <v>5355</v>
      </c>
      <c r="J1540" s="20">
        <f t="shared" si="24"/>
        <v>0.25925925925925924</v>
      </c>
    </row>
    <row r="1541" spans="1:10" x14ac:dyDescent="0.3">
      <c r="A1541" s="33">
        <v>1540</v>
      </c>
      <c r="B1541" s="4">
        <v>45</v>
      </c>
      <c r="C1541" s="15">
        <v>287</v>
      </c>
      <c r="D1541" s="16">
        <v>3</v>
      </c>
      <c r="E1541" s="22">
        <v>44142</v>
      </c>
      <c r="F1541" s="19">
        <v>20</v>
      </c>
      <c r="G1541" s="18">
        <v>0.11</v>
      </c>
      <c r="H1541">
        <f>F1541*VLOOKUP(B1541,產品!$A$2:$H$61,7,FALSE)*(1-銷售總表!G1541)</f>
        <v>249200</v>
      </c>
      <c r="I1541" s="35">
        <f>H1541-F1541*VLOOKUP(銷售總表!B1541,產品!$A$2:$H$61,8,FALSE)</f>
        <v>67200</v>
      </c>
      <c r="J1541" s="20">
        <f t="shared" si="24"/>
        <v>0.2696629213483146</v>
      </c>
    </row>
    <row r="1542" spans="1:10" x14ac:dyDescent="0.3">
      <c r="A1542" s="33">
        <v>1541</v>
      </c>
      <c r="B1542" s="4">
        <v>53</v>
      </c>
      <c r="C1542" s="15">
        <v>116</v>
      </c>
      <c r="D1542" s="16">
        <v>2</v>
      </c>
      <c r="E1542" s="22">
        <v>44142</v>
      </c>
      <c r="F1542" s="17">
        <v>23</v>
      </c>
      <c r="G1542" s="18">
        <v>0.16</v>
      </c>
      <c r="H1542">
        <f>F1542*VLOOKUP(B1542,產品!$A$2:$H$61,7,FALSE)*(1-銷售總表!G1542)</f>
        <v>289800</v>
      </c>
      <c r="I1542" s="35">
        <f>H1542-F1542*VLOOKUP(銷售總表!B1542,產品!$A$2:$H$61,8,FALSE)</f>
        <v>48300</v>
      </c>
      <c r="J1542" s="20">
        <f t="shared" si="24"/>
        <v>0.16666666666666666</v>
      </c>
    </row>
    <row r="1543" spans="1:10" x14ac:dyDescent="0.3">
      <c r="A1543" s="33">
        <v>1542</v>
      </c>
      <c r="B1543" s="4">
        <v>30</v>
      </c>
      <c r="C1543" s="15">
        <v>122</v>
      </c>
      <c r="D1543" s="16">
        <v>2</v>
      </c>
      <c r="E1543" s="22">
        <v>44142</v>
      </c>
      <c r="F1543" s="17">
        <v>11</v>
      </c>
      <c r="G1543" s="18">
        <v>0.15</v>
      </c>
      <c r="H1543">
        <f>F1543*VLOOKUP(B1543,產品!$A$2:$H$61,7,FALSE)*(1-銷售總表!G1543)</f>
        <v>60775</v>
      </c>
      <c r="I1543" s="35">
        <f>H1543-F1543*VLOOKUP(銷售總表!B1543,產品!$A$2:$H$61,8,FALSE)</f>
        <v>17875</v>
      </c>
      <c r="J1543" s="20">
        <f t="shared" si="24"/>
        <v>0.29411764705882354</v>
      </c>
    </row>
    <row r="1544" spans="1:10" x14ac:dyDescent="0.3">
      <c r="A1544" s="33">
        <v>1543</v>
      </c>
      <c r="B1544" s="4">
        <v>29</v>
      </c>
      <c r="C1544" s="15">
        <v>280</v>
      </c>
      <c r="D1544" s="16">
        <v>5</v>
      </c>
      <c r="E1544" s="22">
        <v>44142</v>
      </c>
      <c r="F1544" s="19">
        <v>2</v>
      </c>
      <c r="G1544" s="18">
        <v>0.18</v>
      </c>
      <c r="H1544">
        <f>F1544*VLOOKUP(B1544,產品!$A$2:$H$61,7,FALSE)*(1-銷售總表!G1544)</f>
        <v>9840</v>
      </c>
      <c r="I1544" s="35">
        <f>H1544-F1544*VLOOKUP(銷售總表!B1544,產品!$A$2:$H$61,8,FALSE)</f>
        <v>2640</v>
      </c>
      <c r="J1544" s="20">
        <f t="shared" si="24"/>
        <v>0.26829268292682928</v>
      </c>
    </row>
    <row r="1545" spans="1:10" x14ac:dyDescent="0.3">
      <c r="A1545" s="33">
        <v>1544</v>
      </c>
      <c r="B1545" s="4">
        <v>2</v>
      </c>
      <c r="C1545" s="15">
        <v>11</v>
      </c>
      <c r="D1545" s="16">
        <v>8</v>
      </c>
      <c r="E1545" s="22">
        <v>44143</v>
      </c>
      <c r="F1545" s="19">
        <v>105</v>
      </c>
      <c r="G1545" s="18">
        <v>7.0000000000000007E-2</v>
      </c>
      <c r="H1545">
        <f>F1545*VLOOKUP(B1545,產品!$A$2:$H$61,7,FALSE)*(1-銷售總表!G1545)</f>
        <v>97650</v>
      </c>
      <c r="I1545" s="35">
        <f>H1545-F1545*VLOOKUP(銷售總表!B1545,產品!$A$2:$H$61,8,FALSE)</f>
        <v>55650</v>
      </c>
      <c r="J1545" s="20">
        <f t="shared" si="24"/>
        <v>0.56989247311827962</v>
      </c>
    </row>
    <row r="1546" spans="1:10" x14ac:dyDescent="0.3">
      <c r="A1546" s="33">
        <v>1545</v>
      </c>
      <c r="B1546" s="4">
        <v>37</v>
      </c>
      <c r="C1546" s="15">
        <v>264</v>
      </c>
      <c r="D1546" s="16">
        <v>6</v>
      </c>
      <c r="E1546" s="22">
        <v>44143</v>
      </c>
      <c r="F1546" s="17">
        <v>6</v>
      </c>
      <c r="G1546" s="18">
        <v>0.05</v>
      </c>
      <c r="H1546">
        <f>F1546*VLOOKUP(B1546,產品!$A$2:$H$61,7,FALSE)*(1-銷售總表!G1546)</f>
        <v>68400</v>
      </c>
      <c r="I1546" s="35">
        <f>H1546-F1546*VLOOKUP(銷售總表!B1546,產品!$A$2:$H$61,8,FALSE)</f>
        <v>21600</v>
      </c>
      <c r="J1546" s="20">
        <f t="shared" si="24"/>
        <v>0.31578947368421051</v>
      </c>
    </row>
    <row r="1547" spans="1:10" x14ac:dyDescent="0.3">
      <c r="A1547" s="33">
        <v>1546</v>
      </c>
      <c r="B1547" s="4">
        <v>5</v>
      </c>
      <c r="C1547" s="15">
        <v>123</v>
      </c>
      <c r="D1547" s="16">
        <v>1</v>
      </c>
      <c r="E1547" s="22">
        <v>44143</v>
      </c>
      <c r="F1547" s="17">
        <v>40</v>
      </c>
      <c r="G1547" s="18">
        <v>0.12</v>
      </c>
      <c r="H1547">
        <f>F1547*VLOOKUP(B1547,產品!$A$2:$H$61,7,FALSE)*(1-銷售總表!G1547)</f>
        <v>35200</v>
      </c>
      <c r="I1547" s="35">
        <f>H1547-F1547*VLOOKUP(銷售總表!B1547,產品!$A$2:$H$61,8,FALSE)</f>
        <v>19200</v>
      </c>
      <c r="J1547" s="20">
        <f t="shared" si="24"/>
        <v>0.54545454545454541</v>
      </c>
    </row>
    <row r="1548" spans="1:10" x14ac:dyDescent="0.3">
      <c r="A1548" s="33">
        <v>1547</v>
      </c>
      <c r="B1548" s="4">
        <v>49</v>
      </c>
      <c r="C1548" s="15">
        <v>272</v>
      </c>
      <c r="D1548" s="16">
        <v>10</v>
      </c>
      <c r="E1548" s="22">
        <v>44143</v>
      </c>
      <c r="F1548" s="17">
        <v>5</v>
      </c>
      <c r="G1548" s="18">
        <v>0.09</v>
      </c>
      <c r="H1548">
        <f>F1548*VLOOKUP(B1548,產品!$A$2:$H$61,7,FALSE)*(1-銷售總表!G1548)</f>
        <v>68250</v>
      </c>
      <c r="I1548" s="35">
        <f>H1548-F1548*VLOOKUP(銷售總表!B1548,產品!$A$2:$H$61,8,FALSE)</f>
        <v>15750</v>
      </c>
      <c r="J1548" s="20">
        <f t="shared" si="24"/>
        <v>0.23076923076923078</v>
      </c>
    </row>
    <row r="1549" spans="1:10" x14ac:dyDescent="0.3">
      <c r="A1549" s="33">
        <v>1548</v>
      </c>
      <c r="B1549" s="4">
        <v>60</v>
      </c>
      <c r="C1549" s="15">
        <v>122</v>
      </c>
      <c r="D1549" s="16">
        <v>3</v>
      </c>
      <c r="E1549" s="22">
        <v>44144</v>
      </c>
      <c r="F1549" s="17">
        <v>4</v>
      </c>
      <c r="G1549" s="18">
        <v>0.06</v>
      </c>
      <c r="H1549">
        <f>F1549*VLOOKUP(B1549,產品!$A$2:$H$61,7,FALSE)*(1-銷售總表!G1549)</f>
        <v>94000</v>
      </c>
      <c r="I1549" s="35">
        <f>H1549-F1549*VLOOKUP(銷售總表!B1549,產品!$A$2:$H$61,8,FALSE)</f>
        <v>24000</v>
      </c>
      <c r="J1549" s="20">
        <f t="shared" si="24"/>
        <v>0.25531914893617019</v>
      </c>
    </row>
    <row r="1550" spans="1:10" x14ac:dyDescent="0.3">
      <c r="A1550" s="33">
        <v>1549</v>
      </c>
      <c r="B1550" s="4">
        <v>41</v>
      </c>
      <c r="C1550" s="15">
        <v>272</v>
      </c>
      <c r="D1550" s="16">
        <v>4</v>
      </c>
      <c r="E1550" s="22">
        <v>44144</v>
      </c>
      <c r="F1550" s="17">
        <v>3</v>
      </c>
      <c r="G1550" s="18">
        <v>0.16</v>
      </c>
      <c r="H1550">
        <f>F1550*VLOOKUP(B1550,產品!$A$2:$H$61,7,FALSE)*(1-銷售總表!G1550)</f>
        <v>30240</v>
      </c>
      <c r="I1550" s="35">
        <f>H1550-F1550*VLOOKUP(銷售總表!B1550,產品!$A$2:$H$61,8,FALSE)</f>
        <v>6840</v>
      </c>
      <c r="J1550" s="20">
        <f t="shared" si="24"/>
        <v>0.22619047619047619</v>
      </c>
    </row>
    <row r="1551" spans="1:10" x14ac:dyDescent="0.3">
      <c r="A1551" s="33">
        <v>1550</v>
      </c>
      <c r="B1551" s="4">
        <v>12</v>
      </c>
      <c r="C1551" s="15">
        <v>286</v>
      </c>
      <c r="D1551" s="16">
        <v>5</v>
      </c>
      <c r="E1551" s="22">
        <v>44145</v>
      </c>
      <c r="F1551" s="17">
        <v>60</v>
      </c>
      <c r="G1551" s="18">
        <v>0.17</v>
      </c>
      <c r="H1551">
        <f>F1551*VLOOKUP(B1551,產品!$A$2:$H$61,7,FALSE)*(1-銷售總表!G1551)</f>
        <v>49800</v>
      </c>
      <c r="I1551" s="35">
        <f>H1551-F1551*VLOOKUP(銷售總表!B1551,產品!$A$2:$H$61,8,FALSE)</f>
        <v>25800</v>
      </c>
      <c r="J1551" s="20">
        <f t="shared" si="24"/>
        <v>0.51807228915662651</v>
      </c>
    </row>
    <row r="1552" spans="1:10" x14ac:dyDescent="0.3">
      <c r="A1552" s="33">
        <v>1551</v>
      </c>
      <c r="B1552" s="4">
        <v>20</v>
      </c>
      <c r="C1552" s="15">
        <v>8</v>
      </c>
      <c r="D1552" s="16">
        <v>3</v>
      </c>
      <c r="E1552" s="22">
        <v>44145</v>
      </c>
      <c r="F1552" s="17">
        <v>20</v>
      </c>
      <c r="G1552" s="18">
        <v>0.13</v>
      </c>
      <c r="H1552">
        <f>F1552*VLOOKUP(B1552,產品!$A$2:$H$61,7,FALSE)*(1-銷售總表!G1552)</f>
        <v>31320</v>
      </c>
      <c r="I1552" s="35">
        <f>H1552-F1552*VLOOKUP(銷售總表!B1552,產品!$A$2:$H$61,8,FALSE)</f>
        <v>16920</v>
      </c>
      <c r="J1552" s="20">
        <f t="shared" si="24"/>
        <v>0.54022988505747127</v>
      </c>
    </row>
    <row r="1553" spans="1:10" x14ac:dyDescent="0.3">
      <c r="A1553" s="33">
        <v>1552</v>
      </c>
      <c r="B1553" s="4">
        <v>56</v>
      </c>
      <c r="C1553" s="15">
        <v>261</v>
      </c>
      <c r="D1553" s="16">
        <v>8</v>
      </c>
      <c r="E1553" s="22">
        <v>44145</v>
      </c>
      <c r="F1553" s="19">
        <v>4</v>
      </c>
      <c r="G1553" s="18">
        <v>0.12</v>
      </c>
      <c r="H1553">
        <f>F1553*VLOOKUP(B1553,產品!$A$2:$H$61,7,FALSE)*(1-銷售總表!G1553)</f>
        <v>77440</v>
      </c>
      <c r="I1553" s="35">
        <f>H1553-F1553*VLOOKUP(銷售總表!B1553,產品!$A$2:$H$61,8,FALSE)</f>
        <v>15840.000000000007</v>
      </c>
      <c r="J1553" s="20">
        <f t="shared" si="24"/>
        <v>0.20454545454545464</v>
      </c>
    </row>
    <row r="1554" spans="1:10" x14ac:dyDescent="0.3">
      <c r="A1554" s="33">
        <v>1553</v>
      </c>
      <c r="B1554" s="4">
        <v>41</v>
      </c>
      <c r="C1554" s="15">
        <v>5</v>
      </c>
      <c r="D1554" s="16">
        <v>1</v>
      </c>
      <c r="E1554" s="22">
        <v>44145</v>
      </c>
      <c r="F1554" s="19">
        <v>2</v>
      </c>
      <c r="G1554" s="18">
        <v>0.19</v>
      </c>
      <c r="H1554">
        <f>F1554*VLOOKUP(B1554,產品!$A$2:$H$61,7,FALSE)*(1-銷售總表!G1554)</f>
        <v>19440</v>
      </c>
      <c r="I1554" s="35">
        <f>H1554-F1554*VLOOKUP(銷售總表!B1554,產品!$A$2:$H$61,8,FALSE)</f>
        <v>3840</v>
      </c>
      <c r="J1554" s="20">
        <f t="shared" si="24"/>
        <v>0.19753086419753085</v>
      </c>
    </row>
    <row r="1555" spans="1:10" x14ac:dyDescent="0.3">
      <c r="A1555" s="33">
        <v>1554</v>
      </c>
      <c r="B1555" s="4">
        <v>51</v>
      </c>
      <c r="C1555" s="15">
        <v>136</v>
      </c>
      <c r="D1555" s="16">
        <v>1</v>
      </c>
      <c r="E1555" s="22">
        <v>44146</v>
      </c>
      <c r="F1555" s="17">
        <v>7</v>
      </c>
      <c r="G1555" s="18">
        <v>7.0000000000000007E-2</v>
      </c>
      <c r="H1555">
        <f>F1555*VLOOKUP(B1555,產品!$A$2:$H$61,7,FALSE)*(1-銷售總表!G1555)</f>
        <v>130199.99999999999</v>
      </c>
      <c r="I1555" s="35">
        <f>H1555-F1555*VLOOKUP(銷售總表!B1555,產品!$A$2:$H$61,8,FALSE)</f>
        <v>32199.999999999985</v>
      </c>
      <c r="J1555" s="20">
        <f t="shared" si="24"/>
        <v>0.24731182795698917</v>
      </c>
    </row>
    <row r="1556" spans="1:10" x14ac:dyDescent="0.3">
      <c r="A1556" s="33">
        <v>1555</v>
      </c>
      <c r="B1556" s="4">
        <v>38</v>
      </c>
      <c r="C1556" s="15">
        <v>258</v>
      </c>
      <c r="D1556" s="16">
        <v>4</v>
      </c>
      <c r="E1556" s="22">
        <v>44146</v>
      </c>
      <c r="F1556" s="17">
        <v>5</v>
      </c>
      <c r="G1556" s="18">
        <v>0.11</v>
      </c>
      <c r="H1556">
        <f>F1556*VLOOKUP(B1556,產品!$A$2:$H$61,7,FALSE)*(1-銷售總表!G1556)</f>
        <v>66750</v>
      </c>
      <c r="I1556" s="35">
        <f>H1556-F1556*VLOOKUP(銷售總表!B1556,產品!$A$2:$H$61,8,FALSE)</f>
        <v>18000</v>
      </c>
      <c r="J1556" s="20">
        <f t="shared" si="24"/>
        <v>0.2696629213483146</v>
      </c>
    </row>
    <row r="1557" spans="1:10" x14ac:dyDescent="0.3">
      <c r="A1557" s="33">
        <v>1556</v>
      </c>
      <c r="B1557" s="4">
        <v>43</v>
      </c>
      <c r="C1557" s="15">
        <v>257</v>
      </c>
      <c r="D1557" s="16">
        <v>7</v>
      </c>
      <c r="E1557" s="22">
        <v>44146</v>
      </c>
      <c r="F1557" s="17">
        <v>4</v>
      </c>
      <c r="G1557" s="18">
        <v>0.15</v>
      </c>
      <c r="H1557">
        <f>F1557*VLOOKUP(B1557,產品!$A$2:$H$61,7,FALSE)*(1-銷售總表!G1557)</f>
        <v>61200</v>
      </c>
      <c r="I1557" s="35">
        <f>H1557-F1557*VLOOKUP(銷售總表!B1557,產品!$A$2:$H$61,8,FALSE)</f>
        <v>14400</v>
      </c>
      <c r="J1557" s="20">
        <f t="shared" si="24"/>
        <v>0.23529411764705882</v>
      </c>
    </row>
    <row r="1558" spans="1:10" x14ac:dyDescent="0.3">
      <c r="A1558" s="33">
        <v>1557</v>
      </c>
      <c r="B1558" s="4">
        <v>26</v>
      </c>
      <c r="C1558" s="15">
        <v>7</v>
      </c>
      <c r="D1558" s="16">
        <v>4</v>
      </c>
      <c r="E1558" s="22">
        <v>44146</v>
      </c>
      <c r="F1558" s="19">
        <v>5</v>
      </c>
      <c r="G1558" s="18">
        <v>0.06</v>
      </c>
      <c r="H1558">
        <f>F1558*VLOOKUP(B1558,產品!$A$2:$H$61,7,FALSE)*(1-銷售總表!G1558)</f>
        <v>30550</v>
      </c>
      <c r="I1558" s="35">
        <f>H1558-F1558*VLOOKUP(銷售總表!B1558,產品!$A$2:$H$61,8,FALSE)</f>
        <v>11050</v>
      </c>
      <c r="J1558" s="20">
        <f t="shared" si="24"/>
        <v>0.36170212765957449</v>
      </c>
    </row>
    <row r="1559" spans="1:10" x14ac:dyDescent="0.3">
      <c r="A1559" s="33">
        <v>1558</v>
      </c>
      <c r="B1559" s="4">
        <v>57</v>
      </c>
      <c r="C1559" s="15">
        <v>268</v>
      </c>
      <c r="D1559" s="16">
        <v>2</v>
      </c>
      <c r="E1559" s="22">
        <v>44146</v>
      </c>
      <c r="F1559" s="17">
        <v>3</v>
      </c>
      <c r="G1559" s="18">
        <v>0.14000000000000001</v>
      </c>
      <c r="H1559">
        <f>F1559*VLOOKUP(B1559,產品!$A$2:$H$61,7,FALSE)*(1-銷售總表!G1559)</f>
        <v>46440</v>
      </c>
      <c r="I1559" s="35">
        <f>H1559-F1559*VLOOKUP(銷售總表!B1559,產品!$A$2:$H$61,8,FALSE)</f>
        <v>8640</v>
      </c>
      <c r="J1559" s="20">
        <f t="shared" si="24"/>
        <v>0.18604651162790697</v>
      </c>
    </row>
    <row r="1560" spans="1:10" x14ac:dyDescent="0.3">
      <c r="A1560" s="33">
        <v>1559</v>
      </c>
      <c r="B1560" s="4">
        <v>3</v>
      </c>
      <c r="C1560" s="15">
        <v>276</v>
      </c>
      <c r="D1560" s="16">
        <v>4</v>
      </c>
      <c r="E1560" s="22">
        <v>44147</v>
      </c>
      <c r="F1560" s="17">
        <v>100</v>
      </c>
      <c r="G1560" s="18">
        <v>0.05</v>
      </c>
      <c r="H1560">
        <f>F1560*VLOOKUP(B1560,產品!$A$2:$H$61,7,FALSE)*(1-銷售總表!G1560)</f>
        <v>95000</v>
      </c>
      <c r="I1560" s="35">
        <f>H1560-F1560*VLOOKUP(銷售總表!B1560,產品!$A$2:$H$61,8,FALSE)</f>
        <v>55000</v>
      </c>
      <c r="J1560" s="20">
        <f t="shared" si="24"/>
        <v>0.57894736842105265</v>
      </c>
    </row>
    <row r="1561" spans="1:10" x14ac:dyDescent="0.3">
      <c r="A1561" s="33">
        <v>1560</v>
      </c>
      <c r="B1561" s="4">
        <v>47</v>
      </c>
      <c r="C1561" s="15">
        <v>258</v>
      </c>
      <c r="D1561" s="16">
        <v>6</v>
      </c>
      <c r="E1561" s="22">
        <v>44147</v>
      </c>
      <c r="F1561" s="19">
        <v>15</v>
      </c>
      <c r="G1561" s="18">
        <v>0.18</v>
      </c>
      <c r="H1561">
        <f>F1561*VLOOKUP(B1561,產品!$A$2:$H$61,7,FALSE)*(1-銷售總表!G1561)</f>
        <v>246000.00000000003</v>
      </c>
      <c r="I1561" s="35">
        <f>H1561-F1561*VLOOKUP(銷售總表!B1561,產品!$A$2:$H$61,8,FALSE)</f>
        <v>51000.000000000029</v>
      </c>
      <c r="J1561" s="20">
        <f t="shared" si="24"/>
        <v>0.20731707317073181</v>
      </c>
    </row>
    <row r="1562" spans="1:10" x14ac:dyDescent="0.3">
      <c r="A1562" s="33">
        <v>1561</v>
      </c>
      <c r="B1562" s="4">
        <v>49</v>
      </c>
      <c r="C1562" s="15">
        <v>3</v>
      </c>
      <c r="D1562" s="16">
        <v>4</v>
      </c>
      <c r="E1562" s="22">
        <v>44147</v>
      </c>
      <c r="F1562" s="17">
        <v>15</v>
      </c>
      <c r="G1562" s="18">
        <v>0.11</v>
      </c>
      <c r="H1562">
        <f>F1562*VLOOKUP(B1562,產品!$A$2:$H$61,7,FALSE)*(1-銷售總表!G1562)</f>
        <v>200250</v>
      </c>
      <c r="I1562" s="35">
        <f>H1562-F1562*VLOOKUP(銷售總表!B1562,產品!$A$2:$H$61,8,FALSE)</f>
        <v>42750</v>
      </c>
      <c r="J1562" s="20">
        <f t="shared" si="24"/>
        <v>0.21348314606741572</v>
      </c>
    </row>
    <row r="1563" spans="1:10" x14ac:dyDescent="0.3">
      <c r="A1563" s="33">
        <v>1562</v>
      </c>
      <c r="B1563" s="4">
        <v>29</v>
      </c>
      <c r="C1563" s="15">
        <v>11</v>
      </c>
      <c r="D1563" s="16">
        <v>6</v>
      </c>
      <c r="E1563" s="22">
        <v>44147</v>
      </c>
      <c r="F1563" s="19">
        <v>20</v>
      </c>
      <c r="G1563" s="18">
        <v>0.17</v>
      </c>
      <c r="H1563">
        <f>F1563*VLOOKUP(B1563,產品!$A$2:$H$61,7,FALSE)*(1-銷售總表!G1563)</f>
        <v>99600</v>
      </c>
      <c r="I1563" s="35">
        <f>H1563-F1563*VLOOKUP(銷售總表!B1563,產品!$A$2:$H$61,8,FALSE)</f>
        <v>27600</v>
      </c>
      <c r="J1563" s="20">
        <f t="shared" si="24"/>
        <v>0.27710843373493976</v>
      </c>
    </row>
    <row r="1564" spans="1:10" x14ac:dyDescent="0.3">
      <c r="A1564" s="33">
        <v>1563</v>
      </c>
      <c r="B1564" s="4">
        <v>16</v>
      </c>
      <c r="C1564" s="15">
        <v>292</v>
      </c>
      <c r="D1564" s="16">
        <v>2</v>
      </c>
      <c r="E1564" s="22">
        <v>44147</v>
      </c>
      <c r="F1564" s="17">
        <v>20</v>
      </c>
      <c r="G1564" s="18">
        <v>0.15</v>
      </c>
      <c r="H1564">
        <f>F1564*VLOOKUP(B1564,產品!$A$2:$H$61,7,FALSE)*(1-銷售總表!G1564)</f>
        <v>30600</v>
      </c>
      <c r="I1564" s="35">
        <f>H1564-F1564*VLOOKUP(銷售總表!B1564,產品!$A$2:$H$61,8,FALSE)</f>
        <v>16200</v>
      </c>
      <c r="J1564" s="20">
        <f t="shared" si="24"/>
        <v>0.52941176470588236</v>
      </c>
    </row>
    <row r="1565" spans="1:10" x14ac:dyDescent="0.3">
      <c r="A1565" s="33">
        <v>1564</v>
      </c>
      <c r="B1565" s="4">
        <v>42</v>
      </c>
      <c r="C1565" s="15">
        <v>10</v>
      </c>
      <c r="D1565" s="16">
        <v>8</v>
      </c>
      <c r="E1565" s="22">
        <v>44148</v>
      </c>
      <c r="F1565" s="17">
        <v>20</v>
      </c>
      <c r="G1565" s="18">
        <v>0.19</v>
      </c>
      <c r="H1565">
        <f>F1565*VLOOKUP(B1565,產品!$A$2:$H$61,7,FALSE)*(1-銷售總表!G1565)</f>
        <v>243000.00000000003</v>
      </c>
      <c r="I1565" s="35">
        <f>H1565-F1565*VLOOKUP(銷售總表!B1565,產品!$A$2:$H$61,8,FALSE)</f>
        <v>48000.000000000029</v>
      </c>
      <c r="J1565" s="20">
        <f t="shared" si="24"/>
        <v>0.19753086419753096</v>
      </c>
    </row>
    <row r="1566" spans="1:10" x14ac:dyDescent="0.3">
      <c r="A1566" s="33">
        <v>1565</v>
      </c>
      <c r="B1566" s="4">
        <v>24</v>
      </c>
      <c r="C1566" s="15">
        <v>289</v>
      </c>
      <c r="D1566" s="16">
        <v>2</v>
      </c>
      <c r="E1566" s="22">
        <v>44148</v>
      </c>
      <c r="F1566" s="17">
        <v>10</v>
      </c>
      <c r="G1566" s="18">
        <v>7.0000000000000007E-2</v>
      </c>
      <c r="H1566">
        <f>F1566*VLOOKUP(B1566,產品!$A$2:$H$61,7,FALSE)*(1-銷售總表!G1566)</f>
        <v>16740</v>
      </c>
      <c r="I1566" s="35">
        <f>H1566-F1566*VLOOKUP(銷售總表!B1566,產品!$A$2:$H$61,8,FALSE)</f>
        <v>9540</v>
      </c>
      <c r="J1566" s="20">
        <f t="shared" si="24"/>
        <v>0.56989247311827962</v>
      </c>
    </row>
    <row r="1567" spans="1:10" x14ac:dyDescent="0.3">
      <c r="A1567" s="33">
        <v>1566</v>
      </c>
      <c r="B1567" s="4">
        <v>56</v>
      </c>
      <c r="C1567" s="15">
        <v>11</v>
      </c>
      <c r="D1567" s="16">
        <v>3</v>
      </c>
      <c r="E1567" s="22">
        <v>44148</v>
      </c>
      <c r="F1567" s="19">
        <v>3</v>
      </c>
      <c r="G1567" s="18">
        <v>0.18</v>
      </c>
      <c r="H1567">
        <f>F1567*VLOOKUP(B1567,產品!$A$2:$H$61,7,FALSE)*(1-銷售總表!G1567)</f>
        <v>54120.000000000007</v>
      </c>
      <c r="I1567" s="35">
        <f>H1567-F1567*VLOOKUP(銷售總表!B1567,產品!$A$2:$H$61,8,FALSE)</f>
        <v>7920.0000000000146</v>
      </c>
      <c r="J1567" s="20">
        <f t="shared" si="24"/>
        <v>0.14634146341463439</v>
      </c>
    </row>
    <row r="1568" spans="1:10" x14ac:dyDescent="0.3">
      <c r="A1568" s="33">
        <v>1567</v>
      </c>
      <c r="B1568" s="4">
        <v>34</v>
      </c>
      <c r="C1568" s="15">
        <v>136</v>
      </c>
      <c r="D1568" s="16">
        <v>5</v>
      </c>
      <c r="E1568" s="22">
        <v>44148</v>
      </c>
      <c r="F1568" s="19">
        <v>3</v>
      </c>
      <c r="G1568" s="18">
        <v>0.15</v>
      </c>
      <c r="H1568">
        <f>F1568*VLOOKUP(B1568,產品!$A$2:$H$61,7,FALSE)*(1-銷售總表!G1568)</f>
        <v>20400</v>
      </c>
      <c r="I1568" s="35">
        <f>H1568-F1568*VLOOKUP(銷售總表!B1568,產品!$A$2:$H$61,8,FALSE)</f>
        <v>6000</v>
      </c>
      <c r="J1568" s="20">
        <f t="shared" si="24"/>
        <v>0.29411764705882354</v>
      </c>
    </row>
    <row r="1569" spans="1:10" x14ac:dyDescent="0.3">
      <c r="A1569" s="33">
        <v>1568</v>
      </c>
      <c r="B1569" s="4">
        <v>15</v>
      </c>
      <c r="C1569" s="15">
        <v>121</v>
      </c>
      <c r="D1569" s="16">
        <v>10</v>
      </c>
      <c r="E1569" s="22">
        <v>44149</v>
      </c>
      <c r="F1569" s="19">
        <v>30</v>
      </c>
      <c r="G1569" s="18">
        <v>0.11</v>
      </c>
      <c r="H1569">
        <f>F1569*VLOOKUP(B1569,產品!$A$2:$H$61,7,FALSE)*(1-銷售總表!G1569)</f>
        <v>48060</v>
      </c>
      <c r="I1569" s="35">
        <f>H1569-F1569*VLOOKUP(銷售總表!B1569,產品!$A$2:$H$61,8,FALSE)</f>
        <v>26460</v>
      </c>
      <c r="J1569" s="20">
        <f t="shared" si="24"/>
        <v>0.550561797752809</v>
      </c>
    </row>
    <row r="1570" spans="1:10" x14ac:dyDescent="0.3">
      <c r="A1570" s="33">
        <v>1569</v>
      </c>
      <c r="B1570" s="4">
        <v>1</v>
      </c>
      <c r="C1570" s="15">
        <v>11</v>
      </c>
      <c r="D1570" s="16">
        <v>10</v>
      </c>
      <c r="E1570" s="22">
        <v>44149</v>
      </c>
      <c r="F1570" s="17">
        <v>40</v>
      </c>
      <c r="G1570" s="18">
        <v>0.08</v>
      </c>
      <c r="H1570">
        <f>F1570*VLOOKUP(B1570,產品!$A$2:$H$61,7,FALSE)*(1-銷售總表!G1570)</f>
        <v>36800</v>
      </c>
      <c r="I1570" s="35">
        <f>H1570-F1570*VLOOKUP(銷售總表!B1570,產品!$A$2:$H$61,8,FALSE)</f>
        <v>20800</v>
      </c>
      <c r="J1570" s="20">
        <f t="shared" si="24"/>
        <v>0.56521739130434778</v>
      </c>
    </row>
    <row r="1571" spans="1:10" x14ac:dyDescent="0.3">
      <c r="A1571" s="33">
        <v>1570</v>
      </c>
      <c r="B1571" s="4">
        <v>37</v>
      </c>
      <c r="C1571" s="15">
        <v>5</v>
      </c>
      <c r="D1571" s="16">
        <v>3</v>
      </c>
      <c r="E1571" s="22">
        <v>44149</v>
      </c>
      <c r="F1571" s="19">
        <v>6</v>
      </c>
      <c r="G1571" s="18">
        <v>0.09</v>
      </c>
      <c r="H1571">
        <f>F1571*VLOOKUP(B1571,產品!$A$2:$H$61,7,FALSE)*(1-銷售總表!G1571)</f>
        <v>65520</v>
      </c>
      <c r="I1571" s="35">
        <f>H1571-F1571*VLOOKUP(銷售總表!B1571,產品!$A$2:$H$61,8,FALSE)</f>
        <v>18720</v>
      </c>
      <c r="J1571" s="20">
        <f t="shared" si="24"/>
        <v>0.2857142857142857</v>
      </c>
    </row>
    <row r="1572" spans="1:10" x14ac:dyDescent="0.3">
      <c r="A1572" s="33">
        <v>1571</v>
      </c>
      <c r="B1572" s="4">
        <v>52</v>
      </c>
      <c r="C1572" s="15">
        <v>292</v>
      </c>
      <c r="D1572" s="16">
        <v>10</v>
      </c>
      <c r="E1572" s="22">
        <v>44149</v>
      </c>
      <c r="F1572" s="17">
        <v>5</v>
      </c>
      <c r="G1572" s="18">
        <v>0.15</v>
      </c>
      <c r="H1572">
        <f>F1572*VLOOKUP(B1572,產品!$A$2:$H$61,7,FALSE)*(1-銷售總表!G1572)</f>
        <v>93500</v>
      </c>
      <c r="I1572" s="35">
        <f>H1572-F1572*VLOOKUP(銷售總表!B1572,產品!$A$2:$H$61,8,FALSE)</f>
        <v>16500.000000000015</v>
      </c>
      <c r="J1572" s="20">
        <f t="shared" si="24"/>
        <v>0.17647058823529427</v>
      </c>
    </row>
    <row r="1573" spans="1:10" x14ac:dyDescent="0.3">
      <c r="A1573" s="33">
        <v>1572</v>
      </c>
      <c r="B1573" s="4">
        <v>45</v>
      </c>
      <c r="C1573" s="15">
        <v>272</v>
      </c>
      <c r="D1573" s="16">
        <v>10</v>
      </c>
      <c r="E1573" s="22">
        <v>44149</v>
      </c>
      <c r="F1573" s="19">
        <v>2</v>
      </c>
      <c r="G1573" s="18">
        <v>0.06</v>
      </c>
      <c r="H1573">
        <f>F1573*VLOOKUP(B1573,產品!$A$2:$H$61,7,FALSE)*(1-銷售總表!G1573)</f>
        <v>26320</v>
      </c>
      <c r="I1573" s="35">
        <f>H1573-F1573*VLOOKUP(銷售總表!B1573,產品!$A$2:$H$61,8,FALSE)</f>
        <v>8120</v>
      </c>
      <c r="J1573" s="20">
        <f t="shared" si="24"/>
        <v>0.30851063829787234</v>
      </c>
    </row>
    <row r="1574" spans="1:10" x14ac:dyDescent="0.3">
      <c r="A1574" s="33">
        <v>1573</v>
      </c>
      <c r="B1574" s="4">
        <v>51</v>
      </c>
      <c r="C1574" s="15">
        <v>8</v>
      </c>
      <c r="D1574" s="16">
        <v>9</v>
      </c>
      <c r="E1574" s="22">
        <v>44149</v>
      </c>
      <c r="F1574" s="17">
        <v>2</v>
      </c>
      <c r="G1574" s="18">
        <v>0.14000000000000001</v>
      </c>
      <c r="H1574">
        <f>F1574*VLOOKUP(B1574,產品!$A$2:$H$61,7,FALSE)*(1-銷售總表!G1574)</f>
        <v>34400</v>
      </c>
      <c r="I1574" s="35">
        <f>H1574-F1574*VLOOKUP(銷售總表!B1574,產品!$A$2:$H$61,8,FALSE)</f>
        <v>6400</v>
      </c>
      <c r="J1574" s="20">
        <f t="shared" si="24"/>
        <v>0.18604651162790697</v>
      </c>
    </row>
    <row r="1575" spans="1:10" x14ac:dyDescent="0.3">
      <c r="A1575" s="33">
        <v>1574</v>
      </c>
      <c r="B1575" s="4">
        <v>6</v>
      </c>
      <c r="C1575" s="15">
        <v>285</v>
      </c>
      <c r="D1575" s="16">
        <v>3</v>
      </c>
      <c r="E1575" s="22">
        <v>44150</v>
      </c>
      <c r="F1575" s="19">
        <v>100</v>
      </c>
      <c r="G1575" s="18">
        <v>0.14000000000000001</v>
      </c>
      <c r="H1575">
        <f>F1575*VLOOKUP(B1575,產品!$A$2:$H$61,7,FALSE)*(1-銷售總表!G1575)</f>
        <v>86000</v>
      </c>
      <c r="I1575" s="35">
        <f>H1575-F1575*VLOOKUP(銷售總表!B1575,產品!$A$2:$H$61,8,FALSE)</f>
        <v>46000</v>
      </c>
      <c r="J1575" s="20">
        <f t="shared" si="24"/>
        <v>0.53488372093023251</v>
      </c>
    </row>
    <row r="1576" spans="1:10" x14ac:dyDescent="0.3">
      <c r="A1576" s="33">
        <v>1575</v>
      </c>
      <c r="B1576" s="4">
        <v>14</v>
      </c>
      <c r="C1576" s="15">
        <v>135</v>
      </c>
      <c r="D1576" s="16">
        <v>3</v>
      </c>
      <c r="E1576" s="22">
        <v>44150</v>
      </c>
      <c r="F1576" s="17">
        <v>60</v>
      </c>
      <c r="G1576" s="18">
        <v>0.18</v>
      </c>
      <c r="H1576">
        <f>F1576*VLOOKUP(B1576,產品!$A$2:$H$61,7,FALSE)*(1-銷售總表!G1576)</f>
        <v>88560</v>
      </c>
      <c r="I1576" s="35">
        <f>H1576-F1576*VLOOKUP(銷售總表!B1576,產品!$A$2:$H$61,8,FALSE)</f>
        <v>45360</v>
      </c>
      <c r="J1576" s="20">
        <f t="shared" si="24"/>
        <v>0.51219512195121952</v>
      </c>
    </row>
    <row r="1577" spans="1:10" x14ac:dyDescent="0.3">
      <c r="A1577" s="33">
        <v>1576</v>
      </c>
      <c r="B1577" s="4">
        <v>8</v>
      </c>
      <c r="C1577" s="15">
        <v>121</v>
      </c>
      <c r="D1577" s="16">
        <v>3</v>
      </c>
      <c r="E1577" s="22">
        <v>44150</v>
      </c>
      <c r="F1577" s="17">
        <v>60</v>
      </c>
      <c r="G1577" s="18">
        <v>0.1</v>
      </c>
      <c r="H1577">
        <f>F1577*VLOOKUP(B1577,產品!$A$2:$H$61,7,FALSE)*(1-銷售總表!G1577)</f>
        <v>54000</v>
      </c>
      <c r="I1577" s="35">
        <f>H1577-F1577*VLOOKUP(銷售總表!B1577,產品!$A$2:$H$61,8,FALSE)</f>
        <v>30000</v>
      </c>
      <c r="J1577" s="20">
        <f t="shared" si="24"/>
        <v>0.55555555555555558</v>
      </c>
    </row>
    <row r="1578" spans="1:10" x14ac:dyDescent="0.3">
      <c r="A1578" s="33">
        <v>1577</v>
      </c>
      <c r="B1578" s="4">
        <v>16</v>
      </c>
      <c r="C1578" s="15">
        <v>272</v>
      </c>
      <c r="D1578" s="16">
        <v>2</v>
      </c>
      <c r="E1578" s="22">
        <v>44151</v>
      </c>
      <c r="F1578" s="17">
        <v>40</v>
      </c>
      <c r="G1578" s="18">
        <v>0.2</v>
      </c>
      <c r="H1578">
        <f>F1578*VLOOKUP(B1578,產品!$A$2:$H$61,7,FALSE)*(1-銷售總表!G1578)</f>
        <v>57600</v>
      </c>
      <c r="I1578" s="35">
        <f>H1578-F1578*VLOOKUP(銷售總表!B1578,產品!$A$2:$H$61,8,FALSE)</f>
        <v>28800</v>
      </c>
      <c r="J1578" s="20">
        <f t="shared" si="24"/>
        <v>0.5</v>
      </c>
    </row>
    <row r="1579" spans="1:10" x14ac:dyDescent="0.3">
      <c r="A1579" s="33">
        <v>1578</v>
      </c>
      <c r="B1579" s="4">
        <v>60</v>
      </c>
      <c r="C1579" s="15">
        <v>259</v>
      </c>
      <c r="D1579" s="16">
        <v>7</v>
      </c>
      <c r="E1579" s="22">
        <v>44151</v>
      </c>
      <c r="F1579" s="17">
        <v>2</v>
      </c>
      <c r="G1579" s="18">
        <v>0.19</v>
      </c>
      <c r="H1579">
        <f>F1579*VLOOKUP(B1579,產品!$A$2:$H$61,7,FALSE)*(1-銷售總表!G1579)</f>
        <v>40500</v>
      </c>
      <c r="I1579" s="35">
        <f>H1579-F1579*VLOOKUP(銷售總表!B1579,產品!$A$2:$H$61,8,FALSE)</f>
        <v>5500</v>
      </c>
      <c r="J1579" s="20">
        <f t="shared" si="24"/>
        <v>0.13580246913580246</v>
      </c>
    </row>
    <row r="1580" spans="1:10" x14ac:dyDescent="0.3">
      <c r="A1580" s="33">
        <v>1579</v>
      </c>
      <c r="B1580" s="4">
        <v>12</v>
      </c>
      <c r="C1580" s="15">
        <v>9</v>
      </c>
      <c r="D1580" s="16">
        <v>1</v>
      </c>
      <c r="E1580" s="22">
        <v>44152</v>
      </c>
      <c r="F1580" s="17">
        <v>100</v>
      </c>
      <c r="G1580" s="18">
        <v>0.06</v>
      </c>
      <c r="H1580">
        <f>F1580*VLOOKUP(B1580,產品!$A$2:$H$61,7,FALSE)*(1-銷售總表!G1580)</f>
        <v>94000</v>
      </c>
      <c r="I1580" s="35">
        <f>H1580-F1580*VLOOKUP(銷售總表!B1580,產品!$A$2:$H$61,8,FALSE)</f>
        <v>54000</v>
      </c>
      <c r="J1580" s="20">
        <f t="shared" si="24"/>
        <v>0.57446808510638303</v>
      </c>
    </row>
    <row r="1581" spans="1:10" x14ac:dyDescent="0.3">
      <c r="A1581" s="33">
        <v>1580</v>
      </c>
      <c r="B1581" s="4">
        <v>26</v>
      </c>
      <c r="C1581" s="15">
        <v>119</v>
      </c>
      <c r="D1581" s="16">
        <v>3</v>
      </c>
      <c r="E1581" s="22">
        <v>44152</v>
      </c>
      <c r="F1581" s="19">
        <v>15</v>
      </c>
      <c r="G1581" s="18">
        <v>0.06</v>
      </c>
      <c r="H1581">
        <f>F1581*VLOOKUP(B1581,產品!$A$2:$H$61,7,FALSE)*(1-銷售總表!G1581)</f>
        <v>91650</v>
      </c>
      <c r="I1581" s="35">
        <f>H1581-F1581*VLOOKUP(銷售總表!B1581,產品!$A$2:$H$61,8,FALSE)</f>
        <v>33150</v>
      </c>
      <c r="J1581" s="20">
        <f t="shared" si="24"/>
        <v>0.36170212765957449</v>
      </c>
    </row>
    <row r="1582" spans="1:10" x14ac:dyDescent="0.3">
      <c r="A1582" s="33">
        <v>1581</v>
      </c>
      <c r="B1582" s="4">
        <v>57</v>
      </c>
      <c r="C1582" s="15">
        <v>272</v>
      </c>
      <c r="D1582" s="16">
        <v>2</v>
      </c>
      <c r="E1582" s="22">
        <v>44152</v>
      </c>
      <c r="F1582" s="17">
        <v>5</v>
      </c>
      <c r="G1582" s="18">
        <v>0.14000000000000001</v>
      </c>
      <c r="H1582">
        <f>F1582*VLOOKUP(B1582,產品!$A$2:$H$61,7,FALSE)*(1-銷售總表!G1582)</f>
        <v>77400</v>
      </c>
      <c r="I1582" s="35">
        <f>H1582-F1582*VLOOKUP(銷售總表!B1582,產品!$A$2:$H$61,8,FALSE)</f>
        <v>14400</v>
      </c>
      <c r="J1582" s="20">
        <f t="shared" si="24"/>
        <v>0.18604651162790697</v>
      </c>
    </row>
    <row r="1583" spans="1:10" x14ac:dyDescent="0.3">
      <c r="A1583" s="33">
        <v>1582</v>
      </c>
      <c r="B1583" s="4">
        <v>32</v>
      </c>
      <c r="C1583" s="15">
        <v>292</v>
      </c>
      <c r="D1583" s="16">
        <v>9</v>
      </c>
      <c r="E1583" s="22">
        <v>44152</v>
      </c>
      <c r="F1583" s="19">
        <v>4</v>
      </c>
      <c r="G1583" s="18">
        <v>0.11</v>
      </c>
      <c r="H1583">
        <f>F1583*VLOOKUP(B1583,產品!$A$2:$H$61,7,FALSE)*(1-銷售總表!G1583)</f>
        <v>26700</v>
      </c>
      <c r="I1583" s="35">
        <f>H1583-F1583*VLOOKUP(銷售總表!B1583,產品!$A$2:$H$61,8,FALSE)</f>
        <v>8700</v>
      </c>
      <c r="J1583" s="20">
        <f t="shared" si="24"/>
        <v>0.3258426966292135</v>
      </c>
    </row>
    <row r="1584" spans="1:10" x14ac:dyDescent="0.3">
      <c r="A1584" s="33">
        <v>1583</v>
      </c>
      <c r="B1584" s="4">
        <v>5</v>
      </c>
      <c r="C1584" s="15">
        <v>271</v>
      </c>
      <c r="D1584" s="16">
        <v>8</v>
      </c>
      <c r="E1584" s="22">
        <v>44152</v>
      </c>
      <c r="F1584" s="17">
        <v>10</v>
      </c>
      <c r="G1584" s="18">
        <v>0.15</v>
      </c>
      <c r="H1584">
        <f>F1584*VLOOKUP(B1584,產品!$A$2:$H$61,7,FALSE)*(1-銷售總表!G1584)</f>
        <v>8500</v>
      </c>
      <c r="I1584" s="35">
        <f>H1584-F1584*VLOOKUP(銷售總表!B1584,產品!$A$2:$H$61,8,FALSE)</f>
        <v>4500</v>
      </c>
      <c r="J1584" s="20">
        <f t="shared" si="24"/>
        <v>0.52941176470588236</v>
      </c>
    </row>
    <row r="1585" spans="1:10" x14ac:dyDescent="0.3">
      <c r="A1585" s="33">
        <v>1584</v>
      </c>
      <c r="B1585" s="4">
        <v>58</v>
      </c>
      <c r="C1585" s="15">
        <v>9</v>
      </c>
      <c r="D1585" s="16">
        <v>6</v>
      </c>
      <c r="E1585" s="22">
        <v>44153</v>
      </c>
      <c r="F1585" s="19">
        <v>13</v>
      </c>
      <c r="G1585" s="18">
        <v>7.0000000000000007E-2</v>
      </c>
      <c r="H1585">
        <f>F1585*VLOOKUP(B1585,產品!$A$2:$H$61,7,FALSE)*(1-銷售總表!G1585)</f>
        <v>253889.99999999997</v>
      </c>
      <c r="I1585" s="35">
        <f>H1585-F1585*VLOOKUP(銷售總表!B1585,產品!$A$2:$H$61,8,FALSE)</f>
        <v>62790</v>
      </c>
      <c r="J1585" s="20">
        <f t="shared" si="24"/>
        <v>0.24731182795698928</v>
      </c>
    </row>
    <row r="1586" spans="1:10" x14ac:dyDescent="0.3">
      <c r="A1586" s="33">
        <v>1585</v>
      </c>
      <c r="B1586" s="4">
        <v>48</v>
      </c>
      <c r="C1586" s="15">
        <v>138</v>
      </c>
      <c r="D1586" s="16">
        <v>1</v>
      </c>
      <c r="E1586" s="22">
        <v>44153</v>
      </c>
      <c r="F1586" s="19">
        <v>10</v>
      </c>
      <c r="G1586" s="18">
        <v>0.1</v>
      </c>
      <c r="H1586">
        <f>F1586*VLOOKUP(B1586,產品!$A$2:$H$61,7,FALSE)*(1-銷售總表!G1586)</f>
        <v>198000</v>
      </c>
      <c r="I1586" s="35">
        <f>H1586-F1586*VLOOKUP(銷售總表!B1586,產品!$A$2:$H$61,8,FALSE)</f>
        <v>55000</v>
      </c>
      <c r="J1586" s="20">
        <f t="shared" si="24"/>
        <v>0.27777777777777779</v>
      </c>
    </row>
    <row r="1587" spans="1:10" x14ac:dyDescent="0.3">
      <c r="A1587" s="33">
        <v>1586</v>
      </c>
      <c r="B1587" s="4">
        <v>19</v>
      </c>
      <c r="C1587" s="15">
        <v>285</v>
      </c>
      <c r="D1587" s="16">
        <v>5</v>
      </c>
      <c r="E1587" s="22">
        <v>44153</v>
      </c>
      <c r="F1587" s="17">
        <v>50</v>
      </c>
      <c r="G1587" s="18">
        <v>0.13</v>
      </c>
      <c r="H1587">
        <f>F1587*VLOOKUP(B1587,產品!$A$2:$H$61,7,FALSE)*(1-銷售總表!G1587)</f>
        <v>78300</v>
      </c>
      <c r="I1587" s="35">
        <f>H1587-F1587*VLOOKUP(銷售總表!B1587,產品!$A$2:$H$61,8,FALSE)</f>
        <v>42300</v>
      </c>
      <c r="J1587" s="20">
        <f t="shared" si="24"/>
        <v>0.54022988505747127</v>
      </c>
    </row>
    <row r="1588" spans="1:10" x14ac:dyDescent="0.3">
      <c r="A1588" s="33">
        <v>1587</v>
      </c>
      <c r="B1588" s="4">
        <v>51</v>
      </c>
      <c r="C1588" s="15">
        <v>261</v>
      </c>
      <c r="D1588" s="16">
        <v>7</v>
      </c>
      <c r="E1588" s="22">
        <v>44153</v>
      </c>
      <c r="F1588" s="17">
        <v>10</v>
      </c>
      <c r="G1588" s="18">
        <v>0.19</v>
      </c>
      <c r="H1588">
        <f>F1588*VLOOKUP(B1588,產品!$A$2:$H$61,7,FALSE)*(1-銷售總表!G1588)</f>
        <v>162000</v>
      </c>
      <c r="I1588" s="35">
        <f>H1588-F1588*VLOOKUP(銷售總表!B1588,產品!$A$2:$H$61,8,FALSE)</f>
        <v>22000</v>
      </c>
      <c r="J1588" s="20">
        <f t="shared" si="24"/>
        <v>0.13580246913580246</v>
      </c>
    </row>
    <row r="1589" spans="1:10" x14ac:dyDescent="0.3">
      <c r="A1589" s="33">
        <v>1588</v>
      </c>
      <c r="B1589" s="4">
        <v>7</v>
      </c>
      <c r="C1589" s="15">
        <v>281</v>
      </c>
      <c r="D1589" s="16">
        <v>8</v>
      </c>
      <c r="E1589" s="22">
        <v>44153</v>
      </c>
      <c r="F1589" s="17">
        <v>30</v>
      </c>
      <c r="G1589" s="18">
        <v>0.13</v>
      </c>
      <c r="H1589">
        <f>F1589*VLOOKUP(B1589,產品!$A$2:$H$61,7,FALSE)*(1-銷售總表!G1589)</f>
        <v>26100</v>
      </c>
      <c r="I1589" s="35">
        <f>H1589-F1589*VLOOKUP(銷售總表!B1589,產品!$A$2:$H$61,8,FALSE)</f>
        <v>14100</v>
      </c>
      <c r="J1589" s="20">
        <f t="shared" si="24"/>
        <v>0.54022988505747127</v>
      </c>
    </row>
    <row r="1590" spans="1:10" x14ac:dyDescent="0.3">
      <c r="A1590" s="33">
        <v>1589</v>
      </c>
      <c r="B1590" s="4">
        <v>32</v>
      </c>
      <c r="C1590" s="15">
        <v>270</v>
      </c>
      <c r="D1590" s="16">
        <v>7</v>
      </c>
      <c r="E1590" s="22">
        <v>44153</v>
      </c>
      <c r="F1590" s="17">
        <v>5</v>
      </c>
      <c r="G1590" s="18">
        <v>0.11</v>
      </c>
      <c r="H1590">
        <f>F1590*VLOOKUP(B1590,產品!$A$2:$H$61,7,FALSE)*(1-銷售總表!G1590)</f>
        <v>33375</v>
      </c>
      <c r="I1590" s="35">
        <f>H1590-F1590*VLOOKUP(銷售總表!B1590,產品!$A$2:$H$61,8,FALSE)</f>
        <v>10875</v>
      </c>
      <c r="J1590" s="20">
        <f t="shared" si="24"/>
        <v>0.3258426966292135</v>
      </c>
    </row>
    <row r="1591" spans="1:10" x14ac:dyDescent="0.3">
      <c r="A1591" s="33">
        <v>1590</v>
      </c>
      <c r="B1591" s="4">
        <v>31</v>
      </c>
      <c r="C1591" s="15">
        <v>261</v>
      </c>
      <c r="D1591" s="16">
        <v>5</v>
      </c>
      <c r="E1591" s="22">
        <v>44153</v>
      </c>
      <c r="F1591" s="19">
        <v>5</v>
      </c>
      <c r="G1591" s="18">
        <v>0.15</v>
      </c>
      <c r="H1591">
        <f>F1591*VLOOKUP(B1591,產品!$A$2:$H$61,7,FALSE)*(1-銷售總表!G1591)</f>
        <v>29750</v>
      </c>
      <c r="I1591" s="35">
        <f>H1591-F1591*VLOOKUP(銷售總表!B1591,產品!$A$2:$H$61,8,FALSE)</f>
        <v>8750</v>
      </c>
      <c r="J1591" s="20">
        <f t="shared" si="24"/>
        <v>0.29411764705882354</v>
      </c>
    </row>
    <row r="1592" spans="1:10" x14ac:dyDescent="0.3">
      <c r="A1592" s="33">
        <v>1591</v>
      </c>
      <c r="B1592" s="4">
        <v>32</v>
      </c>
      <c r="C1592" s="15">
        <v>284</v>
      </c>
      <c r="D1592" s="16">
        <v>2</v>
      </c>
      <c r="E1592" s="22">
        <v>44153</v>
      </c>
      <c r="F1592" s="19">
        <v>2</v>
      </c>
      <c r="G1592" s="18">
        <v>0.14000000000000001</v>
      </c>
      <c r="H1592">
        <f>F1592*VLOOKUP(B1592,產品!$A$2:$H$61,7,FALSE)*(1-銷售總表!G1592)</f>
        <v>12900</v>
      </c>
      <c r="I1592" s="35">
        <f>H1592-F1592*VLOOKUP(銷售總表!B1592,產品!$A$2:$H$61,8,FALSE)</f>
        <v>3900</v>
      </c>
      <c r="J1592" s="20">
        <f t="shared" si="24"/>
        <v>0.30232558139534882</v>
      </c>
    </row>
    <row r="1593" spans="1:10" x14ac:dyDescent="0.3">
      <c r="A1593" s="33">
        <v>1592</v>
      </c>
      <c r="B1593" s="4">
        <v>60</v>
      </c>
      <c r="C1593" s="15">
        <v>12</v>
      </c>
      <c r="D1593" s="16">
        <v>4</v>
      </c>
      <c r="E1593" s="22">
        <v>44154</v>
      </c>
      <c r="F1593" s="17">
        <v>12</v>
      </c>
      <c r="G1593" s="18">
        <v>0.05</v>
      </c>
      <c r="H1593">
        <f>F1593*VLOOKUP(B1593,產品!$A$2:$H$61,7,FALSE)*(1-銷售總表!G1593)</f>
        <v>285000</v>
      </c>
      <c r="I1593" s="35">
        <f>H1593-F1593*VLOOKUP(銷售總表!B1593,產品!$A$2:$H$61,8,FALSE)</f>
        <v>75000</v>
      </c>
      <c r="J1593" s="20">
        <f t="shared" si="24"/>
        <v>0.26315789473684209</v>
      </c>
    </row>
    <row r="1594" spans="1:10" x14ac:dyDescent="0.3">
      <c r="A1594" s="33">
        <v>1593</v>
      </c>
      <c r="B1594" s="4">
        <v>48</v>
      </c>
      <c r="C1594" s="15">
        <v>265</v>
      </c>
      <c r="D1594" s="16">
        <v>8</v>
      </c>
      <c r="E1594" s="22">
        <v>44154</v>
      </c>
      <c r="F1594" s="17">
        <v>15</v>
      </c>
      <c r="G1594" s="18">
        <v>0.18</v>
      </c>
      <c r="H1594">
        <f>F1594*VLOOKUP(B1594,產品!$A$2:$H$61,7,FALSE)*(1-銷售總表!G1594)</f>
        <v>270600</v>
      </c>
      <c r="I1594" s="35">
        <f>H1594-F1594*VLOOKUP(銷售總表!B1594,產品!$A$2:$H$61,8,FALSE)</f>
        <v>56100</v>
      </c>
      <c r="J1594" s="20">
        <f t="shared" si="24"/>
        <v>0.2073170731707317</v>
      </c>
    </row>
    <row r="1595" spans="1:10" x14ac:dyDescent="0.3">
      <c r="A1595" s="33">
        <v>1594</v>
      </c>
      <c r="B1595" s="4">
        <v>14</v>
      </c>
      <c r="C1595" s="15">
        <v>124</v>
      </c>
      <c r="D1595" s="16">
        <v>2</v>
      </c>
      <c r="E1595" s="22">
        <v>44154</v>
      </c>
      <c r="F1595" s="17">
        <v>30</v>
      </c>
      <c r="G1595" s="18">
        <v>7.0000000000000007E-2</v>
      </c>
      <c r="H1595">
        <f>F1595*VLOOKUP(B1595,產品!$A$2:$H$61,7,FALSE)*(1-銷售總表!G1595)</f>
        <v>50220</v>
      </c>
      <c r="I1595" s="35">
        <f>H1595-F1595*VLOOKUP(銷售總表!B1595,產品!$A$2:$H$61,8,FALSE)</f>
        <v>28620</v>
      </c>
      <c r="J1595" s="20">
        <f t="shared" si="24"/>
        <v>0.56989247311827962</v>
      </c>
    </row>
    <row r="1596" spans="1:10" x14ac:dyDescent="0.3">
      <c r="A1596" s="33">
        <v>1595</v>
      </c>
      <c r="B1596" s="4">
        <v>39</v>
      </c>
      <c r="C1596" s="15">
        <v>8</v>
      </c>
      <c r="D1596" s="16">
        <v>8</v>
      </c>
      <c r="E1596" s="22">
        <v>44154</v>
      </c>
      <c r="F1596" s="19">
        <v>3</v>
      </c>
      <c r="G1596" s="18">
        <v>0.05</v>
      </c>
      <c r="H1596">
        <f>F1596*VLOOKUP(B1596,產品!$A$2:$H$61,7,FALSE)*(1-銷售總表!G1596)</f>
        <v>51300</v>
      </c>
      <c r="I1596" s="35">
        <f>H1596-F1596*VLOOKUP(銷售總表!B1596,產品!$A$2:$H$61,8,FALSE)</f>
        <v>16200</v>
      </c>
      <c r="J1596" s="20">
        <f t="shared" si="24"/>
        <v>0.31578947368421051</v>
      </c>
    </row>
    <row r="1597" spans="1:10" x14ac:dyDescent="0.3">
      <c r="A1597" s="33">
        <v>1596</v>
      </c>
      <c r="B1597" s="4">
        <v>8</v>
      </c>
      <c r="C1597" s="15">
        <v>121</v>
      </c>
      <c r="D1597" s="16">
        <v>10</v>
      </c>
      <c r="E1597" s="22">
        <v>44154</v>
      </c>
      <c r="F1597" s="19">
        <v>20</v>
      </c>
      <c r="G1597" s="18">
        <v>0.11</v>
      </c>
      <c r="H1597">
        <f>F1597*VLOOKUP(B1597,產品!$A$2:$H$61,7,FALSE)*(1-銷售總表!G1597)</f>
        <v>17800</v>
      </c>
      <c r="I1597" s="35">
        <f>H1597-F1597*VLOOKUP(銷售總表!B1597,產品!$A$2:$H$61,8,FALSE)</f>
        <v>9800</v>
      </c>
      <c r="J1597" s="20">
        <f t="shared" si="24"/>
        <v>0.550561797752809</v>
      </c>
    </row>
    <row r="1598" spans="1:10" x14ac:dyDescent="0.3">
      <c r="A1598" s="33">
        <v>1597</v>
      </c>
      <c r="B1598" s="4">
        <v>59</v>
      </c>
      <c r="C1598" s="15">
        <v>285</v>
      </c>
      <c r="D1598" s="16">
        <v>6</v>
      </c>
      <c r="E1598" s="22">
        <v>44155</v>
      </c>
      <c r="F1598" s="19">
        <v>7</v>
      </c>
      <c r="G1598" s="18">
        <v>0.08</v>
      </c>
      <c r="H1598">
        <f>F1598*VLOOKUP(B1598,產品!$A$2:$H$61,7,FALSE)*(1-銷售總表!G1598)</f>
        <v>154560</v>
      </c>
      <c r="I1598" s="35">
        <f>H1598-F1598*VLOOKUP(銷售總表!B1598,產品!$A$2:$H$61,8,FALSE)</f>
        <v>36960</v>
      </c>
      <c r="J1598" s="20">
        <f t="shared" si="24"/>
        <v>0.2391304347826087</v>
      </c>
    </row>
    <row r="1599" spans="1:10" x14ac:dyDescent="0.3">
      <c r="A1599" s="33">
        <v>1598</v>
      </c>
      <c r="B1599" s="4">
        <v>51</v>
      </c>
      <c r="C1599" s="15">
        <v>267</v>
      </c>
      <c r="D1599" s="16">
        <v>4</v>
      </c>
      <c r="E1599" s="22">
        <v>44155</v>
      </c>
      <c r="F1599" s="19">
        <v>15</v>
      </c>
      <c r="G1599" s="18">
        <v>0.2</v>
      </c>
      <c r="H1599">
        <f>F1599*VLOOKUP(B1599,產品!$A$2:$H$61,7,FALSE)*(1-銷售總表!G1599)</f>
        <v>240000</v>
      </c>
      <c r="I1599" s="35">
        <f>H1599-F1599*VLOOKUP(銷售總表!B1599,產品!$A$2:$H$61,8,FALSE)</f>
        <v>30000</v>
      </c>
      <c r="J1599" s="20">
        <f t="shared" si="24"/>
        <v>0.125</v>
      </c>
    </row>
    <row r="1600" spans="1:10" x14ac:dyDescent="0.3">
      <c r="A1600" s="33">
        <v>1599</v>
      </c>
      <c r="B1600" s="4">
        <v>59</v>
      </c>
      <c r="C1600" s="15">
        <v>7</v>
      </c>
      <c r="D1600" s="16">
        <v>8</v>
      </c>
      <c r="E1600" s="22">
        <v>44155</v>
      </c>
      <c r="F1600" s="19">
        <v>5</v>
      </c>
      <c r="G1600" s="18">
        <v>0.17</v>
      </c>
      <c r="H1600">
        <f>F1600*VLOOKUP(B1600,產品!$A$2:$H$61,7,FALSE)*(1-銷售總表!G1600)</f>
        <v>99600</v>
      </c>
      <c r="I1600" s="35">
        <f>H1600-F1600*VLOOKUP(銷售總表!B1600,產品!$A$2:$H$61,8,FALSE)</f>
        <v>15600</v>
      </c>
      <c r="J1600" s="20">
        <f t="shared" si="24"/>
        <v>0.15662650602409639</v>
      </c>
    </row>
    <row r="1601" spans="1:10" x14ac:dyDescent="0.3">
      <c r="A1601" s="33">
        <v>1600</v>
      </c>
      <c r="B1601" s="4">
        <v>21</v>
      </c>
      <c r="C1601" s="15">
        <v>138</v>
      </c>
      <c r="D1601" s="16">
        <v>8</v>
      </c>
      <c r="E1601" s="22">
        <v>44155</v>
      </c>
      <c r="F1601" s="17">
        <v>15</v>
      </c>
      <c r="G1601" s="18">
        <v>0.19</v>
      </c>
      <c r="H1601">
        <f>F1601*VLOOKUP(B1601,產品!$A$2:$H$61,7,FALSE)*(1-銷售總表!G1601)</f>
        <v>21870</v>
      </c>
      <c r="I1601" s="35">
        <f>H1601-F1601*VLOOKUP(銷售總表!B1601,產品!$A$2:$H$61,8,FALSE)</f>
        <v>11070</v>
      </c>
      <c r="J1601" s="20">
        <f t="shared" si="24"/>
        <v>0.50617283950617287</v>
      </c>
    </row>
    <row r="1602" spans="1:10" x14ac:dyDescent="0.3">
      <c r="A1602" s="33">
        <v>1601</v>
      </c>
      <c r="B1602" s="4">
        <v>34</v>
      </c>
      <c r="C1602" s="15">
        <v>293</v>
      </c>
      <c r="D1602" s="16">
        <v>6</v>
      </c>
      <c r="E1602" s="22">
        <v>44155</v>
      </c>
      <c r="F1602" s="19">
        <v>4</v>
      </c>
      <c r="G1602" s="18">
        <v>7.0000000000000007E-2</v>
      </c>
      <c r="H1602">
        <f>F1602*VLOOKUP(B1602,產品!$A$2:$H$61,7,FALSE)*(1-銷售總表!G1602)</f>
        <v>29759.999999999996</v>
      </c>
      <c r="I1602" s="35">
        <f>H1602-F1602*VLOOKUP(銷售總表!B1602,產品!$A$2:$H$61,8,FALSE)</f>
        <v>10559.999999999996</v>
      </c>
      <c r="J1602" s="20">
        <f t="shared" si="24"/>
        <v>0.35483870967741926</v>
      </c>
    </row>
    <row r="1603" spans="1:10" x14ac:dyDescent="0.3">
      <c r="A1603" s="33">
        <v>1602</v>
      </c>
      <c r="B1603" s="4">
        <v>19</v>
      </c>
      <c r="C1603" s="15">
        <v>258</v>
      </c>
      <c r="D1603" s="16">
        <v>9</v>
      </c>
      <c r="E1603" s="22">
        <v>44156</v>
      </c>
      <c r="F1603" s="19">
        <v>70</v>
      </c>
      <c r="G1603" s="18">
        <v>0.18</v>
      </c>
      <c r="H1603">
        <f>F1603*VLOOKUP(B1603,產品!$A$2:$H$61,7,FALSE)*(1-銷售總表!G1603)</f>
        <v>103320.00000000001</v>
      </c>
      <c r="I1603" s="35">
        <f>H1603-F1603*VLOOKUP(銷售總表!B1603,產品!$A$2:$H$61,8,FALSE)</f>
        <v>52920.000000000015</v>
      </c>
      <c r="J1603" s="20">
        <f t="shared" ref="J1603:J1666" si="25">I1603/H1603</f>
        <v>0.51219512195121963</v>
      </c>
    </row>
    <row r="1604" spans="1:10" x14ac:dyDescent="0.3">
      <c r="A1604" s="33">
        <v>1603</v>
      </c>
      <c r="B1604" s="4">
        <v>23</v>
      </c>
      <c r="C1604" s="15">
        <v>270</v>
      </c>
      <c r="D1604" s="16">
        <v>5</v>
      </c>
      <c r="E1604" s="22">
        <v>44156</v>
      </c>
      <c r="F1604" s="19">
        <v>30</v>
      </c>
      <c r="G1604" s="18">
        <v>0.08</v>
      </c>
      <c r="H1604">
        <f>F1604*VLOOKUP(B1604,產品!$A$2:$H$61,7,FALSE)*(1-銷售總表!G1604)</f>
        <v>49680</v>
      </c>
      <c r="I1604" s="35">
        <f>H1604-F1604*VLOOKUP(銷售總表!B1604,產品!$A$2:$H$61,8,FALSE)</f>
        <v>28080</v>
      </c>
      <c r="J1604" s="20">
        <f t="shared" si="25"/>
        <v>0.56521739130434778</v>
      </c>
    </row>
    <row r="1605" spans="1:10" x14ac:dyDescent="0.3">
      <c r="A1605" s="33">
        <v>1604</v>
      </c>
      <c r="B1605" s="4">
        <v>40</v>
      </c>
      <c r="C1605" s="15">
        <v>268</v>
      </c>
      <c r="D1605" s="16">
        <v>6</v>
      </c>
      <c r="E1605" s="22">
        <v>44156</v>
      </c>
      <c r="F1605" s="19">
        <v>2</v>
      </c>
      <c r="G1605" s="18">
        <v>0.1</v>
      </c>
      <c r="H1605">
        <f>F1605*VLOOKUP(B1605,產品!$A$2:$H$61,7,FALSE)*(1-銷售總表!G1605)</f>
        <v>36000</v>
      </c>
      <c r="I1605" s="35">
        <f>H1605-F1605*VLOOKUP(銷售總表!B1605,產品!$A$2:$H$61,8,FALSE)</f>
        <v>10000</v>
      </c>
      <c r="J1605" s="20">
        <f t="shared" si="25"/>
        <v>0.27777777777777779</v>
      </c>
    </row>
    <row r="1606" spans="1:10" x14ac:dyDescent="0.3">
      <c r="A1606" s="33">
        <v>1605</v>
      </c>
      <c r="B1606" s="4">
        <v>45</v>
      </c>
      <c r="C1606" s="15">
        <v>263</v>
      </c>
      <c r="D1606" s="16">
        <v>2</v>
      </c>
      <c r="E1606" s="22">
        <v>44156</v>
      </c>
      <c r="F1606" s="17">
        <v>2</v>
      </c>
      <c r="G1606" s="18">
        <v>0.12</v>
      </c>
      <c r="H1606">
        <f>F1606*VLOOKUP(B1606,產品!$A$2:$H$61,7,FALSE)*(1-銷售總表!G1606)</f>
        <v>24640</v>
      </c>
      <c r="I1606" s="35">
        <f>H1606-F1606*VLOOKUP(銷售總表!B1606,產品!$A$2:$H$61,8,FALSE)</f>
        <v>6440</v>
      </c>
      <c r="J1606" s="20">
        <f t="shared" si="25"/>
        <v>0.26136363636363635</v>
      </c>
    </row>
    <row r="1607" spans="1:10" x14ac:dyDescent="0.3">
      <c r="A1607" s="33">
        <v>1606</v>
      </c>
      <c r="B1607" s="4">
        <v>39</v>
      </c>
      <c r="C1607" s="15">
        <v>277</v>
      </c>
      <c r="D1607" s="16">
        <v>4</v>
      </c>
      <c r="E1607" s="22">
        <v>44157</v>
      </c>
      <c r="F1607" s="17">
        <v>15</v>
      </c>
      <c r="G1607" s="18">
        <v>0.2</v>
      </c>
      <c r="H1607">
        <f>F1607*VLOOKUP(B1607,產品!$A$2:$H$61,7,FALSE)*(1-銷售總表!G1607)</f>
        <v>216000</v>
      </c>
      <c r="I1607" s="35">
        <f>H1607-F1607*VLOOKUP(銷售總表!B1607,產品!$A$2:$H$61,8,FALSE)</f>
        <v>40500</v>
      </c>
      <c r="J1607" s="20">
        <f t="shared" si="25"/>
        <v>0.1875</v>
      </c>
    </row>
    <row r="1608" spans="1:10" x14ac:dyDescent="0.3">
      <c r="A1608" s="33">
        <v>1607</v>
      </c>
      <c r="B1608" s="4">
        <v>14</v>
      </c>
      <c r="C1608" s="15">
        <v>294</v>
      </c>
      <c r="D1608" s="16">
        <v>10</v>
      </c>
      <c r="E1608" s="22">
        <v>44157</v>
      </c>
      <c r="F1608" s="17">
        <v>30</v>
      </c>
      <c r="G1608" s="18">
        <v>0.2</v>
      </c>
      <c r="H1608">
        <f>F1608*VLOOKUP(B1608,產品!$A$2:$H$61,7,FALSE)*(1-銷售總表!G1608)</f>
        <v>43200</v>
      </c>
      <c r="I1608" s="35">
        <f>H1608-F1608*VLOOKUP(銷售總表!B1608,產品!$A$2:$H$61,8,FALSE)</f>
        <v>21600</v>
      </c>
      <c r="J1608" s="20">
        <f t="shared" si="25"/>
        <v>0.5</v>
      </c>
    </row>
    <row r="1609" spans="1:10" x14ac:dyDescent="0.3">
      <c r="A1609" s="33">
        <v>1608</v>
      </c>
      <c r="B1609" s="4">
        <v>22</v>
      </c>
      <c r="C1609" s="15">
        <v>7</v>
      </c>
      <c r="D1609" s="16">
        <v>3</v>
      </c>
      <c r="E1609" s="22">
        <v>44157</v>
      </c>
      <c r="F1609" s="17">
        <v>20</v>
      </c>
      <c r="G1609" s="18">
        <v>0.12</v>
      </c>
      <c r="H1609">
        <f>F1609*VLOOKUP(B1609,產品!$A$2:$H$61,7,FALSE)*(1-銷售總表!G1609)</f>
        <v>31680</v>
      </c>
      <c r="I1609" s="35">
        <f>H1609-F1609*VLOOKUP(銷售總表!B1609,產品!$A$2:$H$61,8,FALSE)</f>
        <v>17280</v>
      </c>
      <c r="J1609" s="20">
        <f t="shared" si="25"/>
        <v>0.54545454545454541</v>
      </c>
    </row>
    <row r="1610" spans="1:10" x14ac:dyDescent="0.3">
      <c r="A1610" s="33">
        <v>1609</v>
      </c>
      <c r="B1610" s="4">
        <v>31</v>
      </c>
      <c r="C1610" s="15">
        <v>280</v>
      </c>
      <c r="D1610" s="16">
        <v>1</v>
      </c>
      <c r="E1610" s="22">
        <v>44157</v>
      </c>
      <c r="F1610" s="17">
        <v>7</v>
      </c>
      <c r="G1610" s="18">
        <v>0.15</v>
      </c>
      <c r="H1610">
        <f>F1610*VLOOKUP(B1610,產品!$A$2:$H$61,7,FALSE)*(1-銷售總表!G1610)</f>
        <v>41650</v>
      </c>
      <c r="I1610" s="35">
        <f>H1610-F1610*VLOOKUP(銷售總表!B1610,產品!$A$2:$H$61,8,FALSE)</f>
        <v>12250</v>
      </c>
      <c r="J1610" s="20">
        <f t="shared" si="25"/>
        <v>0.29411764705882354</v>
      </c>
    </row>
    <row r="1611" spans="1:10" x14ac:dyDescent="0.3">
      <c r="A1611" s="33">
        <v>1610</v>
      </c>
      <c r="B1611" s="4">
        <v>31</v>
      </c>
      <c r="C1611" s="15">
        <v>257</v>
      </c>
      <c r="D1611" s="16">
        <v>2</v>
      </c>
      <c r="E1611" s="22">
        <v>44157</v>
      </c>
      <c r="F1611" s="19">
        <v>4</v>
      </c>
      <c r="G1611" s="18">
        <v>0.17</v>
      </c>
      <c r="H1611">
        <f>F1611*VLOOKUP(B1611,產品!$A$2:$H$61,7,FALSE)*(1-銷售總表!G1611)</f>
        <v>23240</v>
      </c>
      <c r="I1611" s="35">
        <f>H1611-F1611*VLOOKUP(銷售總表!B1611,產品!$A$2:$H$61,8,FALSE)</f>
        <v>6440</v>
      </c>
      <c r="J1611" s="20">
        <f t="shared" si="25"/>
        <v>0.27710843373493976</v>
      </c>
    </row>
    <row r="1612" spans="1:10" x14ac:dyDescent="0.3">
      <c r="A1612" s="33">
        <v>1611</v>
      </c>
      <c r="B1612" s="4">
        <v>36</v>
      </c>
      <c r="C1612" s="15">
        <v>257</v>
      </c>
      <c r="D1612" s="16">
        <v>8</v>
      </c>
      <c r="E1612" s="22">
        <v>44157</v>
      </c>
      <c r="F1612" s="17">
        <v>3</v>
      </c>
      <c r="G1612" s="18">
        <v>0.18</v>
      </c>
      <c r="H1612">
        <f>F1612*VLOOKUP(B1612,產品!$A$2:$H$61,7,FALSE)*(1-銷售總表!G1612)</f>
        <v>22140</v>
      </c>
      <c r="I1612" s="35">
        <f>H1612-F1612*VLOOKUP(銷售總表!B1612,產品!$A$2:$H$61,8,FALSE)</f>
        <v>5940</v>
      </c>
      <c r="J1612" s="20">
        <f t="shared" si="25"/>
        <v>0.26829268292682928</v>
      </c>
    </row>
    <row r="1613" spans="1:10" x14ac:dyDescent="0.3">
      <c r="A1613" s="33">
        <v>1612</v>
      </c>
      <c r="B1613" s="4">
        <v>21</v>
      </c>
      <c r="C1613" s="15">
        <v>113</v>
      </c>
      <c r="D1613" s="16">
        <v>6</v>
      </c>
      <c r="E1613" s="22">
        <v>44158</v>
      </c>
      <c r="F1613" s="17">
        <v>100</v>
      </c>
      <c r="G1613" s="18">
        <v>0.06</v>
      </c>
      <c r="H1613">
        <f>F1613*VLOOKUP(B1613,產品!$A$2:$H$61,7,FALSE)*(1-銷售總表!G1613)</f>
        <v>169200</v>
      </c>
      <c r="I1613" s="35">
        <f>H1613-F1613*VLOOKUP(銷售總表!B1613,產品!$A$2:$H$61,8,FALSE)</f>
        <v>97200</v>
      </c>
      <c r="J1613" s="20">
        <f t="shared" si="25"/>
        <v>0.57446808510638303</v>
      </c>
    </row>
    <row r="1614" spans="1:10" x14ac:dyDescent="0.3">
      <c r="A1614" s="33">
        <v>1613</v>
      </c>
      <c r="B1614" s="4">
        <v>15</v>
      </c>
      <c r="C1614" s="15">
        <v>3</v>
      </c>
      <c r="D1614" s="16">
        <v>6</v>
      </c>
      <c r="E1614" s="22">
        <v>44158</v>
      </c>
      <c r="F1614" s="19">
        <v>40</v>
      </c>
      <c r="G1614" s="18">
        <v>0.11</v>
      </c>
      <c r="H1614">
        <f>F1614*VLOOKUP(B1614,產品!$A$2:$H$61,7,FALSE)*(1-銷售總表!G1614)</f>
        <v>64080</v>
      </c>
      <c r="I1614" s="35">
        <f>H1614-F1614*VLOOKUP(銷售總表!B1614,產品!$A$2:$H$61,8,FALSE)</f>
        <v>35280</v>
      </c>
      <c r="J1614" s="20">
        <f t="shared" si="25"/>
        <v>0.550561797752809</v>
      </c>
    </row>
    <row r="1615" spans="1:10" x14ac:dyDescent="0.3">
      <c r="A1615" s="33">
        <v>1614</v>
      </c>
      <c r="B1615" s="4">
        <v>54</v>
      </c>
      <c r="C1615" s="15">
        <v>136</v>
      </c>
      <c r="D1615" s="16">
        <v>1</v>
      </c>
      <c r="E1615" s="22">
        <v>44158</v>
      </c>
      <c r="F1615" s="17">
        <v>7</v>
      </c>
      <c r="G1615" s="18">
        <v>7.0000000000000007E-2</v>
      </c>
      <c r="H1615">
        <f>F1615*VLOOKUP(B1615,產品!$A$2:$H$61,7,FALSE)*(1-銷售總表!G1615)</f>
        <v>117179.99999999999</v>
      </c>
      <c r="I1615" s="35">
        <f>H1615-F1615*VLOOKUP(銷售總表!B1615,產品!$A$2:$H$61,8,FALSE)</f>
        <v>28979.999999999985</v>
      </c>
      <c r="J1615" s="20">
        <f t="shared" si="25"/>
        <v>0.24731182795698917</v>
      </c>
    </row>
    <row r="1616" spans="1:10" x14ac:dyDescent="0.3">
      <c r="A1616" s="33">
        <v>1615</v>
      </c>
      <c r="B1616" s="4">
        <v>50</v>
      </c>
      <c r="C1616" s="15">
        <v>136</v>
      </c>
      <c r="D1616" s="16">
        <v>4</v>
      </c>
      <c r="E1616" s="22">
        <v>44158</v>
      </c>
      <c r="F1616" s="19">
        <v>8</v>
      </c>
      <c r="G1616" s="18">
        <v>0.17</v>
      </c>
      <c r="H1616">
        <f>F1616*VLOOKUP(B1616,產品!$A$2:$H$61,7,FALSE)*(1-銷售總表!G1616)</f>
        <v>119520</v>
      </c>
      <c r="I1616" s="35">
        <f>H1616-F1616*VLOOKUP(銷售總表!B1616,產品!$A$2:$H$61,8,FALSE)</f>
        <v>18720</v>
      </c>
      <c r="J1616" s="20">
        <f t="shared" si="25"/>
        <v>0.15662650602409639</v>
      </c>
    </row>
    <row r="1617" spans="1:10" x14ac:dyDescent="0.3">
      <c r="A1617" s="33">
        <v>1616</v>
      </c>
      <c r="B1617" s="4">
        <v>4</v>
      </c>
      <c r="C1617" s="15">
        <v>8</v>
      </c>
      <c r="D1617" s="16">
        <v>6</v>
      </c>
      <c r="E1617" s="22">
        <v>44159</v>
      </c>
      <c r="F1617" s="19">
        <v>135</v>
      </c>
      <c r="G1617" s="18">
        <v>0.11</v>
      </c>
      <c r="H1617">
        <f>F1617*VLOOKUP(B1617,產品!$A$2:$H$61,7,FALSE)*(1-銷售總表!G1617)</f>
        <v>120150</v>
      </c>
      <c r="I1617" s="35">
        <f>H1617-F1617*VLOOKUP(銷售總表!B1617,產品!$A$2:$H$61,8,FALSE)</f>
        <v>66150</v>
      </c>
      <c r="J1617" s="20">
        <f t="shared" si="25"/>
        <v>0.550561797752809</v>
      </c>
    </row>
    <row r="1618" spans="1:10" x14ac:dyDescent="0.3">
      <c r="A1618" s="33">
        <v>1617</v>
      </c>
      <c r="B1618" s="4">
        <v>23</v>
      </c>
      <c r="C1618" s="15">
        <v>278</v>
      </c>
      <c r="D1618" s="16">
        <v>1</v>
      </c>
      <c r="E1618" s="22">
        <v>44159</v>
      </c>
      <c r="F1618" s="19">
        <v>60</v>
      </c>
      <c r="G1618" s="18">
        <v>0.14000000000000001</v>
      </c>
      <c r="H1618">
        <f>F1618*VLOOKUP(B1618,產品!$A$2:$H$61,7,FALSE)*(1-銷售總表!G1618)</f>
        <v>92880</v>
      </c>
      <c r="I1618" s="35">
        <f>H1618-F1618*VLOOKUP(銷售總表!B1618,產品!$A$2:$H$61,8,FALSE)</f>
        <v>49680</v>
      </c>
      <c r="J1618" s="20">
        <f t="shared" si="25"/>
        <v>0.53488372093023251</v>
      </c>
    </row>
    <row r="1619" spans="1:10" x14ac:dyDescent="0.3">
      <c r="A1619" s="33">
        <v>1618</v>
      </c>
      <c r="B1619" s="4">
        <v>59</v>
      </c>
      <c r="C1619" s="15">
        <v>3</v>
      </c>
      <c r="D1619" s="16">
        <v>9</v>
      </c>
      <c r="E1619" s="22">
        <v>44159</v>
      </c>
      <c r="F1619" s="19">
        <v>10</v>
      </c>
      <c r="G1619" s="18">
        <v>0.16</v>
      </c>
      <c r="H1619">
        <f>F1619*VLOOKUP(B1619,產品!$A$2:$H$61,7,FALSE)*(1-銷售總表!G1619)</f>
        <v>201600</v>
      </c>
      <c r="I1619" s="35">
        <f>H1619-F1619*VLOOKUP(銷售總表!B1619,產品!$A$2:$H$61,8,FALSE)</f>
        <v>33600</v>
      </c>
      <c r="J1619" s="20">
        <f t="shared" si="25"/>
        <v>0.16666666666666666</v>
      </c>
    </row>
    <row r="1620" spans="1:10" x14ac:dyDescent="0.3">
      <c r="A1620" s="33">
        <v>1619</v>
      </c>
      <c r="B1620" s="4">
        <v>24</v>
      </c>
      <c r="C1620" s="15">
        <v>4</v>
      </c>
      <c r="D1620" s="16">
        <v>10</v>
      </c>
      <c r="E1620" s="22">
        <v>44159</v>
      </c>
      <c r="F1620" s="17">
        <v>15</v>
      </c>
      <c r="G1620" s="18">
        <v>0.08</v>
      </c>
      <c r="H1620">
        <f>F1620*VLOOKUP(B1620,產品!$A$2:$H$61,7,FALSE)*(1-銷售總表!G1620)</f>
        <v>24840</v>
      </c>
      <c r="I1620" s="35">
        <f>H1620-F1620*VLOOKUP(銷售總表!B1620,產品!$A$2:$H$61,8,FALSE)</f>
        <v>14040</v>
      </c>
      <c r="J1620" s="20">
        <f t="shared" si="25"/>
        <v>0.56521739130434778</v>
      </c>
    </row>
    <row r="1621" spans="1:10" x14ac:dyDescent="0.3">
      <c r="A1621" s="33">
        <v>1620</v>
      </c>
      <c r="B1621" s="4">
        <v>50</v>
      </c>
      <c r="C1621" s="15">
        <v>11</v>
      </c>
      <c r="D1621" s="16">
        <v>1</v>
      </c>
      <c r="E1621" s="22">
        <v>44160</v>
      </c>
      <c r="F1621" s="17">
        <v>9</v>
      </c>
      <c r="G1621" s="18">
        <v>0.1</v>
      </c>
      <c r="H1621">
        <f>F1621*VLOOKUP(B1621,產品!$A$2:$H$61,7,FALSE)*(1-銷售總表!G1621)</f>
        <v>145800</v>
      </c>
      <c r="I1621" s="35">
        <f>H1621-F1621*VLOOKUP(銷售總表!B1621,產品!$A$2:$H$61,8,FALSE)</f>
        <v>32400</v>
      </c>
      <c r="J1621" s="20">
        <f t="shared" si="25"/>
        <v>0.22222222222222221</v>
      </c>
    </row>
    <row r="1622" spans="1:10" x14ac:dyDescent="0.3">
      <c r="A1622" s="33">
        <v>1621</v>
      </c>
      <c r="B1622" s="4">
        <v>45</v>
      </c>
      <c r="C1622" s="15">
        <v>260</v>
      </c>
      <c r="D1622" s="16">
        <v>8</v>
      </c>
      <c r="E1622" s="22">
        <v>44160</v>
      </c>
      <c r="F1622" s="17">
        <v>3</v>
      </c>
      <c r="G1622" s="18">
        <v>0.06</v>
      </c>
      <c r="H1622">
        <f>F1622*VLOOKUP(B1622,產品!$A$2:$H$61,7,FALSE)*(1-銷售總表!G1622)</f>
        <v>39480</v>
      </c>
      <c r="I1622" s="35">
        <f>H1622-F1622*VLOOKUP(銷售總表!B1622,產品!$A$2:$H$61,8,FALSE)</f>
        <v>12180</v>
      </c>
      <c r="J1622" s="20">
        <f t="shared" si="25"/>
        <v>0.30851063829787234</v>
      </c>
    </row>
    <row r="1623" spans="1:10" x14ac:dyDescent="0.3">
      <c r="A1623" s="33">
        <v>1622</v>
      </c>
      <c r="B1623" s="4">
        <v>13</v>
      </c>
      <c r="C1623" s="15">
        <v>121</v>
      </c>
      <c r="D1623" s="16">
        <v>7</v>
      </c>
      <c r="E1623" s="22">
        <v>44160</v>
      </c>
      <c r="F1623" s="17">
        <v>11</v>
      </c>
      <c r="G1623" s="18">
        <v>0.2</v>
      </c>
      <c r="H1623">
        <f>F1623*VLOOKUP(B1623,產品!$A$2:$H$61,7,FALSE)*(1-銷售總表!G1623)</f>
        <v>15840</v>
      </c>
      <c r="I1623" s="35">
        <f>H1623-F1623*VLOOKUP(銷售總表!B1623,產品!$A$2:$H$61,8,FALSE)</f>
        <v>7920</v>
      </c>
      <c r="J1623" s="20">
        <f t="shared" si="25"/>
        <v>0.5</v>
      </c>
    </row>
    <row r="1624" spans="1:10" x14ac:dyDescent="0.3">
      <c r="A1624" s="33">
        <v>1623</v>
      </c>
      <c r="B1624" s="4">
        <v>38</v>
      </c>
      <c r="C1624" s="15">
        <v>280</v>
      </c>
      <c r="D1624" s="16">
        <v>3</v>
      </c>
      <c r="E1624" s="22">
        <v>44160</v>
      </c>
      <c r="F1624" s="19">
        <v>3</v>
      </c>
      <c r="G1624" s="18">
        <v>0.2</v>
      </c>
      <c r="H1624">
        <f>F1624*VLOOKUP(B1624,產品!$A$2:$H$61,7,FALSE)*(1-銷售總表!G1624)</f>
        <v>36000</v>
      </c>
      <c r="I1624" s="35">
        <f>H1624-F1624*VLOOKUP(銷售總表!B1624,產品!$A$2:$H$61,8,FALSE)</f>
        <v>6750</v>
      </c>
      <c r="J1624" s="20">
        <f t="shared" si="25"/>
        <v>0.1875</v>
      </c>
    </row>
    <row r="1625" spans="1:10" x14ac:dyDescent="0.3">
      <c r="A1625" s="33">
        <v>1624</v>
      </c>
      <c r="B1625" s="4">
        <v>50</v>
      </c>
      <c r="C1625" s="15">
        <v>124</v>
      </c>
      <c r="D1625" s="16">
        <v>4</v>
      </c>
      <c r="E1625" s="22">
        <v>44160</v>
      </c>
      <c r="F1625" s="17">
        <v>3</v>
      </c>
      <c r="G1625" s="18">
        <v>0.18</v>
      </c>
      <c r="H1625">
        <f>F1625*VLOOKUP(B1625,產品!$A$2:$H$61,7,FALSE)*(1-銷售總表!G1625)</f>
        <v>44280</v>
      </c>
      <c r="I1625" s="35">
        <f>H1625-F1625*VLOOKUP(銷售總表!B1625,產品!$A$2:$H$61,8,FALSE)</f>
        <v>6480</v>
      </c>
      <c r="J1625" s="20">
        <f t="shared" si="25"/>
        <v>0.14634146341463414</v>
      </c>
    </row>
    <row r="1626" spans="1:10" x14ac:dyDescent="0.3">
      <c r="A1626" s="33">
        <v>1625</v>
      </c>
      <c r="B1626" s="4">
        <v>14</v>
      </c>
      <c r="C1626" s="15">
        <v>11</v>
      </c>
      <c r="D1626" s="16">
        <v>6</v>
      </c>
      <c r="E1626" s="22">
        <v>44161</v>
      </c>
      <c r="F1626" s="17">
        <v>60</v>
      </c>
      <c r="G1626" s="18">
        <v>0.18</v>
      </c>
      <c r="H1626">
        <f>F1626*VLOOKUP(B1626,產品!$A$2:$H$61,7,FALSE)*(1-銷售總表!G1626)</f>
        <v>88560</v>
      </c>
      <c r="I1626" s="35">
        <f>H1626-F1626*VLOOKUP(銷售總表!B1626,產品!$A$2:$H$61,8,FALSE)</f>
        <v>45360</v>
      </c>
      <c r="J1626" s="20">
        <f t="shared" si="25"/>
        <v>0.51219512195121952</v>
      </c>
    </row>
    <row r="1627" spans="1:10" x14ac:dyDescent="0.3">
      <c r="A1627" s="33">
        <v>1626</v>
      </c>
      <c r="B1627" s="4">
        <v>56</v>
      </c>
      <c r="C1627" s="15">
        <v>11</v>
      </c>
      <c r="D1627" s="16">
        <v>10</v>
      </c>
      <c r="E1627" s="22">
        <v>44161</v>
      </c>
      <c r="F1627" s="19">
        <v>8</v>
      </c>
      <c r="G1627" s="18">
        <v>0.05</v>
      </c>
      <c r="H1627">
        <f>F1627*VLOOKUP(B1627,產品!$A$2:$H$61,7,FALSE)*(1-銷售總表!G1627)</f>
        <v>167200</v>
      </c>
      <c r="I1627" s="35">
        <f>H1627-F1627*VLOOKUP(銷售總表!B1627,產品!$A$2:$H$61,8,FALSE)</f>
        <v>44000.000000000015</v>
      </c>
      <c r="J1627" s="20">
        <f t="shared" si="25"/>
        <v>0.2631578947368422</v>
      </c>
    </row>
    <row r="1628" spans="1:10" x14ac:dyDescent="0.3">
      <c r="A1628" s="33">
        <v>1627</v>
      </c>
      <c r="B1628" s="4">
        <v>8</v>
      </c>
      <c r="C1628" s="15">
        <v>288</v>
      </c>
      <c r="D1628" s="16">
        <v>4</v>
      </c>
      <c r="E1628" s="22">
        <v>44161</v>
      </c>
      <c r="F1628" s="17">
        <v>60</v>
      </c>
      <c r="G1628" s="18">
        <v>0.09</v>
      </c>
      <c r="H1628">
        <f>F1628*VLOOKUP(B1628,產品!$A$2:$H$61,7,FALSE)*(1-銷售總表!G1628)</f>
        <v>54600</v>
      </c>
      <c r="I1628" s="35">
        <f>H1628-F1628*VLOOKUP(銷售總表!B1628,產品!$A$2:$H$61,8,FALSE)</f>
        <v>30600</v>
      </c>
      <c r="J1628" s="20">
        <f t="shared" si="25"/>
        <v>0.56043956043956045</v>
      </c>
    </row>
    <row r="1629" spans="1:10" x14ac:dyDescent="0.3">
      <c r="A1629" s="33">
        <v>1628</v>
      </c>
      <c r="B1629" s="4">
        <v>36</v>
      </c>
      <c r="C1629" s="15">
        <v>12</v>
      </c>
      <c r="D1629" s="16">
        <v>1</v>
      </c>
      <c r="E1629" s="22">
        <v>44161</v>
      </c>
      <c r="F1629" s="19">
        <v>5</v>
      </c>
      <c r="G1629" s="18">
        <v>0.15</v>
      </c>
      <c r="H1629">
        <f>F1629*VLOOKUP(B1629,產品!$A$2:$H$61,7,FALSE)*(1-銷售總表!G1629)</f>
        <v>38250</v>
      </c>
      <c r="I1629" s="35">
        <f>H1629-F1629*VLOOKUP(銷售總表!B1629,產品!$A$2:$H$61,8,FALSE)</f>
        <v>11250</v>
      </c>
      <c r="J1629" s="20">
        <f t="shared" si="25"/>
        <v>0.29411764705882354</v>
      </c>
    </row>
    <row r="1630" spans="1:10" x14ac:dyDescent="0.3">
      <c r="A1630" s="33">
        <v>1629</v>
      </c>
      <c r="B1630" s="4">
        <v>59</v>
      </c>
      <c r="C1630" s="15">
        <v>6</v>
      </c>
      <c r="D1630" s="16">
        <v>6</v>
      </c>
      <c r="E1630" s="22">
        <v>44161</v>
      </c>
      <c r="F1630" s="17">
        <v>3</v>
      </c>
      <c r="G1630" s="18">
        <v>0.16</v>
      </c>
      <c r="H1630">
        <f>F1630*VLOOKUP(B1630,產品!$A$2:$H$61,7,FALSE)*(1-銷售總表!G1630)</f>
        <v>60480</v>
      </c>
      <c r="I1630" s="35">
        <f>H1630-F1630*VLOOKUP(銷售總表!B1630,產品!$A$2:$H$61,8,FALSE)</f>
        <v>10080</v>
      </c>
      <c r="J1630" s="20">
        <f t="shared" si="25"/>
        <v>0.16666666666666666</v>
      </c>
    </row>
    <row r="1631" spans="1:10" x14ac:dyDescent="0.3">
      <c r="A1631" s="33">
        <v>1630</v>
      </c>
      <c r="B1631" s="4">
        <v>55</v>
      </c>
      <c r="C1631" s="15">
        <v>273</v>
      </c>
      <c r="D1631" s="16">
        <v>10</v>
      </c>
      <c r="E1631" s="22">
        <v>44161</v>
      </c>
      <c r="F1631" s="17">
        <v>2</v>
      </c>
      <c r="G1631" s="18">
        <v>7.0000000000000007E-2</v>
      </c>
      <c r="H1631">
        <f>F1631*VLOOKUP(B1631,產品!$A$2:$H$61,7,FALSE)*(1-銷售總表!G1631)</f>
        <v>37200</v>
      </c>
      <c r="I1631" s="35">
        <f>H1631-F1631*VLOOKUP(銷售總表!B1631,產品!$A$2:$H$61,8,FALSE)</f>
        <v>9200</v>
      </c>
      <c r="J1631" s="20">
        <f t="shared" si="25"/>
        <v>0.24731182795698925</v>
      </c>
    </row>
    <row r="1632" spans="1:10" x14ac:dyDescent="0.3">
      <c r="A1632" s="33">
        <v>1631</v>
      </c>
      <c r="B1632" s="4">
        <v>52</v>
      </c>
      <c r="C1632" s="15">
        <v>122</v>
      </c>
      <c r="D1632" s="16">
        <v>5</v>
      </c>
      <c r="E1632" s="22">
        <v>44161</v>
      </c>
      <c r="F1632" s="17">
        <v>1</v>
      </c>
      <c r="G1632" s="18">
        <v>0.05</v>
      </c>
      <c r="H1632">
        <f>F1632*VLOOKUP(B1632,產品!$A$2:$H$61,7,FALSE)*(1-銷售總表!G1632)</f>
        <v>20900</v>
      </c>
      <c r="I1632" s="35">
        <f>H1632-F1632*VLOOKUP(銷售總表!B1632,產品!$A$2:$H$61,8,FALSE)</f>
        <v>5500.0000000000018</v>
      </c>
      <c r="J1632" s="20">
        <f t="shared" si="25"/>
        <v>0.2631578947368422</v>
      </c>
    </row>
    <row r="1633" spans="1:10" x14ac:dyDescent="0.3">
      <c r="A1633" s="33">
        <v>1632</v>
      </c>
      <c r="B1633" s="4">
        <v>31</v>
      </c>
      <c r="C1633" s="15">
        <v>3</v>
      </c>
      <c r="D1633" s="16">
        <v>2</v>
      </c>
      <c r="E1633" s="22">
        <v>44161</v>
      </c>
      <c r="F1633" s="17">
        <v>2</v>
      </c>
      <c r="G1633" s="18">
        <v>0.11</v>
      </c>
      <c r="H1633">
        <f>F1633*VLOOKUP(B1633,產品!$A$2:$H$61,7,FALSE)*(1-銷售總表!G1633)</f>
        <v>12460</v>
      </c>
      <c r="I1633" s="35">
        <f>H1633-F1633*VLOOKUP(銷售總表!B1633,產品!$A$2:$H$61,8,FALSE)</f>
        <v>4060</v>
      </c>
      <c r="J1633" s="20">
        <f t="shared" si="25"/>
        <v>0.3258426966292135</v>
      </c>
    </row>
    <row r="1634" spans="1:10" x14ac:dyDescent="0.3">
      <c r="A1634" s="33">
        <v>1633</v>
      </c>
      <c r="B1634" s="4">
        <v>7</v>
      </c>
      <c r="C1634" s="15">
        <v>8</v>
      </c>
      <c r="D1634" s="16">
        <v>5</v>
      </c>
      <c r="E1634" s="22">
        <v>44162</v>
      </c>
      <c r="F1634" s="19">
        <v>200</v>
      </c>
      <c r="G1634" s="18">
        <v>0.08</v>
      </c>
      <c r="H1634">
        <f>F1634*VLOOKUP(B1634,產品!$A$2:$H$61,7,FALSE)*(1-銷售總表!G1634)</f>
        <v>184000</v>
      </c>
      <c r="I1634" s="35">
        <f>H1634-F1634*VLOOKUP(銷售總表!B1634,產品!$A$2:$H$61,8,FALSE)</f>
        <v>104000</v>
      </c>
      <c r="J1634" s="20">
        <f t="shared" si="25"/>
        <v>0.56521739130434778</v>
      </c>
    </row>
    <row r="1635" spans="1:10" x14ac:dyDescent="0.3">
      <c r="A1635" s="33">
        <v>1634</v>
      </c>
      <c r="B1635" s="4">
        <v>16</v>
      </c>
      <c r="C1635" s="15">
        <v>136</v>
      </c>
      <c r="D1635" s="16">
        <v>1</v>
      </c>
      <c r="E1635" s="22">
        <v>44162</v>
      </c>
      <c r="F1635" s="19">
        <v>60</v>
      </c>
      <c r="G1635" s="18">
        <v>0.17</v>
      </c>
      <c r="H1635">
        <f>F1635*VLOOKUP(B1635,產品!$A$2:$H$61,7,FALSE)*(1-銷售總表!G1635)</f>
        <v>89640</v>
      </c>
      <c r="I1635" s="35">
        <f>H1635-F1635*VLOOKUP(銷售總表!B1635,產品!$A$2:$H$61,8,FALSE)</f>
        <v>46440</v>
      </c>
      <c r="J1635" s="20">
        <f t="shared" si="25"/>
        <v>0.51807228915662651</v>
      </c>
    </row>
    <row r="1636" spans="1:10" x14ac:dyDescent="0.3">
      <c r="A1636" s="33">
        <v>1635</v>
      </c>
      <c r="B1636" s="4">
        <v>36</v>
      </c>
      <c r="C1636" s="15">
        <v>291</v>
      </c>
      <c r="D1636" s="16">
        <v>1</v>
      </c>
      <c r="E1636" s="22">
        <v>44162</v>
      </c>
      <c r="F1636" s="17">
        <v>2</v>
      </c>
      <c r="G1636" s="18">
        <v>0.09</v>
      </c>
      <c r="H1636">
        <f>F1636*VLOOKUP(B1636,產品!$A$2:$H$61,7,FALSE)*(1-銷售總表!G1636)</f>
        <v>16380</v>
      </c>
      <c r="I1636" s="35">
        <f>H1636-F1636*VLOOKUP(銷售總表!B1636,產品!$A$2:$H$61,8,FALSE)</f>
        <v>5580</v>
      </c>
      <c r="J1636" s="20">
        <f t="shared" si="25"/>
        <v>0.34065934065934067</v>
      </c>
    </row>
    <row r="1637" spans="1:10" x14ac:dyDescent="0.3">
      <c r="A1637" s="33">
        <v>1636</v>
      </c>
      <c r="B1637" s="4">
        <v>48</v>
      </c>
      <c r="C1637" s="15">
        <v>9</v>
      </c>
      <c r="D1637" s="16">
        <v>3</v>
      </c>
      <c r="E1637" s="22">
        <v>44163</v>
      </c>
      <c r="F1637" s="17">
        <v>5</v>
      </c>
      <c r="G1637" s="18">
        <v>0.05</v>
      </c>
      <c r="H1637">
        <f>F1637*VLOOKUP(B1637,產品!$A$2:$H$61,7,FALSE)*(1-銷售總表!G1637)</f>
        <v>104500</v>
      </c>
      <c r="I1637" s="35">
        <f>H1637-F1637*VLOOKUP(銷售總表!B1637,產品!$A$2:$H$61,8,FALSE)</f>
        <v>33000</v>
      </c>
      <c r="J1637" s="20">
        <f t="shared" si="25"/>
        <v>0.31578947368421051</v>
      </c>
    </row>
    <row r="1638" spans="1:10" x14ac:dyDescent="0.3">
      <c r="A1638" s="33">
        <v>1637</v>
      </c>
      <c r="B1638" s="4">
        <v>9</v>
      </c>
      <c r="C1638" s="15">
        <v>263</v>
      </c>
      <c r="D1638" s="16">
        <v>8</v>
      </c>
      <c r="E1638" s="22">
        <v>44163</v>
      </c>
      <c r="F1638" s="17">
        <v>60</v>
      </c>
      <c r="G1638" s="18">
        <v>0.1</v>
      </c>
      <c r="H1638">
        <f>F1638*VLOOKUP(B1638,產品!$A$2:$H$61,7,FALSE)*(1-銷售總表!G1638)</f>
        <v>54000</v>
      </c>
      <c r="I1638" s="35">
        <f>H1638-F1638*VLOOKUP(銷售總表!B1638,產品!$A$2:$H$61,8,FALSE)</f>
        <v>30000</v>
      </c>
      <c r="J1638" s="20">
        <f t="shared" si="25"/>
        <v>0.55555555555555558</v>
      </c>
    </row>
    <row r="1639" spans="1:10" x14ac:dyDescent="0.3">
      <c r="A1639" s="33">
        <v>1638</v>
      </c>
      <c r="B1639" s="4">
        <v>26</v>
      </c>
      <c r="C1639" s="15">
        <v>279</v>
      </c>
      <c r="D1639" s="16">
        <v>3</v>
      </c>
      <c r="E1639" s="22">
        <v>44163</v>
      </c>
      <c r="F1639" s="17">
        <v>10</v>
      </c>
      <c r="G1639" s="18">
        <v>0.15</v>
      </c>
      <c r="H1639">
        <f>F1639*VLOOKUP(B1639,產品!$A$2:$H$61,7,FALSE)*(1-銷售總表!G1639)</f>
        <v>55250</v>
      </c>
      <c r="I1639" s="35">
        <f>H1639-F1639*VLOOKUP(銷售總表!B1639,產品!$A$2:$H$61,8,FALSE)</f>
        <v>16250</v>
      </c>
      <c r="J1639" s="20">
        <f t="shared" si="25"/>
        <v>0.29411764705882354</v>
      </c>
    </row>
    <row r="1640" spans="1:10" x14ac:dyDescent="0.3">
      <c r="A1640" s="33">
        <v>1639</v>
      </c>
      <c r="B1640" s="4">
        <v>57</v>
      </c>
      <c r="C1640" s="15">
        <v>114</v>
      </c>
      <c r="D1640" s="16">
        <v>9</v>
      </c>
      <c r="E1640" s="22">
        <v>44163</v>
      </c>
      <c r="F1640" s="19">
        <v>2</v>
      </c>
      <c r="G1640" s="18">
        <v>0.19</v>
      </c>
      <c r="H1640">
        <f>F1640*VLOOKUP(B1640,產品!$A$2:$H$61,7,FALSE)*(1-銷售總表!G1640)</f>
        <v>29160.000000000004</v>
      </c>
      <c r="I1640" s="35">
        <f>H1640-F1640*VLOOKUP(銷售總表!B1640,產品!$A$2:$H$61,8,FALSE)</f>
        <v>3960.0000000000036</v>
      </c>
      <c r="J1640" s="20">
        <f t="shared" si="25"/>
        <v>0.13580246913580257</v>
      </c>
    </row>
    <row r="1641" spans="1:10" x14ac:dyDescent="0.3">
      <c r="A1641" s="33">
        <v>1640</v>
      </c>
      <c r="B1641" s="4">
        <v>38</v>
      </c>
      <c r="C1641" s="15">
        <v>9</v>
      </c>
      <c r="D1641" s="16">
        <v>10</v>
      </c>
      <c r="E1641" s="22">
        <v>44164</v>
      </c>
      <c r="F1641" s="17">
        <v>15</v>
      </c>
      <c r="G1641" s="18">
        <v>0.12</v>
      </c>
      <c r="H1641">
        <f>F1641*VLOOKUP(B1641,產品!$A$2:$H$61,7,FALSE)*(1-銷售總表!G1641)</f>
        <v>198000</v>
      </c>
      <c r="I1641" s="35">
        <f>H1641-F1641*VLOOKUP(銷售總表!B1641,產品!$A$2:$H$61,8,FALSE)</f>
        <v>51750</v>
      </c>
      <c r="J1641" s="20">
        <f t="shared" si="25"/>
        <v>0.26136363636363635</v>
      </c>
    </row>
    <row r="1642" spans="1:10" x14ac:dyDescent="0.3">
      <c r="A1642" s="33">
        <v>1641</v>
      </c>
      <c r="B1642" s="4">
        <v>9</v>
      </c>
      <c r="C1642" s="15">
        <v>116</v>
      </c>
      <c r="D1642" s="16">
        <v>7</v>
      </c>
      <c r="E1642" s="22">
        <v>44164</v>
      </c>
      <c r="F1642" s="19">
        <v>100</v>
      </c>
      <c r="G1642" s="18">
        <v>0.09</v>
      </c>
      <c r="H1642">
        <f>F1642*VLOOKUP(B1642,產品!$A$2:$H$61,7,FALSE)*(1-銷售總表!G1642)</f>
        <v>91000</v>
      </c>
      <c r="I1642" s="35">
        <f>H1642-F1642*VLOOKUP(銷售總表!B1642,產品!$A$2:$H$61,8,FALSE)</f>
        <v>51000</v>
      </c>
      <c r="J1642" s="20">
        <f t="shared" si="25"/>
        <v>0.56043956043956045</v>
      </c>
    </row>
    <row r="1643" spans="1:10" x14ac:dyDescent="0.3">
      <c r="A1643" s="33">
        <v>1642</v>
      </c>
      <c r="B1643" s="4">
        <v>27</v>
      </c>
      <c r="C1643" s="15">
        <v>121</v>
      </c>
      <c r="D1643" s="16">
        <v>1</v>
      </c>
      <c r="E1643" s="22">
        <v>44164</v>
      </c>
      <c r="F1643" s="19">
        <v>15</v>
      </c>
      <c r="G1643" s="18">
        <v>0.1</v>
      </c>
      <c r="H1643">
        <f>F1643*VLOOKUP(B1643,產品!$A$2:$H$61,7,FALSE)*(1-銷售總表!G1643)</f>
        <v>94500</v>
      </c>
      <c r="I1643" s="35">
        <f>H1643-F1643*VLOOKUP(銷售總表!B1643,產品!$A$2:$H$61,8,FALSE)</f>
        <v>31500</v>
      </c>
      <c r="J1643" s="20">
        <f t="shared" si="25"/>
        <v>0.33333333333333331</v>
      </c>
    </row>
    <row r="1644" spans="1:10" x14ac:dyDescent="0.3">
      <c r="A1644" s="33">
        <v>1643</v>
      </c>
      <c r="B1644" s="4">
        <v>59</v>
      </c>
      <c r="C1644" s="15">
        <v>257</v>
      </c>
      <c r="D1644" s="16">
        <v>8</v>
      </c>
      <c r="E1644" s="22">
        <v>44164</v>
      </c>
      <c r="F1644" s="17">
        <v>5</v>
      </c>
      <c r="G1644" s="18">
        <v>0.17</v>
      </c>
      <c r="H1644">
        <f>F1644*VLOOKUP(B1644,產品!$A$2:$H$61,7,FALSE)*(1-銷售總表!G1644)</f>
        <v>99600</v>
      </c>
      <c r="I1644" s="35">
        <f>H1644-F1644*VLOOKUP(銷售總表!B1644,產品!$A$2:$H$61,8,FALSE)</f>
        <v>15600</v>
      </c>
      <c r="J1644" s="20">
        <f t="shared" si="25"/>
        <v>0.15662650602409639</v>
      </c>
    </row>
    <row r="1645" spans="1:10" x14ac:dyDescent="0.3">
      <c r="A1645" s="33">
        <v>1644</v>
      </c>
      <c r="B1645" s="4">
        <v>31</v>
      </c>
      <c r="C1645" s="15">
        <v>262</v>
      </c>
      <c r="D1645" s="16">
        <v>6</v>
      </c>
      <c r="E1645" s="22">
        <v>44164</v>
      </c>
      <c r="F1645" s="17">
        <v>3</v>
      </c>
      <c r="G1645" s="18">
        <v>0.11</v>
      </c>
      <c r="H1645">
        <f>F1645*VLOOKUP(B1645,產品!$A$2:$H$61,7,FALSE)*(1-銷售總表!G1645)</f>
        <v>18690</v>
      </c>
      <c r="I1645" s="35">
        <f>H1645-F1645*VLOOKUP(銷售總表!B1645,產品!$A$2:$H$61,8,FALSE)</f>
        <v>6090</v>
      </c>
      <c r="J1645" s="20">
        <f t="shared" si="25"/>
        <v>0.3258426966292135</v>
      </c>
    </row>
    <row r="1646" spans="1:10" x14ac:dyDescent="0.3">
      <c r="A1646" s="33">
        <v>1645</v>
      </c>
      <c r="B1646" s="4">
        <v>52</v>
      </c>
      <c r="C1646" s="15">
        <v>286</v>
      </c>
      <c r="D1646" s="16">
        <v>1</v>
      </c>
      <c r="E1646" s="22">
        <v>44165</v>
      </c>
      <c r="F1646" s="19">
        <v>10</v>
      </c>
      <c r="G1646" s="18">
        <v>0.19</v>
      </c>
      <c r="H1646">
        <f>F1646*VLOOKUP(B1646,產品!$A$2:$H$61,7,FALSE)*(1-銷售總表!G1646)</f>
        <v>178200</v>
      </c>
      <c r="I1646" s="35">
        <f>H1646-F1646*VLOOKUP(銷售總表!B1646,產品!$A$2:$H$61,8,FALSE)</f>
        <v>24200.000000000029</v>
      </c>
      <c r="J1646" s="20">
        <f t="shared" si="25"/>
        <v>0.13580246913580263</v>
      </c>
    </row>
    <row r="1647" spans="1:10" x14ac:dyDescent="0.3">
      <c r="A1647" s="33">
        <v>1646</v>
      </c>
      <c r="B1647" s="4">
        <v>11</v>
      </c>
      <c r="C1647" s="15">
        <v>2</v>
      </c>
      <c r="D1647" s="16">
        <v>1</v>
      </c>
      <c r="E1647" s="22">
        <v>44165</v>
      </c>
      <c r="F1647" s="19">
        <v>30</v>
      </c>
      <c r="G1647" s="18">
        <v>0.11</v>
      </c>
      <c r="H1647">
        <f>F1647*VLOOKUP(B1647,產品!$A$2:$H$61,7,FALSE)*(1-銷售總表!G1647)</f>
        <v>26700</v>
      </c>
      <c r="I1647" s="35">
        <f>H1647-F1647*VLOOKUP(銷售總表!B1647,產品!$A$2:$H$61,8,FALSE)</f>
        <v>14700</v>
      </c>
      <c r="J1647" s="20">
        <f t="shared" si="25"/>
        <v>0.550561797752809</v>
      </c>
    </row>
    <row r="1648" spans="1:10" x14ac:dyDescent="0.3">
      <c r="A1648" s="33">
        <v>1647</v>
      </c>
      <c r="B1648" s="4">
        <v>52</v>
      </c>
      <c r="C1648" s="15">
        <v>1</v>
      </c>
      <c r="D1648" s="16">
        <v>6</v>
      </c>
      <c r="E1648" s="22">
        <v>44165</v>
      </c>
      <c r="F1648" s="19">
        <v>5</v>
      </c>
      <c r="G1648" s="18">
        <v>0.18</v>
      </c>
      <c r="H1648">
        <f>F1648*VLOOKUP(B1648,產品!$A$2:$H$61,7,FALSE)*(1-銷售總表!G1648)</f>
        <v>90200</v>
      </c>
      <c r="I1648" s="35">
        <f>H1648-F1648*VLOOKUP(銷售總表!B1648,產品!$A$2:$H$61,8,FALSE)</f>
        <v>13200.000000000015</v>
      </c>
      <c r="J1648" s="20">
        <f t="shared" si="25"/>
        <v>0.1463414634146343</v>
      </c>
    </row>
    <row r="1649" spans="1:10" x14ac:dyDescent="0.3">
      <c r="A1649" s="33">
        <v>1648</v>
      </c>
      <c r="B1649" s="4">
        <v>46</v>
      </c>
      <c r="C1649" s="15">
        <v>261</v>
      </c>
      <c r="D1649" s="16">
        <v>4</v>
      </c>
      <c r="E1649" s="22">
        <v>44166</v>
      </c>
      <c r="F1649" s="17">
        <v>7</v>
      </c>
      <c r="G1649" s="18">
        <v>0.06</v>
      </c>
      <c r="H1649">
        <f>F1649*VLOOKUP(B1649,產品!$A$2:$H$61,7,FALSE)*(1-銷售總表!G1649)</f>
        <v>111860</v>
      </c>
      <c r="I1649" s="35">
        <f>H1649-F1649*VLOOKUP(銷售總表!B1649,產品!$A$2:$H$61,8,FALSE)</f>
        <v>34510</v>
      </c>
      <c r="J1649" s="20">
        <f t="shared" si="25"/>
        <v>0.30851063829787234</v>
      </c>
    </row>
    <row r="1650" spans="1:10" x14ac:dyDescent="0.3">
      <c r="A1650" s="33">
        <v>1649</v>
      </c>
      <c r="B1650" s="4">
        <v>38</v>
      </c>
      <c r="C1650" s="15">
        <v>274</v>
      </c>
      <c r="D1650" s="16">
        <v>9</v>
      </c>
      <c r="E1650" s="22">
        <v>44166</v>
      </c>
      <c r="F1650" s="19">
        <v>9</v>
      </c>
      <c r="G1650" s="18">
        <v>0.12</v>
      </c>
      <c r="H1650">
        <f>F1650*VLOOKUP(B1650,產品!$A$2:$H$61,7,FALSE)*(1-銷售總表!G1650)</f>
        <v>118800</v>
      </c>
      <c r="I1650" s="35">
        <f>H1650-F1650*VLOOKUP(銷售總表!B1650,產品!$A$2:$H$61,8,FALSE)</f>
        <v>31050</v>
      </c>
      <c r="J1650" s="20">
        <f t="shared" si="25"/>
        <v>0.26136363636363635</v>
      </c>
    </row>
    <row r="1651" spans="1:10" x14ac:dyDescent="0.3">
      <c r="A1651" s="33">
        <v>1650</v>
      </c>
      <c r="B1651" s="4">
        <v>8</v>
      </c>
      <c r="C1651" s="15">
        <v>12</v>
      </c>
      <c r="D1651" s="16">
        <v>8</v>
      </c>
      <c r="E1651" s="22">
        <v>44166</v>
      </c>
      <c r="F1651" s="17">
        <v>30</v>
      </c>
      <c r="G1651" s="18">
        <v>0.16</v>
      </c>
      <c r="H1651">
        <f>F1651*VLOOKUP(B1651,產品!$A$2:$H$61,7,FALSE)*(1-銷售總表!G1651)</f>
        <v>25200</v>
      </c>
      <c r="I1651" s="35">
        <f>H1651-F1651*VLOOKUP(銷售總表!B1651,產品!$A$2:$H$61,8,FALSE)</f>
        <v>13200</v>
      </c>
      <c r="J1651" s="20">
        <f t="shared" si="25"/>
        <v>0.52380952380952384</v>
      </c>
    </row>
    <row r="1652" spans="1:10" x14ac:dyDescent="0.3">
      <c r="A1652" s="33">
        <v>1651</v>
      </c>
      <c r="B1652" s="4">
        <v>47</v>
      </c>
      <c r="C1652" s="15">
        <v>286</v>
      </c>
      <c r="D1652" s="16">
        <v>6</v>
      </c>
      <c r="E1652" s="22">
        <v>44166</v>
      </c>
      <c r="F1652" s="19">
        <v>3</v>
      </c>
      <c r="G1652" s="18">
        <v>0.16</v>
      </c>
      <c r="H1652">
        <f>F1652*VLOOKUP(B1652,產品!$A$2:$H$61,7,FALSE)*(1-銷售總表!G1652)</f>
        <v>50400</v>
      </c>
      <c r="I1652" s="35">
        <f>H1652-F1652*VLOOKUP(銷售總表!B1652,產品!$A$2:$H$61,8,FALSE)</f>
        <v>11400</v>
      </c>
      <c r="J1652" s="20">
        <f t="shared" si="25"/>
        <v>0.22619047619047619</v>
      </c>
    </row>
    <row r="1653" spans="1:10" x14ac:dyDescent="0.3">
      <c r="A1653" s="33">
        <v>1652</v>
      </c>
      <c r="B1653" s="4">
        <v>33</v>
      </c>
      <c r="C1653" s="15">
        <v>5</v>
      </c>
      <c r="D1653" s="16">
        <v>5</v>
      </c>
      <c r="E1653" s="22">
        <v>44166</v>
      </c>
      <c r="F1653" s="17">
        <v>3</v>
      </c>
      <c r="G1653" s="18">
        <v>0.11</v>
      </c>
      <c r="H1653">
        <f>F1653*VLOOKUP(B1653,產品!$A$2:$H$61,7,FALSE)*(1-銷售總表!G1653)</f>
        <v>20025</v>
      </c>
      <c r="I1653" s="35">
        <f>H1653-F1653*VLOOKUP(銷售總表!B1653,產品!$A$2:$H$61,8,FALSE)</f>
        <v>6525</v>
      </c>
      <c r="J1653" s="20">
        <f t="shared" si="25"/>
        <v>0.3258426966292135</v>
      </c>
    </row>
    <row r="1654" spans="1:10" x14ac:dyDescent="0.3">
      <c r="A1654" s="33">
        <v>1653</v>
      </c>
      <c r="B1654" s="4">
        <v>12</v>
      </c>
      <c r="C1654" s="15">
        <v>123</v>
      </c>
      <c r="D1654" s="16">
        <v>7</v>
      </c>
      <c r="E1654" s="22">
        <v>44167</v>
      </c>
      <c r="F1654" s="19">
        <v>200</v>
      </c>
      <c r="G1654" s="18">
        <v>0.06</v>
      </c>
      <c r="H1654">
        <f>F1654*VLOOKUP(B1654,產品!$A$2:$H$61,7,FALSE)*(1-銷售總表!G1654)</f>
        <v>188000</v>
      </c>
      <c r="I1654" s="35">
        <f>H1654-F1654*VLOOKUP(銷售總表!B1654,產品!$A$2:$H$61,8,FALSE)</f>
        <v>108000</v>
      </c>
      <c r="J1654" s="20">
        <f t="shared" si="25"/>
        <v>0.57446808510638303</v>
      </c>
    </row>
    <row r="1655" spans="1:10" x14ac:dyDescent="0.3">
      <c r="A1655" s="33">
        <v>1654</v>
      </c>
      <c r="B1655" s="4">
        <v>16</v>
      </c>
      <c r="C1655" s="15">
        <v>126</v>
      </c>
      <c r="D1655" s="16">
        <v>6</v>
      </c>
      <c r="E1655" s="22">
        <v>44167</v>
      </c>
      <c r="F1655" s="17">
        <v>20</v>
      </c>
      <c r="G1655" s="18">
        <v>0.19</v>
      </c>
      <c r="H1655">
        <f>F1655*VLOOKUP(B1655,產品!$A$2:$H$61,7,FALSE)*(1-銷售總表!G1655)</f>
        <v>29160.000000000004</v>
      </c>
      <c r="I1655" s="35">
        <f>H1655-F1655*VLOOKUP(銷售總表!B1655,產品!$A$2:$H$61,8,FALSE)</f>
        <v>14760.000000000004</v>
      </c>
      <c r="J1655" s="20">
        <f t="shared" si="25"/>
        <v>0.50617283950617287</v>
      </c>
    </row>
    <row r="1656" spans="1:10" x14ac:dyDescent="0.3">
      <c r="A1656" s="33">
        <v>1655</v>
      </c>
      <c r="B1656" s="4">
        <v>6</v>
      </c>
      <c r="C1656" s="15">
        <v>122</v>
      </c>
      <c r="D1656" s="16">
        <v>6</v>
      </c>
      <c r="E1656" s="22">
        <v>44167</v>
      </c>
      <c r="F1656" s="17">
        <v>15</v>
      </c>
      <c r="G1656" s="18">
        <v>0.13</v>
      </c>
      <c r="H1656">
        <f>F1656*VLOOKUP(B1656,產品!$A$2:$H$61,7,FALSE)*(1-銷售總表!G1656)</f>
        <v>13050</v>
      </c>
      <c r="I1656" s="35">
        <f>H1656-F1656*VLOOKUP(銷售總表!B1656,產品!$A$2:$H$61,8,FALSE)</f>
        <v>7050</v>
      </c>
      <c r="J1656" s="20">
        <f t="shared" si="25"/>
        <v>0.54022988505747127</v>
      </c>
    </row>
    <row r="1657" spans="1:10" x14ac:dyDescent="0.3">
      <c r="A1657" s="33">
        <v>1656</v>
      </c>
      <c r="B1657" s="4">
        <v>53</v>
      </c>
      <c r="C1657" s="15">
        <v>114</v>
      </c>
      <c r="D1657" s="16">
        <v>7</v>
      </c>
      <c r="E1657" s="22">
        <v>44167</v>
      </c>
      <c r="F1657" s="19">
        <v>2</v>
      </c>
      <c r="G1657" s="18">
        <v>0.2</v>
      </c>
      <c r="H1657">
        <f>F1657*VLOOKUP(B1657,產品!$A$2:$H$61,7,FALSE)*(1-銷售總表!G1657)</f>
        <v>24000</v>
      </c>
      <c r="I1657" s="35">
        <f>H1657-F1657*VLOOKUP(銷售總表!B1657,產品!$A$2:$H$61,8,FALSE)</f>
        <v>3000</v>
      </c>
      <c r="J1657" s="20">
        <f t="shared" si="25"/>
        <v>0.125</v>
      </c>
    </row>
    <row r="1658" spans="1:10" x14ac:dyDescent="0.3">
      <c r="A1658" s="33">
        <v>1657</v>
      </c>
      <c r="B1658" s="4">
        <v>20</v>
      </c>
      <c r="C1658" s="15">
        <v>134</v>
      </c>
      <c r="D1658" s="16">
        <v>9</v>
      </c>
      <c r="E1658" s="22">
        <v>44168</v>
      </c>
      <c r="F1658" s="17">
        <v>100</v>
      </c>
      <c r="G1658" s="18">
        <v>0.2</v>
      </c>
      <c r="H1658">
        <f>F1658*VLOOKUP(B1658,產品!$A$2:$H$61,7,FALSE)*(1-銷售總表!G1658)</f>
        <v>144000</v>
      </c>
      <c r="I1658" s="35">
        <f>H1658-F1658*VLOOKUP(銷售總表!B1658,產品!$A$2:$H$61,8,FALSE)</f>
        <v>72000</v>
      </c>
      <c r="J1658" s="20">
        <f t="shared" si="25"/>
        <v>0.5</v>
      </c>
    </row>
    <row r="1659" spans="1:10" x14ac:dyDescent="0.3">
      <c r="A1659" s="33">
        <v>1658</v>
      </c>
      <c r="B1659" s="4">
        <v>4</v>
      </c>
      <c r="C1659" s="15">
        <v>112</v>
      </c>
      <c r="D1659" s="16">
        <v>10</v>
      </c>
      <c r="E1659" s="22">
        <v>44168</v>
      </c>
      <c r="F1659" s="17">
        <v>50</v>
      </c>
      <c r="G1659" s="18">
        <v>0.16</v>
      </c>
      <c r="H1659">
        <f>F1659*VLOOKUP(B1659,產品!$A$2:$H$61,7,FALSE)*(1-銷售總表!G1659)</f>
        <v>42000</v>
      </c>
      <c r="I1659" s="35">
        <f>H1659-F1659*VLOOKUP(銷售總表!B1659,產品!$A$2:$H$61,8,FALSE)</f>
        <v>22000</v>
      </c>
      <c r="J1659" s="20">
        <f t="shared" si="25"/>
        <v>0.52380952380952384</v>
      </c>
    </row>
    <row r="1660" spans="1:10" x14ac:dyDescent="0.3">
      <c r="A1660" s="33">
        <v>1659</v>
      </c>
      <c r="B1660" s="4">
        <v>50</v>
      </c>
      <c r="C1660" s="15">
        <v>12</v>
      </c>
      <c r="D1660" s="16">
        <v>8</v>
      </c>
      <c r="E1660" s="22">
        <v>44168</v>
      </c>
      <c r="F1660" s="19">
        <v>4</v>
      </c>
      <c r="G1660" s="18">
        <v>0.17</v>
      </c>
      <c r="H1660">
        <f>F1660*VLOOKUP(B1660,產品!$A$2:$H$61,7,FALSE)*(1-銷售總表!G1660)</f>
        <v>59760</v>
      </c>
      <c r="I1660" s="35">
        <f>H1660-F1660*VLOOKUP(銷售總表!B1660,產品!$A$2:$H$61,8,FALSE)</f>
        <v>9360</v>
      </c>
      <c r="J1660" s="20">
        <f t="shared" si="25"/>
        <v>0.15662650602409639</v>
      </c>
    </row>
    <row r="1661" spans="1:10" x14ac:dyDescent="0.3">
      <c r="A1661" s="33">
        <v>1660</v>
      </c>
      <c r="B1661" s="4">
        <v>11</v>
      </c>
      <c r="C1661" s="15">
        <v>289</v>
      </c>
      <c r="D1661" s="16">
        <v>9</v>
      </c>
      <c r="E1661" s="22">
        <v>44168</v>
      </c>
      <c r="F1661" s="17">
        <v>20</v>
      </c>
      <c r="G1661" s="18">
        <v>0.15</v>
      </c>
      <c r="H1661">
        <f>F1661*VLOOKUP(B1661,產品!$A$2:$H$61,7,FALSE)*(1-銷售總表!G1661)</f>
        <v>17000</v>
      </c>
      <c r="I1661" s="35">
        <f>H1661-F1661*VLOOKUP(銷售總表!B1661,產品!$A$2:$H$61,8,FALSE)</f>
        <v>9000</v>
      </c>
      <c r="J1661" s="20">
        <f t="shared" si="25"/>
        <v>0.52941176470588236</v>
      </c>
    </row>
    <row r="1662" spans="1:10" x14ac:dyDescent="0.3">
      <c r="A1662" s="33">
        <v>1661</v>
      </c>
      <c r="B1662" s="4">
        <v>36</v>
      </c>
      <c r="C1662" s="15">
        <v>1</v>
      </c>
      <c r="D1662" s="16">
        <v>3</v>
      </c>
      <c r="E1662" s="22">
        <v>44168</v>
      </c>
      <c r="F1662" s="17">
        <v>4</v>
      </c>
      <c r="G1662" s="18">
        <v>0.16</v>
      </c>
      <c r="H1662">
        <f>F1662*VLOOKUP(B1662,產品!$A$2:$H$61,7,FALSE)*(1-銷售總表!G1662)</f>
        <v>30240</v>
      </c>
      <c r="I1662" s="35">
        <f>H1662-F1662*VLOOKUP(銷售總表!B1662,產品!$A$2:$H$61,8,FALSE)</f>
        <v>8640</v>
      </c>
      <c r="J1662" s="20">
        <f t="shared" si="25"/>
        <v>0.2857142857142857</v>
      </c>
    </row>
    <row r="1663" spans="1:10" x14ac:dyDescent="0.3">
      <c r="A1663" s="33">
        <v>1662</v>
      </c>
      <c r="B1663" s="4">
        <v>53</v>
      </c>
      <c r="C1663" s="15">
        <v>115</v>
      </c>
      <c r="D1663" s="16">
        <v>4</v>
      </c>
      <c r="E1663" s="22">
        <v>44169</v>
      </c>
      <c r="F1663" s="19">
        <v>15</v>
      </c>
      <c r="G1663" s="18">
        <v>0.19</v>
      </c>
      <c r="H1663">
        <f>F1663*VLOOKUP(B1663,產品!$A$2:$H$61,7,FALSE)*(1-銷售總表!G1663)</f>
        <v>182250</v>
      </c>
      <c r="I1663" s="35">
        <f>H1663-F1663*VLOOKUP(銷售總表!B1663,產品!$A$2:$H$61,8,FALSE)</f>
        <v>24750</v>
      </c>
      <c r="J1663" s="20">
        <f t="shared" si="25"/>
        <v>0.13580246913580246</v>
      </c>
    </row>
    <row r="1664" spans="1:10" x14ac:dyDescent="0.3">
      <c r="A1664" s="33">
        <v>1663</v>
      </c>
      <c r="B1664" s="4">
        <v>7</v>
      </c>
      <c r="C1664" s="15">
        <v>1</v>
      </c>
      <c r="D1664" s="16">
        <v>1</v>
      </c>
      <c r="E1664" s="22">
        <v>44169</v>
      </c>
      <c r="F1664" s="19">
        <v>40</v>
      </c>
      <c r="G1664" s="18">
        <v>0.16</v>
      </c>
      <c r="H1664">
        <f>F1664*VLOOKUP(B1664,產品!$A$2:$H$61,7,FALSE)*(1-銷售總表!G1664)</f>
        <v>33600</v>
      </c>
      <c r="I1664" s="35">
        <f>H1664-F1664*VLOOKUP(銷售總表!B1664,產品!$A$2:$H$61,8,FALSE)</f>
        <v>17600</v>
      </c>
      <c r="J1664" s="20">
        <f t="shared" si="25"/>
        <v>0.52380952380952384</v>
      </c>
    </row>
    <row r="1665" spans="1:10" x14ac:dyDescent="0.3">
      <c r="A1665" s="33">
        <v>1664</v>
      </c>
      <c r="B1665" s="4">
        <v>4</v>
      </c>
      <c r="C1665" s="15">
        <v>139</v>
      </c>
      <c r="D1665" s="16">
        <v>2</v>
      </c>
      <c r="E1665" s="22">
        <v>44169</v>
      </c>
      <c r="F1665" s="17">
        <v>20</v>
      </c>
      <c r="G1665" s="18">
        <v>0.19</v>
      </c>
      <c r="H1665">
        <f>F1665*VLOOKUP(B1665,產品!$A$2:$H$61,7,FALSE)*(1-銷售總表!G1665)</f>
        <v>16200.000000000002</v>
      </c>
      <c r="I1665" s="35">
        <f>H1665-F1665*VLOOKUP(銷售總表!B1665,產品!$A$2:$H$61,8,FALSE)</f>
        <v>8200.0000000000018</v>
      </c>
      <c r="J1665" s="20">
        <f t="shared" si="25"/>
        <v>0.50617283950617287</v>
      </c>
    </row>
    <row r="1666" spans="1:10" x14ac:dyDescent="0.3">
      <c r="A1666" s="33">
        <v>1665</v>
      </c>
      <c r="B1666" s="4">
        <v>34</v>
      </c>
      <c r="C1666" s="15">
        <v>123</v>
      </c>
      <c r="D1666" s="16">
        <v>3</v>
      </c>
      <c r="E1666" s="22">
        <v>44169</v>
      </c>
      <c r="F1666" s="17">
        <v>2</v>
      </c>
      <c r="G1666" s="18">
        <v>0.12</v>
      </c>
      <c r="H1666">
        <f>F1666*VLOOKUP(B1666,產品!$A$2:$H$61,7,FALSE)*(1-銷售總表!G1666)</f>
        <v>14080</v>
      </c>
      <c r="I1666" s="35">
        <f>H1666-F1666*VLOOKUP(銷售總表!B1666,產品!$A$2:$H$61,8,FALSE)</f>
        <v>4480</v>
      </c>
      <c r="J1666" s="20">
        <f t="shared" si="25"/>
        <v>0.31818181818181818</v>
      </c>
    </row>
    <row r="1667" spans="1:10" x14ac:dyDescent="0.3">
      <c r="A1667" s="33">
        <v>1666</v>
      </c>
      <c r="B1667" s="4">
        <v>45</v>
      </c>
      <c r="C1667" s="15">
        <v>275</v>
      </c>
      <c r="D1667" s="16">
        <v>8</v>
      </c>
      <c r="E1667" s="22">
        <v>44170</v>
      </c>
      <c r="F1667" s="17">
        <v>11</v>
      </c>
      <c r="G1667" s="18">
        <v>0.11</v>
      </c>
      <c r="H1667">
        <f>F1667*VLOOKUP(B1667,產品!$A$2:$H$61,7,FALSE)*(1-銷售總表!G1667)</f>
        <v>137060</v>
      </c>
      <c r="I1667" s="35">
        <f>H1667-F1667*VLOOKUP(銷售總表!B1667,產品!$A$2:$H$61,8,FALSE)</f>
        <v>36960</v>
      </c>
      <c r="J1667" s="20">
        <f t="shared" ref="J1667:J1730" si="26">I1667/H1667</f>
        <v>0.2696629213483146</v>
      </c>
    </row>
    <row r="1668" spans="1:10" x14ac:dyDescent="0.3">
      <c r="A1668" s="33">
        <v>1667</v>
      </c>
      <c r="B1668" s="4">
        <v>22</v>
      </c>
      <c r="C1668" s="15">
        <v>6</v>
      </c>
      <c r="D1668" s="16">
        <v>1</v>
      </c>
      <c r="E1668" s="22">
        <v>44170</v>
      </c>
      <c r="F1668" s="17">
        <v>30</v>
      </c>
      <c r="G1668" s="18">
        <v>0.14000000000000001</v>
      </c>
      <c r="H1668">
        <f>F1668*VLOOKUP(B1668,產品!$A$2:$H$61,7,FALSE)*(1-銷售總表!G1668)</f>
        <v>46440</v>
      </c>
      <c r="I1668" s="35">
        <f>H1668-F1668*VLOOKUP(銷售總表!B1668,產品!$A$2:$H$61,8,FALSE)</f>
        <v>24840</v>
      </c>
      <c r="J1668" s="20">
        <f t="shared" si="26"/>
        <v>0.53488372093023251</v>
      </c>
    </row>
    <row r="1669" spans="1:10" x14ac:dyDescent="0.3">
      <c r="A1669" s="33">
        <v>1668</v>
      </c>
      <c r="B1669" s="4">
        <v>43</v>
      </c>
      <c r="C1669" s="15">
        <v>140</v>
      </c>
      <c r="D1669" s="16">
        <v>1</v>
      </c>
      <c r="E1669" s="22">
        <v>44170</v>
      </c>
      <c r="F1669" s="19">
        <v>4</v>
      </c>
      <c r="G1669" s="18">
        <v>0.18</v>
      </c>
      <c r="H1669">
        <f>F1669*VLOOKUP(B1669,產品!$A$2:$H$61,7,FALSE)*(1-銷售總表!G1669)</f>
        <v>59040.000000000007</v>
      </c>
      <c r="I1669" s="35">
        <f>H1669-F1669*VLOOKUP(銷售總表!B1669,產品!$A$2:$H$61,8,FALSE)</f>
        <v>12240.000000000007</v>
      </c>
      <c r="J1669" s="20">
        <f t="shared" si="26"/>
        <v>0.20731707317073181</v>
      </c>
    </row>
    <row r="1670" spans="1:10" x14ac:dyDescent="0.3">
      <c r="A1670" s="33">
        <v>1669</v>
      </c>
      <c r="B1670" s="4">
        <v>10</v>
      </c>
      <c r="C1670" s="15">
        <v>117</v>
      </c>
      <c r="D1670" s="16">
        <v>5</v>
      </c>
      <c r="E1670" s="22">
        <v>44170</v>
      </c>
      <c r="F1670" s="19">
        <v>30</v>
      </c>
      <c r="G1670" s="18">
        <v>0.2</v>
      </c>
      <c r="H1670">
        <f>F1670*VLOOKUP(B1670,產品!$A$2:$H$61,7,FALSE)*(1-銷售總表!G1670)</f>
        <v>24000</v>
      </c>
      <c r="I1670" s="35">
        <f>H1670-F1670*VLOOKUP(銷售總表!B1670,產品!$A$2:$H$61,8,FALSE)</f>
        <v>12000</v>
      </c>
      <c r="J1670" s="20">
        <f t="shared" si="26"/>
        <v>0.5</v>
      </c>
    </row>
    <row r="1671" spans="1:10" x14ac:dyDescent="0.3">
      <c r="A1671" s="33">
        <v>1670</v>
      </c>
      <c r="B1671" s="4">
        <v>28</v>
      </c>
      <c r="C1671" s="15">
        <v>269</v>
      </c>
      <c r="D1671" s="16">
        <v>4</v>
      </c>
      <c r="E1671" s="22">
        <v>44170</v>
      </c>
      <c r="F1671" s="19">
        <v>7</v>
      </c>
      <c r="G1671" s="18">
        <v>0.18</v>
      </c>
      <c r="H1671">
        <f>F1671*VLOOKUP(B1671,產品!$A$2:$H$61,7,FALSE)*(1-銷售總表!G1671)</f>
        <v>43050</v>
      </c>
      <c r="I1671" s="35">
        <f>H1671-F1671*VLOOKUP(銷售總表!B1671,產品!$A$2:$H$61,8,FALSE)</f>
        <v>11550</v>
      </c>
      <c r="J1671" s="20">
        <f t="shared" si="26"/>
        <v>0.26829268292682928</v>
      </c>
    </row>
    <row r="1672" spans="1:10" x14ac:dyDescent="0.3">
      <c r="A1672" s="33">
        <v>1671</v>
      </c>
      <c r="B1672" s="4">
        <v>60</v>
      </c>
      <c r="C1672" s="15">
        <v>12</v>
      </c>
      <c r="D1672" s="16">
        <v>7</v>
      </c>
      <c r="E1672" s="22">
        <v>44170</v>
      </c>
      <c r="F1672" s="17">
        <v>2</v>
      </c>
      <c r="G1672" s="18">
        <v>0.17</v>
      </c>
      <c r="H1672">
        <f>F1672*VLOOKUP(B1672,產品!$A$2:$H$61,7,FALSE)*(1-銷售總表!G1672)</f>
        <v>41500</v>
      </c>
      <c r="I1672" s="35">
        <f>H1672-F1672*VLOOKUP(銷售總表!B1672,產品!$A$2:$H$61,8,FALSE)</f>
        <v>6500</v>
      </c>
      <c r="J1672" s="20">
        <f t="shared" si="26"/>
        <v>0.15662650602409639</v>
      </c>
    </row>
    <row r="1673" spans="1:10" x14ac:dyDescent="0.3">
      <c r="A1673" s="33">
        <v>1672</v>
      </c>
      <c r="B1673" s="4">
        <v>41</v>
      </c>
      <c r="C1673" s="15">
        <v>115</v>
      </c>
      <c r="D1673" s="16">
        <v>7</v>
      </c>
      <c r="E1673" s="22">
        <v>44170</v>
      </c>
      <c r="F1673" s="19">
        <v>2</v>
      </c>
      <c r="G1673" s="18">
        <v>0.18</v>
      </c>
      <c r="H1673">
        <f>F1673*VLOOKUP(B1673,產品!$A$2:$H$61,7,FALSE)*(1-銷售總表!G1673)</f>
        <v>19680</v>
      </c>
      <c r="I1673" s="35">
        <f>H1673-F1673*VLOOKUP(銷售總表!B1673,產品!$A$2:$H$61,8,FALSE)</f>
        <v>4080</v>
      </c>
      <c r="J1673" s="20">
        <f t="shared" si="26"/>
        <v>0.2073170731707317</v>
      </c>
    </row>
    <row r="1674" spans="1:10" x14ac:dyDescent="0.3">
      <c r="A1674" s="33">
        <v>1673</v>
      </c>
      <c r="B1674" s="4">
        <v>14</v>
      </c>
      <c r="C1674" s="15">
        <v>265</v>
      </c>
      <c r="D1674" s="16">
        <v>6</v>
      </c>
      <c r="E1674" s="22">
        <v>44171</v>
      </c>
      <c r="F1674" s="19">
        <v>40</v>
      </c>
      <c r="G1674" s="18">
        <v>0.14000000000000001</v>
      </c>
      <c r="H1674">
        <f>F1674*VLOOKUP(B1674,產品!$A$2:$H$61,7,FALSE)*(1-銷售總表!G1674)</f>
        <v>61920</v>
      </c>
      <c r="I1674" s="35">
        <f>H1674-F1674*VLOOKUP(銷售總表!B1674,產品!$A$2:$H$61,8,FALSE)</f>
        <v>33120</v>
      </c>
      <c r="J1674" s="20">
        <f t="shared" si="26"/>
        <v>0.53488372093023251</v>
      </c>
    </row>
    <row r="1675" spans="1:10" x14ac:dyDescent="0.3">
      <c r="A1675" s="33">
        <v>1674</v>
      </c>
      <c r="B1675" s="4">
        <v>20</v>
      </c>
      <c r="C1675" s="15">
        <v>6</v>
      </c>
      <c r="D1675" s="16">
        <v>7</v>
      </c>
      <c r="E1675" s="22">
        <v>44171</v>
      </c>
      <c r="F1675" s="19">
        <v>40</v>
      </c>
      <c r="G1675" s="18">
        <v>0.19</v>
      </c>
      <c r="H1675">
        <f>F1675*VLOOKUP(B1675,產品!$A$2:$H$61,7,FALSE)*(1-銷售總表!G1675)</f>
        <v>58320.000000000007</v>
      </c>
      <c r="I1675" s="35">
        <f>H1675-F1675*VLOOKUP(銷售總表!B1675,產品!$A$2:$H$61,8,FALSE)</f>
        <v>29520.000000000007</v>
      </c>
      <c r="J1675" s="20">
        <f t="shared" si="26"/>
        <v>0.50617283950617287</v>
      </c>
    </row>
    <row r="1676" spans="1:10" x14ac:dyDescent="0.3">
      <c r="A1676" s="33">
        <v>1675</v>
      </c>
      <c r="B1676" s="4">
        <v>31</v>
      </c>
      <c r="C1676" s="15">
        <v>10</v>
      </c>
      <c r="D1676" s="16">
        <v>2</v>
      </c>
      <c r="E1676" s="22">
        <v>44171</v>
      </c>
      <c r="F1676" s="19">
        <v>10</v>
      </c>
      <c r="G1676" s="18">
        <v>0.13</v>
      </c>
      <c r="H1676">
        <f>F1676*VLOOKUP(B1676,產品!$A$2:$H$61,7,FALSE)*(1-銷售總表!G1676)</f>
        <v>60900</v>
      </c>
      <c r="I1676" s="35">
        <f>H1676-F1676*VLOOKUP(銷售總表!B1676,產品!$A$2:$H$61,8,FALSE)</f>
        <v>18900</v>
      </c>
      <c r="J1676" s="20">
        <f t="shared" si="26"/>
        <v>0.31034482758620691</v>
      </c>
    </row>
    <row r="1677" spans="1:10" x14ac:dyDescent="0.3">
      <c r="A1677" s="33">
        <v>1676</v>
      </c>
      <c r="B1677" s="4">
        <v>52</v>
      </c>
      <c r="C1677" s="15">
        <v>138</v>
      </c>
      <c r="D1677" s="16">
        <v>3</v>
      </c>
      <c r="E1677" s="22">
        <v>44171</v>
      </c>
      <c r="F1677" s="17">
        <v>4</v>
      </c>
      <c r="G1677" s="18">
        <v>0.11</v>
      </c>
      <c r="H1677">
        <f>F1677*VLOOKUP(B1677,產品!$A$2:$H$61,7,FALSE)*(1-銷售總表!G1677)</f>
        <v>78320</v>
      </c>
      <c r="I1677" s="35">
        <f>H1677-F1677*VLOOKUP(銷售總表!B1677,產品!$A$2:$H$61,8,FALSE)</f>
        <v>16720.000000000007</v>
      </c>
      <c r="J1677" s="20">
        <f t="shared" si="26"/>
        <v>0.21348314606741584</v>
      </c>
    </row>
    <row r="1678" spans="1:10" x14ac:dyDescent="0.3">
      <c r="A1678" s="33">
        <v>1677</v>
      </c>
      <c r="B1678" s="4">
        <v>26</v>
      </c>
      <c r="C1678" s="15">
        <v>5</v>
      </c>
      <c r="D1678" s="16">
        <v>3</v>
      </c>
      <c r="E1678" s="22">
        <v>44171</v>
      </c>
      <c r="F1678" s="19">
        <v>2</v>
      </c>
      <c r="G1678" s="18">
        <v>0.05</v>
      </c>
      <c r="H1678">
        <f>F1678*VLOOKUP(B1678,產品!$A$2:$H$61,7,FALSE)*(1-銷售總表!G1678)</f>
        <v>12350</v>
      </c>
      <c r="I1678" s="35">
        <f>H1678-F1678*VLOOKUP(銷售總表!B1678,產品!$A$2:$H$61,8,FALSE)</f>
        <v>4550</v>
      </c>
      <c r="J1678" s="20">
        <f t="shared" si="26"/>
        <v>0.36842105263157893</v>
      </c>
    </row>
    <row r="1679" spans="1:10" x14ac:dyDescent="0.3">
      <c r="A1679" s="33">
        <v>1678</v>
      </c>
      <c r="B1679" s="4">
        <v>18</v>
      </c>
      <c r="C1679" s="15">
        <v>116</v>
      </c>
      <c r="D1679" s="16">
        <v>9</v>
      </c>
      <c r="E1679" s="22">
        <v>44172</v>
      </c>
      <c r="F1679" s="19">
        <v>150</v>
      </c>
      <c r="G1679" s="18">
        <v>0.06</v>
      </c>
      <c r="H1679">
        <f>F1679*VLOOKUP(B1679,產品!$A$2:$H$61,7,FALSE)*(1-銷售總表!G1679)</f>
        <v>253800</v>
      </c>
      <c r="I1679" s="35">
        <f>H1679-F1679*VLOOKUP(銷售總表!B1679,產品!$A$2:$H$61,8,FALSE)</f>
        <v>145800</v>
      </c>
      <c r="J1679" s="20">
        <f t="shared" si="26"/>
        <v>0.57446808510638303</v>
      </c>
    </row>
    <row r="1680" spans="1:10" x14ac:dyDescent="0.3">
      <c r="A1680" s="33">
        <v>1679</v>
      </c>
      <c r="B1680" s="4">
        <v>46</v>
      </c>
      <c r="C1680" s="15">
        <v>274</v>
      </c>
      <c r="D1680" s="16">
        <v>10</v>
      </c>
      <c r="E1680" s="22">
        <v>44172</v>
      </c>
      <c r="F1680" s="17">
        <v>15</v>
      </c>
      <c r="G1680" s="18">
        <v>7.0000000000000007E-2</v>
      </c>
      <c r="H1680">
        <f>F1680*VLOOKUP(B1680,產品!$A$2:$H$61,7,FALSE)*(1-銷售總表!G1680)</f>
        <v>237149.99999999997</v>
      </c>
      <c r="I1680" s="35">
        <f>H1680-F1680*VLOOKUP(銷售總表!B1680,產品!$A$2:$H$61,8,FALSE)</f>
        <v>71399.999999999971</v>
      </c>
      <c r="J1680" s="20">
        <f t="shared" si="26"/>
        <v>0.3010752688172042</v>
      </c>
    </row>
    <row r="1681" spans="1:10" x14ac:dyDescent="0.3">
      <c r="A1681" s="33">
        <v>1680</v>
      </c>
      <c r="B1681" s="4">
        <v>47</v>
      </c>
      <c r="C1681" s="15">
        <v>289</v>
      </c>
      <c r="D1681" s="16">
        <v>2</v>
      </c>
      <c r="E1681" s="22">
        <v>44172</v>
      </c>
      <c r="F1681" s="19">
        <v>3</v>
      </c>
      <c r="G1681" s="18">
        <v>0.12</v>
      </c>
      <c r="H1681">
        <f>F1681*VLOOKUP(B1681,產品!$A$2:$H$61,7,FALSE)*(1-銷售總表!G1681)</f>
        <v>52800</v>
      </c>
      <c r="I1681" s="35">
        <f>H1681-F1681*VLOOKUP(銷售總表!B1681,產品!$A$2:$H$61,8,FALSE)</f>
        <v>13800</v>
      </c>
      <c r="J1681" s="20">
        <f t="shared" si="26"/>
        <v>0.26136363636363635</v>
      </c>
    </row>
    <row r="1682" spans="1:10" x14ac:dyDescent="0.3">
      <c r="A1682" s="33">
        <v>1681</v>
      </c>
      <c r="B1682" s="4">
        <v>36</v>
      </c>
      <c r="C1682" s="15">
        <v>280</v>
      </c>
      <c r="D1682" s="16">
        <v>10</v>
      </c>
      <c r="E1682" s="22">
        <v>44172</v>
      </c>
      <c r="F1682" s="19">
        <v>3</v>
      </c>
      <c r="G1682" s="18">
        <v>0.16</v>
      </c>
      <c r="H1682">
        <f>F1682*VLOOKUP(B1682,產品!$A$2:$H$61,7,FALSE)*(1-銷售總表!G1682)</f>
        <v>22680</v>
      </c>
      <c r="I1682" s="35">
        <f>H1682-F1682*VLOOKUP(銷售總表!B1682,產品!$A$2:$H$61,8,FALSE)</f>
        <v>6480</v>
      </c>
      <c r="J1682" s="20">
        <f t="shared" si="26"/>
        <v>0.2857142857142857</v>
      </c>
    </row>
    <row r="1683" spans="1:10" x14ac:dyDescent="0.3">
      <c r="A1683" s="33">
        <v>1682</v>
      </c>
      <c r="B1683" s="4">
        <v>2</v>
      </c>
      <c r="C1683" s="15">
        <v>4</v>
      </c>
      <c r="D1683" s="16">
        <v>1</v>
      </c>
      <c r="E1683" s="22">
        <v>44173</v>
      </c>
      <c r="F1683" s="19">
        <v>195</v>
      </c>
      <c r="G1683" s="18">
        <v>0.08</v>
      </c>
      <c r="H1683">
        <f>F1683*VLOOKUP(B1683,產品!$A$2:$H$61,7,FALSE)*(1-銷售總表!G1683)</f>
        <v>179400</v>
      </c>
      <c r="I1683" s="35">
        <f>H1683-F1683*VLOOKUP(銷售總表!B1683,產品!$A$2:$H$61,8,FALSE)</f>
        <v>101400</v>
      </c>
      <c r="J1683" s="20">
        <f t="shared" si="26"/>
        <v>0.56521739130434778</v>
      </c>
    </row>
    <row r="1684" spans="1:10" x14ac:dyDescent="0.3">
      <c r="A1684" s="33">
        <v>1683</v>
      </c>
      <c r="B1684" s="4">
        <v>50</v>
      </c>
      <c r="C1684" s="15">
        <v>291</v>
      </c>
      <c r="D1684" s="16">
        <v>3</v>
      </c>
      <c r="E1684" s="22">
        <v>44173</v>
      </c>
      <c r="F1684" s="17">
        <v>20</v>
      </c>
      <c r="G1684" s="18">
        <v>0.17</v>
      </c>
      <c r="H1684">
        <f>F1684*VLOOKUP(B1684,產品!$A$2:$H$61,7,FALSE)*(1-銷售總表!G1684)</f>
        <v>298800</v>
      </c>
      <c r="I1684" s="35">
        <f>H1684-F1684*VLOOKUP(銷售總表!B1684,產品!$A$2:$H$61,8,FALSE)</f>
        <v>46800</v>
      </c>
      <c r="J1684" s="20">
        <f t="shared" si="26"/>
        <v>0.15662650602409639</v>
      </c>
    </row>
    <row r="1685" spans="1:10" x14ac:dyDescent="0.3">
      <c r="A1685" s="33">
        <v>1684</v>
      </c>
      <c r="B1685" s="4">
        <v>28</v>
      </c>
      <c r="C1685" s="15">
        <v>116</v>
      </c>
      <c r="D1685" s="16">
        <v>4</v>
      </c>
      <c r="E1685" s="22">
        <v>44173</v>
      </c>
      <c r="F1685" s="17">
        <v>10</v>
      </c>
      <c r="G1685" s="18">
        <v>0.09</v>
      </c>
      <c r="H1685">
        <f>F1685*VLOOKUP(B1685,產品!$A$2:$H$61,7,FALSE)*(1-銷售總表!G1685)</f>
        <v>68250</v>
      </c>
      <c r="I1685" s="35">
        <f>H1685-F1685*VLOOKUP(銷售總表!B1685,產品!$A$2:$H$61,8,FALSE)</f>
        <v>23250</v>
      </c>
      <c r="J1685" s="20">
        <f t="shared" si="26"/>
        <v>0.34065934065934067</v>
      </c>
    </row>
    <row r="1686" spans="1:10" x14ac:dyDescent="0.3">
      <c r="A1686" s="33">
        <v>1685</v>
      </c>
      <c r="B1686" s="4">
        <v>17</v>
      </c>
      <c r="C1686" s="15">
        <v>10</v>
      </c>
      <c r="D1686" s="16">
        <v>8</v>
      </c>
      <c r="E1686" s="22">
        <v>44173</v>
      </c>
      <c r="F1686" s="19">
        <v>20</v>
      </c>
      <c r="G1686" s="18">
        <v>0.1</v>
      </c>
      <c r="H1686">
        <f>F1686*VLOOKUP(B1686,產品!$A$2:$H$61,7,FALSE)*(1-銷售總表!G1686)</f>
        <v>32400</v>
      </c>
      <c r="I1686" s="35">
        <f>H1686-F1686*VLOOKUP(銷售總表!B1686,產品!$A$2:$H$61,8,FALSE)</f>
        <v>18000</v>
      </c>
      <c r="J1686" s="20">
        <f t="shared" si="26"/>
        <v>0.55555555555555558</v>
      </c>
    </row>
    <row r="1687" spans="1:10" x14ac:dyDescent="0.3">
      <c r="A1687" s="33">
        <v>1686</v>
      </c>
      <c r="B1687" s="4">
        <v>33</v>
      </c>
      <c r="C1687" s="15">
        <v>278</v>
      </c>
      <c r="D1687" s="16">
        <v>7</v>
      </c>
      <c r="E1687" s="22">
        <v>44173</v>
      </c>
      <c r="F1687" s="17">
        <v>5</v>
      </c>
      <c r="G1687" s="18">
        <v>7.0000000000000007E-2</v>
      </c>
      <c r="H1687">
        <f>F1687*VLOOKUP(B1687,產品!$A$2:$H$61,7,FALSE)*(1-銷售總表!G1687)</f>
        <v>34875</v>
      </c>
      <c r="I1687" s="35">
        <f>H1687-F1687*VLOOKUP(銷售總表!B1687,產品!$A$2:$H$61,8,FALSE)</f>
        <v>12375</v>
      </c>
      <c r="J1687" s="20">
        <f t="shared" si="26"/>
        <v>0.35483870967741937</v>
      </c>
    </row>
    <row r="1688" spans="1:10" x14ac:dyDescent="0.3">
      <c r="A1688" s="33">
        <v>1687</v>
      </c>
      <c r="B1688" s="4">
        <v>25</v>
      </c>
      <c r="C1688" s="15">
        <v>292</v>
      </c>
      <c r="D1688" s="16">
        <v>5</v>
      </c>
      <c r="E1688" s="22">
        <v>44173</v>
      </c>
      <c r="F1688" s="19">
        <v>6</v>
      </c>
      <c r="G1688" s="18">
        <v>0.17</v>
      </c>
      <c r="H1688">
        <f>F1688*VLOOKUP(B1688,產品!$A$2:$H$61,7,FALSE)*(1-銷售總表!G1688)</f>
        <v>29880</v>
      </c>
      <c r="I1688" s="35">
        <f>H1688-F1688*VLOOKUP(銷售總表!B1688,產品!$A$2:$H$61,8,FALSE)</f>
        <v>8280</v>
      </c>
      <c r="J1688" s="20">
        <f t="shared" si="26"/>
        <v>0.27710843373493976</v>
      </c>
    </row>
    <row r="1689" spans="1:10" x14ac:dyDescent="0.3">
      <c r="A1689" s="33">
        <v>1688</v>
      </c>
      <c r="B1689" s="4">
        <v>25</v>
      </c>
      <c r="C1689" s="15">
        <v>6</v>
      </c>
      <c r="D1689" s="16">
        <v>7</v>
      </c>
      <c r="E1689" s="22">
        <v>44173</v>
      </c>
      <c r="F1689" s="17">
        <v>2</v>
      </c>
      <c r="G1689" s="18">
        <v>0.19</v>
      </c>
      <c r="H1689">
        <f>F1689*VLOOKUP(B1689,產品!$A$2:$H$61,7,FALSE)*(1-銷售總表!G1689)</f>
        <v>9720</v>
      </c>
      <c r="I1689" s="35">
        <f>H1689-F1689*VLOOKUP(銷售總表!B1689,產品!$A$2:$H$61,8,FALSE)</f>
        <v>2520</v>
      </c>
      <c r="J1689" s="20">
        <f t="shared" si="26"/>
        <v>0.25925925925925924</v>
      </c>
    </row>
    <row r="1690" spans="1:10" x14ac:dyDescent="0.3">
      <c r="A1690" s="33">
        <v>1689</v>
      </c>
      <c r="B1690" s="4">
        <v>54</v>
      </c>
      <c r="C1690" s="15">
        <v>1</v>
      </c>
      <c r="D1690" s="16">
        <v>1</v>
      </c>
      <c r="E1690" s="22">
        <v>44174</v>
      </c>
      <c r="F1690" s="17">
        <v>7</v>
      </c>
      <c r="G1690" s="18">
        <v>0.08</v>
      </c>
      <c r="H1690">
        <f>F1690*VLOOKUP(B1690,產品!$A$2:$H$61,7,FALSE)*(1-銷售總表!G1690)</f>
        <v>115920</v>
      </c>
      <c r="I1690" s="35">
        <f>H1690-F1690*VLOOKUP(銷售總表!B1690,產品!$A$2:$H$61,8,FALSE)</f>
        <v>27720</v>
      </c>
      <c r="J1690" s="20">
        <f t="shared" si="26"/>
        <v>0.2391304347826087</v>
      </c>
    </row>
    <row r="1691" spans="1:10" x14ac:dyDescent="0.3">
      <c r="A1691" s="33">
        <v>1690</v>
      </c>
      <c r="B1691" s="4">
        <v>21</v>
      </c>
      <c r="C1691" s="15">
        <v>283</v>
      </c>
      <c r="D1691" s="16">
        <v>7</v>
      </c>
      <c r="E1691" s="22">
        <v>44174</v>
      </c>
      <c r="F1691" s="17">
        <v>30</v>
      </c>
      <c r="G1691" s="18">
        <v>0.16</v>
      </c>
      <c r="H1691">
        <f>F1691*VLOOKUP(B1691,產品!$A$2:$H$61,7,FALSE)*(1-銷售總表!G1691)</f>
        <v>45360</v>
      </c>
      <c r="I1691" s="35">
        <f>H1691-F1691*VLOOKUP(銷售總表!B1691,產品!$A$2:$H$61,8,FALSE)</f>
        <v>23760</v>
      </c>
      <c r="J1691" s="20">
        <f t="shared" si="26"/>
        <v>0.52380952380952384</v>
      </c>
    </row>
    <row r="1692" spans="1:10" x14ac:dyDescent="0.3">
      <c r="A1692" s="33">
        <v>1691</v>
      </c>
      <c r="B1692" s="4">
        <v>54</v>
      </c>
      <c r="C1692" s="15">
        <v>122</v>
      </c>
      <c r="D1692" s="16">
        <v>4</v>
      </c>
      <c r="E1692" s="22">
        <v>44174</v>
      </c>
      <c r="F1692" s="17">
        <v>6</v>
      </c>
      <c r="G1692" s="18">
        <v>0.17</v>
      </c>
      <c r="H1692">
        <f>F1692*VLOOKUP(B1692,產品!$A$2:$H$61,7,FALSE)*(1-銷售總表!G1692)</f>
        <v>89640</v>
      </c>
      <c r="I1692" s="35">
        <f>H1692-F1692*VLOOKUP(銷售總表!B1692,產品!$A$2:$H$61,8,FALSE)</f>
        <v>14040</v>
      </c>
      <c r="J1692" s="20">
        <f t="shared" si="26"/>
        <v>0.15662650602409639</v>
      </c>
    </row>
    <row r="1693" spans="1:10" x14ac:dyDescent="0.3">
      <c r="A1693" s="33">
        <v>1692</v>
      </c>
      <c r="B1693" s="4">
        <v>42</v>
      </c>
      <c r="C1693" s="15">
        <v>121</v>
      </c>
      <c r="D1693" s="16">
        <v>3</v>
      </c>
      <c r="E1693" s="22">
        <v>44174</v>
      </c>
      <c r="F1693" s="17">
        <v>3</v>
      </c>
      <c r="G1693" s="18">
        <v>0.16</v>
      </c>
      <c r="H1693">
        <f>F1693*VLOOKUP(B1693,產品!$A$2:$H$61,7,FALSE)*(1-銷售總表!G1693)</f>
        <v>37800</v>
      </c>
      <c r="I1693" s="35">
        <f>H1693-F1693*VLOOKUP(銷售總表!B1693,產品!$A$2:$H$61,8,FALSE)</f>
        <v>8550</v>
      </c>
      <c r="J1693" s="20">
        <f t="shared" si="26"/>
        <v>0.22619047619047619</v>
      </c>
    </row>
    <row r="1694" spans="1:10" x14ac:dyDescent="0.3">
      <c r="A1694" s="33">
        <v>1693</v>
      </c>
      <c r="B1694" s="4">
        <v>41</v>
      </c>
      <c r="C1694" s="15">
        <v>287</v>
      </c>
      <c r="D1694" s="16">
        <v>4</v>
      </c>
      <c r="E1694" s="22">
        <v>44175</v>
      </c>
      <c r="F1694" s="17">
        <v>20</v>
      </c>
      <c r="G1694" s="18">
        <v>0.08</v>
      </c>
      <c r="H1694">
        <f>F1694*VLOOKUP(B1694,產品!$A$2:$H$61,7,FALSE)*(1-銷售總表!G1694)</f>
        <v>220800</v>
      </c>
      <c r="I1694" s="35">
        <f>H1694-F1694*VLOOKUP(銷售總表!B1694,產品!$A$2:$H$61,8,FALSE)</f>
        <v>64800</v>
      </c>
      <c r="J1694" s="20">
        <f t="shared" si="26"/>
        <v>0.29347826086956524</v>
      </c>
    </row>
    <row r="1695" spans="1:10" x14ac:dyDescent="0.3">
      <c r="A1695" s="33">
        <v>1694</v>
      </c>
      <c r="B1695" s="4">
        <v>31</v>
      </c>
      <c r="C1695" s="15">
        <v>122</v>
      </c>
      <c r="D1695" s="16">
        <v>4</v>
      </c>
      <c r="E1695" s="22">
        <v>44175</v>
      </c>
      <c r="F1695" s="17">
        <v>25</v>
      </c>
      <c r="G1695" s="18">
        <v>0.16</v>
      </c>
      <c r="H1695">
        <f>F1695*VLOOKUP(B1695,產品!$A$2:$H$61,7,FALSE)*(1-銷售總表!G1695)</f>
        <v>147000</v>
      </c>
      <c r="I1695" s="35">
        <f>H1695-F1695*VLOOKUP(銷售總表!B1695,產品!$A$2:$H$61,8,FALSE)</f>
        <v>42000</v>
      </c>
      <c r="J1695" s="20">
        <f t="shared" si="26"/>
        <v>0.2857142857142857</v>
      </c>
    </row>
    <row r="1696" spans="1:10" x14ac:dyDescent="0.3">
      <c r="A1696" s="33">
        <v>1695</v>
      </c>
      <c r="B1696" s="4">
        <v>33</v>
      </c>
      <c r="C1696" s="15">
        <v>139</v>
      </c>
      <c r="D1696" s="16">
        <v>1</v>
      </c>
      <c r="E1696" s="22">
        <v>44175</v>
      </c>
      <c r="F1696" s="19">
        <v>8</v>
      </c>
      <c r="G1696" s="18">
        <v>0.16</v>
      </c>
      <c r="H1696">
        <f>F1696*VLOOKUP(B1696,產品!$A$2:$H$61,7,FALSE)*(1-銷售總表!G1696)</f>
        <v>50400</v>
      </c>
      <c r="I1696" s="35">
        <f>H1696-F1696*VLOOKUP(銷售總表!B1696,產品!$A$2:$H$61,8,FALSE)</f>
        <v>14400</v>
      </c>
      <c r="J1696" s="20">
        <f t="shared" si="26"/>
        <v>0.2857142857142857</v>
      </c>
    </row>
    <row r="1697" spans="1:10" x14ac:dyDescent="0.3">
      <c r="A1697" s="33">
        <v>1696</v>
      </c>
      <c r="B1697" s="4">
        <v>32</v>
      </c>
      <c r="C1697" s="15">
        <v>277</v>
      </c>
      <c r="D1697" s="16">
        <v>7</v>
      </c>
      <c r="E1697" s="22">
        <v>44175</v>
      </c>
      <c r="F1697" s="19">
        <v>3</v>
      </c>
      <c r="G1697" s="18">
        <v>0.06</v>
      </c>
      <c r="H1697">
        <f>F1697*VLOOKUP(B1697,產品!$A$2:$H$61,7,FALSE)*(1-銷售總表!G1697)</f>
        <v>21150</v>
      </c>
      <c r="I1697" s="35">
        <f>H1697-F1697*VLOOKUP(銷售總表!B1697,產品!$A$2:$H$61,8,FALSE)</f>
        <v>7650</v>
      </c>
      <c r="J1697" s="20">
        <f t="shared" si="26"/>
        <v>0.36170212765957449</v>
      </c>
    </row>
    <row r="1698" spans="1:10" x14ac:dyDescent="0.3">
      <c r="A1698" s="33">
        <v>1697</v>
      </c>
      <c r="B1698" s="4">
        <v>52</v>
      </c>
      <c r="C1698" s="15">
        <v>9</v>
      </c>
      <c r="D1698" s="16">
        <v>2</v>
      </c>
      <c r="E1698" s="22">
        <v>44176</v>
      </c>
      <c r="F1698" s="17">
        <v>15</v>
      </c>
      <c r="G1698" s="18">
        <v>0.1</v>
      </c>
      <c r="H1698">
        <f>F1698*VLOOKUP(B1698,產品!$A$2:$H$61,7,FALSE)*(1-銷售總表!G1698)</f>
        <v>297000</v>
      </c>
      <c r="I1698" s="35">
        <f>H1698-F1698*VLOOKUP(銷售總表!B1698,產品!$A$2:$H$61,8,FALSE)</f>
        <v>66000.000000000029</v>
      </c>
      <c r="J1698" s="20">
        <f t="shared" si="26"/>
        <v>0.22222222222222232</v>
      </c>
    </row>
    <row r="1699" spans="1:10" x14ac:dyDescent="0.3">
      <c r="A1699" s="33">
        <v>1698</v>
      </c>
      <c r="B1699" s="4">
        <v>17</v>
      </c>
      <c r="C1699" s="15">
        <v>5</v>
      </c>
      <c r="D1699" s="16">
        <v>2</v>
      </c>
      <c r="E1699" s="22">
        <v>44176</v>
      </c>
      <c r="F1699" s="19">
        <v>30</v>
      </c>
      <c r="G1699" s="18">
        <v>0.06</v>
      </c>
      <c r="H1699">
        <f>F1699*VLOOKUP(B1699,產品!$A$2:$H$61,7,FALSE)*(1-銷售總表!G1699)</f>
        <v>50760</v>
      </c>
      <c r="I1699" s="35">
        <f>H1699-F1699*VLOOKUP(銷售總表!B1699,產品!$A$2:$H$61,8,FALSE)</f>
        <v>29160</v>
      </c>
      <c r="J1699" s="20">
        <f t="shared" si="26"/>
        <v>0.57446808510638303</v>
      </c>
    </row>
    <row r="1700" spans="1:10" x14ac:dyDescent="0.3">
      <c r="A1700" s="33">
        <v>1699</v>
      </c>
      <c r="B1700" s="4">
        <v>6</v>
      </c>
      <c r="C1700" s="15">
        <v>280</v>
      </c>
      <c r="D1700" s="16">
        <v>10</v>
      </c>
      <c r="E1700" s="22">
        <v>44177</v>
      </c>
      <c r="F1700" s="19">
        <v>50</v>
      </c>
      <c r="G1700" s="18">
        <v>0.2</v>
      </c>
      <c r="H1700">
        <f>F1700*VLOOKUP(B1700,產品!$A$2:$H$61,7,FALSE)*(1-銷售總表!G1700)</f>
        <v>40000</v>
      </c>
      <c r="I1700" s="35">
        <f>H1700-F1700*VLOOKUP(銷售總表!B1700,產品!$A$2:$H$61,8,FALSE)</f>
        <v>20000</v>
      </c>
      <c r="J1700" s="20">
        <f t="shared" si="26"/>
        <v>0.5</v>
      </c>
    </row>
    <row r="1701" spans="1:10" x14ac:dyDescent="0.3">
      <c r="A1701" s="33">
        <v>1700</v>
      </c>
      <c r="B1701" s="4">
        <v>18</v>
      </c>
      <c r="C1701" s="15">
        <v>258</v>
      </c>
      <c r="D1701" s="16">
        <v>4</v>
      </c>
      <c r="E1701" s="22">
        <v>44177</v>
      </c>
      <c r="F1701" s="19">
        <v>20</v>
      </c>
      <c r="G1701" s="18">
        <v>0.06</v>
      </c>
      <c r="H1701">
        <f>F1701*VLOOKUP(B1701,產品!$A$2:$H$61,7,FALSE)*(1-銷售總表!G1701)</f>
        <v>33840</v>
      </c>
      <c r="I1701" s="35">
        <f>H1701-F1701*VLOOKUP(銷售總表!B1701,產品!$A$2:$H$61,8,FALSE)</f>
        <v>19440</v>
      </c>
      <c r="J1701" s="20">
        <f t="shared" si="26"/>
        <v>0.57446808510638303</v>
      </c>
    </row>
    <row r="1702" spans="1:10" x14ac:dyDescent="0.3">
      <c r="A1702" s="33">
        <v>1701</v>
      </c>
      <c r="B1702" s="4">
        <v>5</v>
      </c>
      <c r="C1702" s="15">
        <v>6</v>
      </c>
      <c r="D1702" s="16">
        <v>5</v>
      </c>
      <c r="E1702" s="22">
        <v>44177</v>
      </c>
      <c r="F1702" s="17">
        <v>30</v>
      </c>
      <c r="G1702" s="18">
        <v>0.14000000000000001</v>
      </c>
      <c r="H1702">
        <f>F1702*VLOOKUP(B1702,產品!$A$2:$H$61,7,FALSE)*(1-銷售總表!G1702)</f>
        <v>25800</v>
      </c>
      <c r="I1702" s="35">
        <f>H1702-F1702*VLOOKUP(銷售總表!B1702,產品!$A$2:$H$61,8,FALSE)</f>
        <v>13800</v>
      </c>
      <c r="J1702" s="20">
        <f t="shared" si="26"/>
        <v>0.53488372093023251</v>
      </c>
    </row>
    <row r="1703" spans="1:10" x14ac:dyDescent="0.3">
      <c r="A1703" s="33">
        <v>1702</v>
      </c>
      <c r="B1703" s="4">
        <v>32</v>
      </c>
      <c r="C1703" s="15">
        <v>118</v>
      </c>
      <c r="D1703" s="16">
        <v>5</v>
      </c>
      <c r="E1703" s="22">
        <v>44177</v>
      </c>
      <c r="F1703" s="17">
        <v>4</v>
      </c>
      <c r="G1703" s="18">
        <v>0.15</v>
      </c>
      <c r="H1703">
        <f>F1703*VLOOKUP(B1703,產品!$A$2:$H$61,7,FALSE)*(1-銷售總表!G1703)</f>
        <v>25500</v>
      </c>
      <c r="I1703" s="35">
        <f>H1703-F1703*VLOOKUP(銷售總表!B1703,產品!$A$2:$H$61,8,FALSE)</f>
        <v>7500</v>
      </c>
      <c r="J1703" s="20">
        <f t="shared" si="26"/>
        <v>0.29411764705882354</v>
      </c>
    </row>
    <row r="1704" spans="1:10" x14ac:dyDescent="0.3">
      <c r="A1704" s="33">
        <v>1703</v>
      </c>
      <c r="B1704" s="4">
        <v>3</v>
      </c>
      <c r="C1704" s="15">
        <v>283</v>
      </c>
      <c r="D1704" s="16">
        <v>10</v>
      </c>
      <c r="E1704" s="22">
        <v>44178</v>
      </c>
      <c r="F1704" s="19">
        <v>90</v>
      </c>
      <c r="G1704" s="18">
        <v>0.14000000000000001</v>
      </c>
      <c r="H1704">
        <f>F1704*VLOOKUP(B1704,產品!$A$2:$H$61,7,FALSE)*(1-銷售總表!G1704)</f>
        <v>77400</v>
      </c>
      <c r="I1704" s="35">
        <f>H1704-F1704*VLOOKUP(銷售總表!B1704,產品!$A$2:$H$61,8,FALSE)</f>
        <v>41400</v>
      </c>
      <c r="J1704" s="20">
        <f t="shared" si="26"/>
        <v>0.53488372093023251</v>
      </c>
    </row>
    <row r="1705" spans="1:10" x14ac:dyDescent="0.3">
      <c r="A1705" s="33">
        <v>1704</v>
      </c>
      <c r="B1705" s="4">
        <v>6</v>
      </c>
      <c r="C1705" s="15">
        <v>5</v>
      </c>
      <c r="D1705" s="16">
        <v>2</v>
      </c>
      <c r="E1705" s="22">
        <v>44178</v>
      </c>
      <c r="F1705" s="19">
        <v>40</v>
      </c>
      <c r="G1705" s="18">
        <v>0.05</v>
      </c>
      <c r="H1705">
        <f>F1705*VLOOKUP(B1705,產品!$A$2:$H$61,7,FALSE)*(1-銷售總表!G1705)</f>
        <v>38000</v>
      </c>
      <c r="I1705" s="35">
        <f>H1705-F1705*VLOOKUP(銷售總表!B1705,產品!$A$2:$H$61,8,FALSE)</f>
        <v>22000</v>
      </c>
      <c r="J1705" s="20">
        <f t="shared" si="26"/>
        <v>0.57894736842105265</v>
      </c>
    </row>
    <row r="1706" spans="1:10" x14ac:dyDescent="0.3">
      <c r="A1706" s="33">
        <v>1705</v>
      </c>
      <c r="B1706" s="4">
        <v>6</v>
      </c>
      <c r="C1706" s="15">
        <v>260</v>
      </c>
      <c r="D1706" s="16">
        <v>4</v>
      </c>
      <c r="E1706" s="22">
        <v>44178</v>
      </c>
      <c r="F1706" s="19">
        <v>45</v>
      </c>
      <c r="G1706" s="18">
        <v>0.12</v>
      </c>
      <c r="H1706">
        <f>F1706*VLOOKUP(B1706,產品!$A$2:$H$61,7,FALSE)*(1-銷售總表!G1706)</f>
        <v>39600</v>
      </c>
      <c r="I1706" s="35">
        <f>H1706-F1706*VLOOKUP(銷售總表!B1706,產品!$A$2:$H$61,8,FALSE)</f>
        <v>21600</v>
      </c>
      <c r="J1706" s="20">
        <f t="shared" si="26"/>
        <v>0.54545454545454541</v>
      </c>
    </row>
    <row r="1707" spans="1:10" x14ac:dyDescent="0.3">
      <c r="A1707" s="33">
        <v>1706</v>
      </c>
      <c r="B1707" s="4">
        <v>8</v>
      </c>
      <c r="C1707" s="15">
        <v>269</v>
      </c>
      <c r="D1707" s="16">
        <v>5</v>
      </c>
      <c r="E1707" s="22">
        <v>44178</v>
      </c>
      <c r="F1707" s="19">
        <v>30</v>
      </c>
      <c r="G1707" s="18">
        <v>0.2</v>
      </c>
      <c r="H1707">
        <f>F1707*VLOOKUP(B1707,產品!$A$2:$H$61,7,FALSE)*(1-銷售總表!G1707)</f>
        <v>24000</v>
      </c>
      <c r="I1707" s="35">
        <f>H1707-F1707*VLOOKUP(銷售總表!B1707,產品!$A$2:$H$61,8,FALSE)</f>
        <v>12000</v>
      </c>
      <c r="J1707" s="20">
        <f t="shared" si="26"/>
        <v>0.5</v>
      </c>
    </row>
    <row r="1708" spans="1:10" x14ac:dyDescent="0.3">
      <c r="A1708" s="33">
        <v>1707</v>
      </c>
      <c r="B1708" s="4">
        <v>16</v>
      </c>
      <c r="C1708" s="15">
        <v>115</v>
      </c>
      <c r="D1708" s="16">
        <v>3</v>
      </c>
      <c r="E1708" s="22">
        <v>44178</v>
      </c>
      <c r="F1708" s="19">
        <v>10</v>
      </c>
      <c r="G1708" s="18">
        <v>7.0000000000000007E-2</v>
      </c>
      <c r="H1708">
        <f>F1708*VLOOKUP(B1708,產品!$A$2:$H$61,7,FALSE)*(1-銷售總表!G1708)</f>
        <v>16740</v>
      </c>
      <c r="I1708" s="35">
        <f>H1708-F1708*VLOOKUP(銷售總表!B1708,產品!$A$2:$H$61,8,FALSE)</f>
        <v>9540</v>
      </c>
      <c r="J1708" s="20">
        <f t="shared" si="26"/>
        <v>0.56989247311827962</v>
      </c>
    </row>
    <row r="1709" spans="1:10" x14ac:dyDescent="0.3">
      <c r="A1709" s="33">
        <v>1708</v>
      </c>
      <c r="B1709" s="4">
        <v>13</v>
      </c>
      <c r="C1709" s="15">
        <v>9</v>
      </c>
      <c r="D1709" s="16">
        <v>3</v>
      </c>
      <c r="E1709" s="22">
        <v>44178</v>
      </c>
      <c r="F1709" s="17">
        <v>10</v>
      </c>
      <c r="G1709" s="18">
        <v>0.08</v>
      </c>
      <c r="H1709">
        <f>F1709*VLOOKUP(B1709,產品!$A$2:$H$61,7,FALSE)*(1-銷售總表!G1709)</f>
        <v>16560</v>
      </c>
      <c r="I1709" s="35">
        <f>H1709-F1709*VLOOKUP(銷售總表!B1709,產品!$A$2:$H$61,8,FALSE)</f>
        <v>9360</v>
      </c>
      <c r="J1709" s="20">
        <f t="shared" si="26"/>
        <v>0.56521739130434778</v>
      </c>
    </row>
    <row r="1710" spans="1:10" x14ac:dyDescent="0.3">
      <c r="A1710" s="33">
        <v>1709</v>
      </c>
      <c r="B1710" s="4">
        <v>41</v>
      </c>
      <c r="C1710" s="15">
        <v>257</v>
      </c>
      <c r="D1710" s="16">
        <v>2</v>
      </c>
      <c r="E1710" s="22">
        <v>44178</v>
      </c>
      <c r="F1710" s="17">
        <v>3</v>
      </c>
      <c r="G1710" s="18">
        <v>0.1</v>
      </c>
      <c r="H1710">
        <f>F1710*VLOOKUP(B1710,產品!$A$2:$H$61,7,FALSE)*(1-銷售總表!G1710)</f>
        <v>32400</v>
      </c>
      <c r="I1710" s="35">
        <f>H1710-F1710*VLOOKUP(銷售總表!B1710,產品!$A$2:$H$61,8,FALSE)</f>
        <v>9000</v>
      </c>
      <c r="J1710" s="20">
        <f t="shared" si="26"/>
        <v>0.27777777777777779</v>
      </c>
    </row>
    <row r="1711" spans="1:10" x14ac:dyDescent="0.3">
      <c r="A1711" s="33">
        <v>1710</v>
      </c>
      <c r="B1711" s="4">
        <v>26</v>
      </c>
      <c r="C1711" s="15">
        <v>115</v>
      </c>
      <c r="D1711" s="16">
        <v>1</v>
      </c>
      <c r="E1711" s="22">
        <v>44178</v>
      </c>
      <c r="F1711" s="19">
        <v>5</v>
      </c>
      <c r="G1711" s="18">
        <v>0.2</v>
      </c>
      <c r="H1711">
        <f>F1711*VLOOKUP(B1711,產品!$A$2:$H$61,7,FALSE)*(1-銷售總表!G1711)</f>
        <v>26000</v>
      </c>
      <c r="I1711" s="35">
        <f>H1711-F1711*VLOOKUP(銷售總表!B1711,產品!$A$2:$H$61,8,FALSE)</f>
        <v>6500</v>
      </c>
      <c r="J1711" s="20">
        <f t="shared" si="26"/>
        <v>0.25</v>
      </c>
    </row>
    <row r="1712" spans="1:10" x14ac:dyDescent="0.3">
      <c r="A1712" s="33">
        <v>1711</v>
      </c>
      <c r="B1712" s="4">
        <v>6</v>
      </c>
      <c r="C1712" s="15">
        <v>123</v>
      </c>
      <c r="D1712" s="16">
        <v>3</v>
      </c>
      <c r="E1712" s="22">
        <v>44179</v>
      </c>
      <c r="F1712" s="19">
        <v>300</v>
      </c>
      <c r="G1712" s="18">
        <v>0.13</v>
      </c>
      <c r="H1712">
        <f>F1712*VLOOKUP(B1712,產品!$A$2:$H$61,7,FALSE)*(1-銷售總表!G1712)</f>
        <v>261000</v>
      </c>
      <c r="I1712" s="35">
        <f>H1712-F1712*VLOOKUP(銷售總表!B1712,產品!$A$2:$H$61,8,FALSE)</f>
        <v>141000</v>
      </c>
      <c r="J1712" s="20">
        <f t="shared" si="26"/>
        <v>0.54022988505747127</v>
      </c>
    </row>
    <row r="1713" spans="1:10" x14ac:dyDescent="0.3">
      <c r="A1713" s="33">
        <v>1712</v>
      </c>
      <c r="B1713" s="4">
        <v>57</v>
      </c>
      <c r="C1713" s="15">
        <v>9</v>
      </c>
      <c r="D1713" s="16">
        <v>5</v>
      </c>
      <c r="E1713" s="22">
        <v>44179</v>
      </c>
      <c r="F1713" s="17">
        <v>15</v>
      </c>
      <c r="G1713" s="18">
        <v>0.09</v>
      </c>
      <c r="H1713">
        <f>F1713*VLOOKUP(B1713,產品!$A$2:$H$61,7,FALSE)*(1-銷售總表!G1713)</f>
        <v>245700</v>
      </c>
      <c r="I1713" s="35">
        <f>H1713-F1713*VLOOKUP(銷售總表!B1713,產品!$A$2:$H$61,8,FALSE)</f>
        <v>56700</v>
      </c>
      <c r="J1713" s="20">
        <f t="shared" si="26"/>
        <v>0.23076923076923078</v>
      </c>
    </row>
    <row r="1714" spans="1:10" x14ac:dyDescent="0.3">
      <c r="A1714" s="33">
        <v>1713</v>
      </c>
      <c r="B1714" s="4">
        <v>7</v>
      </c>
      <c r="C1714" s="15">
        <v>114</v>
      </c>
      <c r="D1714" s="16">
        <v>6</v>
      </c>
      <c r="E1714" s="22">
        <v>44179</v>
      </c>
      <c r="F1714" s="19">
        <v>40</v>
      </c>
      <c r="G1714" s="18">
        <v>0.14000000000000001</v>
      </c>
      <c r="H1714">
        <f>F1714*VLOOKUP(B1714,產品!$A$2:$H$61,7,FALSE)*(1-銷售總表!G1714)</f>
        <v>34400</v>
      </c>
      <c r="I1714" s="35">
        <f>H1714-F1714*VLOOKUP(銷售總表!B1714,產品!$A$2:$H$61,8,FALSE)</f>
        <v>18400</v>
      </c>
      <c r="J1714" s="20">
        <f t="shared" si="26"/>
        <v>0.53488372093023251</v>
      </c>
    </row>
    <row r="1715" spans="1:10" x14ac:dyDescent="0.3">
      <c r="A1715" s="33">
        <v>1714</v>
      </c>
      <c r="B1715" s="4">
        <v>12</v>
      </c>
      <c r="C1715" s="15">
        <v>10</v>
      </c>
      <c r="D1715" s="16">
        <v>3</v>
      </c>
      <c r="E1715" s="22">
        <v>44180</v>
      </c>
      <c r="F1715" s="19">
        <v>200</v>
      </c>
      <c r="G1715" s="18">
        <v>0.14000000000000001</v>
      </c>
      <c r="H1715">
        <f>F1715*VLOOKUP(B1715,產品!$A$2:$H$61,7,FALSE)*(1-銷售總表!G1715)</f>
        <v>172000</v>
      </c>
      <c r="I1715" s="35">
        <f>H1715-F1715*VLOOKUP(銷售總表!B1715,產品!$A$2:$H$61,8,FALSE)</f>
        <v>92000</v>
      </c>
      <c r="J1715" s="20">
        <f t="shared" si="26"/>
        <v>0.53488372093023251</v>
      </c>
    </row>
    <row r="1716" spans="1:10" x14ac:dyDescent="0.3">
      <c r="A1716" s="33">
        <v>1715</v>
      </c>
      <c r="B1716" s="4">
        <v>1</v>
      </c>
      <c r="C1716" s="15">
        <v>10</v>
      </c>
      <c r="D1716" s="16">
        <v>3</v>
      </c>
      <c r="E1716" s="22">
        <v>44180</v>
      </c>
      <c r="F1716" s="19">
        <v>75</v>
      </c>
      <c r="G1716" s="18">
        <v>0.16</v>
      </c>
      <c r="H1716">
        <f>F1716*VLOOKUP(B1716,產品!$A$2:$H$61,7,FALSE)*(1-銷售總表!G1716)</f>
        <v>63000</v>
      </c>
      <c r="I1716" s="35">
        <f>H1716-F1716*VLOOKUP(銷售總表!B1716,產品!$A$2:$H$61,8,FALSE)</f>
        <v>33000</v>
      </c>
      <c r="J1716" s="20">
        <f t="shared" si="26"/>
        <v>0.52380952380952384</v>
      </c>
    </row>
    <row r="1717" spans="1:10" x14ac:dyDescent="0.3">
      <c r="A1717" s="33">
        <v>1716</v>
      </c>
      <c r="B1717" s="4">
        <v>9</v>
      </c>
      <c r="C1717" s="15">
        <v>5</v>
      </c>
      <c r="D1717" s="16">
        <v>8</v>
      </c>
      <c r="E1717" s="22">
        <v>44180</v>
      </c>
      <c r="F1717" s="17">
        <v>40</v>
      </c>
      <c r="G1717" s="18">
        <v>7.0000000000000007E-2</v>
      </c>
      <c r="H1717">
        <f>F1717*VLOOKUP(B1717,產品!$A$2:$H$61,7,FALSE)*(1-銷售總表!G1717)</f>
        <v>37200</v>
      </c>
      <c r="I1717" s="35">
        <f>H1717-F1717*VLOOKUP(銷售總表!B1717,產品!$A$2:$H$61,8,FALSE)</f>
        <v>21200</v>
      </c>
      <c r="J1717" s="20">
        <f t="shared" si="26"/>
        <v>0.56989247311827962</v>
      </c>
    </row>
    <row r="1718" spans="1:10" x14ac:dyDescent="0.3">
      <c r="A1718" s="33">
        <v>1717</v>
      </c>
      <c r="B1718" s="4">
        <v>12</v>
      </c>
      <c r="C1718" s="15">
        <v>274</v>
      </c>
      <c r="D1718" s="16">
        <v>2</v>
      </c>
      <c r="E1718" s="22">
        <v>44180</v>
      </c>
      <c r="F1718" s="17">
        <v>40</v>
      </c>
      <c r="G1718" s="18">
        <v>0.15</v>
      </c>
      <c r="H1718">
        <f>F1718*VLOOKUP(B1718,產品!$A$2:$H$61,7,FALSE)*(1-銷售總表!G1718)</f>
        <v>34000</v>
      </c>
      <c r="I1718" s="35">
        <f>H1718-F1718*VLOOKUP(銷售總表!B1718,產品!$A$2:$H$61,8,FALSE)</f>
        <v>18000</v>
      </c>
      <c r="J1718" s="20">
        <f t="shared" si="26"/>
        <v>0.52941176470588236</v>
      </c>
    </row>
    <row r="1719" spans="1:10" x14ac:dyDescent="0.3">
      <c r="A1719" s="33">
        <v>1718</v>
      </c>
      <c r="B1719" s="4">
        <v>10</v>
      </c>
      <c r="C1719" s="15">
        <v>112</v>
      </c>
      <c r="D1719" s="16">
        <v>8</v>
      </c>
      <c r="E1719" s="22">
        <v>44180</v>
      </c>
      <c r="F1719" s="17">
        <v>30</v>
      </c>
      <c r="G1719" s="18">
        <v>0.06</v>
      </c>
      <c r="H1719">
        <f>F1719*VLOOKUP(B1719,產品!$A$2:$H$61,7,FALSE)*(1-銷售總表!G1719)</f>
        <v>28200</v>
      </c>
      <c r="I1719" s="35">
        <f>H1719-F1719*VLOOKUP(銷售總表!B1719,產品!$A$2:$H$61,8,FALSE)</f>
        <v>16200</v>
      </c>
      <c r="J1719" s="20">
        <f t="shared" si="26"/>
        <v>0.57446808510638303</v>
      </c>
    </row>
    <row r="1720" spans="1:10" x14ac:dyDescent="0.3">
      <c r="A1720" s="33">
        <v>1719</v>
      </c>
      <c r="B1720" s="4">
        <v>54</v>
      </c>
      <c r="C1720" s="15">
        <v>116</v>
      </c>
      <c r="D1720" s="16">
        <v>9</v>
      </c>
      <c r="E1720" s="22">
        <v>44180</v>
      </c>
      <c r="F1720" s="19">
        <v>3</v>
      </c>
      <c r="G1720" s="18">
        <v>0.13</v>
      </c>
      <c r="H1720">
        <f>F1720*VLOOKUP(B1720,產品!$A$2:$H$61,7,FALSE)*(1-銷售總表!G1720)</f>
        <v>46980</v>
      </c>
      <c r="I1720" s="35">
        <f>H1720-F1720*VLOOKUP(銷售總表!B1720,產品!$A$2:$H$61,8,FALSE)</f>
        <v>9180</v>
      </c>
      <c r="J1720" s="20">
        <f t="shared" si="26"/>
        <v>0.19540229885057472</v>
      </c>
    </row>
    <row r="1721" spans="1:10" x14ac:dyDescent="0.3">
      <c r="A1721" s="33">
        <v>1720</v>
      </c>
      <c r="B1721" s="4">
        <v>30</v>
      </c>
      <c r="C1721" s="15">
        <v>140</v>
      </c>
      <c r="D1721" s="16">
        <v>2</v>
      </c>
      <c r="E1721" s="22">
        <v>44180</v>
      </c>
      <c r="F1721" s="17">
        <v>3</v>
      </c>
      <c r="G1721" s="18">
        <v>0.06</v>
      </c>
      <c r="H1721">
        <f>F1721*VLOOKUP(B1721,產品!$A$2:$H$61,7,FALSE)*(1-銷售總表!G1721)</f>
        <v>18330</v>
      </c>
      <c r="I1721" s="35">
        <f>H1721-F1721*VLOOKUP(銷售總表!B1721,產品!$A$2:$H$61,8,FALSE)</f>
        <v>6630</v>
      </c>
      <c r="J1721" s="20">
        <f t="shared" si="26"/>
        <v>0.36170212765957449</v>
      </c>
    </row>
    <row r="1722" spans="1:10" x14ac:dyDescent="0.3">
      <c r="A1722" s="33">
        <v>1721</v>
      </c>
      <c r="B1722" s="4">
        <v>28</v>
      </c>
      <c r="C1722" s="15">
        <v>5</v>
      </c>
      <c r="D1722" s="16">
        <v>10</v>
      </c>
      <c r="E1722" s="22">
        <v>44181</v>
      </c>
      <c r="F1722" s="17">
        <v>40</v>
      </c>
      <c r="G1722" s="18">
        <v>0.13</v>
      </c>
      <c r="H1722">
        <f>F1722*VLOOKUP(B1722,產品!$A$2:$H$61,7,FALSE)*(1-銷售總表!G1722)</f>
        <v>261000</v>
      </c>
      <c r="I1722" s="35">
        <f>H1722-F1722*VLOOKUP(銷售總表!B1722,產品!$A$2:$H$61,8,FALSE)</f>
        <v>81000</v>
      </c>
      <c r="J1722" s="20">
        <f t="shared" si="26"/>
        <v>0.31034482758620691</v>
      </c>
    </row>
    <row r="1723" spans="1:10" x14ac:dyDescent="0.3">
      <c r="A1723" s="33">
        <v>1722</v>
      </c>
      <c r="B1723" s="4">
        <v>33</v>
      </c>
      <c r="C1723" s="15">
        <v>283</v>
      </c>
      <c r="D1723" s="16">
        <v>9</v>
      </c>
      <c r="E1723" s="22">
        <v>44181</v>
      </c>
      <c r="F1723" s="19">
        <v>11</v>
      </c>
      <c r="G1723" s="18">
        <v>0.09</v>
      </c>
      <c r="H1723">
        <f>F1723*VLOOKUP(B1723,產品!$A$2:$H$61,7,FALSE)*(1-銷售總表!G1723)</f>
        <v>75075</v>
      </c>
      <c r="I1723" s="35">
        <f>H1723-F1723*VLOOKUP(銷售總表!B1723,產品!$A$2:$H$61,8,FALSE)</f>
        <v>25575</v>
      </c>
      <c r="J1723" s="20">
        <f t="shared" si="26"/>
        <v>0.34065934065934067</v>
      </c>
    </row>
    <row r="1724" spans="1:10" x14ac:dyDescent="0.3">
      <c r="A1724" s="33">
        <v>1723</v>
      </c>
      <c r="B1724" s="4">
        <v>38</v>
      </c>
      <c r="C1724" s="15">
        <v>7</v>
      </c>
      <c r="D1724" s="16">
        <v>10</v>
      </c>
      <c r="E1724" s="22">
        <v>44181</v>
      </c>
      <c r="F1724" s="17">
        <v>5</v>
      </c>
      <c r="G1724" s="18">
        <v>0.18</v>
      </c>
      <c r="H1724">
        <f>F1724*VLOOKUP(B1724,產品!$A$2:$H$61,7,FALSE)*(1-銷售總表!G1724)</f>
        <v>61500.000000000007</v>
      </c>
      <c r="I1724" s="35">
        <f>H1724-F1724*VLOOKUP(銷售總表!B1724,產品!$A$2:$H$61,8,FALSE)</f>
        <v>12750.000000000007</v>
      </c>
      <c r="J1724" s="20">
        <f t="shared" si="26"/>
        <v>0.20731707317073181</v>
      </c>
    </row>
    <row r="1725" spans="1:10" x14ac:dyDescent="0.3">
      <c r="A1725" s="33">
        <v>1724</v>
      </c>
      <c r="B1725" s="4">
        <v>48</v>
      </c>
      <c r="C1725" s="15">
        <v>258</v>
      </c>
      <c r="D1725" s="16">
        <v>9</v>
      </c>
      <c r="E1725" s="22">
        <v>44182</v>
      </c>
      <c r="F1725" s="19">
        <v>3</v>
      </c>
      <c r="G1725" s="18">
        <v>0.16</v>
      </c>
      <c r="H1725">
        <f>F1725*VLOOKUP(B1725,產品!$A$2:$H$61,7,FALSE)*(1-銷售總表!G1725)</f>
        <v>55440</v>
      </c>
      <c r="I1725" s="35">
        <f>H1725-F1725*VLOOKUP(銷售總表!B1725,產品!$A$2:$H$61,8,FALSE)</f>
        <v>12540</v>
      </c>
      <c r="J1725" s="20">
        <f t="shared" si="26"/>
        <v>0.22619047619047619</v>
      </c>
    </row>
    <row r="1726" spans="1:10" x14ac:dyDescent="0.3">
      <c r="A1726" s="33">
        <v>1725</v>
      </c>
      <c r="B1726" s="4">
        <v>6</v>
      </c>
      <c r="C1726" s="15">
        <v>139</v>
      </c>
      <c r="D1726" s="16">
        <v>2</v>
      </c>
      <c r="E1726" s="22">
        <v>44182</v>
      </c>
      <c r="F1726" s="17">
        <v>20</v>
      </c>
      <c r="G1726" s="18">
        <v>0.12</v>
      </c>
      <c r="H1726">
        <f>F1726*VLOOKUP(B1726,產品!$A$2:$H$61,7,FALSE)*(1-銷售總表!G1726)</f>
        <v>17600</v>
      </c>
      <c r="I1726" s="35">
        <f>H1726-F1726*VLOOKUP(銷售總表!B1726,產品!$A$2:$H$61,8,FALSE)</f>
        <v>9600</v>
      </c>
      <c r="J1726" s="20">
        <f t="shared" si="26"/>
        <v>0.54545454545454541</v>
      </c>
    </row>
    <row r="1727" spans="1:10" x14ac:dyDescent="0.3">
      <c r="A1727" s="33">
        <v>1726</v>
      </c>
      <c r="B1727" s="4">
        <v>39</v>
      </c>
      <c r="C1727" s="15">
        <v>290</v>
      </c>
      <c r="D1727" s="16">
        <v>8</v>
      </c>
      <c r="E1727" s="22">
        <v>44183</v>
      </c>
      <c r="F1727" s="17">
        <v>15</v>
      </c>
      <c r="G1727" s="18">
        <v>0.1</v>
      </c>
      <c r="H1727">
        <f>F1727*VLOOKUP(B1727,產品!$A$2:$H$61,7,FALSE)*(1-銷售總表!G1727)</f>
        <v>243000</v>
      </c>
      <c r="I1727" s="35">
        <f>H1727-F1727*VLOOKUP(銷售總表!B1727,產品!$A$2:$H$61,8,FALSE)</f>
        <v>67500</v>
      </c>
      <c r="J1727" s="20">
        <f t="shared" si="26"/>
        <v>0.27777777777777779</v>
      </c>
    </row>
    <row r="1728" spans="1:10" x14ac:dyDescent="0.3">
      <c r="A1728" s="33">
        <v>1727</v>
      </c>
      <c r="B1728" s="4">
        <v>16</v>
      </c>
      <c r="C1728" s="15">
        <v>294</v>
      </c>
      <c r="D1728" s="16">
        <v>10</v>
      </c>
      <c r="E1728" s="22">
        <v>44183</v>
      </c>
      <c r="F1728" s="19">
        <v>30</v>
      </c>
      <c r="G1728" s="18">
        <v>7.0000000000000007E-2</v>
      </c>
      <c r="H1728">
        <f>F1728*VLOOKUP(B1728,產品!$A$2:$H$61,7,FALSE)*(1-銷售總表!G1728)</f>
        <v>50220</v>
      </c>
      <c r="I1728" s="35">
        <f>H1728-F1728*VLOOKUP(銷售總表!B1728,產品!$A$2:$H$61,8,FALSE)</f>
        <v>28620</v>
      </c>
      <c r="J1728" s="20">
        <f t="shared" si="26"/>
        <v>0.56989247311827962</v>
      </c>
    </row>
    <row r="1729" spans="1:10" x14ac:dyDescent="0.3">
      <c r="A1729" s="33">
        <v>1728</v>
      </c>
      <c r="B1729" s="4">
        <v>53</v>
      </c>
      <c r="C1729" s="15">
        <v>6</v>
      </c>
      <c r="D1729" s="16">
        <v>6</v>
      </c>
      <c r="E1729" s="22">
        <v>44183</v>
      </c>
      <c r="F1729" s="19">
        <v>8</v>
      </c>
      <c r="G1729" s="18">
        <v>0.16</v>
      </c>
      <c r="H1729">
        <f>F1729*VLOOKUP(B1729,產品!$A$2:$H$61,7,FALSE)*(1-銷售總表!G1729)</f>
        <v>100800</v>
      </c>
      <c r="I1729" s="35">
        <f>H1729-F1729*VLOOKUP(銷售總表!B1729,產品!$A$2:$H$61,8,FALSE)</f>
        <v>16800</v>
      </c>
      <c r="J1729" s="20">
        <f t="shared" si="26"/>
        <v>0.16666666666666666</v>
      </c>
    </row>
    <row r="1730" spans="1:10" x14ac:dyDescent="0.3">
      <c r="A1730" s="33">
        <v>1729</v>
      </c>
      <c r="B1730" s="4">
        <v>5</v>
      </c>
      <c r="C1730" s="15">
        <v>10</v>
      </c>
      <c r="D1730" s="16">
        <v>5</v>
      </c>
      <c r="E1730" s="22">
        <v>44184</v>
      </c>
      <c r="F1730" s="17">
        <v>50</v>
      </c>
      <c r="G1730" s="18">
        <v>0.08</v>
      </c>
      <c r="H1730">
        <f>F1730*VLOOKUP(B1730,產品!$A$2:$H$61,7,FALSE)*(1-銷售總表!G1730)</f>
        <v>46000</v>
      </c>
      <c r="I1730" s="35">
        <f>H1730-F1730*VLOOKUP(銷售總表!B1730,產品!$A$2:$H$61,8,FALSE)</f>
        <v>26000</v>
      </c>
      <c r="J1730" s="20">
        <f t="shared" si="26"/>
        <v>0.56521739130434778</v>
      </c>
    </row>
    <row r="1731" spans="1:10" x14ac:dyDescent="0.3">
      <c r="A1731" s="33">
        <v>1730</v>
      </c>
      <c r="B1731" s="4">
        <v>27</v>
      </c>
      <c r="C1731" s="15">
        <v>113</v>
      </c>
      <c r="D1731" s="16">
        <v>3</v>
      </c>
      <c r="E1731" s="22">
        <v>44184</v>
      </c>
      <c r="F1731" s="19">
        <v>8</v>
      </c>
      <c r="G1731" s="18">
        <v>0.1</v>
      </c>
      <c r="H1731">
        <f>F1731*VLOOKUP(B1731,產品!$A$2:$H$61,7,FALSE)*(1-銷售總表!G1731)</f>
        <v>50400</v>
      </c>
      <c r="I1731" s="35">
        <f>H1731-F1731*VLOOKUP(銷售總表!B1731,產品!$A$2:$H$61,8,FALSE)</f>
        <v>16800</v>
      </c>
      <c r="J1731" s="20">
        <f t="shared" ref="J1731:J1794" si="27">I1731/H1731</f>
        <v>0.33333333333333331</v>
      </c>
    </row>
    <row r="1732" spans="1:10" x14ac:dyDescent="0.3">
      <c r="A1732" s="33">
        <v>1731</v>
      </c>
      <c r="B1732" s="4">
        <v>40</v>
      </c>
      <c r="C1732" s="15">
        <v>3</v>
      </c>
      <c r="D1732" s="16">
        <v>6</v>
      </c>
      <c r="E1732" s="22">
        <v>44184</v>
      </c>
      <c r="F1732" s="19">
        <v>1</v>
      </c>
      <c r="G1732" s="18">
        <v>0.08</v>
      </c>
      <c r="H1732">
        <f>F1732*VLOOKUP(B1732,產品!$A$2:$H$61,7,FALSE)*(1-銷售總表!G1732)</f>
        <v>18400</v>
      </c>
      <c r="I1732" s="35">
        <f>H1732-F1732*VLOOKUP(銷售總表!B1732,產品!$A$2:$H$61,8,FALSE)</f>
        <v>5400</v>
      </c>
      <c r="J1732" s="20">
        <f t="shared" si="27"/>
        <v>0.29347826086956524</v>
      </c>
    </row>
    <row r="1733" spans="1:10" x14ac:dyDescent="0.3">
      <c r="A1733" s="33">
        <v>1732</v>
      </c>
      <c r="B1733" s="4">
        <v>31</v>
      </c>
      <c r="C1733" s="15">
        <v>290</v>
      </c>
      <c r="D1733" s="16">
        <v>3</v>
      </c>
      <c r="E1733" s="22">
        <v>44185</v>
      </c>
      <c r="F1733" s="19">
        <v>7</v>
      </c>
      <c r="G1733" s="18">
        <v>0.13</v>
      </c>
      <c r="H1733">
        <f>F1733*VLOOKUP(B1733,產品!$A$2:$H$61,7,FALSE)*(1-銷售總表!G1733)</f>
        <v>42630</v>
      </c>
      <c r="I1733" s="35">
        <f>H1733-F1733*VLOOKUP(銷售總表!B1733,產品!$A$2:$H$61,8,FALSE)</f>
        <v>13230</v>
      </c>
      <c r="J1733" s="20">
        <f t="shared" si="27"/>
        <v>0.31034482758620691</v>
      </c>
    </row>
    <row r="1734" spans="1:10" x14ac:dyDescent="0.3">
      <c r="A1734" s="33">
        <v>1733</v>
      </c>
      <c r="B1734" s="4">
        <v>3</v>
      </c>
      <c r="C1734" s="15">
        <v>268</v>
      </c>
      <c r="D1734" s="16">
        <v>9</v>
      </c>
      <c r="E1734" s="22">
        <v>44186</v>
      </c>
      <c r="F1734" s="17">
        <v>20</v>
      </c>
      <c r="G1734" s="18">
        <v>0.14000000000000001</v>
      </c>
      <c r="H1734">
        <f>F1734*VLOOKUP(B1734,產品!$A$2:$H$61,7,FALSE)*(1-銷售總表!G1734)</f>
        <v>17200</v>
      </c>
      <c r="I1734" s="35">
        <f>H1734-F1734*VLOOKUP(銷售總表!B1734,產品!$A$2:$H$61,8,FALSE)</f>
        <v>9200</v>
      </c>
      <c r="J1734" s="20">
        <f t="shared" si="27"/>
        <v>0.53488372093023251</v>
      </c>
    </row>
    <row r="1735" spans="1:10" x14ac:dyDescent="0.3">
      <c r="A1735" s="33">
        <v>1734</v>
      </c>
      <c r="B1735" s="4">
        <v>1</v>
      </c>
      <c r="C1735" s="15">
        <v>2</v>
      </c>
      <c r="D1735" s="16">
        <v>1</v>
      </c>
      <c r="E1735" s="22">
        <v>44187</v>
      </c>
      <c r="F1735" s="19">
        <v>100</v>
      </c>
      <c r="G1735" s="18">
        <v>7.0000000000000007E-2</v>
      </c>
      <c r="H1735">
        <f>F1735*VLOOKUP(B1735,產品!$A$2:$H$61,7,FALSE)*(1-銷售總表!G1735)</f>
        <v>93000</v>
      </c>
      <c r="I1735" s="35">
        <f>H1735-F1735*VLOOKUP(銷售總表!B1735,產品!$A$2:$H$61,8,FALSE)</f>
        <v>53000</v>
      </c>
      <c r="J1735" s="20">
        <f t="shared" si="27"/>
        <v>0.56989247311827962</v>
      </c>
    </row>
    <row r="1736" spans="1:10" x14ac:dyDescent="0.3">
      <c r="A1736" s="33">
        <v>1735</v>
      </c>
      <c r="B1736" s="4">
        <v>38</v>
      </c>
      <c r="C1736" s="15">
        <v>1</v>
      </c>
      <c r="D1736" s="16">
        <v>6</v>
      </c>
      <c r="E1736" s="22">
        <v>44187</v>
      </c>
      <c r="F1736" s="19">
        <v>13</v>
      </c>
      <c r="G1736" s="18">
        <v>0.1</v>
      </c>
      <c r="H1736">
        <f>F1736*VLOOKUP(B1736,產品!$A$2:$H$61,7,FALSE)*(1-銷售總表!G1736)</f>
        <v>175500</v>
      </c>
      <c r="I1736" s="35">
        <f>H1736-F1736*VLOOKUP(銷售總表!B1736,產品!$A$2:$H$61,8,FALSE)</f>
        <v>48750</v>
      </c>
      <c r="J1736" s="20">
        <f t="shared" si="27"/>
        <v>0.27777777777777779</v>
      </c>
    </row>
    <row r="1737" spans="1:10" x14ac:dyDescent="0.3">
      <c r="A1737" s="33">
        <v>1736</v>
      </c>
      <c r="B1737" s="4">
        <v>2</v>
      </c>
      <c r="C1737" s="15">
        <v>258</v>
      </c>
      <c r="D1737" s="16">
        <v>5</v>
      </c>
      <c r="E1737" s="22">
        <v>44187</v>
      </c>
      <c r="F1737" s="19">
        <v>30</v>
      </c>
      <c r="G1737" s="18">
        <v>0.15</v>
      </c>
      <c r="H1737">
        <f>F1737*VLOOKUP(B1737,產品!$A$2:$H$61,7,FALSE)*(1-銷售總表!G1737)</f>
        <v>25500</v>
      </c>
      <c r="I1737" s="35">
        <f>H1737-F1737*VLOOKUP(銷售總表!B1737,產品!$A$2:$H$61,8,FALSE)</f>
        <v>13500</v>
      </c>
      <c r="J1737" s="20">
        <f t="shared" si="27"/>
        <v>0.52941176470588236</v>
      </c>
    </row>
    <row r="1738" spans="1:10" x14ac:dyDescent="0.3">
      <c r="A1738" s="33">
        <v>1737</v>
      </c>
      <c r="B1738" s="4">
        <v>6</v>
      </c>
      <c r="C1738" s="15">
        <v>125</v>
      </c>
      <c r="D1738" s="16">
        <v>3</v>
      </c>
      <c r="E1738" s="22">
        <v>44187</v>
      </c>
      <c r="F1738" s="19">
        <v>30</v>
      </c>
      <c r="G1738" s="18">
        <v>0.19</v>
      </c>
      <c r="H1738">
        <f>F1738*VLOOKUP(B1738,產品!$A$2:$H$61,7,FALSE)*(1-銷售總表!G1738)</f>
        <v>24300</v>
      </c>
      <c r="I1738" s="35">
        <f>H1738-F1738*VLOOKUP(銷售總表!B1738,產品!$A$2:$H$61,8,FALSE)</f>
        <v>12300</v>
      </c>
      <c r="J1738" s="20">
        <f t="shared" si="27"/>
        <v>0.50617283950617287</v>
      </c>
    </row>
    <row r="1739" spans="1:10" x14ac:dyDescent="0.3">
      <c r="A1739" s="33">
        <v>1738</v>
      </c>
      <c r="B1739" s="4">
        <v>45</v>
      </c>
      <c r="C1739" s="15">
        <v>113</v>
      </c>
      <c r="D1739" s="16">
        <v>10</v>
      </c>
      <c r="E1739" s="22">
        <v>44187</v>
      </c>
      <c r="F1739" s="17">
        <v>2</v>
      </c>
      <c r="G1739" s="18">
        <v>0.16</v>
      </c>
      <c r="H1739">
        <f>F1739*VLOOKUP(B1739,產品!$A$2:$H$61,7,FALSE)*(1-銷售總表!G1739)</f>
        <v>23520</v>
      </c>
      <c r="I1739" s="35">
        <f>H1739-F1739*VLOOKUP(銷售總表!B1739,產品!$A$2:$H$61,8,FALSE)</f>
        <v>5320</v>
      </c>
      <c r="J1739" s="20">
        <f t="shared" si="27"/>
        <v>0.22619047619047619</v>
      </c>
    </row>
    <row r="1740" spans="1:10" x14ac:dyDescent="0.3">
      <c r="A1740" s="33">
        <v>1739</v>
      </c>
      <c r="B1740" s="4">
        <v>12</v>
      </c>
      <c r="C1740" s="15">
        <v>12</v>
      </c>
      <c r="D1740" s="16">
        <v>5</v>
      </c>
      <c r="E1740" s="22">
        <v>44188</v>
      </c>
      <c r="F1740" s="17">
        <v>195</v>
      </c>
      <c r="G1740" s="18">
        <v>0.13</v>
      </c>
      <c r="H1740">
        <f>F1740*VLOOKUP(B1740,產品!$A$2:$H$61,7,FALSE)*(1-銷售總表!G1740)</f>
        <v>169650</v>
      </c>
      <c r="I1740" s="35">
        <f>H1740-F1740*VLOOKUP(銷售總表!B1740,產品!$A$2:$H$61,8,FALSE)</f>
        <v>91650</v>
      </c>
      <c r="J1740" s="20">
        <f t="shared" si="27"/>
        <v>0.54022988505747127</v>
      </c>
    </row>
    <row r="1741" spans="1:10" x14ac:dyDescent="0.3">
      <c r="A1741" s="33">
        <v>1740</v>
      </c>
      <c r="B1741" s="4">
        <v>41</v>
      </c>
      <c r="C1741" s="15">
        <v>8</v>
      </c>
      <c r="D1741" s="16">
        <v>3</v>
      </c>
      <c r="E1741" s="22">
        <v>44188</v>
      </c>
      <c r="F1741" s="19">
        <v>7</v>
      </c>
      <c r="G1741" s="18">
        <v>0.15</v>
      </c>
      <c r="H1741">
        <f>F1741*VLOOKUP(B1741,產品!$A$2:$H$61,7,FALSE)*(1-銷售總表!G1741)</f>
        <v>71400</v>
      </c>
      <c r="I1741" s="35">
        <f>H1741-F1741*VLOOKUP(銷售總表!B1741,產品!$A$2:$H$61,8,FALSE)</f>
        <v>16800</v>
      </c>
      <c r="J1741" s="20">
        <f t="shared" si="27"/>
        <v>0.23529411764705882</v>
      </c>
    </row>
    <row r="1742" spans="1:10" x14ac:dyDescent="0.3">
      <c r="A1742" s="33">
        <v>1741</v>
      </c>
      <c r="B1742" s="4">
        <v>48</v>
      </c>
      <c r="C1742" s="15">
        <v>257</v>
      </c>
      <c r="D1742" s="16">
        <v>3</v>
      </c>
      <c r="E1742" s="22">
        <v>44189</v>
      </c>
      <c r="F1742" s="17">
        <v>7</v>
      </c>
      <c r="G1742" s="18">
        <v>7.0000000000000007E-2</v>
      </c>
      <c r="H1742">
        <f>F1742*VLOOKUP(B1742,產品!$A$2:$H$61,7,FALSE)*(1-銷售總表!G1742)</f>
        <v>143220</v>
      </c>
      <c r="I1742" s="35">
        <f>H1742-F1742*VLOOKUP(銷售總表!B1742,產品!$A$2:$H$61,8,FALSE)</f>
        <v>43120</v>
      </c>
      <c r="J1742" s="20">
        <f t="shared" si="27"/>
        <v>0.30107526881720431</v>
      </c>
    </row>
    <row r="1743" spans="1:10" x14ac:dyDescent="0.3">
      <c r="A1743" s="33">
        <v>1742</v>
      </c>
      <c r="B1743" s="4">
        <v>38</v>
      </c>
      <c r="C1743" s="15">
        <v>263</v>
      </c>
      <c r="D1743" s="16">
        <v>2</v>
      </c>
      <c r="E1743" s="22">
        <v>44189</v>
      </c>
      <c r="F1743" s="19">
        <v>6</v>
      </c>
      <c r="G1743" s="18">
        <v>0.13</v>
      </c>
      <c r="H1743">
        <f>F1743*VLOOKUP(B1743,產品!$A$2:$H$61,7,FALSE)*(1-銷售總表!G1743)</f>
        <v>78300</v>
      </c>
      <c r="I1743" s="35">
        <f>H1743-F1743*VLOOKUP(銷售總表!B1743,產品!$A$2:$H$61,8,FALSE)</f>
        <v>19800</v>
      </c>
      <c r="J1743" s="20">
        <f t="shared" si="27"/>
        <v>0.25287356321839083</v>
      </c>
    </row>
    <row r="1744" spans="1:10" x14ac:dyDescent="0.3">
      <c r="A1744" s="33">
        <v>1743</v>
      </c>
      <c r="B1744" s="4">
        <v>18</v>
      </c>
      <c r="C1744" s="15">
        <v>272</v>
      </c>
      <c r="D1744" s="16">
        <v>3</v>
      </c>
      <c r="E1744" s="22">
        <v>44190</v>
      </c>
      <c r="F1744" s="17">
        <v>100</v>
      </c>
      <c r="G1744" s="18">
        <v>0.06</v>
      </c>
      <c r="H1744">
        <f>F1744*VLOOKUP(B1744,產品!$A$2:$H$61,7,FALSE)*(1-銷售總表!G1744)</f>
        <v>169200</v>
      </c>
      <c r="I1744" s="35">
        <f>H1744-F1744*VLOOKUP(銷售總表!B1744,產品!$A$2:$H$61,8,FALSE)</f>
        <v>97200</v>
      </c>
      <c r="J1744" s="20">
        <f t="shared" si="27"/>
        <v>0.57446808510638303</v>
      </c>
    </row>
    <row r="1745" spans="1:10" x14ac:dyDescent="0.3">
      <c r="A1745" s="33">
        <v>1744</v>
      </c>
      <c r="B1745" s="4">
        <v>50</v>
      </c>
      <c r="C1745" s="15">
        <v>120</v>
      </c>
      <c r="D1745" s="16">
        <v>5</v>
      </c>
      <c r="E1745" s="22">
        <v>44190</v>
      </c>
      <c r="F1745" s="17">
        <v>15</v>
      </c>
      <c r="G1745" s="18">
        <v>0.1</v>
      </c>
      <c r="H1745">
        <f>F1745*VLOOKUP(B1745,產品!$A$2:$H$61,7,FALSE)*(1-銷售總表!G1745)</f>
        <v>243000</v>
      </c>
      <c r="I1745" s="35">
        <f>H1745-F1745*VLOOKUP(銷售總表!B1745,產品!$A$2:$H$61,8,FALSE)</f>
        <v>54000</v>
      </c>
      <c r="J1745" s="20">
        <f t="shared" si="27"/>
        <v>0.22222222222222221</v>
      </c>
    </row>
    <row r="1746" spans="1:10" x14ac:dyDescent="0.3">
      <c r="A1746" s="33">
        <v>1745</v>
      </c>
      <c r="B1746" s="4">
        <v>43</v>
      </c>
      <c r="C1746" s="15">
        <v>292</v>
      </c>
      <c r="D1746" s="16">
        <v>6</v>
      </c>
      <c r="E1746" s="22">
        <v>44190</v>
      </c>
      <c r="F1746" s="17">
        <v>11</v>
      </c>
      <c r="G1746" s="18">
        <v>0.18</v>
      </c>
      <c r="H1746">
        <f>F1746*VLOOKUP(B1746,產品!$A$2:$H$61,7,FALSE)*(1-銷售總表!G1746)</f>
        <v>162360</v>
      </c>
      <c r="I1746" s="35">
        <f>H1746-F1746*VLOOKUP(銷售總表!B1746,產品!$A$2:$H$61,8,FALSE)</f>
        <v>33660</v>
      </c>
      <c r="J1746" s="20">
        <f t="shared" si="27"/>
        <v>0.2073170731707317</v>
      </c>
    </row>
    <row r="1747" spans="1:10" x14ac:dyDescent="0.3">
      <c r="A1747" s="33">
        <v>1746</v>
      </c>
      <c r="B1747" s="4">
        <v>14</v>
      </c>
      <c r="C1747" s="15">
        <v>291</v>
      </c>
      <c r="D1747" s="16">
        <v>4</v>
      </c>
      <c r="E1747" s="22">
        <v>44191</v>
      </c>
      <c r="F1747" s="19">
        <v>50</v>
      </c>
      <c r="G1747" s="18">
        <v>0.09</v>
      </c>
      <c r="H1747">
        <f>F1747*VLOOKUP(B1747,產品!$A$2:$H$61,7,FALSE)*(1-銷售總表!G1747)</f>
        <v>81900</v>
      </c>
      <c r="I1747" s="35">
        <f>H1747-F1747*VLOOKUP(銷售總表!B1747,產品!$A$2:$H$61,8,FALSE)</f>
        <v>45900</v>
      </c>
      <c r="J1747" s="20">
        <f t="shared" si="27"/>
        <v>0.56043956043956045</v>
      </c>
    </row>
    <row r="1748" spans="1:10" x14ac:dyDescent="0.3">
      <c r="A1748" s="33">
        <v>1747</v>
      </c>
      <c r="B1748" s="4">
        <v>19</v>
      </c>
      <c r="C1748" s="15">
        <v>277</v>
      </c>
      <c r="D1748" s="16">
        <v>10</v>
      </c>
      <c r="E1748" s="22">
        <v>44191</v>
      </c>
      <c r="F1748" s="17">
        <v>50</v>
      </c>
      <c r="G1748" s="18">
        <v>0.2</v>
      </c>
      <c r="H1748">
        <f>F1748*VLOOKUP(B1748,產品!$A$2:$H$61,7,FALSE)*(1-銷售總表!G1748)</f>
        <v>72000</v>
      </c>
      <c r="I1748" s="35">
        <f>H1748-F1748*VLOOKUP(銷售總表!B1748,產品!$A$2:$H$61,8,FALSE)</f>
        <v>36000</v>
      </c>
      <c r="J1748" s="20">
        <f t="shared" si="27"/>
        <v>0.5</v>
      </c>
    </row>
    <row r="1749" spans="1:10" x14ac:dyDescent="0.3">
      <c r="A1749" s="33">
        <v>1748</v>
      </c>
      <c r="B1749" s="4">
        <v>44</v>
      </c>
      <c r="C1749" s="15">
        <v>10</v>
      </c>
      <c r="D1749" s="16">
        <v>1</v>
      </c>
      <c r="E1749" s="22">
        <v>44192</v>
      </c>
      <c r="F1749" s="19">
        <v>4</v>
      </c>
      <c r="G1749" s="18">
        <v>0.17</v>
      </c>
      <c r="H1749">
        <f>F1749*VLOOKUP(B1749,產品!$A$2:$H$61,7,FALSE)*(1-銷售總表!G1749)</f>
        <v>66400</v>
      </c>
      <c r="I1749" s="35">
        <f>H1749-F1749*VLOOKUP(銷售總表!B1749,產品!$A$2:$H$61,8,FALSE)</f>
        <v>14400</v>
      </c>
      <c r="J1749" s="20">
        <f t="shared" si="27"/>
        <v>0.21686746987951808</v>
      </c>
    </row>
    <row r="1750" spans="1:10" x14ac:dyDescent="0.3">
      <c r="A1750" s="33">
        <v>1749</v>
      </c>
      <c r="B1750" s="4">
        <v>26</v>
      </c>
      <c r="C1750" s="15">
        <v>282</v>
      </c>
      <c r="D1750" s="16">
        <v>2</v>
      </c>
      <c r="E1750" s="22">
        <v>44193</v>
      </c>
      <c r="F1750" s="19">
        <v>5</v>
      </c>
      <c r="G1750" s="18">
        <v>7.0000000000000007E-2</v>
      </c>
      <c r="H1750">
        <f>F1750*VLOOKUP(B1750,產品!$A$2:$H$61,7,FALSE)*(1-銷售總表!G1750)</f>
        <v>30224.999999999996</v>
      </c>
      <c r="I1750" s="35">
        <f>H1750-F1750*VLOOKUP(銷售總表!B1750,產品!$A$2:$H$61,8,FALSE)</f>
        <v>10724.999999999996</v>
      </c>
      <c r="J1750" s="20">
        <f t="shared" si="27"/>
        <v>0.35483870967741926</v>
      </c>
    </row>
    <row r="1751" spans="1:10" x14ac:dyDescent="0.3">
      <c r="A1751" s="33">
        <v>1750</v>
      </c>
      <c r="B1751" s="4">
        <v>31</v>
      </c>
      <c r="C1751" s="15">
        <v>282</v>
      </c>
      <c r="D1751" s="16">
        <v>1</v>
      </c>
      <c r="E1751" s="22">
        <v>44193</v>
      </c>
      <c r="F1751" s="17">
        <v>4</v>
      </c>
      <c r="G1751" s="18">
        <v>0.12</v>
      </c>
      <c r="H1751">
        <f>F1751*VLOOKUP(B1751,產品!$A$2:$H$61,7,FALSE)*(1-銷售總表!G1751)</f>
        <v>24640</v>
      </c>
      <c r="I1751" s="35">
        <f>H1751-F1751*VLOOKUP(銷售總表!B1751,產品!$A$2:$H$61,8,FALSE)</f>
        <v>7840</v>
      </c>
      <c r="J1751" s="20">
        <f t="shared" si="27"/>
        <v>0.31818181818181818</v>
      </c>
    </row>
    <row r="1752" spans="1:10" x14ac:dyDescent="0.3">
      <c r="A1752" s="33">
        <v>1751</v>
      </c>
      <c r="B1752" s="4">
        <v>15</v>
      </c>
      <c r="C1752" s="15">
        <v>115</v>
      </c>
      <c r="D1752" s="16">
        <v>5</v>
      </c>
      <c r="E1752" s="22">
        <v>44194</v>
      </c>
      <c r="F1752" s="19">
        <v>60</v>
      </c>
      <c r="G1752" s="18">
        <v>0.06</v>
      </c>
      <c r="H1752">
        <f>F1752*VLOOKUP(B1752,產品!$A$2:$H$61,7,FALSE)*(1-銷售總表!G1752)</f>
        <v>101520</v>
      </c>
      <c r="I1752" s="35">
        <f>H1752-F1752*VLOOKUP(銷售總表!B1752,產品!$A$2:$H$61,8,FALSE)</f>
        <v>58320</v>
      </c>
      <c r="J1752" s="20">
        <f t="shared" si="27"/>
        <v>0.57446808510638303</v>
      </c>
    </row>
    <row r="1753" spans="1:10" x14ac:dyDescent="0.3">
      <c r="A1753" s="33">
        <v>1752</v>
      </c>
      <c r="B1753" s="4">
        <v>18</v>
      </c>
      <c r="C1753" s="15">
        <v>11</v>
      </c>
      <c r="D1753" s="16">
        <v>6</v>
      </c>
      <c r="E1753" s="22">
        <v>44194</v>
      </c>
      <c r="F1753" s="19">
        <v>30</v>
      </c>
      <c r="G1753" s="18">
        <v>0.19</v>
      </c>
      <c r="H1753">
        <f>F1753*VLOOKUP(B1753,產品!$A$2:$H$61,7,FALSE)*(1-銷售總表!G1753)</f>
        <v>43740</v>
      </c>
      <c r="I1753" s="35">
        <f>H1753-F1753*VLOOKUP(銷售總表!B1753,產品!$A$2:$H$61,8,FALSE)</f>
        <v>22140</v>
      </c>
      <c r="J1753" s="20">
        <f t="shared" si="27"/>
        <v>0.50617283950617287</v>
      </c>
    </row>
    <row r="1754" spans="1:10" x14ac:dyDescent="0.3">
      <c r="A1754" s="33">
        <v>1753</v>
      </c>
      <c r="B1754" s="4">
        <v>6</v>
      </c>
      <c r="C1754" s="15">
        <v>5</v>
      </c>
      <c r="D1754" s="16">
        <v>3</v>
      </c>
      <c r="E1754" s="22">
        <v>44194</v>
      </c>
      <c r="F1754" s="19">
        <v>40</v>
      </c>
      <c r="G1754" s="18">
        <v>0.16</v>
      </c>
      <c r="H1754">
        <f>F1754*VLOOKUP(B1754,產品!$A$2:$H$61,7,FALSE)*(1-銷售總表!G1754)</f>
        <v>33600</v>
      </c>
      <c r="I1754" s="35">
        <f>H1754-F1754*VLOOKUP(銷售總表!B1754,產品!$A$2:$H$61,8,FALSE)</f>
        <v>17600</v>
      </c>
      <c r="J1754" s="20">
        <f t="shared" si="27"/>
        <v>0.52380952380952384</v>
      </c>
    </row>
    <row r="1755" spans="1:10" x14ac:dyDescent="0.3">
      <c r="A1755" s="33">
        <v>1754</v>
      </c>
      <c r="B1755" s="4">
        <v>52</v>
      </c>
      <c r="C1755" s="15">
        <v>2</v>
      </c>
      <c r="D1755" s="16">
        <v>4</v>
      </c>
      <c r="E1755" s="22">
        <v>44194</v>
      </c>
      <c r="F1755" s="17">
        <v>3</v>
      </c>
      <c r="G1755" s="18">
        <v>0.08</v>
      </c>
      <c r="H1755">
        <f>F1755*VLOOKUP(B1755,產品!$A$2:$H$61,7,FALSE)*(1-銷售總表!G1755)</f>
        <v>60720</v>
      </c>
      <c r="I1755" s="35">
        <f>H1755-F1755*VLOOKUP(銷售總表!B1755,產品!$A$2:$H$61,8,FALSE)</f>
        <v>14520.000000000007</v>
      </c>
      <c r="J1755" s="20">
        <f t="shared" si="27"/>
        <v>0.23913043478260881</v>
      </c>
    </row>
    <row r="1756" spans="1:10" x14ac:dyDescent="0.3">
      <c r="A1756" s="33">
        <v>1755</v>
      </c>
      <c r="B1756" s="4">
        <v>26</v>
      </c>
      <c r="C1756" s="15">
        <v>293</v>
      </c>
      <c r="D1756" s="16">
        <v>3</v>
      </c>
      <c r="E1756" s="22">
        <v>44194</v>
      </c>
      <c r="F1756" s="19">
        <v>2</v>
      </c>
      <c r="G1756" s="18">
        <v>0.15</v>
      </c>
      <c r="H1756">
        <f>F1756*VLOOKUP(B1756,產品!$A$2:$H$61,7,FALSE)*(1-銷售總表!G1756)</f>
        <v>11050</v>
      </c>
      <c r="I1756" s="35">
        <f>H1756-F1756*VLOOKUP(銷售總表!B1756,產品!$A$2:$H$61,8,FALSE)</f>
        <v>3250</v>
      </c>
      <c r="J1756" s="20">
        <f t="shared" si="27"/>
        <v>0.29411764705882354</v>
      </c>
    </row>
    <row r="1757" spans="1:10" x14ac:dyDescent="0.3">
      <c r="A1757" s="33">
        <v>1756</v>
      </c>
      <c r="B1757" s="4">
        <v>24</v>
      </c>
      <c r="C1757" s="15">
        <v>289</v>
      </c>
      <c r="D1757" s="16">
        <v>4</v>
      </c>
      <c r="E1757" s="22">
        <v>44195</v>
      </c>
      <c r="F1757" s="19">
        <v>45</v>
      </c>
      <c r="G1757" s="18">
        <v>0.1</v>
      </c>
      <c r="H1757">
        <f>F1757*VLOOKUP(B1757,產品!$A$2:$H$61,7,FALSE)*(1-銷售總表!G1757)</f>
        <v>72900</v>
      </c>
      <c r="I1757" s="35">
        <f>H1757-F1757*VLOOKUP(銷售總表!B1757,產品!$A$2:$H$61,8,FALSE)</f>
        <v>40500</v>
      </c>
      <c r="J1757" s="20">
        <f t="shared" si="27"/>
        <v>0.55555555555555558</v>
      </c>
    </row>
    <row r="1758" spans="1:10" x14ac:dyDescent="0.3">
      <c r="A1758" s="33">
        <v>1757</v>
      </c>
      <c r="B1758" s="4">
        <v>52</v>
      </c>
      <c r="C1758" s="15">
        <v>271</v>
      </c>
      <c r="D1758" s="16">
        <v>5</v>
      </c>
      <c r="E1758" s="22">
        <v>44195</v>
      </c>
      <c r="F1758" s="19">
        <v>9</v>
      </c>
      <c r="G1758" s="18">
        <v>0.14000000000000001</v>
      </c>
      <c r="H1758">
        <f>F1758*VLOOKUP(B1758,產品!$A$2:$H$61,7,FALSE)*(1-銷售總表!G1758)</f>
        <v>170280</v>
      </c>
      <c r="I1758" s="35">
        <f>H1758-F1758*VLOOKUP(銷售總表!B1758,產品!$A$2:$H$61,8,FALSE)</f>
        <v>31680.000000000029</v>
      </c>
      <c r="J1758" s="20">
        <f t="shared" si="27"/>
        <v>0.18604651162790714</v>
      </c>
    </row>
    <row r="1759" spans="1:10" x14ac:dyDescent="0.3">
      <c r="A1759" s="33">
        <v>1758</v>
      </c>
      <c r="B1759" s="4">
        <v>54</v>
      </c>
      <c r="C1759" s="15">
        <v>284</v>
      </c>
      <c r="D1759" s="16">
        <v>4</v>
      </c>
      <c r="E1759" s="22">
        <v>44195</v>
      </c>
      <c r="F1759" s="19">
        <v>5</v>
      </c>
      <c r="G1759" s="18">
        <v>0.16</v>
      </c>
      <c r="H1759">
        <f>F1759*VLOOKUP(B1759,產品!$A$2:$H$61,7,FALSE)*(1-銷售總表!G1759)</f>
        <v>75600</v>
      </c>
      <c r="I1759" s="35">
        <f>H1759-F1759*VLOOKUP(銷售總表!B1759,產品!$A$2:$H$61,8,FALSE)</f>
        <v>12600</v>
      </c>
      <c r="J1759" s="20">
        <f t="shared" si="27"/>
        <v>0.16666666666666666</v>
      </c>
    </row>
    <row r="1760" spans="1:10" x14ac:dyDescent="0.3">
      <c r="A1760" s="33">
        <v>1759</v>
      </c>
      <c r="B1760" s="4">
        <v>40</v>
      </c>
      <c r="C1760" s="15">
        <v>264</v>
      </c>
      <c r="D1760" s="16">
        <v>4</v>
      </c>
      <c r="E1760" s="22">
        <v>44196</v>
      </c>
      <c r="F1760" s="17">
        <v>10</v>
      </c>
      <c r="G1760" s="18">
        <v>0.09</v>
      </c>
      <c r="H1760">
        <f>F1760*VLOOKUP(B1760,產品!$A$2:$H$61,7,FALSE)*(1-銷售總表!G1760)</f>
        <v>182000</v>
      </c>
      <c r="I1760" s="35">
        <f>H1760-F1760*VLOOKUP(銷售總表!B1760,產品!$A$2:$H$61,8,FALSE)</f>
        <v>52000</v>
      </c>
      <c r="J1760" s="20">
        <f t="shared" si="27"/>
        <v>0.2857142857142857</v>
      </c>
    </row>
    <row r="1761" spans="1:10" x14ac:dyDescent="0.3">
      <c r="A1761" s="33">
        <v>1760</v>
      </c>
      <c r="B1761" s="4">
        <v>47</v>
      </c>
      <c r="C1761" s="15">
        <v>282</v>
      </c>
      <c r="D1761" s="16">
        <v>4</v>
      </c>
      <c r="E1761" s="22">
        <v>44196</v>
      </c>
      <c r="F1761" s="19">
        <v>7</v>
      </c>
      <c r="G1761" s="18">
        <v>0.2</v>
      </c>
      <c r="H1761">
        <f>F1761*VLOOKUP(B1761,產品!$A$2:$H$61,7,FALSE)*(1-銷售總表!G1761)</f>
        <v>112000</v>
      </c>
      <c r="I1761" s="35">
        <f>H1761-F1761*VLOOKUP(銷售總表!B1761,產品!$A$2:$H$61,8,FALSE)</f>
        <v>21000</v>
      </c>
      <c r="J1761" s="20">
        <f t="shared" si="27"/>
        <v>0.1875</v>
      </c>
    </row>
    <row r="1762" spans="1:10" x14ac:dyDescent="0.3">
      <c r="A1762" s="33">
        <v>1761</v>
      </c>
      <c r="B1762" s="4">
        <v>42</v>
      </c>
      <c r="C1762" s="15">
        <v>1</v>
      </c>
      <c r="D1762" s="16">
        <v>4</v>
      </c>
      <c r="E1762" s="22">
        <v>44196</v>
      </c>
      <c r="F1762" s="17">
        <v>3</v>
      </c>
      <c r="G1762" s="18">
        <v>0.2</v>
      </c>
      <c r="H1762">
        <f>F1762*VLOOKUP(B1762,產品!$A$2:$H$61,7,FALSE)*(1-銷售總表!G1762)</f>
        <v>36000</v>
      </c>
      <c r="I1762" s="35">
        <f>H1762-F1762*VLOOKUP(銷售總表!B1762,產品!$A$2:$H$61,8,FALSE)</f>
        <v>6750</v>
      </c>
      <c r="J1762" s="20">
        <f t="shared" si="27"/>
        <v>0.1875</v>
      </c>
    </row>
    <row r="1763" spans="1:10" x14ac:dyDescent="0.3">
      <c r="A1763" s="33">
        <v>1762</v>
      </c>
      <c r="B1763" s="4">
        <v>21</v>
      </c>
      <c r="C1763" s="15">
        <v>294</v>
      </c>
      <c r="D1763" s="16">
        <v>4</v>
      </c>
      <c r="E1763" s="22">
        <v>44197</v>
      </c>
      <c r="F1763" s="17">
        <v>90</v>
      </c>
      <c r="G1763" s="18">
        <v>0.15</v>
      </c>
      <c r="H1763">
        <f>F1763*VLOOKUP(B1763,產品!$A$2:$H$61,7,FALSE)*(1-銷售總表!G1763)</f>
        <v>137700</v>
      </c>
      <c r="I1763" s="35">
        <f>H1763-F1763*VLOOKUP(銷售總表!B1763,產品!$A$2:$H$61,8,FALSE)</f>
        <v>72900</v>
      </c>
      <c r="J1763" s="20">
        <f t="shared" si="27"/>
        <v>0.52941176470588236</v>
      </c>
    </row>
    <row r="1764" spans="1:10" x14ac:dyDescent="0.3">
      <c r="A1764" s="33">
        <v>1763</v>
      </c>
      <c r="B1764" s="4">
        <v>26</v>
      </c>
      <c r="C1764" s="15">
        <v>287</v>
      </c>
      <c r="D1764" s="16">
        <v>8</v>
      </c>
      <c r="E1764" s="22">
        <v>44198</v>
      </c>
      <c r="F1764" s="19">
        <v>3</v>
      </c>
      <c r="G1764" s="18">
        <v>0.14000000000000001</v>
      </c>
      <c r="H1764">
        <f>F1764*VLOOKUP(B1764,產品!$A$2:$H$61,7,FALSE)*(1-銷售總表!G1764)</f>
        <v>16770</v>
      </c>
      <c r="I1764" s="35">
        <f>H1764-F1764*VLOOKUP(銷售總表!B1764,產品!$A$2:$H$61,8,FALSE)</f>
        <v>5070</v>
      </c>
      <c r="J1764" s="20">
        <f t="shared" si="27"/>
        <v>0.30232558139534882</v>
      </c>
    </row>
    <row r="1765" spans="1:10" x14ac:dyDescent="0.3">
      <c r="A1765" s="33">
        <v>1764</v>
      </c>
      <c r="B1765" s="4">
        <v>20</v>
      </c>
      <c r="C1765" s="15">
        <v>270</v>
      </c>
      <c r="D1765" s="16">
        <v>4</v>
      </c>
      <c r="E1765" s="22">
        <v>44198</v>
      </c>
      <c r="F1765" s="17">
        <v>10</v>
      </c>
      <c r="G1765" s="18">
        <v>0.13</v>
      </c>
      <c r="H1765">
        <f>F1765*VLOOKUP(B1765,產品!$A$2:$H$61,7,FALSE)*(1-銷售總表!G1765)</f>
        <v>15660</v>
      </c>
      <c r="I1765" s="35">
        <f>H1765-F1765*VLOOKUP(銷售總表!B1765,產品!$A$2:$H$61,8,FALSE)</f>
        <v>8460</v>
      </c>
      <c r="J1765" s="20">
        <f t="shared" si="27"/>
        <v>0.54022988505747127</v>
      </c>
    </row>
    <row r="1766" spans="1:10" x14ac:dyDescent="0.3">
      <c r="A1766" s="33">
        <v>1765</v>
      </c>
      <c r="B1766" s="4">
        <v>52</v>
      </c>
      <c r="C1766" s="15">
        <v>10</v>
      </c>
      <c r="D1766" s="16">
        <v>2</v>
      </c>
      <c r="E1766" s="22">
        <v>44198</v>
      </c>
      <c r="F1766" s="17">
        <v>10</v>
      </c>
      <c r="G1766" s="18">
        <v>0.14000000000000001</v>
      </c>
      <c r="H1766">
        <f>F1766*VLOOKUP(B1766,產品!$A$2:$H$61,7,FALSE)*(1-銷售總表!G1766)</f>
        <v>189200</v>
      </c>
      <c r="I1766" s="35">
        <f>H1766-F1766*VLOOKUP(銷售總表!B1766,產品!$A$2:$H$61,8,FALSE)</f>
        <v>35200.000000000029</v>
      </c>
      <c r="J1766" s="20">
        <f t="shared" si="27"/>
        <v>0.18604651162790714</v>
      </c>
    </row>
    <row r="1767" spans="1:10" x14ac:dyDescent="0.3">
      <c r="A1767" s="33">
        <v>1766</v>
      </c>
      <c r="B1767" s="4">
        <v>23</v>
      </c>
      <c r="C1767" s="15">
        <v>2</v>
      </c>
      <c r="D1767" s="16">
        <v>5</v>
      </c>
      <c r="E1767" s="22">
        <v>44198</v>
      </c>
      <c r="F1767" s="17">
        <v>135</v>
      </c>
      <c r="G1767" s="18">
        <v>0.12</v>
      </c>
      <c r="H1767">
        <f>F1767*VLOOKUP(B1767,產品!$A$2:$H$61,7,FALSE)*(1-銷售總表!G1767)</f>
        <v>213840</v>
      </c>
      <c r="I1767" s="35">
        <f>H1767-F1767*VLOOKUP(銷售總表!B1767,產品!$A$2:$H$61,8,FALSE)</f>
        <v>116640</v>
      </c>
      <c r="J1767" s="20">
        <f t="shared" si="27"/>
        <v>0.54545454545454541</v>
      </c>
    </row>
    <row r="1768" spans="1:10" x14ac:dyDescent="0.3">
      <c r="A1768" s="33">
        <v>1767</v>
      </c>
      <c r="B1768" s="4">
        <v>37</v>
      </c>
      <c r="C1768" s="15">
        <v>11</v>
      </c>
      <c r="D1768" s="16">
        <v>3</v>
      </c>
      <c r="E1768" s="22">
        <v>44199</v>
      </c>
      <c r="F1768" s="19">
        <v>4</v>
      </c>
      <c r="G1768" s="18">
        <v>0.1</v>
      </c>
      <c r="H1768">
        <f>F1768*VLOOKUP(B1768,產品!$A$2:$H$61,7,FALSE)*(1-銷售總表!G1768)</f>
        <v>43200</v>
      </c>
      <c r="I1768" s="35">
        <f>H1768-F1768*VLOOKUP(銷售總表!B1768,產品!$A$2:$H$61,8,FALSE)</f>
        <v>12000</v>
      </c>
      <c r="J1768" s="20">
        <f t="shared" si="27"/>
        <v>0.27777777777777779</v>
      </c>
    </row>
    <row r="1769" spans="1:10" x14ac:dyDescent="0.3">
      <c r="A1769" s="33">
        <v>1768</v>
      </c>
      <c r="B1769" s="4">
        <v>52</v>
      </c>
      <c r="C1769" s="15">
        <v>286</v>
      </c>
      <c r="D1769" s="16">
        <v>9</v>
      </c>
      <c r="E1769" s="22">
        <v>44199</v>
      </c>
      <c r="F1769" s="17">
        <v>5</v>
      </c>
      <c r="G1769" s="18">
        <v>7.0000000000000007E-2</v>
      </c>
      <c r="H1769">
        <f>F1769*VLOOKUP(B1769,產品!$A$2:$H$61,7,FALSE)*(1-銷售總表!G1769)</f>
        <v>102300</v>
      </c>
      <c r="I1769" s="35">
        <f>H1769-F1769*VLOOKUP(銷售總表!B1769,產品!$A$2:$H$61,8,FALSE)</f>
        <v>25300.000000000015</v>
      </c>
      <c r="J1769" s="20">
        <f t="shared" si="27"/>
        <v>0.24731182795698939</v>
      </c>
    </row>
    <row r="1770" spans="1:10" x14ac:dyDescent="0.3">
      <c r="A1770" s="33">
        <v>1769</v>
      </c>
      <c r="B1770" s="4">
        <v>2</v>
      </c>
      <c r="C1770" s="15">
        <v>9</v>
      </c>
      <c r="D1770" s="16">
        <v>9</v>
      </c>
      <c r="E1770" s="22">
        <v>44199</v>
      </c>
      <c r="F1770" s="17">
        <v>300</v>
      </c>
      <c r="G1770" s="18">
        <v>0.13</v>
      </c>
      <c r="H1770">
        <f>F1770*VLOOKUP(B1770,產品!$A$2:$H$61,7,FALSE)*(1-銷售總表!G1770)</f>
        <v>261000</v>
      </c>
      <c r="I1770" s="35">
        <f>H1770-F1770*VLOOKUP(銷售總表!B1770,產品!$A$2:$H$61,8,FALSE)</f>
        <v>141000</v>
      </c>
      <c r="J1770" s="20">
        <f t="shared" si="27"/>
        <v>0.54022988505747127</v>
      </c>
    </row>
    <row r="1771" spans="1:10" x14ac:dyDescent="0.3">
      <c r="A1771" s="33">
        <v>1770</v>
      </c>
      <c r="B1771" s="4">
        <v>31</v>
      </c>
      <c r="C1771" s="15">
        <v>278</v>
      </c>
      <c r="D1771" s="16">
        <v>7</v>
      </c>
      <c r="E1771" s="22">
        <v>44200</v>
      </c>
      <c r="F1771" s="17">
        <v>10</v>
      </c>
      <c r="G1771" s="18">
        <v>0.13</v>
      </c>
      <c r="H1771">
        <f>F1771*VLOOKUP(B1771,產品!$A$2:$H$61,7,FALSE)*(1-銷售總表!G1771)</f>
        <v>60900</v>
      </c>
      <c r="I1771" s="35">
        <f>H1771-F1771*VLOOKUP(銷售總表!B1771,產品!$A$2:$H$61,8,FALSE)</f>
        <v>18900</v>
      </c>
      <c r="J1771" s="20">
        <f t="shared" si="27"/>
        <v>0.31034482758620691</v>
      </c>
    </row>
    <row r="1772" spans="1:10" x14ac:dyDescent="0.3">
      <c r="A1772" s="33">
        <v>1771</v>
      </c>
      <c r="B1772" s="4">
        <v>34</v>
      </c>
      <c r="C1772" s="15">
        <v>265</v>
      </c>
      <c r="D1772" s="16">
        <v>5</v>
      </c>
      <c r="E1772" s="22">
        <v>44200</v>
      </c>
      <c r="F1772" s="17">
        <v>8</v>
      </c>
      <c r="G1772" s="18">
        <v>0.06</v>
      </c>
      <c r="H1772">
        <f>F1772*VLOOKUP(B1772,產品!$A$2:$H$61,7,FALSE)*(1-銷售總表!G1772)</f>
        <v>60160</v>
      </c>
      <c r="I1772" s="35">
        <f>H1772-F1772*VLOOKUP(銷售總表!B1772,產品!$A$2:$H$61,8,FALSE)</f>
        <v>21760</v>
      </c>
      <c r="J1772" s="20">
        <f t="shared" si="27"/>
        <v>0.36170212765957449</v>
      </c>
    </row>
    <row r="1773" spans="1:10" x14ac:dyDescent="0.3">
      <c r="A1773" s="33">
        <v>1772</v>
      </c>
      <c r="B1773" s="4">
        <v>21</v>
      </c>
      <c r="C1773" s="15">
        <v>115</v>
      </c>
      <c r="D1773" s="16">
        <v>4</v>
      </c>
      <c r="E1773" s="22">
        <v>44200</v>
      </c>
      <c r="F1773" s="17">
        <v>30</v>
      </c>
      <c r="G1773" s="18">
        <v>0.19</v>
      </c>
      <c r="H1773">
        <f>F1773*VLOOKUP(B1773,產品!$A$2:$H$61,7,FALSE)*(1-銷售總表!G1773)</f>
        <v>43740</v>
      </c>
      <c r="I1773" s="35">
        <f>H1773-F1773*VLOOKUP(銷售總表!B1773,產品!$A$2:$H$61,8,FALSE)</f>
        <v>22140</v>
      </c>
      <c r="J1773" s="20">
        <f t="shared" si="27"/>
        <v>0.50617283950617287</v>
      </c>
    </row>
    <row r="1774" spans="1:10" x14ac:dyDescent="0.3">
      <c r="A1774" s="33">
        <v>1773</v>
      </c>
      <c r="B1774" s="4">
        <v>43</v>
      </c>
      <c r="C1774" s="15">
        <v>136</v>
      </c>
      <c r="D1774" s="16">
        <v>1</v>
      </c>
      <c r="E1774" s="22">
        <v>44200</v>
      </c>
      <c r="F1774" s="19">
        <v>6</v>
      </c>
      <c r="G1774" s="18">
        <v>0.11</v>
      </c>
      <c r="H1774">
        <f>F1774*VLOOKUP(B1774,產品!$A$2:$H$61,7,FALSE)*(1-銷售總表!G1774)</f>
        <v>96120</v>
      </c>
      <c r="I1774" s="35">
        <f>H1774-F1774*VLOOKUP(銷售總表!B1774,產品!$A$2:$H$61,8,FALSE)</f>
        <v>25920</v>
      </c>
      <c r="J1774" s="20">
        <f t="shared" si="27"/>
        <v>0.2696629213483146</v>
      </c>
    </row>
    <row r="1775" spans="1:10" x14ac:dyDescent="0.3">
      <c r="A1775" s="33">
        <v>1774</v>
      </c>
      <c r="B1775" s="4">
        <v>1</v>
      </c>
      <c r="C1775" s="15">
        <v>5</v>
      </c>
      <c r="D1775" s="16">
        <v>1</v>
      </c>
      <c r="E1775" s="22">
        <v>44200</v>
      </c>
      <c r="F1775" s="17">
        <v>200</v>
      </c>
      <c r="G1775" s="18">
        <v>0.18</v>
      </c>
      <c r="H1775">
        <f>F1775*VLOOKUP(B1775,產品!$A$2:$H$61,7,FALSE)*(1-銷售總表!G1775)</f>
        <v>164000</v>
      </c>
      <c r="I1775" s="35">
        <f>H1775-F1775*VLOOKUP(銷售總表!B1775,產品!$A$2:$H$61,8,FALSE)</f>
        <v>84000</v>
      </c>
      <c r="J1775" s="20">
        <f t="shared" si="27"/>
        <v>0.51219512195121952</v>
      </c>
    </row>
    <row r="1776" spans="1:10" x14ac:dyDescent="0.3">
      <c r="A1776" s="33">
        <v>1775</v>
      </c>
      <c r="B1776" s="4">
        <v>36</v>
      </c>
      <c r="C1776" s="15">
        <v>136</v>
      </c>
      <c r="D1776" s="16">
        <v>3</v>
      </c>
      <c r="E1776" s="22">
        <v>44201</v>
      </c>
      <c r="F1776" s="19">
        <v>3</v>
      </c>
      <c r="G1776" s="18">
        <v>0.19</v>
      </c>
      <c r="H1776">
        <f>F1776*VLOOKUP(B1776,產品!$A$2:$H$61,7,FALSE)*(1-銷售總表!G1776)</f>
        <v>21870</v>
      </c>
      <c r="I1776" s="35">
        <f>H1776-F1776*VLOOKUP(銷售總表!B1776,產品!$A$2:$H$61,8,FALSE)</f>
        <v>5670</v>
      </c>
      <c r="J1776" s="20">
        <f t="shared" si="27"/>
        <v>0.25925925925925924</v>
      </c>
    </row>
    <row r="1777" spans="1:10" x14ac:dyDescent="0.3">
      <c r="A1777" s="33">
        <v>1776</v>
      </c>
      <c r="B1777" s="4">
        <v>35</v>
      </c>
      <c r="C1777" s="15">
        <v>261</v>
      </c>
      <c r="D1777" s="16">
        <v>1</v>
      </c>
      <c r="E1777" s="22">
        <v>44202</v>
      </c>
      <c r="F1777" s="19">
        <v>15</v>
      </c>
      <c r="G1777" s="18">
        <v>0.12</v>
      </c>
      <c r="H1777">
        <f>F1777*VLOOKUP(B1777,產品!$A$2:$H$61,7,FALSE)*(1-銷售總表!G1777)</f>
        <v>112200</v>
      </c>
      <c r="I1777" s="35">
        <f>H1777-F1777*VLOOKUP(銷售總表!B1777,產品!$A$2:$H$61,8,FALSE)</f>
        <v>35700</v>
      </c>
      <c r="J1777" s="20">
        <f t="shared" si="27"/>
        <v>0.31818181818181818</v>
      </c>
    </row>
    <row r="1778" spans="1:10" x14ac:dyDescent="0.3">
      <c r="A1778" s="33">
        <v>1777</v>
      </c>
      <c r="B1778" s="4">
        <v>60</v>
      </c>
      <c r="C1778" s="15">
        <v>11</v>
      </c>
      <c r="D1778" s="16">
        <v>2</v>
      </c>
      <c r="E1778" s="22">
        <v>44203</v>
      </c>
      <c r="F1778" s="19">
        <v>1</v>
      </c>
      <c r="G1778" s="18">
        <v>0.14000000000000001</v>
      </c>
      <c r="H1778">
        <f>F1778*VLOOKUP(B1778,產品!$A$2:$H$61,7,FALSE)*(1-銷售總表!G1778)</f>
        <v>21500</v>
      </c>
      <c r="I1778" s="35">
        <f>H1778-F1778*VLOOKUP(銷售總表!B1778,產品!$A$2:$H$61,8,FALSE)</f>
        <v>4000</v>
      </c>
      <c r="J1778" s="20">
        <f t="shared" si="27"/>
        <v>0.18604651162790697</v>
      </c>
    </row>
    <row r="1779" spans="1:10" x14ac:dyDescent="0.3">
      <c r="A1779" s="33">
        <v>1778</v>
      </c>
      <c r="B1779" s="4">
        <v>55</v>
      </c>
      <c r="C1779" s="15">
        <v>136</v>
      </c>
      <c r="D1779" s="16">
        <v>8</v>
      </c>
      <c r="E1779" s="22">
        <v>44203</v>
      </c>
      <c r="F1779" s="17">
        <v>7</v>
      </c>
      <c r="G1779" s="18">
        <v>0.05</v>
      </c>
      <c r="H1779">
        <f>F1779*VLOOKUP(B1779,產品!$A$2:$H$61,7,FALSE)*(1-銷售總表!G1779)</f>
        <v>133000</v>
      </c>
      <c r="I1779" s="35">
        <f>H1779-F1779*VLOOKUP(銷售總表!B1779,產品!$A$2:$H$61,8,FALSE)</f>
        <v>35000</v>
      </c>
      <c r="J1779" s="20">
        <f t="shared" si="27"/>
        <v>0.26315789473684209</v>
      </c>
    </row>
    <row r="1780" spans="1:10" x14ac:dyDescent="0.3">
      <c r="A1780" s="33">
        <v>1779</v>
      </c>
      <c r="B1780" s="4">
        <v>9</v>
      </c>
      <c r="C1780" s="15">
        <v>290</v>
      </c>
      <c r="D1780" s="16">
        <v>7</v>
      </c>
      <c r="E1780" s="22">
        <v>44203</v>
      </c>
      <c r="F1780" s="19">
        <v>100</v>
      </c>
      <c r="G1780" s="18">
        <v>0.18</v>
      </c>
      <c r="H1780">
        <f>F1780*VLOOKUP(B1780,產品!$A$2:$H$61,7,FALSE)*(1-銷售總表!G1780)</f>
        <v>82000</v>
      </c>
      <c r="I1780" s="35">
        <f>H1780-F1780*VLOOKUP(銷售總表!B1780,產品!$A$2:$H$61,8,FALSE)</f>
        <v>42000</v>
      </c>
      <c r="J1780" s="20">
        <f t="shared" si="27"/>
        <v>0.51219512195121952</v>
      </c>
    </row>
    <row r="1781" spans="1:10" x14ac:dyDescent="0.3">
      <c r="A1781" s="33">
        <v>1780</v>
      </c>
      <c r="B1781" s="4">
        <v>7</v>
      </c>
      <c r="C1781" s="15">
        <v>1</v>
      </c>
      <c r="D1781" s="16">
        <v>1</v>
      </c>
      <c r="E1781" s="22">
        <v>44203</v>
      </c>
      <c r="F1781" s="19">
        <v>250</v>
      </c>
      <c r="G1781" s="18">
        <v>0.13</v>
      </c>
      <c r="H1781">
        <f>F1781*VLOOKUP(B1781,產品!$A$2:$H$61,7,FALSE)*(1-銷售總表!G1781)</f>
        <v>217500</v>
      </c>
      <c r="I1781" s="35">
        <f>H1781-F1781*VLOOKUP(銷售總表!B1781,產品!$A$2:$H$61,8,FALSE)</f>
        <v>117500</v>
      </c>
      <c r="J1781" s="20">
        <f t="shared" si="27"/>
        <v>0.54022988505747127</v>
      </c>
    </row>
    <row r="1782" spans="1:10" x14ac:dyDescent="0.3">
      <c r="A1782" s="33">
        <v>1781</v>
      </c>
      <c r="B1782" s="4">
        <v>38</v>
      </c>
      <c r="C1782" s="15">
        <v>122</v>
      </c>
      <c r="D1782" s="16">
        <v>6</v>
      </c>
      <c r="E1782" s="22">
        <v>44204</v>
      </c>
      <c r="F1782" s="17">
        <v>10</v>
      </c>
      <c r="G1782" s="18">
        <v>0.13</v>
      </c>
      <c r="H1782">
        <f>F1782*VLOOKUP(B1782,產品!$A$2:$H$61,7,FALSE)*(1-銷售總表!G1782)</f>
        <v>130500</v>
      </c>
      <c r="I1782" s="35">
        <f>H1782-F1782*VLOOKUP(銷售總表!B1782,產品!$A$2:$H$61,8,FALSE)</f>
        <v>33000</v>
      </c>
      <c r="J1782" s="20">
        <f t="shared" si="27"/>
        <v>0.25287356321839083</v>
      </c>
    </row>
    <row r="1783" spans="1:10" x14ac:dyDescent="0.3">
      <c r="A1783" s="33">
        <v>1782</v>
      </c>
      <c r="B1783" s="4">
        <v>55</v>
      </c>
      <c r="C1783" s="15">
        <v>282</v>
      </c>
      <c r="D1783" s="16">
        <v>8</v>
      </c>
      <c r="E1783" s="22">
        <v>44204</v>
      </c>
      <c r="F1783" s="19">
        <v>4</v>
      </c>
      <c r="G1783" s="18">
        <v>0.1</v>
      </c>
      <c r="H1783">
        <f>F1783*VLOOKUP(B1783,產品!$A$2:$H$61,7,FALSE)*(1-銷售總表!G1783)</f>
        <v>72000</v>
      </c>
      <c r="I1783" s="35">
        <f>H1783-F1783*VLOOKUP(銷售總表!B1783,產品!$A$2:$H$61,8,FALSE)</f>
        <v>16000</v>
      </c>
      <c r="J1783" s="20">
        <f t="shared" si="27"/>
        <v>0.22222222222222221</v>
      </c>
    </row>
    <row r="1784" spans="1:10" x14ac:dyDescent="0.3">
      <c r="A1784" s="33">
        <v>1783</v>
      </c>
      <c r="B1784" s="4">
        <v>17</v>
      </c>
      <c r="C1784" s="15">
        <v>11</v>
      </c>
      <c r="D1784" s="16">
        <v>4</v>
      </c>
      <c r="E1784" s="22">
        <v>44204</v>
      </c>
      <c r="F1784" s="19">
        <v>40</v>
      </c>
      <c r="G1784" s="18">
        <v>0.19</v>
      </c>
      <c r="H1784">
        <f>F1784*VLOOKUP(B1784,產品!$A$2:$H$61,7,FALSE)*(1-銷售總表!G1784)</f>
        <v>58320.000000000007</v>
      </c>
      <c r="I1784" s="35">
        <f>H1784-F1784*VLOOKUP(銷售總表!B1784,產品!$A$2:$H$61,8,FALSE)</f>
        <v>29520.000000000007</v>
      </c>
      <c r="J1784" s="20">
        <f t="shared" si="27"/>
        <v>0.50617283950617287</v>
      </c>
    </row>
    <row r="1785" spans="1:10" x14ac:dyDescent="0.3">
      <c r="A1785" s="33">
        <v>1784</v>
      </c>
      <c r="B1785" s="4">
        <v>27</v>
      </c>
      <c r="C1785" s="15">
        <v>7</v>
      </c>
      <c r="D1785" s="16">
        <v>1</v>
      </c>
      <c r="E1785" s="22">
        <v>44204</v>
      </c>
      <c r="F1785" s="19">
        <v>16</v>
      </c>
      <c r="G1785" s="18">
        <v>0.08</v>
      </c>
      <c r="H1785">
        <f>F1785*VLOOKUP(B1785,產品!$A$2:$H$61,7,FALSE)*(1-銷售總表!G1785)</f>
        <v>103040</v>
      </c>
      <c r="I1785" s="35">
        <f>H1785-F1785*VLOOKUP(銷售總表!B1785,產品!$A$2:$H$61,8,FALSE)</f>
        <v>35840</v>
      </c>
      <c r="J1785" s="20">
        <f t="shared" si="27"/>
        <v>0.34782608695652173</v>
      </c>
    </row>
    <row r="1786" spans="1:10" x14ac:dyDescent="0.3">
      <c r="A1786" s="33">
        <v>1785</v>
      </c>
      <c r="B1786" s="4">
        <v>58</v>
      </c>
      <c r="C1786" s="15">
        <v>124</v>
      </c>
      <c r="D1786" s="16">
        <v>3</v>
      </c>
      <c r="E1786" s="22">
        <v>44204</v>
      </c>
      <c r="F1786" s="19">
        <v>8</v>
      </c>
      <c r="G1786" s="18">
        <v>0.06</v>
      </c>
      <c r="H1786">
        <f>F1786*VLOOKUP(B1786,產品!$A$2:$H$61,7,FALSE)*(1-銷售總表!G1786)</f>
        <v>157920</v>
      </c>
      <c r="I1786" s="35">
        <f>H1786-F1786*VLOOKUP(銷售總表!B1786,產品!$A$2:$H$61,8,FALSE)</f>
        <v>40320.000000000015</v>
      </c>
      <c r="J1786" s="20">
        <f t="shared" si="27"/>
        <v>0.2553191489361703</v>
      </c>
    </row>
    <row r="1787" spans="1:10" x14ac:dyDescent="0.3">
      <c r="A1787" s="33">
        <v>1786</v>
      </c>
      <c r="B1787" s="4">
        <v>31</v>
      </c>
      <c r="C1787" s="15">
        <v>10</v>
      </c>
      <c r="D1787" s="16">
        <v>3</v>
      </c>
      <c r="E1787" s="22">
        <v>44205</v>
      </c>
      <c r="F1787" s="19">
        <v>5</v>
      </c>
      <c r="G1787" s="18">
        <v>0.15</v>
      </c>
      <c r="H1787">
        <f>F1787*VLOOKUP(B1787,產品!$A$2:$H$61,7,FALSE)*(1-銷售總表!G1787)</f>
        <v>29750</v>
      </c>
      <c r="I1787" s="35">
        <f>H1787-F1787*VLOOKUP(銷售總表!B1787,產品!$A$2:$H$61,8,FALSE)</f>
        <v>8750</v>
      </c>
      <c r="J1787" s="20">
        <f t="shared" si="27"/>
        <v>0.29411764705882354</v>
      </c>
    </row>
    <row r="1788" spans="1:10" x14ac:dyDescent="0.3">
      <c r="A1788" s="33">
        <v>1787</v>
      </c>
      <c r="B1788" s="4">
        <v>58</v>
      </c>
      <c r="C1788" s="15">
        <v>270</v>
      </c>
      <c r="D1788" s="16">
        <v>8</v>
      </c>
      <c r="E1788" s="22">
        <v>44206</v>
      </c>
      <c r="F1788" s="17">
        <v>3</v>
      </c>
      <c r="G1788" s="18">
        <v>7.0000000000000007E-2</v>
      </c>
      <c r="H1788">
        <f>F1788*VLOOKUP(B1788,產品!$A$2:$H$61,7,FALSE)*(1-銷售總表!G1788)</f>
        <v>58589.999999999993</v>
      </c>
      <c r="I1788" s="35">
        <f>H1788-F1788*VLOOKUP(銷售總表!B1788,產品!$A$2:$H$61,8,FALSE)</f>
        <v>14490</v>
      </c>
      <c r="J1788" s="20">
        <f t="shared" si="27"/>
        <v>0.24731182795698928</v>
      </c>
    </row>
    <row r="1789" spans="1:10" x14ac:dyDescent="0.3">
      <c r="A1789" s="33">
        <v>1788</v>
      </c>
      <c r="B1789" s="4">
        <v>14</v>
      </c>
      <c r="C1789" s="15">
        <v>125</v>
      </c>
      <c r="D1789" s="16">
        <v>10</v>
      </c>
      <c r="E1789" s="22">
        <v>44206</v>
      </c>
      <c r="F1789" s="17">
        <v>30</v>
      </c>
      <c r="G1789" s="18">
        <v>0.05</v>
      </c>
      <c r="H1789">
        <f>F1789*VLOOKUP(B1789,產品!$A$2:$H$61,7,FALSE)*(1-銷售總表!G1789)</f>
        <v>51300</v>
      </c>
      <c r="I1789" s="35">
        <f>H1789-F1789*VLOOKUP(銷售總表!B1789,產品!$A$2:$H$61,8,FALSE)</f>
        <v>29700</v>
      </c>
      <c r="J1789" s="20">
        <f t="shared" si="27"/>
        <v>0.57894736842105265</v>
      </c>
    </row>
    <row r="1790" spans="1:10" x14ac:dyDescent="0.3">
      <c r="A1790" s="33">
        <v>1789</v>
      </c>
      <c r="B1790" s="4">
        <v>58</v>
      </c>
      <c r="C1790" s="15">
        <v>5</v>
      </c>
      <c r="D1790" s="16">
        <v>8</v>
      </c>
      <c r="E1790" s="22">
        <v>44206</v>
      </c>
      <c r="F1790" s="17">
        <v>15</v>
      </c>
      <c r="G1790" s="18">
        <v>0.15</v>
      </c>
      <c r="H1790">
        <f>F1790*VLOOKUP(B1790,產品!$A$2:$H$61,7,FALSE)*(1-銷售總表!G1790)</f>
        <v>267750</v>
      </c>
      <c r="I1790" s="35">
        <f>H1790-F1790*VLOOKUP(銷售總表!B1790,產品!$A$2:$H$61,8,FALSE)</f>
        <v>47250.000000000029</v>
      </c>
      <c r="J1790" s="20">
        <f t="shared" si="27"/>
        <v>0.17647058823529424</v>
      </c>
    </row>
    <row r="1791" spans="1:10" x14ac:dyDescent="0.3">
      <c r="A1791" s="33">
        <v>1790</v>
      </c>
      <c r="B1791" s="4">
        <v>40</v>
      </c>
      <c r="C1791" s="15">
        <v>293</v>
      </c>
      <c r="D1791" s="16">
        <v>3</v>
      </c>
      <c r="E1791" s="22">
        <v>44207</v>
      </c>
      <c r="F1791" s="17">
        <v>5</v>
      </c>
      <c r="G1791" s="18">
        <v>0.08</v>
      </c>
      <c r="H1791">
        <f>F1791*VLOOKUP(B1791,產品!$A$2:$H$61,7,FALSE)*(1-銷售總表!G1791)</f>
        <v>92000</v>
      </c>
      <c r="I1791" s="35">
        <f>H1791-F1791*VLOOKUP(銷售總表!B1791,產品!$A$2:$H$61,8,FALSE)</f>
        <v>27000</v>
      </c>
      <c r="J1791" s="20">
        <f t="shared" si="27"/>
        <v>0.29347826086956524</v>
      </c>
    </row>
    <row r="1792" spans="1:10" x14ac:dyDescent="0.3">
      <c r="A1792" s="33">
        <v>1791</v>
      </c>
      <c r="B1792" s="4">
        <v>35</v>
      </c>
      <c r="C1792" s="15">
        <v>284</v>
      </c>
      <c r="D1792" s="16">
        <v>6</v>
      </c>
      <c r="E1792" s="22">
        <v>44208</v>
      </c>
      <c r="F1792" s="19">
        <v>3</v>
      </c>
      <c r="G1792" s="18">
        <v>0.14000000000000001</v>
      </c>
      <c r="H1792">
        <f>F1792*VLOOKUP(B1792,產品!$A$2:$H$61,7,FALSE)*(1-銷售總表!G1792)</f>
        <v>21930</v>
      </c>
      <c r="I1792" s="35">
        <f>H1792-F1792*VLOOKUP(銷售總表!B1792,產品!$A$2:$H$61,8,FALSE)</f>
        <v>6630</v>
      </c>
      <c r="J1792" s="20">
        <f t="shared" si="27"/>
        <v>0.30232558139534882</v>
      </c>
    </row>
    <row r="1793" spans="1:10" x14ac:dyDescent="0.3">
      <c r="A1793" s="33">
        <v>1792</v>
      </c>
      <c r="B1793" s="4">
        <v>42</v>
      </c>
      <c r="C1793" s="15">
        <v>126</v>
      </c>
      <c r="D1793" s="16">
        <v>2</v>
      </c>
      <c r="E1793" s="22">
        <v>44208</v>
      </c>
      <c r="F1793" s="19">
        <v>2</v>
      </c>
      <c r="G1793" s="18">
        <v>0.11</v>
      </c>
      <c r="H1793">
        <f>F1793*VLOOKUP(B1793,產品!$A$2:$H$61,7,FALSE)*(1-銷售總表!G1793)</f>
        <v>26700</v>
      </c>
      <c r="I1793" s="35">
        <f>H1793-F1793*VLOOKUP(銷售總表!B1793,產品!$A$2:$H$61,8,FALSE)</f>
        <v>7200</v>
      </c>
      <c r="J1793" s="20">
        <f t="shared" si="27"/>
        <v>0.2696629213483146</v>
      </c>
    </row>
    <row r="1794" spans="1:10" x14ac:dyDescent="0.3">
      <c r="A1794" s="33">
        <v>1793</v>
      </c>
      <c r="B1794" s="4">
        <v>17</v>
      </c>
      <c r="C1794" s="15">
        <v>12</v>
      </c>
      <c r="D1794" s="16">
        <v>1</v>
      </c>
      <c r="E1794" s="22">
        <v>44208</v>
      </c>
      <c r="F1794" s="17">
        <v>90</v>
      </c>
      <c r="G1794" s="18">
        <v>0.2</v>
      </c>
      <c r="H1794">
        <f>F1794*VLOOKUP(B1794,產品!$A$2:$H$61,7,FALSE)*(1-銷售總表!G1794)</f>
        <v>129600</v>
      </c>
      <c r="I1794" s="35">
        <f>H1794-F1794*VLOOKUP(銷售總表!B1794,產品!$A$2:$H$61,8,FALSE)</f>
        <v>64800</v>
      </c>
      <c r="J1794" s="20">
        <f t="shared" si="27"/>
        <v>0.5</v>
      </c>
    </row>
    <row r="1795" spans="1:10" x14ac:dyDescent="0.3">
      <c r="A1795" s="33">
        <v>1794</v>
      </c>
      <c r="B1795" s="4">
        <v>32</v>
      </c>
      <c r="C1795" s="15">
        <v>264</v>
      </c>
      <c r="D1795" s="16">
        <v>7</v>
      </c>
      <c r="E1795" s="22">
        <v>44209</v>
      </c>
      <c r="F1795" s="19">
        <v>2</v>
      </c>
      <c r="G1795" s="18">
        <v>0.1</v>
      </c>
      <c r="H1795">
        <f>F1795*VLOOKUP(B1795,產品!$A$2:$H$61,7,FALSE)*(1-銷售總表!G1795)</f>
        <v>13500</v>
      </c>
      <c r="I1795" s="35">
        <f>H1795-F1795*VLOOKUP(銷售總表!B1795,產品!$A$2:$H$61,8,FALSE)</f>
        <v>4500</v>
      </c>
      <c r="J1795" s="20">
        <f t="shared" ref="J1795:J1858" si="28">I1795/H1795</f>
        <v>0.33333333333333331</v>
      </c>
    </row>
    <row r="1796" spans="1:10" x14ac:dyDescent="0.3">
      <c r="A1796" s="33">
        <v>1795</v>
      </c>
      <c r="B1796" s="4">
        <v>52</v>
      </c>
      <c r="C1796" s="15">
        <v>265</v>
      </c>
      <c r="D1796" s="16">
        <v>10</v>
      </c>
      <c r="E1796" s="22">
        <v>44209</v>
      </c>
      <c r="F1796" s="17">
        <v>2</v>
      </c>
      <c r="G1796" s="18">
        <v>0.15</v>
      </c>
      <c r="H1796">
        <f>F1796*VLOOKUP(B1796,產品!$A$2:$H$61,7,FALSE)*(1-銷售總表!G1796)</f>
        <v>37400</v>
      </c>
      <c r="I1796" s="35">
        <f>H1796-F1796*VLOOKUP(銷售總表!B1796,產品!$A$2:$H$61,8,FALSE)</f>
        <v>6600.0000000000036</v>
      </c>
      <c r="J1796" s="20">
        <f t="shared" si="28"/>
        <v>0.17647058823529421</v>
      </c>
    </row>
    <row r="1797" spans="1:10" x14ac:dyDescent="0.3">
      <c r="A1797" s="33">
        <v>1796</v>
      </c>
      <c r="B1797" s="4">
        <v>44</v>
      </c>
      <c r="C1797" s="15">
        <v>264</v>
      </c>
      <c r="D1797" s="16">
        <v>7</v>
      </c>
      <c r="E1797" s="22">
        <v>44209</v>
      </c>
      <c r="F1797" s="19">
        <v>2</v>
      </c>
      <c r="G1797" s="18">
        <v>0.1</v>
      </c>
      <c r="H1797">
        <f>F1797*VLOOKUP(B1797,產品!$A$2:$H$61,7,FALSE)*(1-銷售總表!G1797)</f>
        <v>36000</v>
      </c>
      <c r="I1797" s="35">
        <f>H1797-F1797*VLOOKUP(銷售總表!B1797,產品!$A$2:$H$61,8,FALSE)</f>
        <v>10000</v>
      </c>
      <c r="J1797" s="20">
        <f t="shared" si="28"/>
        <v>0.27777777777777779</v>
      </c>
    </row>
    <row r="1798" spans="1:10" x14ac:dyDescent="0.3">
      <c r="A1798" s="33">
        <v>1797</v>
      </c>
      <c r="B1798" s="4">
        <v>39</v>
      </c>
      <c r="C1798" s="15">
        <v>266</v>
      </c>
      <c r="D1798" s="16">
        <v>1</v>
      </c>
      <c r="E1798" s="22">
        <v>44209</v>
      </c>
      <c r="F1798" s="19">
        <v>13</v>
      </c>
      <c r="G1798" s="18">
        <v>0.14000000000000001</v>
      </c>
      <c r="H1798">
        <f>F1798*VLOOKUP(B1798,產品!$A$2:$H$61,7,FALSE)*(1-銷售總表!G1798)</f>
        <v>201240</v>
      </c>
      <c r="I1798" s="35">
        <f>H1798-F1798*VLOOKUP(銷售總表!B1798,產品!$A$2:$H$61,8,FALSE)</f>
        <v>49140</v>
      </c>
      <c r="J1798" s="20">
        <f t="shared" si="28"/>
        <v>0.2441860465116279</v>
      </c>
    </row>
    <row r="1799" spans="1:10" x14ac:dyDescent="0.3">
      <c r="A1799" s="33">
        <v>1798</v>
      </c>
      <c r="B1799" s="4">
        <v>25</v>
      </c>
      <c r="C1799" s="15">
        <v>259</v>
      </c>
      <c r="D1799" s="16">
        <v>10</v>
      </c>
      <c r="E1799" s="22">
        <v>44210</v>
      </c>
      <c r="F1799" s="17">
        <v>15</v>
      </c>
      <c r="G1799" s="18">
        <v>0.16</v>
      </c>
      <c r="H1799">
        <f>F1799*VLOOKUP(B1799,產品!$A$2:$H$61,7,FALSE)*(1-銷售總表!G1799)</f>
        <v>75600</v>
      </c>
      <c r="I1799" s="35">
        <f>H1799-F1799*VLOOKUP(銷售總表!B1799,產品!$A$2:$H$61,8,FALSE)</f>
        <v>21600</v>
      </c>
      <c r="J1799" s="20">
        <f t="shared" si="28"/>
        <v>0.2857142857142857</v>
      </c>
    </row>
    <row r="1800" spans="1:10" x14ac:dyDescent="0.3">
      <c r="A1800" s="33">
        <v>1799</v>
      </c>
      <c r="B1800" s="4">
        <v>5</v>
      </c>
      <c r="C1800" s="15">
        <v>290</v>
      </c>
      <c r="D1800" s="16">
        <v>2</v>
      </c>
      <c r="E1800" s="22">
        <v>44210</v>
      </c>
      <c r="F1800" s="17">
        <v>80</v>
      </c>
      <c r="G1800" s="18">
        <v>0.2</v>
      </c>
      <c r="H1800">
        <f>F1800*VLOOKUP(B1800,產品!$A$2:$H$61,7,FALSE)*(1-銷售總表!G1800)</f>
        <v>64000</v>
      </c>
      <c r="I1800" s="35">
        <f>H1800-F1800*VLOOKUP(銷售總表!B1800,產品!$A$2:$H$61,8,FALSE)</f>
        <v>32000</v>
      </c>
      <c r="J1800" s="20">
        <f t="shared" si="28"/>
        <v>0.5</v>
      </c>
    </row>
    <row r="1801" spans="1:10" x14ac:dyDescent="0.3">
      <c r="A1801" s="33">
        <v>1800</v>
      </c>
      <c r="B1801" s="4">
        <v>12</v>
      </c>
      <c r="C1801" s="15">
        <v>136</v>
      </c>
      <c r="D1801" s="16">
        <v>2</v>
      </c>
      <c r="E1801" s="22">
        <v>44210</v>
      </c>
      <c r="F1801" s="19">
        <v>70</v>
      </c>
      <c r="G1801" s="18">
        <v>0.11</v>
      </c>
      <c r="H1801">
        <f>F1801*VLOOKUP(B1801,產品!$A$2:$H$61,7,FALSE)*(1-銷售總表!G1801)</f>
        <v>62300</v>
      </c>
      <c r="I1801" s="35">
        <f>H1801-F1801*VLOOKUP(銷售總表!B1801,產品!$A$2:$H$61,8,FALSE)</f>
        <v>34300</v>
      </c>
      <c r="J1801" s="20">
        <f t="shared" si="28"/>
        <v>0.550561797752809</v>
      </c>
    </row>
    <row r="1802" spans="1:10" x14ac:dyDescent="0.3">
      <c r="A1802" s="33">
        <v>1801</v>
      </c>
      <c r="B1802" s="4">
        <v>29</v>
      </c>
      <c r="C1802" s="15">
        <v>9</v>
      </c>
      <c r="D1802" s="16">
        <v>9</v>
      </c>
      <c r="E1802" s="22">
        <v>44210</v>
      </c>
      <c r="F1802" s="17">
        <v>20</v>
      </c>
      <c r="G1802" s="18">
        <v>0.09</v>
      </c>
      <c r="H1802">
        <f>F1802*VLOOKUP(B1802,產品!$A$2:$H$61,7,FALSE)*(1-銷售總表!G1802)</f>
        <v>109200</v>
      </c>
      <c r="I1802" s="35">
        <f>H1802-F1802*VLOOKUP(銷售總表!B1802,產品!$A$2:$H$61,8,FALSE)</f>
        <v>37200</v>
      </c>
      <c r="J1802" s="20">
        <f t="shared" si="28"/>
        <v>0.34065934065934067</v>
      </c>
    </row>
    <row r="1803" spans="1:10" x14ac:dyDescent="0.3">
      <c r="A1803" s="33">
        <v>1802</v>
      </c>
      <c r="B1803" s="4">
        <v>50</v>
      </c>
      <c r="C1803" s="15">
        <v>123</v>
      </c>
      <c r="D1803" s="16">
        <v>5</v>
      </c>
      <c r="E1803" s="22">
        <v>44210</v>
      </c>
      <c r="F1803" s="19">
        <v>10</v>
      </c>
      <c r="G1803" s="18">
        <v>0.08</v>
      </c>
      <c r="H1803">
        <f>F1803*VLOOKUP(B1803,產品!$A$2:$H$61,7,FALSE)*(1-銷售總表!G1803)</f>
        <v>165600</v>
      </c>
      <c r="I1803" s="35">
        <f>H1803-F1803*VLOOKUP(銷售總表!B1803,產品!$A$2:$H$61,8,FALSE)</f>
        <v>39600</v>
      </c>
      <c r="J1803" s="20">
        <f t="shared" si="28"/>
        <v>0.2391304347826087</v>
      </c>
    </row>
    <row r="1804" spans="1:10" x14ac:dyDescent="0.3">
      <c r="A1804" s="33">
        <v>1803</v>
      </c>
      <c r="B1804" s="4">
        <v>42</v>
      </c>
      <c r="C1804" s="15">
        <v>125</v>
      </c>
      <c r="D1804" s="16">
        <v>3</v>
      </c>
      <c r="E1804" s="22">
        <v>44210</v>
      </c>
      <c r="F1804" s="17">
        <v>15</v>
      </c>
      <c r="G1804" s="18">
        <v>7.0000000000000007E-2</v>
      </c>
      <c r="H1804">
        <f>F1804*VLOOKUP(B1804,產品!$A$2:$H$61,7,FALSE)*(1-銷售總表!G1804)</f>
        <v>209250</v>
      </c>
      <c r="I1804" s="35">
        <f>H1804-F1804*VLOOKUP(銷售總表!B1804,產品!$A$2:$H$61,8,FALSE)</f>
        <v>63000</v>
      </c>
      <c r="J1804" s="20">
        <f t="shared" si="28"/>
        <v>0.30107526881720431</v>
      </c>
    </row>
    <row r="1805" spans="1:10" x14ac:dyDescent="0.3">
      <c r="A1805" s="33">
        <v>1804</v>
      </c>
      <c r="B1805" s="4">
        <v>44</v>
      </c>
      <c r="C1805" s="15">
        <v>4</v>
      </c>
      <c r="D1805" s="16">
        <v>8</v>
      </c>
      <c r="E1805" s="22">
        <v>44211</v>
      </c>
      <c r="F1805" s="17">
        <v>3</v>
      </c>
      <c r="G1805" s="18">
        <v>0.19</v>
      </c>
      <c r="H1805">
        <f>F1805*VLOOKUP(B1805,產品!$A$2:$H$61,7,FALSE)*(1-銷售總表!G1805)</f>
        <v>48600</v>
      </c>
      <c r="I1805" s="35">
        <f>H1805-F1805*VLOOKUP(銷售總表!B1805,產品!$A$2:$H$61,8,FALSE)</f>
        <v>9600</v>
      </c>
      <c r="J1805" s="20">
        <f t="shared" si="28"/>
        <v>0.19753086419753085</v>
      </c>
    </row>
    <row r="1806" spans="1:10" x14ac:dyDescent="0.3">
      <c r="A1806" s="33">
        <v>1805</v>
      </c>
      <c r="B1806" s="4">
        <v>24</v>
      </c>
      <c r="C1806" s="15">
        <v>267</v>
      </c>
      <c r="D1806" s="16">
        <v>5</v>
      </c>
      <c r="E1806" s="22">
        <v>44211</v>
      </c>
      <c r="F1806" s="17">
        <v>14</v>
      </c>
      <c r="G1806" s="18">
        <v>0.2</v>
      </c>
      <c r="H1806">
        <f>F1806*VLOOKUP(B1806,產品!$A$2:$H$61,7,FALSE)*(1-銷售總表!G1806)</f>
        <v>20160</v>
      </c>
      <c r="I1806" s="35">
        <f>H1806-F1806*VLOOKUP(銷售總表!B1806,產品!$A$2:$H$61,8,FALSE)</f>
        <v>10080</v>
      </c>
      <c r="J1806" s="20">
        <f t="shared" si="28"/>
        <v>0.5</v>
      </c>
    </row>
    <row r="1807" spans="1:10" x14ac:dyDescent="0.3">
      <c r="A1807" s="33">
        <v>1806</v>
      </c>
      <c r="B1807" s="4">
        <v>21</v>
      </c>
      <c r="C1807" s="15">
        <v>280</v>
      </c>
      <c r="D1807" s="16">
        <v>9</v>
      </c>
      <c r="E1807" s="22">
        <v>44211</v>
      </c>
      <c r="F1807" s="17">
        <v>20</v>
      </c>
      <c r="G1807" s="18">
        <v>7.0000000000000007E-2</v>
      </c>
      <c r="H1807">
        <f>F1807*VLOOKUP(B1807,產品!$A$2:$H$61,7,FALSE)*(1-銷售總表!G1807)</f>
        <v>33480</v>
      </c>
      <c r="I1807" s="35">
        <f>H1807-F1807*VLOOKUP(銷售總表!B1807,產品!$A$2:$H$61,8,FALSE)</f>
        <v>19080</v>
      </c>
      <c r="J1807" s="20">
        <f t="shared" si="28"/>
        <v>0.56989247311827962</v>
      </c>
    </row>
    <row r="1808" spans="1:10" x14ac:dyDescent="0.3">
      <c r="A1808" s="33">
        <v>1807</v>
      </c>
      <c r="B1808" s="4">
        <v>18</v>
      </c>
      <c r="C1808" s="15">
        <v>7</v>
      </c>
      <c r="D1808" s="16">
        <v>3</v>
      </c>
      <c r="E1808" s="22">
        <v>44211</v>
      </c>
      <c r="F1808" s="19">
        <v>30</v>
      </c>
      <c r="G1808" s="18">
        <v>0.2</v>
      </c>
      <c r="H1808">
        <f>F1808*VLOOKUP(B1808,產品!$A$2:$H$61,7,FALSE)*(1-銷售總表!G1808)</f>
        <v>43200</v>
      </c>
      <c r="I1808" s="35">
        <f>H1808-F1808*VLOOKUP(銷售總表!B1808,產品!$A$2:$H$61,8,FALSE)</f>
        <v>21600</v>
      </c>
      <c r="J1808" s="20">
        <f t="shared" si="28"/>
        <v>0.5</v>
      </c>
    </row>
    <row r="1809" spans="1:10" x14ac:dyDescent="0.3">
      <c r="A1809" s="33">
        <v>1808</v>
      </c>
      <c r="B1809" s="4">
        <v>21</v>
      </c>
      <c r="C1809" s="15">
        <v>11</v>
      </c>
      <c r="D1809" s="16">
        <v>2</v>
      </c>
      <c r="E1809" s="22">
        <v>44211</v>
      </c>
      <c r="F1809" s="17">
        <v>30</v>
      </c>
      <c r="G1809" s="18">
        <v>0.12</v>
      </c>
      <c r="H1809">
        <f>F1809*VLOOKUP(B1809,產品!$A$2:$H$61,7,FALSE)*(1-銷售總表!G1809)</f>
        <v>47520</v>
      </c>
      <c r="I1809" s="35">
        <f>H1809-F1809*VLOOKUP(銷售總表!B1809,產品!$A$2:$H$61,8,FALSE)</f>
        <v>25920</v>
      </c>
      <c r="J1809" s="20">
        <f t="shared" si="28"/>
        <v>0.54545454545454541</v>
      </c>
    </row>
    <row r="1810" spans="1:10" x14ac:dyDescent="0.3">
      <c r="A1810" s="33">
        <v>1809</v>
      </c>
      <c r="B1810" s="4">
        <v>57</v>
      </c>
      <c r="C1810" s="15">
        <v>113</v>
      </c>
      <c r="D1810" s="16">
        <v>7</v>
      </c>
      <c r="E1810" s="22">
        <v>44211</v>
      </c>
      <c r="F1810" s="17">
        <v>10</v>
      </c>
      <c r="G1810" s="18">
        <v>0.05</v>
      </c>
      <c r="H1810">
        <f>F1810*VLOOKUP(B1810,產品!$A$2:$H$61,7,FALSE)*(1-銷售總表!G1810)</f>
        <v>171000</v>
      </c>
      <c r="I1810" s="35">
        <f>H1810-F1810*VLOOKUP(銷售總表!B1810,產品!$A$2:$H$61,8,FALSE)</f>
        <v>45000</v>
      </c>
      <c r="J1810" s="20">
        <f t="shared" si="28"/>
        <v>0.26315789473684209</v>
      </c>
    </row>
    <row r="1811" spans="1:10" x14ac:dyDescent="0.3">
      <c r="A1811" s="33">
        <v>1810</v>
      </c>
      <c r="B1811" s="4">
        <v>26</v>
      </c>
      <c r="C1811" s="15">
        <v>123</v>
      </c>
      <c r="D1811" s="16">
        <v>2</v>
      </c>
      <c r="E1811" s="22">
        <v>44212</v>
      </c>
      <c r="F1811" s="19">
        <v>10</v>
      </c>
      <c r="G1811" s="18">
        <v>0.17</v>
      </c>
      <c r="H1811">
        <f>F1811*VLOOKUP(B1811,產品!$A$2:$H$61,7,FALSE)*(1-銷售總表!G1811)</f>
        <v>53950</v>
      </c>
      <c r="I1811" s="35">
        <f>H1811-F1811*VLOOKUP(銷售總表!B1811,產品!$A$2:$H$61,8,FALSE)</f>
        <v>14950</v>
      </c>
      <c r="J1811" s="20">
        <f t="shared" si="28"/>
        <v>0.27710843373493976</v>
      </c>
    </row>
    <row r="1812" spans="1:10" x14ac:dyDescent="0.3">
      <c r="A1812" s="33">
        <v>1811</v>
      </c>
      <c r="B1812" s="4">
        <v>45</v>
      </c>
      <c r="C1812" s="15">
        <v>7</v>
      </c>
      <c r="D1812" s="16">
        <v>2</v>
      </c>
      <c r="E1812" s="22">
        <v>44212</v>
      </c>
      <c r="F1812" s="19">
        <v>10</v>
      </c>
      <c r="G1812" s="18">
        <v>0.12</v>
      </c>
      <c r="H1812">
        <f>F1812*VLOOKUP(B1812,產品!$A$2:$H$61,7,FALSE)*(1-銷售總表!G1812)</f>
        <v>123200</v>
      </c>
      <c r="I1812" s="35">
        <f>H1812-F1812*VLOOKUP(銷售總表!B1812,產品!$A$2:$H$61,8,FALSE)</f>
        <v>32200</v>
      </c>
      <c r="J1812" s="20">
        <f t="shared" si="28"/>
        <v>0.26136363636363635</v>
      </c>
    </row>
    <row r="1813" spans="1:10" x14ac:dyDescent="0.3">
      <c r="A1813" s="33">
        <v>1812</v>
      </c>
      <c r="B1813" s="4">
        <v>56</v>
      </c>
      <c r="C1813" s="15">
        <v>124</v>
      </c>
      <c r="D1813" s="16">
        <v>9</v>
      </c>
      <c r="E1813" s="22">
        <v>44212</v>
      </c>
      <c r="F1813" s="19">
        <v>2</v>
      </c>
      <c r="G1813" s="18">
        <v>0.12</v>
      </c>
      <c r="H1813">
        <f>F1813*VLOOKUP(B1813,產品!$A$2:$H$61,7,FALSE)*(1-銷售總表!G1813)</f>
        <v>38720</v>
      </c>
      <c r="I1813" s="35">
        <f>H1813-F1813*VLOOKUP(銷售總表!B1813,產品!$A$2:$H$61,8,FALSE)</f>
        <v>7920.0000000000036</v>
      </c>
      <c r="J1813" s="20">
        <f t="shared" si="28"/>
        <v>0.20454545454545464</v>
      </c>
    </row>
    <row r="1814" spans="1:10" x14ac:dyDescent="0.3">
      <c r="A1814" s="33">
        <v>1813</v>
      </c>
      <c r="B1814" s="4">
        <v>51</v>
      </c>
      <c r="C1814" s="15">
        <v>262</v>
      </c>
      <c r="D1814" s="16">
        <v>8</v>
      </c>
      <c r="E1814" s="22">
        <v>44212</v>
      </c>
      <c r="F1814" s="19">
        <v>7</v>
      </c>
      <c r="G1814" s="18">
        <v>0.18</v>
      </c>
      <c r="H1814">
        <f>F1814*VLOOKUP(B1814,產品!$A$2:$H$61,7,FALSE)*(1-銷售總表!G1814)</f>
        <v>114800.00000000001</v>
      </c>
      <c r="I1814" s="35">
        <f>H1814-F1814*VLOOKUP(銷售總表!B1814,產品!$A$2:$H$61,8,FALSE)</f>
        <v>16800.000000000015</v>
      </c>
      <c r="J1814" s="20">
        <f t="shared" si="28"/>
        <v>0.14634146341463425</v>
      </c>
    </row>
    <row r="1815" spans="1:10" x14ac:dyDescent="0.3">
      <c r="A1815" s="33">
        <v>1814</v>
      </c>
      <c r="B1815" s="4">
        <v>58</v>
      </c>
      <c r="C1815" s="15">
        <v>4</v>
      </c>
      <c r="D1815" s="16">
        <v>2</v>
      </c>
      <c r="E1815" s="22">
        <v>44212</v>
      </c>
      <c r="F1815" s="19">
        <v>5</v>
      </c>
      <c r="G1815" s="18">
        <v>0.06</v>
      </c>
      <c r="H1815">
        <f>F1815*VLOOKUP(B1815,產品!$A$2:$H$61,7,FALSE)*(1-銷售總表!G1815)</f>
        <v>98700</v>
      </c>
      <c r="I1815" s="35">
        <f>H1815-F1815*VLOOKUP(銷售總表!B1815,產品!$A$2:$H$61,8,FALSE)</f>
        <v>25200.000000000015</v>
      </c>
      <c r="J1815" s="20">
        <f t="shared" si="28"/>
        <v>0.25531914893617036</v>
      </c>
    </row>
    <row r="1816" spans="1:10" x14ac:dyDescent="0.3">
      <c r="A1816" s="33">
        <v>1815</v>
      </c>
      <c r="B1816" s="4">
        <v>22</v>
      </c>
      <c r="C1816" s="15">
        <v>279</v>
      </c>
      <c r="D1816" s="16">
        <v>9</v>
      </c>
      <c r="E1816" s="22">
        <v>44212</v>
      </c>
      <c r="F1816" s="19">
        <v>30</v>
      </c>
      <c r="G1816" s="18">
        <v>0.09</v>
      </c>
      <c r="H1816">
        <f>F1816*VLOOKUP(B1816,產品!$A$2:$H$61,7,FALSE)*(1-銷售總表!G1816)</f>
        <v>49140</v>
      </c>
      <c r="I1816" s="35">
        <f>H1816-F1816*VLOOKUP(銷售總表!B1816,產品!$A$2:$H$61,8,FALSE)</f>
        <v>27540</v>
      </c>
      <c r="J1816" s="20">
        <f t="shared" si="28"/>
        <v>0.56043956043956045</v>
      </c>
    </row>
    <row r="1817" spans="1:10" x14ac:dyDescent="0.3">
      <c r="A1817" s="33">
        <v>1816</v>
      </c>
      <c r="B1817" s="4">
        <v>53</v>
      </c>
      <c r="C1817" s="15">
        <v>4</v>
      </c>
      <c r="D1817" s="16">
        <v>1</v>
      </c>
      <c r="E1817" s="22">
        <v>44213</v>
      </c>
      <c r="F1817" s="19">
        <v>10</v>
      </c>
      <c r="G1817" s="18">
        <v>0.14000000000000001</v>
      </c>
      <c r="H1817">
        <f>F1817*VLOOKUP(B1817,產品!$A$2:$H$61,7,FALSE)*(1-銷售總表!G1817)</f>
        <v>129000</v>
      </c>
      <c r="I1817" s="35">
        <f>H1817-F1817*VLOOKUP(銷售總表!B1817,產品!$A$2:$H$61,8,FALSE)</f>
        <v>24000</v>
      </c>
      <c r="J1817" s="20">
        <f t="shared" si="28"/>
        <v>0.18604651162790697</v>
      </c>
    </row>
    <row r="1818" spans="1:10" x14ac:dyDescent="0.3">
      <c r="A1818" s="33">
        <v>1817</v>
      </c>
      <c r="B1818" s="4">
        <v>35</v>
      </c>
      <c r="C1818" s="15">
        <v>8</v>
      </c>
      <c r="D1818" s="16">
        <v>4</v>
      </c>
      <c r="E1818" s="22">
        <v>44214</v>
      </c>
      <c r="F1818" s="19">
        <v>10</v>
      </c>
      <c r="G1818" s="18">
        <v>0.15</v>
      </c>
      <c r="H1818">
        <f>F1818*VLOOKUP(B1818,產品!$A$2:$H$61,7,FALSE)*(1-銷售總表!G1818)</f>
        <v>72250</v>
      </c>
      <c r="I1818" s="35">
        <f>H1818-F1818*VLOOKUP(銷售總表!B1818,產品!$A$2:$H$61,8,FALSE)</f>
        <v>21250</v>
      </c>
      <c r="J1818" s="20">
        <f t="shared" si="28"/>
        <v>0.29411764705882354</v>
      </c>
    </row>
    <row r="1819" spans="1:10" x14ac:dyDescent="0.3">
      <c r="A1819" s="33">
        <v>1818</v>
      </c>
      <c r="B1819" s="4">
        <v>26</v>
      </c>
      <c r="C1819" s="15">
        <v>264</v>
      </c>
      <c r="D1819" s="16">
        <v>8</v>
      </c>
      <c r="E1819" s="22">
        <v>44215</v>
      </c>
      <c r="F1819" s="17">
        <v>10</v>
      </c>
      <c r="G1819" s="18">
        <v>0.17</v>
      </c>
      <c r="H1819">
        <f>F1819*VLOOKUP(B1819,產品!$A$2:$H$61,7,FALSE)*(1-銷售總表!G1819)</f>
        <v>53950</v>
      </c>
      <c r="I1819" s="35">
        <f>H1819-F1819*VLOOKUP(銷售總表!B1819,產品!$A$2:$H$61,8,FALSE)</f>
        <v>14950</v>
      </c>
      <c r="J1819" s="20">
        <f t="shared" si="28"/>
        <v>0.27710843373493976</v>
      </c>
    </row>
    <row r="1820" spans="1:10" x14ac:dyDescent="0.3">
      <c r="A1820" s="33">
        <v>1819</v>
      </c>
      <c r="B1820" s="4">
        <v>53</v>
      </c>
      <c r="C1820" s="15">
        <v>280</v>
      </c>
      <c r="D1820" s="16">
        <v>6</v>
      </c>
      <c r="E1820" s="22">
        <v>44215</v>
      </c>
      <c r="F1820" s="19">
        <v>2</v>
      </c>
      <c r="G1820" s="18">
        <v>0.1</v>
      </c>
      <c r="H1820">
        <f>F1820*VLOOKUP(B1820,產品!$A$2:$H$61,7,FALSE)*(1-銷售總表!G1820)</f>
        <v>27000</v>
      </c>
      <c r="I1820" s="35">
        <f>H1820-F1820*VLOOKUP(銷售總表!B1820,產品!$A$2:$H$61,8,FALSE)</f>
        <v>6000</v>
      </c>
      <c r="J1820" s="20">
        <f t="shared" si="28"/>
        <v>0.22222222222222221</v>
      </c>
    </row>
    <row r="1821" spans="1:10" x14ac:dyDescent="0.3">
      <c r="A1821" s="33">
        <v>1820</v>
      </c>
      <c r="B1821" s="4">
        <v>1</v>
      </c>
      <c r="C1821" s="15">
        <v>2</v>
      </c>
      <c r="D1821" s="16">
        <v>5</v>
      </c>
      <c r="E1821" s="22">
        <v>44215</v>
      </c>
      <c r="F1821" s="19">
        <v>200</v>
      </c>
      <c r="G1821" s="18">
        <v>0.08</v>
      </c>
      <c r="H1821">
        <f>F1821*VLOOKUP(B1821,產品!$A$2:$H$61,7,FALSE)*(1-銷售總表!G1821)</f>
        <v>184000</v>
      </c>
      <c r="I1821" s="35">
        <f>H1821-F1821*VLOOKUP(銷售總表!B1821,產品!$A$2:$H$61,8,FALSE)</f>
        <v>104000</v>
      </c>
      <c r="J1821" s="20">
        <f t="shared" si="28"/>
        <v>0.56521739130434778</v>
      </c>
    </row>
    <row r="1822" spans="1:10" x14ac:dyDescent="0.3">
      <c r="A1822" s="33">
        <v>1821</v>
      </c>
      <c r="B1822" s="4">
        <v>15</v>
      </c>
      <c r="C1822" s="15">
        <v>11</v>
      </c>
      <c r="D1822" s="16">
        <v>9</v>
      </c>
      <c r="E1822" s="22">
        <v>44215</v>
      </c>
      <c r="F1822" s="17">
        <v>175</v>
      </c>
      <c r="G1822" s="18">
        <v>0.08</v>
      </c>
      <c r="H1822">
        <f>F1822*VLOOKUP(B1822,產品!$A$2:$H$61,7,FALSE)*(1-銷售總表!G1822)</f>
        <v>289800</v>
      </c>
      <c r="I1822" s="35">
        <f>H1822-F1822*VLOOKUP(銷售總表!B1822,產品!$A$2:$H$61,8,FALSE)</f>
        <v>163800</v>
      </c>
      <c r="J1822" s="20">
        <f t="shared" si="28"/>
        <v>0.56521739130434778</v>
      </c>
    </row>
    <row r="1823" spans="1:10" x14ac:dyDescent="0.3">
      <c r="A1823" s="33">
        <v>1822</v>
      </c>
      <c r="B1823" s="4">
        <v>27</v>
      </c>
      <c r="C1823" s="15">
        <v>135</v>
      </c>
      <c r="D1823" s="16">
        <v>5</v>
      </c>
      <c r="E1823" s="22">
        <v>44216</v>
      </c>
      <c r="F1823" s="19">
        <v>7</v>
      </c>
      <c r="G1823" s="18">
        <v>0.16</v>
      </c>
      <c r="H1823">
        <f>F1823*VLOOKUP(B1823,產品!$A$2:$H$61,7,FALSE)*(1-銷售總表!G1823)</f>
        <v>41160</v>
      </c>
      <c r="I1823" s="35">
        <f>H1823-F1823*VLOOKUP(銷售總表!B1823,產品!$A$2:$H$61,8,FALSE)</f>
        <v>11760</v>
      </c>
      <c r="J1823" s="20">
        <f t="shared" si="28"/>
        <v>0.2857142857142857</v>
      </c>
    </row>
    <row r="1824" spans="1:10" x14ac:dyDescent="0.3">
      <c r="A1824" s="33">
        <v>1823</v>
      </c>
      <c r="B1824" s="4">
        <v>29</v>
      </c>
      <c r="C1824" s="15">
        <v>259</v>
      </c>
      <c r="D1824" s="16">
        <v>4</v>
      </c>
      <c r="E1824" s="22">
        <v>44216</v>
      </c>
      <c r="F1824" s="19">
        <v>30</v>
      </c>
      <c r="G1824" s="18">
        <v>0.19</v>
      </c>
      <c r="H1824">
        <f>F1824*VLOOKUP(B1824,產品!$A$2:$H$61,7,FALSE)*(1-銷售總表!G1824)</f>
        <v>145800</v>
      </c>
      <c r="I1824" s="35">
        <f>H1824-F1824*VLOOKUP(銷售總表!B1824,產品!$A$2:$H$61,8,FALSE)</f>
        <v>37800</v>
      </c>
      <c r="J1824" s="20">
        <f t="shared" si="28"/>
        <v>0.25925925925925924</v>
      </c>
    </row>
    <row r="1825" spans="1:10" x14ac:dyDescent="0.3">
      <c r="A1825" s="33">
        <v>1824</v>
      </c>
      <c r="B1825" s="4">
        <v>36</v>
      </c>
      <c r="C1825" s="15">
        <v>287</v>
      </c>
      <c r="D1825" s="16">
        <v>4</v>
      </c>
      <c r="E1825" s="22">
        <v>44217</v>
      </c>
      <c r="F1825" s="17">
        <v>4</v>
      </c>
      <c r="G1825" s="18">
        <v>0.19</v>
      </c>
      <c r="H1825">
        <f>F1825*VLOOKUP(B1825,產品!$A$2:$H$61,7,FALSE)*(1-銷售總表!G1825)</f>
        <v>29160.000000000004</v>
      </c>
      <c r="I1825" s="35">
        <f>H1825-F1825*VLOOKUP(銷售總表!B1825,產品!$A$2:$H$61,8,FALSE)</f>
        <v>7560.0000000000036</v>
      </c>
      <c r="J1825" s="20">
        <f t="shared" si="28"/>
        <v>0.25925925925925936</v>
      </c>
    </row>
    <row r="1826" spans="1:10" x14ac:dyDescent="0.3">
      <c r="A1826" s="33">
        <v>1825</v>
      </c>
      <c r="B1826" s="4">
        <v>24</v>
      </c>
      <c r="C1826" s="15">
        <v>287</v>
      </c>
      <c r="D1826" s="16">
        <v>5</v>
      </c>
      <c r="E1826" s="22">
        <v>44217</v>
      </c>
      <c r="F1826" s="17">
        <v>13</v>
      </c>
      <c r="G1826" s="18">
        <v>0.05</v>
      </c>
      <c r="H1826">
        <f>F1826*VLOOKUP(B1826,產品!$A$2:$H$61,7,FALSE)*(1-銷售總表!G1826)</f>
        <v>22230</v>
      </c>
      <c r="I1826" s="35">
        <f>H1826-F1826*VLOOKUP(銷售總表!B1826,產品!$A$2:$H$61,8,FALSE)</f>
        <v>12870</v>
      </c>
      <c r="J1826" s="20">
        <f t="shared" si="28"/>
        <v>0.57894736842105265</v>
      </c>
    </row>
    <row r="1827" spans="1:10" x14ac:dyDescent="0.3">
      <c r="A1827" s="33">
        <v>1826</v>
      </c>
      <c r="B1827" s="4">
        <v>25</v>
      </c>
      <c r="C1827" s="15">
        <v>10</v>
      </c>
      <c r="D1827" s="16">
        <v>10</v>
      </c>
      <c r="E1827" s="22">
        <v>44217</v>
      </c>
      <c r="F1827" s="17">
        <v>8</v>
      </c>
      <c r="G1827" s="18">
        <v>7.0000000000000007E-2</v>
      </c>
      <c r="H1827">
        <f>F1827*VLOOKUP(B1827,產品!$A$2:$H$61,7,FALSE)*(1-銷售總表!G1827)</f>
        <v>44640</v>
      </c>
      <c r="I1827" s="35">
        <f>H1827-F1827*VLOOKUP(銷售總表!B1827,產品!$A$2:$H$61,8,FALSE)</f>
        <v>15840</v>
      </c>
      <c r="J1827" s="20">
        <f t="shared" si="28"/>
        <v>0.35483870967741937</v>
      </c>
    </row>
    <row r="1828" spans="1:10" x14ac:dyDescent="0.3">
      <c r="A1828" s="33">
        <v>1827</v>
      </c>
      <c r="B1828" s="4">
        <v>50</v>
      </c>
      <c r="C1828" s="15">
        <v>1</v>
      </c>
      <c r="D1828" s="16">
        <v>8</v>
      </c>
      <c r="E1828" s="22">
        <v>44217</v>
      </c>
      <c r="F1828" s="17">
        <v>6</v>
      </c>
      <c r="G1828" s="18">
        <v>0.14000000000000001</v>
      </c>
      <c r="H1828">
        <f>F1828*VLOOKUP(B1828,產品!$A$2:$H$61,7,FALSE)*(1-銷售總表!G1828)</f>
        <v>92880</v>
      </c>
      <c r="I1828" s="35">
        <f>H1828-F1828*VLOOKUP(銷售總表!B1828,產品!$A$2:$H$61,8,FALSE)</f>
        <v>17280</v>
      </c>
      <c r="J1828" s="20">
        <f t="shared" si="28"/>
        <v>0.18604651162790697</v>
      </c>
    </row>
    <row r="1829" spans="1:10" x14ac:dyDescent="0.3">
      <c r="A1829" s="33">
        <v>1828</v>
      </c>
      <c r="B1829" s="4">
        <v>9</v>
      </c>
      <c r="C1829" s="15">
        <v>293</v>
      </c>
      <c r="D1829" s="16">
        <v>7</v>
      </c>
      <c r="E1829" s="22">
        <v>44217</v>
      </c>
      <c r="F1829" s="19">
        <v>50</v>
      </c>
      <c r="G1829" s="18">
        <v>0.19</v>
      </c>
      <c r="H1829">
        <f>F1829*VLOOKUP(B1829,產品!$A$2:$H$61,7,FALSE)*(1-銷售總表!G1829)</f>
        <v>40500</v>
      </c>
      <c r="I1829" s="35">
        <f>H1829-F1829*VLOOKUP(銷售總表!B1829,產品!$A$2:$H$61,8,FALSE)</f>
        <v>20500</v>
      </c>
      <c r="J1829" s="20">
        <f t="shared" si="28"/>
        <v>0.50617283950617287</v>
      </c>
    </row>
    <row r="1830" spans="1:10" x14ac:dyDescent="0.3">
      <c r="A1830" s="33">
        <v>1829</v>
      </c>
      <c r="B1830" s="4">
        <v>27</v>
      </c>
      <c r="C1830" s="15">
        <v>11</v>
      </c>
      <c r="D1830" s="16">
        <v>7</v>
      </c>
      <c r="E1830" s="22">
        <v>44217</v>
      </c>
      <c r="F1830" s="19">
        <v>11</v>
      </c>
      <c r="G1830" s="18">
        <v>7.0000000000000007E-2</v>
      </c>
      <c r="H1830">
        <f>F1830*VLOOKUP(B1830,產品!$A$2:$H$61,7,FALSE)*(1-銷售總表!G1830)</f>
        <v>71610</v>
      </c>
      <c r="I1830" s="35">
        <f>H1830-F1830*VLOOKUP(銷售總表!B1830,產品!$A$2:$H$61,8,FALSE)</f>
        <v>25410</v>
      </c>
      <c r="J1830" s="20">
        <f t="shared" si="28"/>
        <v>0.35483870967741937</v>
      </c>
    </row>
    <row r="1831" spans="1:10" x14ac:dyDescent="0.3">
      <c r="A1831" s="33">
        <v>1830</v>
      </c>
      <c r="B1831" s="4">
        <v>54</v>
      </c>
      <c r="C1831" s="15">
        <v>112</v>
      </c>
      <c r="D1831" s="16">
        <v>9</v>
      </c>
      <c r="E1831" s="22">
        <v>44217</v>
      </c>
      <c r="F1831" s="19">
        <v>10</v>
      </c>
      <c r="G1831" s="18">
        <v>0.09</v>
      </c>
      <c r="H1831">
        <f>F1831*VLOOKUP(B1831,產品!$A$2:$H$61,7,FALSE)*(1-銷售總表!G1831)</f>
        <v>163800</v>
      </c>
      <c r="I1831" s="35">
        <f>H1831-F1831*VLOOKUP(銷售總表!B1831,產品!$A$2:$H$61,8,FALSE)</f>
        <v>37800</v>
      </c>
      <c r="J1831" s="20">
        <f t="shared" si="28"/>
        <v>0.23076923076923078</v>
      </c>
    </row>
    <row r="1832" spans="1:10" x14ac:dyDescent="0.3">
      <c r="A1832" s="33">
        <v>1831</v>
      </c>
      <c r="B1832" s="4">
        <v>14</v>
      </c>
      <c r="C1832" s="15">
        <v>123</v>
      </c>
      <c r="D1832" s="16">
        <v>5</v>
      </c>
      <c r="E1832" s="22">
        <v>44218</v>
      </c>
      <c r="F1832" s="17">
        <v>40</v>
      </c>
      <c r="G1832" s="18">
        <v>0.17</v>
      </c>
      <c r="H1832">
        <f>F1832*VLOOKUP(B1832,產品!$A$2:$H$61,7,FALSE)*(1-銷售總表!G1832)</f>
        <v>59760</v>
      </c>
      <c r="I1832" s="35">
        <f>H1832-F1832*VLOOKUP(銷售總表!B1832,產品!$A$2:$H$61,8,FALSE)</f>
        <v>30960</v>
      </c>
      <c r="J1832" s="20">
        <f t="shared" si="28"/>
        <v>0.51807228915662651</v>
      </c>
    </row>
    <row r="1833" spans="1:10" x14ac:dyDescent="0.3">
      <c r="A1833" s="33">
        <v>1832</v>
      </c>
      <c r="B1833" s="4">
        <v>55</v>
      </c>
      <c r="C1833" s="15">
        <v>283</v>
      </c>
      <c r="D1833" s="16">
        <v>8</v>
      </c>
      <c r="E1833" s="22">
        <v>44218</v>
      </c>
      <c r="F1833" s="17">
        <v>15</v>
      </c>
      <c r="G1833" s="18">
        <v>0.15</v>
      </c>
      <c r="H1833">
        <f>F1833*VLOOKUP(B1833,產品!$A$2:$H$61,7,FALSE)*(1-銷售總表!G1833)</f>
        <v>255000</v>
      </c>
      <c r="I1833" s="35">
        <f>H1833-F1833*VLOOKUP(銷售總表!B1833,產品!$A$2:$H$61,8,FALSE)</f>
        <v>45000</v>
      </c>
      <c r="J1833" s="20">
        <f t="shared" si="28"/>
        <v>0.17647058823529413</v>
      </c>
    </row>
    <row r="1834" spans="1:10" x14ac:dyDescent="0.3">
      <c r="A1834" s="33">
        <v>1833</v>
      </c>
      <c r="B1834" s="4">
        <v>58</v>
      </c>
      <c r="C1834" s="15">
        <v>113</v>
      </c>
      <c r="D1834" s="16">
        <v>6</v>
      </c>
      <c r="E1834" s="22">
        <v>44218</v>
      </c>
      <c r="F1834" s="19">
        <v>11</v>
      </c>
      <c r="G1834" s="18">
        <v>0.05</v>
      </c>
      <c r="H1834">
        <f>F1834*VLOOKUP(B1834,產品!$A$2:$H$61,7,FALSE)*(1-銷售總表!G1834)</f>
        <v>219450</v>
      </c>
      <c r="I1834" s="35">
        <f>H1834-F1834*VLOOKUP(銷售總表!B1834,產品!$A$2:$H$61,8,FALSE)</f>
        <v>57750.000000000029</v>
      </c>
      <c r="J1834" s="20">
        <f t="shared" si="28"/>
        <v>0.26315789473684226</v>
      </c>
    </row>
    <row r="1835" spans="1:10" x14ac:dyDescent="0.3">
      <c r="A1835" s="33">
        <v>1834</v>
      </c>
      <c r="B1835" s="4">
        <v>57</v>
      </c>
      <c r="C1835" s="15">
        <v>140</v>
      </c>
      <c r="D1835" s="16">
        <v>10</v>
      </c>
      <c r="E1835" s="22">
        <v>44219</v>
      </c>
      <c r="F1835" s="19">
        <v>10</v>
      </c>
      <c r="G1835" s="18">
        <v>0.12</v>
      </c>
      <c r="H1835">
        <f>F1835*VLOOKUP(B1835,產品!$A$2:$H$61,7,FALSE)*(1-銷售總表!G1835)</f>
        <v>158400</v>
      </c>
      <c r="I1835" s="35">
        <f>H1835-F1835*VLOOKUP(銷售總表!B1835,產品!$A$2:$H$61,8,FALSE)</f>
        <v>32400</v>
      </c>
      <c r="J1835" s="20">
        <f t="shared" si="28"/>
        <v>0.20454545454545456</v>
      </c>
    </row>
    <row r="1836" spans="1:10" x14ac:dyDescent="0.3">
      <c r="A1836" s="33">
        <v>1835</v>
      </c>
      <c r="B1836" s="4">
        <v>28</v>
      </c>
      <c r="C1836" s="15">
        <v>264</v>
      </c>
      <c r="D1836" s="16">
        <v>5</v>
      </c>
      <c r="E1836" s="22">
        <v>44219</v>
      </c>
      <c r="F1836" s="19">
        <v>3</v>
      </c>
      <c r="G1836" s="18">
        <v>0.2</v>
      </c>
      <c r="H1836">
        <f>F1836*VLOOKUP(B1836,產品!$A$2:$H$61,7,FALSE)*(1-銷售總表!G1836)</f>
        <v>18000</v>
      </c>
      <c r="I1836" s="35">
        <f>H1836-F1836*VLOOKUP(銷售總表!B1836,產品!$A$2:$H$61,8,FALSE)</f>
        <v>4500</v>
      </c>
      <c r="J1836" s="20">
        <f t="shared" si="28"/>
        <v>0.25</v>
      </c>
    </row>
    <row r="1837" spans="1:10" x14ac:dyDescent="0.3">
      <c r="A1837" s="33">
        <v>1836</v>
      </c>
      <c r="B1837" s="4">
        <v>46</v>
      </c>
      <c r="C1837" s="15">
        <v>280</v>
      </c>
      <c r="D1837" s="16">
        <v>5</v>
      </c>
      <c r="E1837" s="22">
        <v>44219</v>
      </c>
      <c r="F1837" s="17">
        <v>6</v>
      </c>
      <c r="G1837" s="18">
        <v>0.09</v>
      </c>
      <c r="H1837">
        <f>F1837*VLOOKUP(B1837,產品!$A$2:$H$61,7,FALSE)*(1-銷售總表!G1837)</f>
        <v>92820</v>
      </c>
      <c r="I1837" s="35">
        <f>H1837-F1837*VLOOKUP(銷售總表!B1837,產品!$A$2:$H$61,8,FALSE)</f>
        <v>26520</v>
      </c>
      <c r="J1837" s="20">
        <f t="shared" si="28"/>
        <v>0.2857142857142857</v>
      </c>
    </row>
    <row r="1838" spans="1:10" x14ac:dyDescent="0.3">
      <c r="A1838" s="33">
        <v>1837</v>
      </c>
      <c r="B1838" s="4">
        <v>12</v>
      </c>
      <c r="C1838" s="15">
        <v>2</v>
      </c>
      <c r="D1838" s="16">
        <v>7</v>
      </c>
      <c r="E1838" s="22">
        <v>44219</v>
      </c>
      <c r="F1838" s="17">
        <v>90</v>
      </c>
      <c r="G1838" s="18">
        <v>0.1</v>
      </c>
      <c r="H1838">
        <f>F1838*VLOOKUP(B1838,產品!$A$2:$H$61,7,FALSE)*(1-銷售總表!G1838)</f>
        <v>81000</v>
      </c>
      <c r="I1838" s="35">
        <f>H1838-F1838*VLOOKUP(銷售總表!B1838,產品!$A$2:$H$61,8,FALSE)</f>
        <v>45000</v>
      </c>
      <c r="J1838" s="20">
        <f t="shared" si="28"/>
        <v>0.55555555555555558</v>
      </c>
    </row>
    <row r="1839" spans="1:10" x14ac:dyDescent="0.3">
      <c r="A1839" s="33">
        <v>1838</v>
      </c>
      <c r="B1839" s="4">
        <v>18</v>
      </c>
      <c r="C1839" s="15">
        <v>9</v>
      </c>
      <c r="D1839" s="16">
        <v>4</v>
      </c>
      <c r="E1839" s="22">
        <v>44219</v>
      </c>
      <c r="F1839" s="19">
        <v>100</v>
      </c>
      <c r="G1839" s="18">
        <v>7.0000000000000007E-2</v>
      </c>
      <c r="H1839">
        <f>F1839*VLOOKUP(B1839,產品!$A$2:$H$61,7,FALSE)*(1-銷售總表!G1839)</f>
        <v>167400</v>
      </c>
      <c r="I1839" s="35">
        <f>H1839-F1839*VLOOKUP(銷售總表!B1839,產品!$A$2:$H$61,8,FALSE)</f>
        <v>95400</v>
      </c>
      <c r="J1839" s="20">
        <f t="shared" si="28"/>
        <v>0.56989247311827962</v>
      </c>
    </row>
    <row r="1840" spans="1:10" x14ac:dyDescent="0.3">
      <c r="A1840" s="33">
        <v>1839</v>
      </c>
      <c r="B1840" s="4">
        <v>53</v>
      </c>
      <c r="C1840" s="15">
        <v>12</v>
      </c>
      <c r="D1840" s="16">
        <v>10</v>
      </c>
      <c r="E1840" s="22">
        <v>44220</v>
      </c>
      <c r="F1840" s="19">
        <v>2</v>
      </c>
      <c r="G1840" s="18">
        <v>0.09</v>
      </c>
      <c r="H1840">
        <f>F1840*VLOOKUP(B1840,產品!$A$2:$H$61,7,FALSE)*(1-銷售總表!G1840)</f>
        <v>27300</v>
      </c>
      <c r="I1840" s="35">
        <f>H1840-F1840*VLOOKUP(銷售總表!B1840,產品!$A$2:$H$61,8,FALSE)</f>
        <v>6300</v>
      </c>
      <c r="J1840" s="20">
        <f t="shared" si="28"/>
        <v>0.23076923076923078</v>
      </c>
    </row>
    <row r="1841" spans="1:10" x14ac:dyDescent="0.3">
      <c r="A1841" s="33">
        <v>1840</v>
      </c>
      <c r="B1841" s="4">
        <v>4</v>
      </c>
      <c r="C1841" s="15">
        <v>264</v>
      </c>
      <c r="D1841" s="16">
        <v>10</v>
      </c>
      <c r="E1841" s="22">
        <v>44220</v>
      </c>
      <c r="F1841" s="19">
        <v>15</v>
      </c>
      <c r="G1841" s="18">
        <v>0.15</v>
      </c>
      <c r="H1841">
        <f>F1841*VLOOKUP(B1841,產品!$A$2:$H$61,7,FALSE)*(1-銷售總表!G1841)</f>
        <v>12750</v>
      </c>
      <c r="I1841" s="35">
        <f>H1841-F1841*VLOOKUP(銷售總表!B1841,產品!$A$2:$H$61,8,FALSE)</f>
        <v>6750</v>
      </c>
      <c r="J1841" s="20">
        <f t="shared" si="28"/>
        <v>0.52941176470588236</v>
      </c>
    </row>
    <row r="1842" spans="1:10" x14ac:dyDescent="0.3">
      <c r="A1842" s="33">
        <v>1841</v>
      </c>
      <c r="B1842" s="4">
        <v>37</v>
      </c>
      <c r="C1842" s="15">
        <v>112</v>
      </c>
      <c r="D1842" s="16">
        <v>3</v>
      </c>
      <c r="E1842" s="22">
        <v>44220</v>
      </c>
      <c r="F1842" s="19">
        <v>5</v>
      </c>
      <c r="G1842" s="18">
        <v>0.06</v>
      </c>
      <c r="H1842">
        <f>F1842*VLOOKUP(B1842,產品!$A$2:$H$61,7,FALSE)*(1-銷售總表!G1842)</f>
        <v>56400</v>
      </c>
      <c r="I1842" s="35">
        <f>H1842-F1842*VLOOKUP(銷售總表!B1842,產品!$A$2:$H$61,8,FALSE)</f>
        <v>17400</v>
      </c>
      <c r="J1842" s="20">
        <f t="shared" si="28"/>
        <v>0.30851063829787234</v>
      </c>
    </row>
    <row r="1843" spans="1:10" x14ac:dyDescent="0.3">
      <c r="A1843" s="33">
        <v>1842</v>
      </c>
      <c r="B1843" s="4">
        <v>13</v>
      </c>
      <c r="C1843" s="15">
        <v>112</v>
      </c>
      <c r="D1843" s="16">
        <v>10</v>
      </c>
      <c r="E1843" s="22">
        <v>44221</v>
      </c>
      <c r="F1843" s="17">
        <v>100</v>
      </c>
      <c r="G1843" s="18">
        <v>0.13</v>
      </c>
      <c r="H1843">
        <f>F1843*VLOOKUP(B1843,產品!$A$2:$H$61,7,FALSE)*(1-銷售總表!G1843)</f>
        <v>156600</v>
      </c>
      <c r="I1843" s="35">
        <f>H1843-F1843*VLOOKUP(銷售總表!B1843,產品!$A$2:$H$61,8,FALSE)</f>
        <v>84600</v>
      </c>
      <c r="J1843" s="20">
        <f t="shared" si="28"/>
        <v>0.54022988505747127</v>
      </c>
    </row>
    <row r="1844" spans="1:10" x14ac:dyDescent="0.3">
      <c r="A1844" s="33">
        <v>1843</v>
      </c>
      <c r="B1844" s="4">
        <v>19</v>
      </c>
      <c r="C1844" s="15">
        <v>264</v>
      </c>
      <c r="D1844" s="16">
        <v>10</v>
      </c>
      <c r="E1844" s="22">
        <v>44221</v>
      </c>
      <c r="F1844" s="19">
        <v>150</v>
      </c>
      <c r="G1844" s="18">
        <v>0.18</v>
      </c>
      <c r="H1844">
        <f>F1844*VLOOKUP(B1844,產品!$A$2:$H$61,7,FALSE)*(1-銷售總表!G1844)</f>
        <v>221400.00000000003</v>
      </c>
      <c r="I1844" s="35">
        <f>H1844-F1844*VLOOKUP(銷售總表!B1844,產品!$A$2:$H$61,8,FALSE)</f>
        <v>113400.00000000003</v>
      </c>
      <c r="J1844" s="20">
        <f t="shared" si="28"/>
        <v>0.51219512195121952</v>
      </c>
    </row>
    <row r="1845" spans="1:10" x14ac:dyDescent="0.3">
      <c r="A1845" s="33">
        <v>1844</v>
      </c>
      <c r="B1845" s="4">
        <v>31</v>
      </c>
      <c r="C1845" s="15">
        <v>258</v>
      </c>
      <c r="D1845" s="16">
        <v>7</v>
      </c>
      <c r="E1845" s="22">
        <v>44222</v>
      </c>
      <c r="F1845" s="17">
        <v>4</v>
      </c>
      <c r="G1845" s="18">
        <v>0.19</v>
      </c>
      <c r="H1845">
        <f>F1845*VLOOKUP(B1845,產品!$A$2:$H$61,7,FALSE)*(1-銷售總表!G1845)</f>
        <v>22680</v>
      </c>
      <c r="I1845" s="35">
        <f>H1845-F1845*VLOOKUP(銷售總表!B1845,產品!$A$2:$H$61,8,FALSE)</f>
        <v>5880</v>
      </c>
      <c r="J1845" s="20">
        <f t="shared" si="28"/>
        <v>0.25925925925925924</v>
      </c>
    </row>
    <row r="1846" spans="1:10" x14ac:dyDescent="0.3">
      <c r="A1846" s="33">
        <v>1845</v>
      </c>
      <c r="B1846" s="4">
        <v>38</v>
      </c>
      <c r="C1846" s="15">
        <v>269</v>
      </c>
      <c r="D1846" s="16">
        <v>3</v>
      </c>
      <c r="E1846" s="22">
        <v>44222</v>
      </c>
      <c r="F1846" s="17">
        <v>2</v>
      </c>
      <c r="G1846" s="18">
        <v>0.09</v>
      </c>
      <c r="H1846">
        <f>F1846*VLOOKUP(B1846,產品!$A$2:$H$61,7,FALSE)*(1-銷售總表!G1846)</f>
        <v>27300</v>
      </c>
      <c r="I1846" s="35">
        <f>H1846-F1846*VLOOKUP(銷售總表!B1846,產品!$A$2:$H$61,8,FALSE)</f>
        <v>7800</v>
      </c>
      <c r="J1846" s="20">
        <f t="shared" si="28"/>
        <v>0.2857142857142857</v>
      </c>
    </row>
    <row r="1847" spans="1:10" x14ac:dyDescent="0.3">
      <c r="A1847" s="33">
        <v>1846</v>
      </c>
      <c r="B1847" s="4">
        <v>56</v>
      </c>
      <c r="C1847" s="15">
        <v>267</v>
      </c>
      <c r="D1847" s="16">
        <v>10</v>
      </c>
      <c r="E1847" s="22">
        <v>44222</v>
      </c>
      <c r="F1847" s="19">
        <v>6</v>
      </c>
      <c r="G1847" s="18">
        <v>0.18</v>
      </c>
      <c r="H1847">
        <f>F1847*VLOOKUP(B1847,產品!$A$2:$H$61,7,FALSE)*(1-銷售總表!G1847)</f>
        <v>108240.00000000001</v>
      </c>
      <c r="I1847" s="35">
        <f>H1847-F1847*VLOOKUP(銷售總表!B1847,產品!$A$2:$H$61,8,FALSE)</f>
        <v>15840.000000000029</v>
      </c>
      <c r="J1847" s="20">
        <f t="shared" si="28"/>
        <v>0.14634146341463439</v>
      </c>
    </row>
    <row r="1848" spans="1:10" x14ac:dyDescent="0.3">
      <c r="A1848" s="33">
        <v>1847</v>
      </c>
      <c r="B1848" s="4">
        <v>15</v>
      </c>
      <c r="C1848" s="15">
        <v>265</v>
      </c>
      <c r="D1848" s="16">
        <v>9</v>
      </c>
      <c r="E1848" s="22">
        <v>44222</v>
      </c>
      <c r="F1848" s="19">
        <v>20</v>
      </c>
      <c r="G1848" s="18">
        <v>0.12</v>
      </c>
      <c r="H1848">
        <f>F1848*VLOOKUP(B1848,產品!$A$2:$H$61,7,FALSE)*(1-銷售總表!G1848)</f>
        <v>31680</v>
      </c>
      <c r="I1848" s="35">
        <f>H1848-F1848*VLOOKUP(銷售總表!B1848,產品!$A$2:$H$61,8,FALSE)</f>
        <v>17280</v>
      </c>
      <c r="J1848" s="20">
        <f t="shared" si="28"/>
        <v>0.54545454545454541</v>
      </c>
    </row>
    <row r="1849" spans="1:10" x14ac:dyDescent="0.3">
      <c r="A1849" s="33">
        <v>1848</v>
      </c>
      <c r="B1849" s="4">
        <v>44</v>
      </c>
      <c r="C1849" s="15">
        <v>123</v>
      </c>
      <c r="D1849" s="16">
        <v>4</v>
      </c>
      <c r="E1849" s="22">
        <v>44222</v>
      </c>
      <c r="F1849" s="17">
        <v>5</v>
      </c>
      <c r="G1849" s="18">
        <v>7.0000000000000007E-2</v>
      </c>
      <c r="H1849">
        <f>F1849*VLOOKUP(B1849,產品!$A$2:$H$61,7,FALSE)*(1-銷售總表!G1849)</f>
        <v>93000</v>
      </c>
      <c r="I1849" s="35">
        <f>H1849-F1849*VLOOKUP(銷售總表!B1849,產品!$A$2:$H$61,8,FALSE)</f>
        <v>28000</v>
      </c>
      <c r="J1849" s="20">
        <f t="shared" si="28"/>
        <v>0.30107526881720431</v>
      </c>
    </row>
    <row r="1850" spans="1:10" x14ac:dyDescent="0.3">
      <c r="A1850" s="33">
        <v>1849</v>
      </c>
      <c r="B1850" s="4">
        <v>48</v>
      </c>
      <c r="C1850" s="15">
        <v>283</v>
      </c>
      <c r="D1850" s="16">
        <v>9</v>
      </c>
      <c r="E1850" s="22">
        <v>44224</v>
      </c>
      <c r="F1850" s="19">
        <v>3</v>
      </c>
      <c r="G1850" s="18">
        <v>0.2</v>
      </c>
      <c r="H1850">
        <f>F1850*VLOOKUP(B1850,產品!$A$2:$H$61,7,FALSE)*(1-銷售總表!G1850)</f>
        <v>52800</v>
      </c>
      <c r="I1850" s="35">
        <f>H1850-F1850*VLOOKUP(銷售總表!B1850,產品!$A$2:$H$61,8,FALSE)</f>
        <v>9900</v>
      </c>
      <c r="J1850" s="20">
        <f t="shared" si="28"/>
        <v>0.1875</v>
      </c>
    </row>
    <row r="1851" spans="1:10" x14ac:dyDescent="0.3">
      <c r="A1851" s="33">
        <v>1850</v>
      </c>
      <c r="B1851" s="4">
        <v>19</v>
      </c>
      <c r="C1851" s="15">
        <v>10</v>
      </c>
      <c r="D1851" s="16">
        <v>8</v>
      </c>
      <c r="E1851" s="22">
        <v>44224</v>
      </c>
      <c r="F1851" s="17">
        <v>100</v>
      </c>
      <c r="G1851" s="18">
        <v>7.0000000000000007E-2</v>
      </c>
      <c r="H1851">
        <f>F1851*VLOOKUP(B1851,產品!$A$2:$H$61,7,FALSE)*(1-銷售總表!G1851)</f>
        <v>167400</v>
      </c>
      <c r="I1851" s="35">
        <f>H1851-F1851*VLOOKUP(銷售總表!B1851,產品!$A$2:$H$61,8,FALSE)</f>
        <v>95400</v>
      </c>
      <c r="J1851" s="20">
        <f t="shared" si="28"/>
        <v>0.56989247311827962</v>
      </c>
    </row>
    <row r="1852" spans="1:10" x14ac:dyDescent="0.3">
      <c r="A1852" s="33">
        <v>1851</v>
      </c>
      <c r="B1852" s="4">
        <v>49</v>
      </c>
      <c r="C1852" s="15">
        <v>123</v>
      </c>
      <c r="D1852" s="16">
        <v>4</v>
      </c>
      <c r="E1852" s="22">
        <v>44225</v>
      </c>
      <c r="F1852" s="19">
        <v>3</v>
      </c>
      <c r="G1852" s="18">
        <v>0.11</v>
      </c>
      <c r="H1852">
        <f>F1852*VLOOKUP(B1852,產品!$A$2:$H$61,7,FALSE)*(1-銷售總表!G1852)</f>
        <v>40050</v>
      </c>
      <c r="I1852" s="35">
        <f>H1852-F1852*VLOOKUP(銷售總表!B1852,產品!$A$2:$H$61,8,FALSE)</f>
        <v>8550</v>
      </c>
      <c r="J1852" s="20">
        <f t="shared" si="28"/>
        <v>0.21348314606741572</v>
      </c>
    </row>
    <row r="1853" spans="1:10" x14ac:dyDescent="0.3">
      <c r="A1853" s="33">
        <v>1852</v>
      </c>
      <c r="B1853" s="4">
        <v>43</v>
      </c>
      <c r="C1853" s="15">
        <v>7</v>
      </c>
      <c r="D1853" s="16">
        <v>5</v>
      </c>
      <c r="E1853" s="22">
        <v>44225</v>
      </c>
      <c r="F1853" s="17">
        <v>10</v>
      </c>
      <c r="G1853" s="18">
        <v>0.19</v>
      </c>
      <c r="H1853">
        <f>F1853*VLOOKUP(B1853,產品!$A$2:$H$61,7,FALSE)*(1-銷售總表!G1853)</f>
        <v>145800</v>
      </c>
      <c r="I1853" s="35">
        <f>H1853-F1853*VLOOKUP(銷售總表!B1853,產品!$A$2:$H$61,8,FALSE)</f>
        <v>28800</v>
      </c>
      <c r="J1853" s="20">
        <f t="shared" si="28"/>
        <v>0.19753086419753085</v>
      </c>
    </row>
    <row r="1854" spans="1:10" x14ac:dyDescent="0.3">
      <c r="A1854" s="33">
        <v>1853</v>
      </c>
      <c r="B1854" s="4">
        <v>12</v>
      </c>
      <c r="C1854" s="15">
        <v>5</v>
      </c>
      <c r="D1854" s="16">
        <v>2</v>
      </c>
      <c r="E1854" s="22">
        <v>44225</v>
      </c>
      <c r="F1854" s="17">
        <v>100</v>
      </c>
      <c r="G1854" s="18">
        <v>0.06</v>
      </c>
      <c r="H1854">
        <f>F1854*VLOOKUP(B1854,產品!$A$2:$H$61,7,FALSE)*(1-銷售總表!G1854)</f>
        <v>94000</v>
      </c>
      <c r="I1854" s="35">
        <f>H1854-F1854*VLOOKUP(銷售總表!B1854,產品!$A$2:$H$61,8,FALSE)</f>
        <v>54000</v>
      </c>
      <c r="J1854" s="20">
        <f t="shared" si="28"/>
        <v>0.57446808510638303</v>
      </c>
    </row>
    <row r="1855" spans="1:10" x14ac:dyDescent="0.3">
      <c r="A1855" s="33">
        <v>1854</v>
      </c>
      <c r="B1855" s="4">
        <v>49</v>
      </c>
      <c r="C1855" s="15">
        <v>135</v>
      </c>
      <c r="D1855" s="16">
        <v>1</v>
      </c>
      <c r="E1855" s="22">
        <v>44226</v>
      </c>
      <c r="F1855" s="19">
        <v>3</v>
      </c>
      <c r="G1855" s="18">
        <v>0.13</v>
      </c>
      <c r="H1855">
        <f>F1855*VLOOKUP(B1855,產品!$A$2:$H$61,7,FALSE)*(1-銷售總表!G1855)</f>
        <v>39150</v>
      </c>
      <c r="I1855" s="35">
        <f>H1855-F1855*VLOOKUP(銷售總表!B1855,產品!$A$2:$H$61,8,FALSE)</f>
        <v>7650</v>
      </c>
      <c r="J1855" s="20">
        <f t="shared" si="28"/>
        <v>0.19540229885057472</v>
      </c>
    </row>
    <row r="1856" spans="1:10" x14ac:dyDescent="0.3">
      <c r="A1856" s="33">
        <v>1855</v>
      </c>
      <c r="B1856" s="4">
        <v>36</v>
      </c>
      <c r="C1856" s="15">
        <v>135</v>
      </c>
      <c r="D1856" s="16">
        <v>2</v>
      </c>
      <c r="E1856" s="22">
        <v>44226</v>
      </c>
      <c r="F1856" s="19">
        <v>6</v>
      </c>
      <c r="G1856" s="18">
        <v>0.16</v>
      </c>
      <c r="H1856">
        <f>F1856*VLOOKUP(B1856,產品!$A$2:$H$61,7,FALSE)*(1-銷售總表!G1856)</f>
        <v>45360</v>
      </c>
      <c r="I1856" s="35">
        <f>H1856-F1856*VLOOKUP(銷售總表!B1856,產品!$A$2:$H$61,8,FALSE)</f>
        <v>12960</v>
      </c>
      <c r="J1856" s="20">
        <f t="shared" si="28"/>
        <v>0.2857142857142857</v>
      </c>
    </row>
    <row r="1857" spans="1:10" x14ac:dyDescent="0.3">
      <c r="A1857" s="33">
        <v>1856</v>
      </c>
      <c r="B1857" s="4">
        <v>46</v>
      </c>
      <c r="C1857" s="15">
        <v>114</v>
      </c>
      <c r="D1857" s="16">
        <v>3</v>
      </c>
      <c r="E1857" s="22">
        <v>44226</v>
      </c>
      <c r="F1857" s="17">
        <v>6</v>
      </c>
      <c r="G1857" s="18">
        <v>0.18</v>
      </c>
      <c r="H1857">
        <f>F1857*VLOOKUP(B1857,產品!$A$2:$H$61,7,FALSE)*(1-銷售總表!G1857)</f>
        <v>83640</v>
      </c>
      <c r="I1857" s="35">
        <f>H1857-F1857*VLOOKUP(銷售總表!B1857,產品!$A$2:$H$61,8,FALSE)</f>
        <v>17340</v>
      </c>
      <c r="J1857" s="20">
        <f t="shared" si="28"/>
        <v>0.2073170731707317</v>
      </c>
    </row>
    <row r="1858" spans="1:10" x14ac:dyDescent="0.3">
      <c r="A1858" s="33">
        <v>1857</v>
      </c>
      <c r="B1858" s="4">
        <v>21</v>
      </c>
      <c r="C1858" s="15">
        <v>260</v>
      </c>
      <c r="D1858" s="16">
        <v>9</v>
      </c>
      <c r="E1858" s="22">
        <v>44226</v>
      </c>
      <c r="F1858" s="17">
        <v>50</v>
      </c>
      <c r="G1858" s="18">
        <v>0.13</v>
      </c>
      <c r="H1858">
        <f>F1858*VLOOKUP(B1858,產品!$A$2:$H$61,7,FALSE)*(1-銷售總表!G1858)</f>
        <v>78300</v>
      </c>
      <c r="I1858" s="35">
        <f>H1858-F1858*VLOOKUP(銷售總表!B1858,產品!$A$2:$H$61,8,FALSE)</f>
        <v>42300</v>
      </c>
      <c r="J1858" s="20">
        <f t="shared" si="28"/>
        <v>0.54022988505747127</v>
      </c>
    </row>
    <row r="1859" spans="1:10" x14ac:dyDescent="0.3">
      <c r="A1859" s="33">
        <v>1858</v>
      </c>
      <c r="B1859" s="4">
        <v>26</v>
      </c>
      <c r="C1859" s="15">
        <v>113</v>
      </c>
      <c r="D1859" s="16">
        <v>6</v>
      </c>
      <c r="E1859" s="22">
        <v>44227</v>
      </c>
      <c r="F1859" s="19">
        <v>7</v>
      </c>
      <c r="G1859" s="18">
        <v>0.09</v>
      </c>
      <c r="H1859">
        <f>F1859*VLOOKUP(B1859,產品!$A$2:$H$61,7,FALSE)*(1-銷售總表!G1859)</f>
        <v>41405</v>
      </c>
      <c r="I1859" s="35">
        <f>H1859-F1859*VLOOKUP(銷售總表!B1859,產品!$A$2:$H$61,8,FALSE)</f>
        <v>14105</v>
      </c>
      <c r="J1859" s="20">
        <f t="shared" ref="J1859:J1922" si="29">I1859/H1859</f>
        <v>0.34065934065934067</v>
      </c>
    </row>
    <row r="1860" spans="1:10" x14ac:dyDescent="0.3">
      <c r="A1860" s="33">
        <v>1859</v>
      </c>
      <c r="B1860" s="4">
        <v>50</v>
      </c>
      <c r="C1860" s="15">
        <v>262</v>
      </c>
      <c r="D1860" s="16">
        <v>9</v>
      </c>
      <c r="E1860" s="22">
        <v>44227</v>
      </c>
      <c r="F1860" s="19">
        <v>5</v>
      </c>
      <c r="G1860" s="18">
        <v>0.14000000000000001</v>
      </c>
      <c r="H1860">
        <f>F1860*VLOOKUP(B1860,產品!$A$2:$H$61,7,FALSE)*(1-銷售總表!G1860)</f>
        <v>77400</v>
      </c>
      <c r="I1860" s="35">
        <f>H1860-F1860*VLOOKUP(銷售總表!B1860,產品!$A$2:$H$61,8,FALSE)</f>
        <v>14400</v>
      </c>
      <c r="J1860" s="20">
        <f t="shared" si="29"/>
        <v>0.18604651162790697</v>
      </c>
    </row>
    <row r="1861" spans="1:10" x14ac:dyDescent="0.3">
      <c r="A1861" s="33">
        <v>1860</v>
      </c>
      <c r="B1861" s="4">
        <v>37</v>
      </c>
      <c r="C1861" s="15">
        <v>123</v>
      </c>
      <c r="D1861" s="16">
        <v>3</v>
      </c>
      <c r="E1861" s="22">
        <v>44227</v>
      </c>
      <c r="F1861" s="19">
        <v>6</v>
      </c>
      <c r="G1861" s="18">
        <v>0.09</v>
      </c>
      <c r="H1861">
        <f>F1861*VLOOKUP(B1861,產品!$A$2:$H$61,7,FALSE)*(1-銷售總表!G1861)</f>
        <v>65520</v>
      </c>
      <c r="I1861" s="35">
        <f>H1861-F1861*VLOOKUP(銷售總表!B1861,產品!$A$2:$H$61,8,FALSE)</f>
        <v>18720</v>
      </c>
      <c r="J1861" s="20">
        <f t="shared" si="29"/>
        <v>0.2857142857142857</v>
      </c>
    </row>
    <row r="1862" spans="1:10" x14ac:dyDescent="0.3">
      <c r="A1862" s="33">
        <v>1861</v>
      </c>
      <c r="B1862" s="4">
        <v>14</v>
      </c>
      <c r="C1862" s="15">
        <v>263</v>
      </c>
      <c r="D1862" s="16">
        <v>1</v>
      </c>
      <c r="E1862" s="22">
        <v>44227</v>
      </c>
      <c r="F1862" s="19">
        <v>40</v>
      </c>
      <c r="G1862" s="18">
        <v>0.09</v>
      </c>
      <c r="H1862">
        <f>F1862*VLOOKUP(B1862,產品!$A$2:$H$61,7,FALSE)*(1-銷售總表!G1862)</f>
        <v>65520</v>
      </c>
      <c r="I1862" s="35">
        <f>H1862-F1862*VLOOKUP(銷售總表!B1862,產品!$A$2:$H$61,8,FALSE)</f>
        <v>36720</v>
      </c>
      <c r="J1862" s="20">
        <f t="shared" si="29"/>
        <v>0.56043956043956045</v>
      </c>
    </row>
    <row r="1863" spans="1:10" x14ac:dyDescent="0.3">
      <c r="A1863" s="33">
        <v>1862</v>
      </c>
      <c r="B1863" s="4">
        <v>47</v>
      </c>
      <c r="C1863" s="15">
        <v>116</v>
      </c>
      <c r="D1863" s="16">
        <v>10</v>
      </c>
      <c r="E1863" s="22">
        <v>44227</v>
      </c>
      <c r="F1863" s="19">
        <v>15</v>
      </c>
      <c r="G1863" s="18">
        <v>0.2</v>
      </c>
      <c r="H1863">
        <f>F1863*VLOOKUP(B1863,產品!$A$2:$H$61,7,FALSE)*(1-銷售總表!G1863)</f>
        <v>240000</v>
      </c>
      <c r="I1863" s="35">
        <f>H1863-F1863*VLOOKUP(銷售總表!B1863,產品!$A$2:$H$61,8,FALSE)</f>
        <v>45000</v>
      </c>
      <c r="J1863" s="20">
        <f t="shared" si="29"/>
        <v>0.1875</v>
      </c>
    </row>
    <row r="1864" spans="1:10" x14ac:dyDescent="0.3">
      <c r="A1864" s="33">
        <v>1863</v>
      </c>
      <c r="B1864" s="4">
        <v>57</v>
      </c>
      <c r="C1864" s="15">
        <v>290</v>
      </c>
      <c r="D1864" s="16">
        <v>4</v>
      </c>
      <c r="E1864" s="22">
        <v>44228</v>
      </c>
      <c r="F1864" s="17">
        <v>2</v>
      </c>
      <c r="G1864" s="18">
        <v>0.17</v>
      </c>
      <c r="H1864">
        <f>F1864*VLOOKUP(B1864,產品!$A$2:$H$61,7,FALSE)*(1-銷售總表!G1864)</f>
        <v>29880</v>
      </c>
      <c r="I1864" s="35">
        <f>H1864-F1864*VLOOKUP(銷售總表!B1864,產品!$A$2:$H$61,8,FALSE)</f>
        <v>4680</v>
      </c>
      <c r="J1864" s="20">
        <f t="shared" si="29"/>
        <v>0.15662650602409639</v>
      </c>
    </row>
    <row r="1865" spans="1:10" x14ac:dyDescent="0.3">
      <c r="A1865" s="33">
        <v>1864</v>
      </c>
      <c r="B1865" s="4">
        <v>13</v>
      </c>
      <c r="C1865" s="15">
        <v>283</v>
      </c>
      <c r="D1865" s="16">
        <v>7</v>
      </c>
      <c r="E1865" s="22">
        <v>44228</v>
      </c>
      <c r="F1865" s="17">
        <v>30</v>
      </c>
      <c r="G1865" s="18">
        <v>0.16</v>
      </c>
      <c r="H1865">
        <f>F1865*VLOOKUP(B1865,產品!$A$2:$H$61,7,FALSE)*(1-銷售總表!G1865)</f>
        <v>45360</v>
      </c>
      <c r="I1865" s="35">
        <f>H1865-F1865*VLOOKUP(銷售總表!B1865,產品!$A$2:$H$61,8,FALSE)</f>
        <v>23760</v>
      </c>
      <c r="J1865" s="20">
        <f t="shared" si="29"/>
        <v>0.52380952380952384</v>
      </c>
    </row>
    <row r="1866" spans="1:10" x14ac:dyDescent="0.3">
      <c r="A1866" s="33">
        <v>1865</v>
      </c>
      <c r="B1866" s="4">
        <v>58</v>
      </c>
      <c r="C1866" s="15">
        <v>268</v>
      </c>
      <c r="D1866" s="16">
        <v>6</v>
      </c>
      <c r="E1866" s="22">
        <v>44229</v>
      </c>
      <c r="F1866" s="19">
        <v>4</v>
      </c>
      <c r="G1866" s="18">
        <v>0.14000000000000001</v>
      </c>
      <c r="H1866">
        <f>F1866*VLOOKUP(B1866,產品!$A$2:$H$61,7,FALSE)*(1-銷售總表!G1866)</f>
        <v>72240</v>
      </c>
      <c r="I1866" s="35">
        <f>H1866-F1866*VLOOKUP(銷售總表!B1866,產品!$A$2:$H$61,8,FALSE)</f>
        <v>13440.000000000007</v>
      </c>
      <c r="J1866" s="20">
        <f t="shared" si="29"/>
        <v>0.18604651162790709</v>
      </c>
    </row>
    <row r="1867" spans="1:10" x14ac:dyDescent="0.3">
      <c r="A1867" s="33">
        <v>1866</v>
      </c>
      <c r="B1867" s="4">
        <v>22</v>
      </c>
      <c r="C1867" s="15">
        <v>1</v>
      </c>
      <c r="D1867" s="16">
        <v>7</v>
      </c>
      <c r="E1867" s="22">
        <v>44229</v>
      </c>
      <c r="F1867" s="17">
        <v>40</v>
      </c>
      <c r="G1867" s="18">
        <v>0.09</v>
      </c>
      <c r="H1867">
        <f>F1867*VLOOKUP(B1867,產品!$A$2:$H$61,7,FALSE)*(1-銷售總表!G1867)</f>
        <v>65520</v>
      </c>
      <c r="I1867" s="35">
        <f>H1867-F1867*VLOOKUP(銷售總表!B1867,產品!$A$2:$H$61,8,FALSE)</f>
        <v>36720</v>
      </c>
      <c r="J1867" s="20">
        <f t="shared" si="29"/>
        <v>0.56043956043956045</v>
      </c>
    </row>
    <row r="1868" spans="1:10" x14ac:dyDescent="0.3">
      <c r="A1868" s="33">
        <v>1867</v>
      </c>
      <c r="B1868" s="4">
        <v>30</v>
      </c>
      <c r="C1868" s="15">
        <v>135</v>
      </c>
      <c r="D1868" s="16">
        <v>7</v>
      </c>
      <c r="E1868" s="22">
        <v>44230</v>
      </c>
      <c r="F1868" s="17">
        <v>10</v>
      </c>
      <c r="G1868" s="18">
        <v>0.2</v>
      </c>
      <c r="H1868">
        <f>F1868*VLOOKUP(B1868,產品!$A$2:$H$61,7,FALSE)*(1-銷售總表!G1868)</f>
        <v>52000</v>
      </c>
      <c r="I1868" s="35">
        <f>H1868-F1868*VLOOKUP(銷售總表!B1868,產品!$A$2:$H$61,8,FALSE)</f>
        <v>13000</v>
      </c>
      <c r="J1868" s="20">
        <f t="shared" si="29"/>
        <v>0.25</v>
      </c>
    </row>
    <row r="1869" spans="1:10" x14ac:dyDescent="0.3">
      <c r="A1869" s="33">
        <v>1868</v>
      </c>
      <c r="B1869" s="4">
        <v>14</v>
      </c>
      <c r="C1869" s="15">
        <v>282</v>
      </c>
      <c r="D1869" s="16">
        <v>2</v>
      </c>
      <c r="E1869" s="22">
        <v>44230</v>
      </c>
      <c r="F1869" s="17">
        <v>20</v>
      </c>
      <c r="G1869" s="18">
        <v>0.12</v>
      </c>
      <c r="H1869">
        <f>F1869*VLOOKUP(B1869,產品!$A$2:$H$61,7,FALSE)*(1-銷售總表!G1869)</f>
        <v>31680</v>
      </c>
      <c r="I1869" s="35">
        <f>H1869-F1869*VLOOKUP(銷售總表!B1869,產品!$A$2:$H$61,8,FALSE)</f>
        <v>17280</v>
      </c>
      <c r="J1869" s="20">
        <f t="shared" si="29"/>
        <v>0.54545454545454541</v>
      </c>
    </row>
    <row r="1870" spans="1:10" x14ac:dyDescent="0.3">
      <c r="A1870" s="33">
        <v>1869</v>
      </c>
      <c r="B1870" s="4">
        <v>28</v>
      </c>
      <c r="C1870" s="15">
        <v>123</v>
      </c>
      <c r="D1870" s="16">
        <v>4</v>
      </c>
      <c r="E1870" s="22">
        <v>44230</v>
      </c>
      <c r="F1870" s="17">
        <v>12</v>
      </c>
      <c r="G1870" s="18">
        <v>0.19</v>
      </c>
      <c r="H1870">
        <f>F1870*VLOOKUP(B1870,產品!$A$2:$H$61,7,FALSE)*(1-銷售總表!G1870)</f>
        <v>72900</v>
      </c>
      <c r="I1870" s="35">
        <f>H1870-F1870*VLOOKUP(銷售總表!B1870,產品!$A$2:$H$61,8,FALSE)</f>
        <v>18900</v>
      </c>
      <c r="J1870" s="20">
        <f t="shared" si="29"/>
        <v>0.25925925925925924</v>
      </c>
    </row>
    <row r="1871" spans="1:10" x14ac:dyDescent="0.3">
      <c r="A1871" s="33">
        <v>1870</v>
      </c>
      <c r="B1871" s="4">
        <v>38</v>
      </c>
      <c r="C1871" s="15">
        <v>113</v>
      </c>
      <c r="D1871" s="16">
        <v>5</v>
      </c>
      <c r="E1871" s="22">
        <v>44230</v>
      </c>
      <c r="F1871" s="17">
        <v>8</v>
      </c>
      <c r="G1871" s="18">
        <v>0.19</v>
      </c>
      <c r="H1871">
        <f>F1871*VLOOKUP(B1871,產品!$A$2:$H$61,7,FALSE)*(1-銷售總表!G1871)</f>
        <v>97200</v>
      </c>
      <c r="I1871" s="35">
        <f>H1871-F1871*VLOOKUP(銷售總表!B1871,產品!$A$2:$H$61,8,FALSE)</f>
        <v>19200</v>
      </c>
      <c r="J1871" s="20">
        <f t="shared" si="29"/>
        <v>0.19753086419753085</v>
      </c>
    </row>
    <row r="1872" spans="1:10" x14ac:dyDescent="0.3">
      <c r="A1872" s="33">
        <v>1871</v>
      </c>
      <c r="B1872" s="4">
        <v>22</v>
      </c>
      <c r="C1872" s="15">
        <v>266</v>
      </c>
      <c r="D1872" s="16">
        <v>6</v>
      </c>
      <c r="E1872" s="22">
        <v>44230</v>
      </c>
      <c r="F1872" s="17">
        <v>30</v>
      </c>
      <c r="G1872" s="18">
        <v>0.16</v>
      </c>
      <c r="H1872">
        <f>F1872*VLOOKUP(B1872,產品!$A$2:$H$61,7,FALSE)*(1-銷售總表!G1872)</f>
        <v>45360</v>
      </c>
      <c r="I1872" s="35">
        <f>H1872-F1872*VLOOKUP(銷售總表!B1872,產品!$A$2:$H$61,8,FALSE)</f>
        <v>23760</v>
      </c>
      <c r="J1872" s="20">
        <f t="shared" si="29"/>
        <v>0.52380952380952384</v>
      </c>
    </row>
    <row r="1873" spans="1:10" x14ac:dyDescent="0.3">
      <c r="A1873" s="33">
        <v>1872</v>
      </c>
      <c r="B1873" s="4">
        <v>35</v>
      </c>
      <c r="C1873" s="15">
        <v>271</v>
      </c>
      <c r="D1873" s="16">
        <v>7</v>
      </c>
      <c r="E1873" s="22">
        <v>44231</v>
      </c>
      <c r="F1873" s="17">
        <v>12</v>
      </c>
      <c r="G1873" s="18">
        <v>0.17</v>
      </c>
      <c r="H1873">
        <f>F1873*VLOOKUP(B1873,產品!$A$2:$H$61,7,FALSE)*(1-銷售總表!G1873)</f>
        <v>84660</v>
      </c>
      <c r="I1873" s="35">
        <f>H1873-F1873*VLOOKUP(銷售總表!B1873,產品!$A$2:$H$61,8,FALSE)</f>
        <v>23460</v>
      </c>
      <c r="J1873" s="20">
        <f t="shared" si="29"/>
        <v>0.27710843373493976</v>
      </c>
    </row>
    <row r="1874" spans="1:10" x14ac:dyDescent="0.3">
      <c r="A1874" s="33">
        <v>1873</v>
      </c>
      <c r="B1874" s="4">
        <v>44</v>
      </c>
      <c r="C1874" s="15">
        <v>6</v>
      </c>
      <c r="D1874" s="16">
        <v>1</v>
      </c>
      <c r="E1874" s="22">
        <v>44231</v>
      </c>
      <c r="F1874" s="17">
        <v>7</v>
      </c>
      <c r="G1874" s="18">
        <v>0.15</v>
      </c>
      <c r="H1874">
        <f>F1874*VLOOKUP(B1874,產品!$A$2:$H$61,7,FALSE)*(1-銷售總表!G1874)</f>
        <v>119000</v>
      </c>
      <c r="I1874" s="35">
        <f>H1874-F1874*VLOOKUP(銷售總表!B1874,產品!$A$2:$H$61,8,FALSE)</f>
        <v>28000</v>
      </c>
      <c r="J1874" s="20">
        <f t="shared" si="29"/>
        <v>0.23529411764705882</v>
      </c>
    </row>
    <row r="1875" spans="1:10" x14ac:dyDescent="0.3">
      <c r="A1875" s="33">
        <v>1874</v>
      </c>
      <c r="B1875" s="4">
        <v>24</v>
      </c>
      <c r="C1875" s="15">
        <v>2</v>
      </c>
      <c r="D1875" s="16">
        <v>6</v>
      </c>
      <c r="E1875" s="22">
        <v>44231</v>
      </c>
      <c r="F1875" s="17">
        <v>90</v>
      </c>
      <c r="G1875" s="18">
        <v>0.16</v>
      </c>
      <c r="H1875">
        <f>F1875*VLOOKUP(B1875,產品!$A$2:$H$61,7,FALSE)*(1-銷售總表!G1875)</f>
        <v>136080</v>
      </c>
      <c r="I1875" s="35">
        <f>H1875-F1875*VLOOKUP(銷售總表!B1875,產品!$A$2:$H$61,8,FALSE)</f>
        <v>71280</v>
      </c>
      <c r="J1875" s="20">
        <f t="shared" si="29"/>
        <v>0.52380952380952384</v>
      </c>
    </row>
    <row r="1876" spans="1:10" x14ac:dyDescent="0.3">
      <c r="A1876" s="33">
        <v>1875</v>
      </c>
      <c r="B1876" s="4">
        <v>43</v>
      </c>
      <c r="C1876" s="15">
        <v>7</v>
      </c>
      <c r="D1876" s="16">
        <v>1</v>
      </c>
      <c r="E1876" s="22">
        <v>44232</v>
      </c>
      <c r="F1876" s="17">
        <v>1</v>
      </c>
      <c r="G1876" s="18">
        <v>0.05</v>
      </c>
      <c r="H1876">
        <f>F1876*VLOOKUP(B1876,產品!$A$2:$H$61,7,FALSE)*(1-銷售總表!G1876)</f>
        <v>17100</v>
      </c>
      <c r="I1876" s="35">
        <f>H1876-F1876*VLOOKUP(銷售總表!B1876,產品!$A$2:$H$61,8,FALSE)</f>
        <v>5400</v>
      </c>
      <c r="J1876" s="20">
        <f t="shared" si="29"/>
        <v>0.31578947368421051</v>
      </c>
    </row>
    <row r="1877" spans="1:10" x14ac:dyDescent="0.3">
      <c r="A1877" s="33">
        <v>1876</v>
      </c>
      <c r="B1877" s="4">
        <v>57</v>
      </c>
      <c r="C1877" s="15">
        <v>257</v>
      </c>
      <c r="D1877" s="16">
        <v>10</v>
      </c>
      <c r="E1877" s="22">
        <v>44232</v>
      </c>
      <c r="F1877" s="17">
        <v>6</v>
      </c>
      <c r="G1877" s="18">
        <v>0.18</v>
      </c>
      <c r="H1877">
        <f>F1877*VLOOKUP(B1877,產品!$A$2:$H$61,7,FALSE)*(1-銷售總表!G1877)</f>
        <v>88560</v>
      </c>
      <c r="I1877" s="35">
        <f>H1877-F1877*VLOOKUP(銷售總表!B1877,產品!$A$2:$H$61,8,FALSE)</f>
        <v>12960</v>
      </c>
      <c r="J1877" s="20">
        <f t="shared" si="29"/>
        <v>0.14634146341463414</v>
      </c>
    </row>
    <row r="1878" spans="1:10" x14ac:dyDescent="0.3">
      <c r="A1878" s="33">
        <v>1877</v>
      </c>
      <c r="B1878" s="4">
        <v>18</v>
      </c>
      <c r="C1878" s="15">
        <v>263</v>
      </c>
      <c r="D1878" s="16">
        <v>4</v>
      </c>
      <c r="E1878" s="22">
        <v>44232</v>
      </c>
      <c r="F1878" s="19">
        <v>20</v>
      </c>
      <c r="G1878" s="18">
        <v>0.08</v>
      </c>
      <c r="H1878">
        <f>F1878*VLOOKUP(B1878,產品!$A$2:$H$61,7,FALSE)*(1-銷售總表!G1878)</f>
        <v>33120</v>
      </c>
      <c r="I1878" s="35">
        <f>H1878-F1878*VLOOKUP(銷售總表!B1878,產品!$A$2:$H$61,8,FALSE)</f>
        <v>18720</v>
      </c>
      <c r="J1878" s="20">
        <f t="shared" si="29"/>
        <v>0.56521739130434778</v>
      </c>
    </row>
    <row r="1879" spans="1:10" x14ac:dyDescent="0.3">
      <c r="A1879" s="33">
        <v>1878</v>
      </c>
      <c r="B1879" s="4">
        <v>44</v>
      </c>
      <c r="C1879" s="15">
        <v>263</v>
      </c>
      <c r="D1879" s="16">
        <v>3</v>
      </c>
      <c r="E1879" s="22">
        <v>44232</v>
      </c>
      <c r="F1879" s="17">
        <v>5</v>
      </c>
      <c r="G1879" s="18">
        <v>0.14000000000000001</v>
      </c>
      <c r="H1879">
        <f>F1879*VLOOKUP(B1879,產品!$A$2:$H$61,7,FALSE)*(1-銷售總表!G1879)</f>
        <v>86000</v>
      </c>
      <c r="I1879" s="35">
        <f>H1879-F1879*VLOOKUP(銷售總表!B1879,產品!$A$2:$H$61,8,FALSE)</f>
        <v>21000</v>
      </c>
      <c r="J1879" s="20">
        <f t="shared" si="29"/>
        <v>0.2441860465116279</v>
      </c>
    </row>
    <row r="1880" spans="1:10" x14ac:dyDescent="0.3">
      <c r="A1880" s="33">
        <v>1879</v>
      </c>
      <c r="B1880" s="4">
        <v>53</v>
      </c>
      <c r="C1880" s="15">
        <v>122</v>
      </c>
      <c r="D1880" s="16">
        <v>7</v>
      </c>
      <c r="E1880" s="22">
        <v>44232</v>
      </c>
      <c r="F1880" s="19">
        <v>8</v>
      </c>
      <c r="G1880" s="18">
        <v>0.08</v>
      </c>
      <c r="H1880">
        <f>F1880*VLOOKUP(B1880,產品!$A$2:$H$61,7,FALSE)*(1-銷售總表!G1880)</f>
        <v>110400</v>
      </c>
      <c r="I1880" s="35">
        <f>H1880-F1880*VLOOKUP(銷售總表!B1880,產品!$A$2:$H$61,8,FALSE)</f>
        <v>26400</v>
      </c>
      <c r="J1880" s="20">
        <f t="shared" si="29"/>
        <v>0.2391304347826087</v>
      </c>
    </row>
    <row r="1881" spans="1:10" x14ac:dyDescent="0.3">
      <c r="A1881" s="33">
        <v>1880</v>
      </c>
      <c r="B1881" s="4">
        <v>24</v>
      </c>
      <c r="C1881" s="15">
        <v>289</v>
      </c>
      <c r="D1881" s="16">
        <v>4</v>
      </c>
      <c r="E1881" s="22">
        <v>44232</v>
      </c>
      <c r="F1881" s="19">
        <v>200</v>
      </c>
      <c r="G1881" s="18">
        <v>0.17</v>
      </c>
      <c r="H1881">
        <f>F1881*VLOOKUP(B1881,產品!$A$2:$H$61,7,FALSE)*(1-銷售總表!G1881)</f>
        <v>298800</v>
      </c>
      <c r="I1881" s="35">
        <f>H1881-F1881*VLOOKUP(銷售總表!B1881,產品!$A$2:$H$61,8,FALSE)</f>
        <v>154800</v>
      </c>
      <c r="J1881" s="20">
        <f t="shared" si="29"/>
        <v>0.51807228915662651</v>
      </c>
    </row>
    <row r="1882" spans="1:10" x14ac:dyDescent="0.3">
      <c r="A1882" s="33">
        <v>1881</v>
      </c>
      <c r="B1882" s="4">
        <v>14</v>
      </c>
      <c r="C1882" s="15">
        <v>272</v>
      </c>
      <c r="D1882" s="16">
        <v>3</v>
      </c>
      <c r="E1882" s="22">
        <v>44233</v>
      </c>
      <c r="F1882" s="17">
        <v>15</v>
      </c>
      <c r="G1882" s="18">
        <v>0.13</v>
      </c>
      <c r="H1882">
        <f>F1882*VLOOKUP(B1882,產品!$A$2:$H$61,7,FALSE)*(1-銷售總表!G1882)</f>
        <v>23490</v>
      </c>
      <c r="I1882" s="35">
        <f>H1882-F1882*VLOOKUP(銷售總表!B1882,產品!$A$2:$H$61,8,FALSE)</f>
        <v>12690</v>
      </c>
      <c r="J1882" s="20">
        <f t="shared" si="29"/>
        <v>0.54022988505747127</v>
      </c>
    </row>
    <row r="1883" spans="1:10" x14ac:dyDescent="0.3">
      <c r="A1883" s="33">
        <v>1882</v>
      </c>
      <c r="B1883" s="4">
        <v>51</v>
      </c>
      <c r="C1883" s="15">
        <v>9</v>
      </c>
      <c r="D1883" s="16">
        <v>4</v>
      </c>
      <c r="E1883" s="22">
        <v>44233</v>
      </c>
      <c r="F1883" s="17">
        <v>13</v>
      </c>
      <c r="G1883" s="18">
        <v>0.09</v>
      </c>
      <c r="H1883">
        <f>F1883*VLOOKUP(B1883,產品!$A$2:$H$61,7,FALSE)*(1-銷售總表!G1883)</f>
        <v>236600</v>
      </c>
      <c r="I1883" s="35">
        <f>H1883-F1883*VLOOKUP(銷售總表!B1883,產品!$A$2:$H$61,8,FALSE)</f>
        <v>54600</v>
      </c>
      <c r="J1883" s="20">
        <f t="shared" si="29"/>
        <v>0.23076923076923078</v>
      </c>
    </row>
    <row r="1884" spans="1:10" x14ac:dyDescent="0.3">
      <c r="A1884" s="33">
        <v>1883</v>
      </c>
      <c r="B1884" s="4">
        <v>34</v>
      </c>
      <c r="C1884" s="15">
        <v>135</v>
      </c>
      <c r="D1884" s="16">
        <v>7</v>
      </c>
      <c r="E1884" s="22">
        <v>44233</v>
      </c>
      <c r="F1884" s="17">
        <v>30</v>
      </c>
      <c r="G1884" s="18">
        <v>7.0000000000000007E-2</v>
      </c>
      <c r="H1884">
        <f>F1884*VLOOKUP(B1884,產品!$A$2:$H$61,7,FALSE)*(1-銷售總表!G1884)</f>
        <v>223199.99999999997</v>
      </c>
      <c r="I1884" s="35">
        <f>H1884-F1884*VLOOKUP(銷售總表!B1884,產品!$A$2:$H$61,8,FALSE)</f>
        <v>79199.999999999971</v>
      </c>
      <c r="J1884" s="20">
        <f t="shared" si="29"/>
        <v>0.35483870967741926</v>
      </c>
    </row>
    <row r="1885" spans="1:10" x14ac:dyDescent="0.3">
      <c r="A1885" s="33">
        <v>1884</v>
      </c>
      <c r="B1885" s="4">
        <v>4</v>
      </c>
      <c r="C1885" s="15">
        <v>124</v>
      </c>
      <c r="D1885" s="16">
        <v>8</v>
      </c>
      <c r="E1885" s="22">
        <v>44234</v>
      </c>
      <c r="F1885" s="17">
        <v>10</v>
      </c>
      <c r="G1885" s="18">
        <v>0.06</v>
      </c>
      <c r="H1885">
        <f>F1885*VLOOKUP(B1885,產品!$A$2:$H$61,7,FALSE)*(1-銷售總表!G1885)</f>
        <v>9400</v>
      </c>
      <c r="I1885" s="35">
        <f>H1885-F1885*VLOOKUP(銷售總表!B1885,產品!$A$2:$H$61,8,FALSE)</f>
        <v>5400</v>
      </c>
      <c r="J1885" s="20">
        <f t="shared" si="29"/>
        <v>0.57446808510638303</v>
      </c>
    </row>
    <row r="1886" spans="1:10" x14ac:dyDescent="0.3">
      <c r="A1886" s="33">
        <v>1885</v>
      </c>
      <c r="B1886" s="4">
        <v>54</v>
      </c>
      <c r="C1886" s="15">
        <v>281</v>
      </c>
      <c r="D1886" s="16">
        <v>6</v>
      </c>
      <c r="E1886" s="22">
        <v>44234</v>
      </c>
      <c r="F1886" s="19">
        <v>3</v>
      </c>
      <c r="G1886" s="18">
        <v>0.16</v>
      </c>
      <c r="H1886">
        <f>F1886*VLOOKUP(B1886,產品!$A$2:$H$61,7,FALSE)*(1-銷售總表!G1886)</f>
        <v>45360</v>
      </c>
      <c r="I1886" s="35">
        <f>H1886-F1886*VLOOKUP(銷售總表!B1886,產品!$A$2:$H$61,8,FALSE)</f>
        <v>7560</v>
      </c>
      <c r="J1886" s="20">
        <f t="shared" si="29"/>
        <v>0.16666666666666666</v>
      </c>
    </row>
    <row r="1887" spans="1:10" x14ac:dyDescent="0.3">
      <c r="A1887" s="33">
        <v>1886</v>
      </c>
      <c r="B1887" s="4">
        <v>37</v>
      </c>
      <c r="C1887" s="15">
        <v>283</v>
      </c>
      <c r="D1887" s="16">
        <v>3</v>
      </c>
      <c r="E1887" s="22">
        <v>44235</v>
      </c>
      <c r="F1887" s="19">
        <v>2</v>
      </c>
      <c r="G1887" s="18">
        <v>0.1</v>
      </c>
      <c r="H1887">
        <f>F1887*VLOOKUP(B1887,產品!$A$2:$H$61,7,FALSE)*(1-銷售總表!G1887)</f>
        <v>21600</v>
      </c>
      <c r="I1887" s="35">
        <f>H1887-F1887*VLOOKUP(銷售總表!B1887,產品!$A$2:$H$61,8,FALSE)</f>
        <v>6000</v>
      </c>
      <c r="J1887" s="20">
        <f t="shared" si="29"/>
        <v>0.27777777777777779</v>
      </c>
    </row>
    <row r="1888" spans="1:10" x14ac:dyDescent="0.3">
      <c r="A1888" s="33">
        <v>1887</v>
      </c>
      <c r="B1888" s="4">
        <v>7</v>
      </c>
      <c r="C1888" s="15">
        <v>125</v>
      </c>
      <c r="D1888" s="16">
        <v>2</v>
      </c>
      <c r="E1888" s="22">
        <v>44235</v>
      </c>
      <c r="F1888" s="17">
        <v>20</v>
      </c>
      <c r="G1888" s="18">
        <v>0.16</v>
      </c>
      <c r="H1888">
        <f>F1888*VLOOKUP(B1888,產品!$A$2:$H$61,7,FALSE)*(1-銷售總表!G1888)</f>
        <v>16800</v>
      </c>
      <c r="I1888" s="35">
        <f>H1888-F1888*VLOOKUP(銷售總表!B1888,產品!$A$2:$H$61,8,FALSE)</f>
        <v>8800</v>
      </c>
      <c r="J1888" s="20">
        <f t="shared" si="29"/>
        <v>0.52380952380952384</v>
      </c>
    </row>
    <row r="1889" spans="1:10" x14ac:dyDescent="0.3">
      <c r="A1889" s="33">
        <v>1888</v>
      </c>
      <c r="B1889" s="4">
        <v>3</v>
      </c>
      <c r="C1889" s="15">
        <v>271</v>
      </c>
      <c r="D1889" s="16">
        <v>6</v>
      </c>
      <c r="E1889" s="22">
        <v>44235</v>
      </c>
      <c r="F1889" s="19">
        <v>300</v>
      </c>
      <c r="G1889" s="18">
        <v>0.15</v>
      </c>
      <c r="H1889">
        <f>F1889*VLOOKUP(B1889,產品!$A$2:$H$61,7,FALSE)*(1-銷售總表!G1889)</f>
        <v>255000</v>
      </c>
      <c r="I1889" s="35">
        <f>H1889-F1889*VLOOKUP(銷售總表!B1889,產品!$A$2:$H$61,8,FALSE)</f>
        <v>135000</v>
      </c>
      <c r="J1889" s="20">
        <f t="shared" si="29"/>
        <v>0.52941176470588236</v>
      </c>
    </row>
    <row r="1890" spans="1:10" x14ac:dyDescent="0.3">
      <c r="A1890" s="33">
        <v>1889</v>
      </c>
      <c r="B1890" s="4">
        <v>59</v>
      </c>
      <c r="C1890" s="15">
        <v>282</v>
      </c>
      <c r="D1890" s="16">
        <v>6</v>
      </c>
      <c r="E1890" s="22">
        <v>44236</v>
      </c>
      <c r="F1890" s="17">
        <v>2</v>
      </c>
      <c r="G1890" s="18">
        <v>0.15</v>
      </c>
      <c r="H1890">
        <f>F1890*VLOOKUP(B1890,產品!$A$2:$H$61,7,FALSE)*(1-銷售總表!G1890)</f>
        <v>40800</v>
      </c>
      <c r="I1890" s="35">
        <f>H1890-F1890*VLOOKUP(銷售總表!B1890,產品!$A$2:$H$61,8,FALSE)</f>
        <v>7200</v>
      </c>
      <c r="J1890" s="20">
        <f t="shared" si="29"/>
        <v>0.17647058823529413</v>
      </c>
    </row>
    <row r="1891" spans="1:10" x14ac:dyDescent="0.3">
      <c r="A1891" s="33">
        <v>1890</v>
      </c>
      <c r="B1891" s="4">
        <v>51</v>
      </c>
      <c r="C1891" s="15">
        <v>259</v>
      </c>
      <c r="D1891" s="16">
        <v>8</v>
      </c>
      <c r="E1891" s="22">
        <v>44236</v>
      </c>
      <c r="F1891" s="17">
        <v>10</v>
      </c>
      <c r="G1891" s="18">
        <v>0.06</v>
      </c>
      <c r="H1891">
        <f>F1891*VLOOKUP(B1891,產品!$A$2:$H$61,7,FALSE)*(1-銷售總表!G1891)</f>
        <v>188000</v>
      </c>
      <c r="I1891" s="35">
        <f>H1891-F1891*VLOOKUP(銷售總表!B1891,產品!$A$2:$H$61,8,FALSE)</f>
        <v>48000</v>
      </c>
      <c r="J1891" s="20">
        <f t="shared" si="29"/>
        <v>0.25531914893617019</v>
      </c>
    </row>
    <row r="1892" spans="1:10" x14ac:dyDescent="0.3">
      <c r="A1892" s="33">
        <v>1891</v>
      </c>
      <c r="B1892" s="4">
        <v>16</v>
      </c>
      <c r="C1892" s="15">
        <v>11</v>
      </c>
      <c r="D1892" s="16">
        <v>1</v>
      </c>
      <c r="E1892" s="22">
        <v>44236</v>
      </c>
      <c r="F1892" s="19">
        <v>70</v>
      </c>
      <c r="G1892" s="18">
        <v>0.06</v>
      </c>
      <c r="H1892">
        <f>F1892*VLOOKUP(B1892,產品!$A$2:$H$61,7,FALSE)*(1-銷售總表!G1892)</f>
        <v>118440</v>
      </c>
      <c r="I1892" s="35">
        <f>H1892-F1892*VLOOKUP(銷售總表!B1892,產品!$A$2:$H$61,8,FALSE)</f>
        <v>68040</v>
      </c>
      <c r="J1892" s="20">
        <f t="shared" si="29"/>
        <v>0.57446808510638303</v>
      </c>
    </row>
    <row r="1893" spans="1:10" x14ac:dyDescent="0.3">
      <c r="A1893" s="33">
        <v>1892</v>
      </c>
      <c r="B1893" s="4">
        <v>58</v>
      </c>
      <c r="C1893" s="15">
        <v>9</v>
      </c>
      <c r="D1893" s="16">
        <v>3</v>
      </c>
      <c r="E1893" s="22">
        <v>44237</v>
      </c>
      <c r="F1893" s="19">
        <v>3</v>
      </c>
      <c r="G1893" s="18">
        <v>0.19</v>
      </c>
      <c r="H1893">
        <f>F1893*VLOOKUP(B1893,產品!$A$2:$H$61,7,FALSE)*(1-銷售總表!G1893)</f>
        <v>51030</v>
      </c>
      <c r="I1893" s="35">
        <f>H1893-F1893*VLOOKUP(銷售總表!B1893,產品!$A$2:$H$61,8,FALSE)</f>
        <v>6930.0000000000073</v>
      </c>
      <c r="J1893" s="20">
        <f t="shared" si="29"/>
        <v>0.1358024691358026</v>
      </c>
    </row>
    <row r="1894" spans="1:10" x14ac:dyDescent="0.3">
      <c r="A1894" s="33">
        <v>1893</v>
      </c>
      <c r="B1894" s="4">
        <v>29</v>
      </c>
      <c r="C1894" s="15">
        <v>11</v>
      </c>
      <c r="D1894" s="16">
        <v>4</v>
      </c>
      <c r="E1894" s="22">
        <v>44238</v>
      </c>
      <c r="F1894" s="17">
        <v>10</v>
      </c>
      <c r="G1894" s="18">
        <v>0.19</v>
      </c>
      <c r="H1894">
        <f>F1894*VLOOKUP(B1894,產品!$A$2:$H$61,7,FALSE)*(1-銷售總表!G1894)</f>
        <v>48600</v>
      </c>
      <c r="I1894" s="35">
        <f>H1894-F1894*VLOOKUP(銷售總表!B1894,產品!$A$2:$H$61,8,FALSE)</f>
        <v>12600</v>
      </c>
      <c r="J1894" s="20">
        <f t="shared" si="29"/>
        <v>0.25925925925925924</v>
      </c>
    </row>
    <row r="1895" spans="1:10" x14ac:dyDescent="0.3">
      <c r="A1895" s="33">
        <v>1894</v>
      </c>
      <c r="B1895" s="4">
        <v>58</v>
      </c>
      <c r="C1895" s="15">
        <v>282</v>
      </c>
      <c r="D1895" s="16">
        <v>7</v>
      </c>
      <c r="E1895" s="22">
        <v>44238</v>
      </c>
      <c r="F1895" s="17">
        <v>1</v>
      </c>
      <c r="G1895" s="18">
        <v>0.08</v>
      </c>
      <c r="H1895">
        <f>F1895*VLOOKUP(B1895,產品!$A$2:$H$61,7,FALSE)*(1-銷售總表!G1895)</f>
        <v>19320</v>
      </c>
      <c r="I1895" s="35">
        <f>H1895-F1895*VLOOKUP(銷售總表!B1895,產品!$A$2:$H$61,8,FALSE)</f>
        <v>4620.0000000000018</v>
      </c>
      <c r="J1895" s="20">
        <f t="shared" si="29"/>
        <v>0.23913043478260879</v>
      </c>
    </row>
    <row r="1896" spans="1:10" x14ac:dyDescent="0.3">
      <c r="A1896" s="33">
        <v>1895</v>
      </c>
      <c r="B1896" s="4">
        <v>11</v>
      </c>
      <c r="C1896" s="15">
        <v>284</v>
      </c>
      <c r="D1896" s="16">
        <v>9</v>
      </c>
      <c r="E1896" s="22">
        <v>44238</v>
      </c>
      <c r="F1896" s="19">
        <v>20</v>
      </c>
      <c r="G1896" s="18">
        <v>0.12</v>
      </c>
      <c r="H1896">
        <f>F1896*VLOOKUP(B1896,產品!$A$2:$H$61,7,FALSE)*(1-銷售總表!G1896)</f>
        <v>17600</v>
      </c>
      <c r="I1896" s="35">
        <f>H1896-F1896*VLOOKUP(銷售總表!B1896,產品!$A$2:$H$61,8,FALSE)</f>
        <v>9600</v>
      </c>
      <c r="J1896" s="20">
        <f t="shared" si="29"/>
        <v>0.54545454545454541</v>
      </c>
    </row>
    <row r="1897" spans="1:10" x14ac:dyDescent="0.3">
      <c r="A1897" s="33">
        <v>1896</v>
      </c>
      <c r="B1897" s="4">
        <v>8</v>
      </c>
      <c r="C1897" s="15">
        <v>115</v>
      </c>
      <c r="D1897" s="16">
        <v>9</v>
      </c>
      <c r="E1897" s="22">
        <v>44238</v>
      </c>
      <c r="F1897" s="19">
        <v>50</v>
      </c>
      <c r="G1897" s="18">
        <v>0.18</v>
      </c>
      <c r="H1897">
        <f>F1897*VLOOKUP(B1897,產品!$A$2:$H$61,7,FALSE)*(1-銷售總表!G1897)</f>
        <v>41000</v>
      </c>
      <c r="I1897" s="35">
        <f>H1897-F1897*VLOOKUP(銷售總表!B1897,產品!$A$2:$H$61,8,FALSE)</f>
        <v>21000</v>
      </c>
      <c r="J1897" s="20">
        <f t="shared" si="29"/>
        <v>0.51219512195121952</v>
      </c>
    </row>
    <row r="1898" spans="1:10" x14ac:dyDescent="0.3">
      <c r="A1898" s="33">
        <v>1897</v>
      </c>
      <c r="B1898" s="4">
        <v>59</v>
      </c>
      <c r="C1898" s="15">
        <v>123</v>
      </c>
      <c r="D1898" s="16">
        <v>1</v>
      </c>
      <c r="E1898" s="22">
        <v>44238</v>
      </c>
      <c r="F1898" s="19">
        <v>7</v>
      </c>
      <c r="G1898" s="18">
        <v>0.09</v>
      </c>
      <c r="H1898">
        <f>F1898*VLOOKUP(B1898,產品!$A$2:$H$61,7,FALSE)*(1-銷售總表!G1898)</f>
        <v>152880</v>
      </c>
      <c r="I1898" s="35">
        <f>H1898-F1898*VLOOKUP(銷售總表!B1898,產品!$A$2:$H$61,8,FALSE)</f>
        <v>35280</v>
      </c>
      <c r="J1898" s="20">
        <f t="shared" si="29"/>
        <v>0.23076923076923078</v>
      </c>
    </row>
    <row r="1899" spans="1:10" x14ac:dyDescent="0.3">
      <c r="A1899" s="33">
        <v>1898</v>
      </c>
      <c r="B1899" s="4">
        <v>20</v>
      </c>
      <c r="C1899" s="15">
        <v>12</v>
      </c>
      <c r="D1899" s="16">
        <v>2</v>
      </c>
      <c r="E1899" s="22">
        <v>44238</v>
      </c>
      <c r="F1899" s="19">
        <v>200</v>
      </c>
      <c r="G1899" s="18">
        <v>0.18</v>
      </c>
      <c r="H1899">
        <f>F1899*VLOOKUP(B1899,產品!$A$2:$H$61,7,FALSE)*(1-銷售總表!G1899)</f>
        <v>295200</v>
      </c>
      <c r="I1899" s="35">
        <f>H1899-F1899*VLOOKUP(銷售總表!B1899,產品!$A$2:$H$61,8,FALSE)</f>
        <v>151200</v>
      </c>
      <c r="J1899" s="20">
        <f t="shared" si="29"/>
        <v>0.51219512195121952</v>
      </c>
    </row>
    <row r="1900" spans="1:10" x14ac:dyDescent="0.3">
      <c r="A1900" s="33">
        <v>1899</v>
      </c>
      <c r="B1900" s="4">
        <v>31</v>
      </c>
      <c r="C1900" s="15">
        <v>261</v>
      </c>
      <c r="D1900" s="16">
        <v>6</v>
      </c>
      <c r="E1900" s="22">
        <v>44239</v>
      </c>
      <c r="F1900" s="17">
        <v>10</v>
      </c>
      <c r="G1900" s="18">
        <v>0.11</v>
      </c>
      <c r="H1900">
        <f>F1900*VLOOKUP(B1900,產品!$A$2:$H$61,7,FALSE)*(1-銷售總表!G1900)</f>
        <v>62300</v>
      </c>
      <c r="I1900" s="35">
        <f>H1900-F1900*VLOOKUP(銷售總表!B1900,產品!$A$2:$H$61,8,FALSE)</f>
        <v>20300</v>
      </c>
      <c r="J1900" s="20">
        <f t="shared" si="29"/>
        <v>0.3258426966292135</v>
      </c>
    </row>
    <row r="1901" spans="1:10" x14ac:dyDescent="0.3">
      <c r="A1901" s="33">
        <v>1900</v>
      </c>
      <c r="B1901" s="4">
        <v>7</v>
      </c>
      <c r="C1901" s="15">
        <v>257</v>
      </c>
      <c r="D1901" s="16">
        <v>7</v>
      </c>
      <c r="E1901" s="22">
        <v>44239</v>
      </c>
      <c r="F1901" s="19">
        <v>40</v>
      </c>
      <c r="G1901" s="18">
        <v>7.0000000000000007E-2</v>
      </c>
      <c r="H1901">
        <f>F1901*VLOOKUP(B1901,產品!$A$2:$H$61,7,FALSE)*(1-銷售總表!G1901)</f>
        <v>37200</v>
      </c>
      <c r="I1901" s="35">
        <f>H1901-F1901*VLOOKUP(銷售總表!B1901,產品!$A$2:$H$61,8,FALSE)</f>
        <v>21200</v>
      </c>
      <c r="J1901" s="20">
        <f t="shared" si="29"/>
        <v>0.56989247311827962</v>
      </c>
    </row>
    <row r="1902" spans="1:10" x14ac:dyDescent="0.3">
      <c r="A1902" s="33">
        <v>1901</v>
      </c>
      <c r="B1902" s="4">
        <v>6</v>
      </c>
      <c r="C1902" s="15">
        <v>283</v>
      </c>
      <c r="D1902" s="16">
        <v>7</v>
      </c>
      <c r="E1902" s="22">
        <v>44239</v>
      </c>
      <c r="F1902" s="19">
        <v>75</v>
      </c>
      <c r="G1902" s="18">
        <v>0.15</v>
      </c>
      <c r="H1902">
        <f>F1902*VLOOKUP(B1902,產品!$A$2:$H$61,7,FALSE)*(1-銷售總表!G1902)</f>
        <v>63750</v>
      </c>
      <c r="I1902" s="35">
        <f>H1902-F1902*VLOOKUP(銷售總表!B1902,產品!$A$2:$H$61,8,FALSE)</f>
        <v>33750</v>
      </c>
      <c r="J1902" s="20">
        <f t="shared" si="29"/>
        <v>0.52941176470588236</v>
      </c>
    </row>
    <row r="1903" spans="1:10" x14ac:dyDescent="0.3">
      <c r="A1903" s="33">
        <v>1902</v>
      </c>
      <c r="B1903" s="4">
        <v>40</v>
      </c>
      <c r="C1903" s="15">
        <v>290</v>
      </c>
      <c r="D1903" s="16">
        <v>10</v>
      </c>
      <c r="E1903" s="22">
        <v>44240</v>
      </c>
      <c r="F1903" s="19">
        <v>2</v>
      </c>
      <c r="G1903" s="18">
        <v>0.15</v>
      </c>
      <c r="H1903">
        <f>F1903*VLOOKUP(B1903,產品!$A$2:$H$61,7,FALSE)*(1-銷售總表!G1903)</f>
        <v>34000</v>
      </c>
      <c r="I1903" s="35">
        <f>H1903-F1903*VLOOKUP(銷售總表!B1903,產品!$A$2:$H$61,8,FALSE)</f>
        <v>8000</v>
      </c>
      <c r="J1903" s="20">
        <f t="shared" si="29"/>
        <v>0.23529411764705882</v>
      </c>
    </row>
    <row r="1904" spans="1:10" x14ac:dyDescent="0.3">
      <c r="A1904" s="33">
        <v>1903</v>
      </c>
      <c r="B1904" s="4">
        <v>46</v>
      </c>
      <c r="C1904" s="15">
        <v>126</v>
      </c>
      <c r="D1904" s="16">
        <v>2</v>
      </c>
      <c r="E1904" s="22">
        <v>44240</v>
      </c>
      <c r="F1904" s="19">
        <v>6</v>
      </c>
      <c r="G1904" s="18">
        <v>0.11</v>
      </c>
      <c r="H1904">
        <f>F1904*VLOOKUP(B1904,產品!$A$2:$H$61,7,FALSE)*(1-銷售總表!G1904)</f>
        <v>90780</v>
      </c>
      <c r="I1904" s="35">
        <f>H1904-F1904*VLOOKUP(銷售總表!B1904,產品!$A$2:$H$61,8,FALSE)</f>
        <v>24480</v>
      </c>
      <c r="J1904" s="20">
        <f t="shared" si="29"/>
        <v>0.2696629213483146</v>
      </c>
    </row>
    <row r="1905" spans="1:10" x14ac:dyDescent="0.3">
      <c r="A1905" s="33">
        <v>1904</v>
      </c>
      <c r="B1905" s="4">
        <v>13</v>
      </c>
      <c r="C1905" s="15">
        <v>9</v>
      </c>
      <c r="D1905" s="16">
        <v>10</v>
      </c>
      <c r="E1905" s="22">
        <v>44240</v>
      </c>
      <c r="F1905" s="19">
        <v>30</v>
      </c>
      <c r="G1905" s="18">
        <v>0.1</v>
      </c>
      <c r="H1905">
        <f>F1905*VLOOKUP(B1905,產品!$A$2:$H$61,7,FALSE)*(1-銷售總表!G1905)</f>
        <v>48600</v>
      </c>
      <c r="I1905" s="35">
        <f>H1905-F1905*VLOOKUP(銷售總表!B1905,產品!$A$2:$H$61,8,FALSE)</f>
        <v>27000</v>
      </c>
      <c r="J1905" s="20">
        <f t="shared" si="29"/>
        <v>0.55555555555555558</v>
      </c>
    </row>
    <row r="1906" spans="1:10" x14ac:dyDescent="0.3">
      <c r="A1906" s="33">
        <v>1905</v>
      </c>
      <c r="B1906" s="4">
        <v>56</v>
      </c>
      <c r="C1906" s="15">
        <v>117</v>
      </c>
      <c r="D1906" s="16">
        <v>10</v>
      </c>
      <c r="E1906" s="22">
        <v>44240</v>
      </c>
      <c r="F1906" s="17">
        <v>9</v>
      </c>
      <c r="G1906" s="18">
        <v>0.1</v>
      </c>
      <c r="H1906">
        <f>F1906*VLOOKUP(B1906,產品!$A$2:$H$61,7,FALSE)*(1-銷售總表!G1906)</f>
        <v>178200</v>
      </c>
      <c r="I1906" s="35">
        <f>H1906-F1906*VLOOKUP(銷售總表!B1906,產品!$A$2:$H$61,8,FALSE)</f>
        <v>39600.000000000029</v>
      </c>
      <c r="J1906" s="20">
        <f t="shared" si="29"/>
        <v>0.22222222222222238</v>
      </c>
    </row>
    <row r="1907" spans="1:10" x14ac:dyDescent="0.3">
      <c r="A1907" s="33">
        <v>1906</v>
      </c>
      <c r="B1907" s="4">
        <v>37</v>
      </c>
      <c r="C1907" s="15">
        <v>262</v>
      </c>
      <c r="D1907" s="16">
        <v>9</v>
      </c>
      <c r="E1907" s="22">
        <v>44241</v>
      </c>
      <c r="F1907" s="19">
        <v>4</v>
      </c>
      <c r="G1907" s="18">
        <v>0.15</v>
      </c>
      <c r="H1907">
        <f>F1907*VLOOKUP(B1907,產品!$A$2:$H$61,7,FALSE)*(1-銷售總表!G1907)</f>
        <v>40800</v>
      </c>
      <c r="I1907" s="35">
        <f>H1907-F1907*VLOOKUP(銷售總表!B1907,產品!$A$2:$H$61,8,FALSE)</f>
        <v>9600</v>
      </c>
      <c r="J1907" s="20">
        <f t="shared" si="29"/>
        <v>0.23529411764705882</v>
      </c>
    </row>
    <row r="1908" spans="1:10" x14ac:dyDescent="0.3">
      <c r="A1908" s="33">
        <v>1907</v>
      </c>
      <c r="B1908" s="4">
        <v>19</v>
      </c>
      <c r="C1908" s="15">
        <v>282</v>
      </c>
      <c r="D1908" s="16">
        <v>10</v>
      </c>
      <c r="E1908" s="22">
        <v>44241</v>
      </c>
      <c r="F1908" s="19">
        <v>20</v>
      </c>
      <c r="G1908" s="18">
        <v>0.05</v>
      </c>
      <c r="H1908">
        <f>F1908*VLOOKUP(B1908,產品!$A$2:$H$61,7,FALSE)*(1-銷售總表!G1908)</f>
        <v>34200</v>
      </c>
      <c r="I1908" s="35">
        <f>H1908-F1908*VLOOKUP(銷售總表!B1908,產品!$A$2:$H$61,8,FALSE)</f>
        <v>19800</v>
      </c>
      <c r="J1908" s="20">
        <f t="shared" si="29"/>
        <v>0.57894736842105265</v>
      </c>
    </row>
    <row r="1909" spans="1:10" x14ac:dyDescent="0.3">
      <c r="A1909" s="33">
        <v>1908</v>
      </c>
      <c r="B1909" s="4">
        <v>9</v>
      </c>
      <c r="C1909" s="15">
        <v>289</v>
      </c>
      <c r="D1909" s="16">
        <v>3</v>
      </c>
      <c r="E1909" s="22">
        <v>44242</v>
      </c>
      <c r="F1909" s="17">
        <v>20</v>
      </c>
      <c r="G1909" s="18">
        <v>0.18</v>
      </c>
      <c r="H1909">
        <f>F1909*VLOOKUP(B1909,產品!$A$2:$H$61,7,FALSE)*(1-銷售總表!G1909)</f>
        <v>16400</v>
      </c>
      <c r="I1909" s="35">
        <f>H1909-F1909*VLOOKUP(銷售總表!B1909,產品!$A$2:$H$61,8,FALSE)</f>
        <v>8400</v>
      </c>
      <c r="J1909" s="20">
        <f t="shared" si="29"/>
        <v>0.51219512195121952</v>
      </c>
    </row>
    <row r="1910" spans="1:10" x14ac:dyDescent="0.3">
      <c r="A1910" s="33">
        <v>1909</v>
      </c>
      <c r="B1910" s="4">
        <v>27</v>
      </c>
      <c r="C1910" s="15">
        <v>7</v>
      </c>
      <c r="D1910" s="16">
        <v>8</v>
      </c>
      <c r="E1910" s="22">
        <v>44242</v>
      </c>
      <c r="F1910" s="19">
        <v>5</v>
      </c>
      <c r="G1910" s="18">
        <v>0.13</v>
      </c>
      <c r="H1910">
        <f>F1910*VLOOKUP(B1910,產品!$A$2:$H$61,7,FALSE)*(1-銷售總表!G1910)</f>
        <v>30450</v>
      </c>
      <c r="I1910" s="35">
        <f>H1910-F1910*VLOOKUP(銷售總表!B1910,產品!$A$2:$H$61,8,FALSE)</f>
        <v>9450</v>
      </c>
      <c r="J1910" s="20">
        <f t="shared" si="29"/>
        <v>0.31034482758620691</v>
      </c>
    </row>
    <row r="1911" spans="1:10" x14ac:dyDescent="0.3">
      <c r="A1911" s="33">
        <v>1910</v>
      </c>
      <c r="B1911" s="4">
        <v>59</v>
      </c>
      <c r="C1911" s="15">
        <v>4</v>
      </c>
      <c r="D1911" s="16">
        <v>10</v>
      </c>
      <c r="E1911" s="22">
        <v>44243</v>
      </c>
      <c r="F1911" s="19">
        <v>4</v>
      </c>
      <c r="G1911" s="18">
        <v>0.09</v>
      </c>
      <c r="H1911">
        <f>F1911*VLOOKUP(B1911,產品!$A$2:$H$61,7,FALSE)*(1-銷售總表!G1911)</f>
        <v>87360</v>
      </c>
      <c r="I1911" s="35">
        <f>H1911-F1911*VLOOKUP(銷售總表!B1911,產品!$A$2:$H$61,8,FALSE)</f>
        <v>20160</v>
      </c>
      <c r="J1911" s="20">
        <f t="shared" si="29"/>
        <v>0.23076923076923078</v>
      </c>
    </row>
    <row r="1912" spans="1:10" x14ac:dyDescent="0.3">
      <c r="A1912" s="33">
        <v>1911</v>
      </c>
      <c r="B1912" s="4">
        <v>26</v>
      </c>
      <c r="C1912" s="15">
        <v>11</v>
      </c>
      <c r="D1912" s="16">
        <v>9</v>
      </c>
      <c r="E1912" s="22">
        <v>44244</v>
      </c>
      <c r="F1912" s="19">
        <v>10</v>
      </c>
      <c r="G1912" s="18">
        <v>0.2</v>
      </c>
      <c r="H1912">
        <f>F1912*VLOOKUP(B1912,產品!$A$2:$H$61,7,FALSE)*(1-銷售總表!G1912)</f>
        <v>52000</v>
      </c>
      <c r="I1912" s="35">
        <f>H1912-F1912*VLOOKUP(銷售總表!B1912,產品!$A$2:$H$61,8,FALSE)</f>
        <v>13000</v>
      </c>
      <c r="J1912" s="20">
        <f t="shared" si="29"/>
        <v>0.25</v>
      </c>
    </row>
    <row r="1913" spans="1:10" x14ac:dyDescent="0.3">
      <c r="A1913" s="33">
        <v>1912</v>
      </c>
      <c r="B1913" s="4">
        <v>34</v>
      </c>
      <c r="C1913" s="15">
        <v>264</v>
      </c>
      <c r="D1913" s="16">
        <v>2</v>
      </c>
      <c r="E1913" s="22">
        <v>44246</v>
      </c>
      <c r="F1913" s="17">
        <v>5</v>
      </c>
      <c r="G1913" s="18">
        <v>0.13</v>
      </c>
      <c r="H1913">
        <f>F1913*VLOOKUP(B1913,產品!$A$2:$H$61,7,FALSE)*(1-銷售總表!G1913)</f>
        <v>34800</v>
      </c>
      <c r="I1913" s="35">
        <f>H1913-F1913*VLOOKUP(銷售總表!B1913,產品!$A$2:$H$61,8,FALSE)</f>
        <v>10800</v>
      </c>
      <c r="J1913" s="20">
        <f t="shared" si="29"/>
        <v>0.31034482758620691</v>
      </c>
    </row>
    <row r="1914" spans="1:10" x14ac:dyDescent="0.3">
      <c r="A1914" s="33">
        <v>1913</v>
      </c>
      <c r="B1914" s="4">
        <v>23</v>
      </c>
      <c r="C1914" s="15">
        <v>259</v>
      </c>
      <c r="D1914" s="16">
        <v>3</v>
      </c>
      <c r="E1914" s="22">
        <v>44246</v>
      </c>
      <c r="F1914" s="19">
        <v>20</v>
      </c>
      <c r="G1914" s="18">
        <v>0.2</v>
      </c>
      <c r="H1914">
        <f>F1914*VLOOKUP(B1914,產品!$A$2:$H$61,7,FALSE)*(1-銷售總表!G1914)</f>
        <v>28800</v>
      </c>
      <c r="I1914" s="35">
        <f>H1914-F1914*VLOOKUP(銷售總表!B1914,產品!$A$2:$H$61,8,FALSE)</f>
        <v>14400</v>
      </c>
      <c r="J1914" s="20">
        <f t="shared" si="29"/>
        <v>0.5</v>
      </c>
    </row>
    <row r="1915" spans="1:10" x14ac:dyDescent="0.3">
      <c r="A1915" s="33">
        <v>1914</v>
      </c>
      <c r="B1915" s="4">
        <v>33</v>
      </c>
      <c r="C1915" s="15">
        <v>137</v>
      </c>
      <c r="D1915" s="16">
        <v>1</v>
      </c>
      <c r="E1915" s="22">
        <v>44246</v>
      </c>
      <c r="F1915" s="19">
        <v>20</v>
      </c>
      <c r="G1915" s="18">
        <v>0.2</v>
      </c>
      <c r="H1915">
        <f>F1915*VLOOKUP(B1915,產品!$A$2:$H$61,7,FALSE)*(1-銷售總表!G1915)</f>
        <v>120000</v>
      </c>
      <c r="I1915" s="35">
        <f>H1915-F1915*VLOOKUP(銷售總表!B1915,產品!$A$2:$H$61,8,FALSE)</f>
        <v>30000</v>
      </c>
      <c r="J1915" s="20">
        <f t="shared" si="29"/>
        <v>0.25</v>
      </c>
    </row>
    <row r="1916" spans="1:10" x14ac:dyDescent="0.3">
      <c r="A1916" s="33">
        <v>1915</v>
      </c>
      <c r="B1916" s="4">
        <v>16</v>
      </c>
      <c r="C1916" s="15">
        <v>292</v>
      </c>
      <c r="D1916" s="16">
        <v>4</v>
      </c>
      <c r="E1916" s="22">
        <v>44246</v>
      </c>
      <c r="F1916" s="17">
        <v>45</v>
      </c>
      <c r="G1916" s="18">
        <v>0.15</v>
      </c>
      <c r="H1916">
        <f>F1916*VLOOKUP(B1916,產品!$A$2:$H$61,7,FALSE)*(1-銷售總表!G1916)</f>
        <v>68850</v>
      </c>
      <c r="I1916" s="35">
        <f>H1916-F1916*VLOOKUP(銷售總表!B1916,產品!$A$2:$H$61,8,FALSE)</f>
        <v>36450</v>
      </c>
      <c r="J1916" s="20">
        <f t="shared" si="29"/>
        <v>0.52941176470588236</v>
      </c>
    </row>
    <row r="1917" spans="1:10" x14ac:dyDescent="0.3">
      <c r="A1917" s="33">
        <v>1916</v>
      </c>
      <c r="B1917" s="4">
        <v>5</v>
      </c>
      <c r="C1917" s="15">
        <v>5</v>
      </c>
      <c r="D1917" s="16">
        <v>4</v>
      </c>
      <c r="E1917" s="22">
        <v>44247</v>
      </c>
      <c r="F1917" s="19">
        <v>20</v>
      </c>
      <c r="G1917" s="18">
        <v>0.12</v>
      </c>
      <c r="H1917">
        <f>F1917*VLOOKUP(B1917,產品!$A$2:$H$61,7,FALSE)*(1-銷售總表!G1917)</f>
        <v>17600</v>
      </c>
      <c r="I1917" s="35">
        <f>H1917-F1917*VLOOKUP(銷售總表!B1917,產品!$A$2:$H$61,8,FALSE)</f>
        <v>9600</v>
      </c>
      <c r="J1917" s="20">
        <f t="shared" si="29"/>
        <v>0.54545454545454541</v>
      </c>
    </row>
    <row r="1918" spans="1:10" x14ac:dyDescent="0.3">
      <c r="A1918" s="33">
        <v>1917</v>
      </c>
      <c r="B1918" s="4">
        <v>11</v>
      </c>
      <c r="C1918" s="15">
        <v>283</v>
      </c>
      <c r="D1918" s="16">
        <v>3</v>
      </c>
      <c r="E1918" s="22">
        <v>44247</v>
      </c>
      <c r="F1918" s="19">
        <v>50</v>
      </c>
      <c r="G1918" s="18">
        <v>7.0000000000000007E-2</v>
      </c>
      <c r="H1918">
        <f>F1918*VLOOKUP(B1918,產品!$A$2:$H$61,7,FALSE)*(1-銷售總表!G1918)</f>
        <v>46500</v>
      </c>
      <c r="I1918" s="35">
        <f>H1918-F1918*VLOOKUP(銷售總表!B1918,產品!$A$2:$H$61,8,FALSE)</f>
        <v>26500</v>
      </c>
      <c r="J1918" s="20">
        <f t="shared" si="29"/>
        <v>0.56989247311827962</v>
      </c>
    </row>
    <row r="1919" spans="1:10" x14ac:dyDescent="0.3">
      <c r="A1919" s="33">
        <v>1918</v>
      </c>
      <c r="B1919" s="4">
        <v>43</v>
      </c>
      <c r="C1919" s="15">
        <v>275</v>
      </c>
      <c r="D1919" s="16">
        <v>1</v>
      </c>
      <c r="E1919" s="22">
        <v>44247</v>
      </c>
      <c r="F1919" s="19">
        <v>10</v>
      </c>
      <c r="G1919" s="18">
        <v>0.19</v>
      </c>
      <c r="H1919">
        <f>F1919*VLOOKUP(B1919,產品!$A$2:$H$61,7,FALSE)*(1-銷售總表!G1919)</f>
        <v>145800</v>
      </c>
      <c r="I1919" s="35">
        <f>H1919-F1919*VLOOKUP(銷售總表!B1919,產品!$A$2:$H$61,8,FALSE)</f>
        <v>28800</v>
      </c>
      <c r="J1919" s="20">
        <f t="shared" si="29"/>
        <v>0.19753086419753085</v>
      </c>
    </row>
    <row r="1920" spans="1:10" x14ac:dyDescent="0.3">
      <c r="A1920" s="33">
        <v>1919</v>
      </c>
      <c r="B1920" s="4">
        <v>46</v>
      </c>
      <c r="C1920" s="15">
        <v>6</v>
      </c>
      <c r="D1920" s="16">
        <v>4</v>
      </c>
      <c r="E1920" s="22">
        <v>44247</v>
      </c>
      <c r="F1920" s="17">
        <v>10</v>
      </c>
      <c r="G1920" s="18">
        <v>0.11</v>
      </c>
      <c r="H1920">
        <f>F1920*VLOOKUP(B1920,產品!$A$2:$H$61,7,FALSE)*(1-銷售總表!G1920)</f>
        <v>151300</v>
      </c>
      <c r="I1920" s="35">
        <f>H1920-F1920*VLOOKUP(銷售總表!B1920,產品!$A$2:$H$61,8,FALSE)</f>
        <v>40800</v>
      </c>
      <c r="J1920" s="20">
        <f t="shared" si="29"/>
        <v>0.2696629213483146</v>
      </c>
    </row>
    <row r="1921" spans="1:10" x14ac:dyDescent="0.3">
      <c r="A1921" s="33">
        <v>1920</v>
      </c>
      <c r="B1921" s="4">
        <v>26</v>
      </c>
      <c r="C1921" s="15">
        <v>263</v>
      </c>
      <c r="D1921" s="16">
        <v>1</v>
      </c>
      <c r="E1921" s="22">
        <v>44248</v>
      </c>
      <c r="F1921" s="19">
        <v>2</v>
      </c>
      <c r="G1921" s="18">
        <v>7.0000000000000007E-2</v>
      </c>
      <c r="H1921">
        <f>F1921*VLOOKUP(B1921,產品!$A$2:$H$61,7,FALSE)*(1-銷售總表!G1921)</f>
        <v>12090</v>
      </c>
      <c r="I1921" s="35">
        <f>H1921-F1921*VLOOKUP(銷售總表!B1921,產品!$A$2:$H$61,8,FALSE)</f>
        <v>4290</v>
      </c>
      <c r="J1921" s="20">
        <f t="shared" si="29"/>
        <v>0.35483870967741937</v>
      </c>
    </row>
    <row r="1922" spans="1:10" x14ac:dyDescent="0.3">
      <c r="A1922" s="33">
        <v>1921</v>
      </c>
      <c r="B1922" s="4">
        <v>58</v>
      </c>
      <c r="C1922" s="15">
        <v>4</v>
      </c>
      <c r="D1922" s="16">
        <v>7</v>
      </c>
      <c r="E1922" s="22">
        <v>44248</v>
      </c>
      <c r="F1922" s="19">
        <v>13</v>
      </c>
      <c r="G1922" s="18">
        <v>0.15</v>
      </c>
      <c r="H1922">
        <f>F1922*VLOOKUP(B1922,產品!$A$2:$H$61,7,FALSE)*(1-銷售總表!G1922)</f>
        <v>232050</v>
      </c>
      <c r="I1922" s="35">
        <f>H1922-F1922*VLOOKUP(銷售總表!B1922,產品!$A$2:$H$61,8,FALSE)</f>
        <v>40950.000000000029</v>
      </c>
      <c r="J1922" s="20">
        <f t="shared" si="29"/>
        <v>0.17647058823529424</v>
      </c>
    </row>
    <row r="1923" spans="1:10" x14ac:dyDescent="0.3">
      <c r="A1923" s="33">
        <v>1922</v>
      </c>
      <c r="B1923" s="4">
        <v>34</v>
      </c>
      <c r="C1923" s="15">
        <v>263</v>
      </c>
      <c r="D1923" s="16">
        <v>3</v>
      </c>
      <c r="E1923" s="22">
        <v>44251</v>
      </c>
      <c r="F1923" s="19">
        <v>4</v>
      </c>
      <c r="G1923" s="18">
        <v>0.17</v>
      </c>
      <c r="H1923">
        <f>F1923*VLOOKUP(B1923,產品!$A$2:$H$61,7,FALSE)*(1-銷售總表!G1923)</f>
        <v>26560</v>
      </c>
      <c r="I1923" s="35">
        <f>H1923-F1923*VLOOKUP(銷售總表!B1923,產品!$A$2:$H$61,8,FALSE)</f>
        <v>7360</v>
      </c>
      <c r="J1923" s="20">
        <f t="shared" ref="J1923:J1986" si="30">I1923/H1923</f>
        <v>0.27710843373493976</v>
      </c>
    </row>
    <row r="1924" spans="1:10" x14ac:dyDescent="0.3">
      <c r="A1924" s="33">
        <v>1923</v>
      </c>
      <c r="B1924" s="4">
        <v>6</v>
      </c>
      <c r="C1924" s="15">
        <v>121</v>
      </c>
      <c r="D1924" s="16">
        <v>1</v>
      </c>
      <c r="E1924" s="22">
        <v>44251</v>
      </c>
      <c r="F1924" s="19">
        <v>70</v>
      </c>
      <c r="G1924" s="18">
        <v>0.17</v>
      </c>
      <c r="H1924">
        <f>F1924*VLOOKUP(B1924,產品!$A$2:$H$61,7,FALSE)*(1-銷售總表!G1924)</f>
        <v>58100</v>
      </c>
      <c r="I1924" s="35">
        <f>H1924-F1924*VLOOKUP(銷售總表!B1924,產品!$A$2:$H$61,8,FALSE)</f>
        <v>30100</v>
      </c>
      <c r="J1924" s="20">
        <f t="shared" si="30"/>
        <v>0.51807228915662651</v>
      </c>
    </row>
    <row r="1925" spans="1:10" x14ac:dyDescent="0.3">
      <c r="A1925" s="33">
        <v>1924</v>
      </c>
      <c r="B1925" s="4">
        <v>43</v>
      </c>
      <c r="C1925" s="15">
        <v>122</v>
      </c>
      <c r="D1925" s="16">
        <v>10</v>
      </c>
      <c r="E1925" s="22">
        <v>44252</v>
      </c>
      <c r="F1925" s="19">
        <v>6</v>
      </c>
      <c r="G1925" s="18">
        <v>0.09</v>
      </c>
      <c r="H1925">
        <f>F1925*VLOOKUP(B1925,產品!$A$2:$H$61,7,FALSE)*(1-銷售總表!G1925)</f>
        <v>98280</v>
      </c>
      <c r="I1925" s="35">
        <f>H1925-F1925*VLOOKUP(銷售總表!B1925,產品!$A$2:$H$61,8,FALSE)</f>
        <v>28080</v>
      </c>
      <c r="J1925" s="20">
        <f t="shared" si="30"/>
        <v>0.2857142857142857</v>
      </c>
    </row>
    <row r="1926" spans="1:10" x14ac:dyDescent="0.3">
      <c r="A1926" s="33">
        <v>1925</v>
      </c>
      <c r="B1926" s="4">
        <v>36</v>
      </c>
      <c r="C1926" s="15">
        <v>289</v>
      </c>
      <c r="D1926" s="16">
        <v>2</v>
      </c>
      <c r="E1926" s="22">
        <v>44253</v>
      </c>
      <c r="F1926" s="19">
        <v>2</v>
      </c>
      <c r="G1926" s="18">
        <v>0.14000000000000001</v>
      </c>
      <c r="H1926">
        <f>F1926*VLOOKUP(B1926,產品!$A$2:$H$61,7,FALSE)*(1-銷售總表!G1926)</f>
        <v>15480</v>
      </c>
      <c r="I1926" s="35">
        <f>H1926-F1926*VLOOKUP(銷售總表!B1926,產品!$A$2:$H$61,8,FALSE)</f>
        <v>4680</v>
      </c>
      <c r="J1926" s="20">
        <f t="shared" si="30"/>
        <v>0.30232558139534882</v>
      </c>
    </row>
    <row r="1927" spans="1:10" x14ac:dyDescent="0.3">
      <c r="A1927" s="33">
        <v>1926</v>
      </c>
      <c r="B1927" s="4">
        <v>9</v>
      </c>
      <c r="C1927" s="15">
        <v>8</v>
      </c>
      <c r="D1927" s="16">
        <v>5</v>
      </c>
      <c r="E1927" s="22">
        <v>44253</v>
      </c>
      <c r="F1927" s="19">
        <v>90</v>
      </c>
      <c r="G1927" s="18">
        <v>0.06</v>
      </c>
      <c r="H1927">
        <f>F1927*VLOOKUP(B1927,產品!$A$2:$H$61,7,FALSE)*(1-銷售總表!G1927)</f>
        <v>84600</v>
      </c>
      <c r="I1927" s="35">
        <f>H1927-F1927*VLOOKUP(銷售總表!B1927,產品!$A$2:$H$61,8,FALSE)</f>
        <v>48600</v>
      </c>
      <c r="J1927" s="20">
        <f t="shared" si="30"/>
        <v>0.57446808510638303</v>
      </c>
    </row>
    <row r="1928" spans="1:10" x14ac:dyDescent="0.3">
      <c r="A1928" s="33">
        <v>1927</v>
      </c>
      <c r="B1928" s="4">
        <v>55</v>
      </c>
      <c r="C1928" s="15">
        <v>2</v>
      </c>
      <c r="D1928" s="16">
        <v>2</v>
      </c>
      <c r="E1928" s="22">
        <v>44254</v>
      </c>
      <c r="F1928" s="19">
        <v>4</v>
      </c>
      <c r="G1928" s="18">
        <v>0.12</v>
      </c>
      <c r="H1928">
        <f>F1928*VLOOKUP(B1928,產品!$A$2:$H$61,7,FALSE)*(1-銷售總表!G1928)</f>
        <v>70400</v>
      </c>
      <c r="I1928" s="35">
        <f>H1928-F1928*VLOOKUP(銷售總表!B1928,產品!$A$2:$H$61,8,FALSE)</f>
        <v>14400</v>
      </c>
      <c r="J1928" s="20">
        <f t="shared" si="30"/>
        <v>0.20454545454545456</v>
      </c>
    </row>
    <row r="1929" spans="1:10" x14ac:dyDescent="0.3">
      <c r="A1929" s="33">
        <v>1928</v>
      </c>
      <c r="B1929" s="4">
        <v>58</v>
      </c>
      <c r="C1929" s="15">
        <v>121</v>
      </c>
      <c r="D1929" s="16">
        <v>2</v>
      </c>
      <c r="E1929" s="22">
        <v>44255</v>
      </c>
      <c r="F1929" s="19">
        <v>2</v>
      </c>
      <c r="G1929" s="18">
        <v>0.17</v>
      </c>
      <c r="H1929">
        <f>F1929*VLOOKUP(B1929,產品!$A$2:$H$61,7,FALSE)*(1-銷售總表!G1929)</f>
        <v>34860</v>
      </c>
      <c r="I1929" s="35">
        <f>H1929-F1929*VLOOKUP(銷售總表!B1929,產品!$A$2:$H$61,8,FALSE)</f>
        <v>5460.0000000000036</v>
      </c>
      <c r="J1929" s="20">
        <f t="shared" si="30"/>
        <v>0.1566265060240965</v>
      </c>
    </row>
    <row r="1930" spans="1:10" x14ac:dyDescent="0.3">
      <c r="A1930" s="33">
        <v>1929</v>
      </c>
      <c r="B1930" s="4">
        <v>14</v>
      </c>
      <c r="C1930" s="15">
        <v>7</v>
      </c>
      <c r="D1930" s="16">
        <v>2</v>
      </c>
      <c r="E1930" s="22">
        <v>44255</v>
      </c>
      <c r="F1930" s="19">
        <v>15</v>
      </c>
      <c r="G1930" s="18">
        <v>0.14000000000000001</v>
      </c>
      <c r="H1930">
        <f>F1930*VLOOKUP(B1930,產品!$A$2:$H$61,7,FALSE)*(1-銷售總表!G1930)</f>
        <v>23220</v>
      </c>
      <c r="I1930" s="35">
        <f>H1930-F1930*VLOOKUP(銷售總表!B1930,產品!$A$2:$H$61,8,FALSE)</f>
        <v>12420</v>
      </c>
      <c r="J1930" s="20">
        <f t="shared" si="30"/>
        <v>0.53488372093023251</v>
      </c>
    </row>
    <row r="1931" spans="1:10" x14ac:dyDescent="0.3">
      <c r="A1931" s="33">
        <v>1930</v>
      </c>
      <c r="B1931" s="4">
        <v>3</v>
      </c>
      <c r="C1931" s="15">
        <v>139</v>
      </c>
      <c r="D1931" s="16">
        <v>9</v>
      </c>
      <c r="E1931" s="22">
        <v>44256</v>
      </c>
      <c r="F1931" s="19">
        <v>30</v>
      </c>
      <c r="G1931" s="18">
        <v>0.12</v>
      </c>
      <c r="H1931">
        <f>F1931*VLOOKUP(B1931,產品!$A$2:$H$61,7,FALSE)*(1-銷售總表!G1931)</f>
        <v>26400</v>
      </c>
      <c r="I1931" s="35">
        <f>H1931-F1931*VLOOKUP(銷售總表!B1931,產品!$A$2:$H$61,8,FALSE)</f>
        <v>14400</v>
      </c>
      <c r="J1931" s="20">
        <f t="shared" si="30"/>
        <v>0.54545454545454541</v>
      </c>
    </row>
    <row r="1932" spans="1:10" x14ac:dyDescent="0.3">
      <c r="A1932" s="33">
        <v>1931</v>
      </c>
      <c r="B1932" s="4">
        <v>39</v>
      </c>
      <c r="C1932" s="15">
        <v>257</v>
      </c>
      <c r="D1932" s="16">
        <v>10</v>
      </c>
      <c r="E1932" s="22">
        <v>44256</v>
      </c>
      <c r="F1932" s="19">
        <v>10</v>
      </c>
      <c r="G1932" s="18">
        <v>0.08</v>
      </c>
      <c r="H1932">
        <f>F1932*VLOOKUP(B1932,產品!$A$2:$H$61,7,FALSE)*(1-銷售總表!G1932)</f>
        <v>165600</v>
      </c>
      <c r="I1932" s="35">
        <f>H1932-F1932*VLOOKUP(銷售總表!B1932,產品!$A$2:$H$61,8,FALSE)</f>
        <v>48600</v>
      </c>
      <c r="J1932" s="20">
        <f t="shared" si="30"/>
        <v>0.29347826086956524</v>
      </c>
    </row>
    <row r="1933" spans="1:10" x14ac:dyDescent="0.3">
      <c r="A1933" s="33">
        <v>1932</v>
      </c>
      <c r="B1933" s="4">
        <v>23</v>
      </c>
      <c r="C1933" s="15">
        <v>113</v>
      </c>
      <c r="D1933" s="16">
        <v>9</v>
      </c>
      <c r="E1933" s="22">
        <v>44256</v>
      </c>
      <c r="F1933" s="19">
        <v>100</v>
      </c>
      <c r="G1933" s="18">
        <v>0.06</v>
      </c>
      <c r="H1933">
        <f>F1933*VLOOKUP(B1933,產品!$A$2:$H$61,7,FALSE)*(1-銷售總表!G1933)</f>
        <v>169200</v>
      </c>
      <c r="I1933" s="35">
        <f>H1933-F1933*VLOOKUP(銷售總表!B1933,產品!$A$2:$H$61,8,FALSE)</f>
        <v>97200</v>
      </c>
      <c r="J1933" s="20">
        <f t="shared" si="30"/>
        <v>0.57446808510638303</v>
      </c>
    </row>
    <row r="1934" spans="1:10" x14ac:dyDescent="0.3">
      <c r="A1934" s="33">
        <v>1933</v>
      </c>
      <c r="B1934" s="4">
        <v>55</v>
      </c>
      <c r="C1934" s="15">
        <v>122</v>
      </c>
      <c r="D1934" s="16">
        <v>4</v>
      </c>
      <c r="E1934" s="22">
        <v>44257</v>
      </c>
      <c r="F1934" s="17">
        <v>6</v>
      </c>
      <c r="G1934" s="18">
        <v>0.19</v>
      </c>
      <c r="H1934">
        <f>F1934*VLOOKUP(B1934,產品!$A$2:$H$61,7,FALSE)*(1-銷售總表!G1934)</f>
        <v>97200</v>
      </c>
      <c r="I1934" s="35">
        <f>H1934-F1934*VLOOKUP(銷售總表!B1934,產品!$A$2:$H$61,8,FALSE)</f>
        <v>13200</v>
      </c>
      <c r="J1934" s="20">
        <f t="shared" si="30"/>
        <v>0.13580246913580246</v>
      </c>
    </row>
    <row r="1935" spans="1:10" x14ac:dyDescent="0.3">
      <c r="A1935" s="33">
        <v>1934</v>
      </c>
      <c r="B1935" s="4">
        <v>17</v>
      </c>
      <c r="C1935" s="15">
        <v>5</v>
      </c>
      <c r="D1935" s="16">
        <v>4</v>
      </c>
      <c r="E1935" s="22">
        <v>44257</v>
      </c>
      <c r="F1935" s="17">
        <v>30</v>
      </c>
      <c r="G1935" s="18">
        <v>0.06</v>
      </c>
      <c r="H1935">
        <f>F1935*VLOOKUP(B1935,產品!$A$2:$H$61,7,FALSE)*(1-銷售總表!G1935)</f>
        <v>50760</v>
      </c>
      <c r="I1935" s="35">
        <f>H1935-F1935*VLOOKUP(銷售總表!B1935,產品!$A$2:$H$61,8,FALSE)</f>
        <v>29160</v>
      </c>
      <c r="J1935" s="20">
        <f t="shared" si="30"/>
        <v>0.57446808510638303</v>
      </c>
    </row>
    <row r="1936" spans="1:10" x14ac:dyDescent="0.3">
      <c r="A1936" s="33">
        <v>1935</v>
      </c>
      <c r="B1936" s="4">
        <v>54</v>
      </c>
      <c r="C1936" s="15">
        <v>263</v>
      </c>
      <c r="D1936" s="16">
        <v>4</v>
      </c>
      <c r="E1936" s="22">
        <v>44258</v>
      </c>
      <c r="F1936" s="17">
        <v>3</v>
      </c>
      <c r="G1936" s="18">
        <v>0.13</v>
      </c>
      <c r="H1936">
        <f>F1936*VLOOKUP(B1936,產品!$A$2:$H$61,7,FALSE)*(1-銷售總表!G1936)</f>
        <v>46980</v>
      </c>
      <c r="I1936" s="35">
        <f>H1936-F1936*VLOOKUP(銷售總表!B1936,產品!$A$2:$H$61,8,FALSE)</f>
        <v>9180</v>
      </c>
      <c r="J1936" s="20">
        <f t="shared" si="30"/>
        <v>0.19540229885057472</v>
      </c>
    </row>
    <row r="1937" spans="1:10" x14ac:dyDescent="0.3">
      <c r="A1937" s="33">
        <v>1936</v>
      </c>
      <c r="B1937" s="4">
        <v>15</v>
      </c>
      <c r="C1937" s="15">
        <v>285</v>
      </c>
      <c r="D1937" s="16">
        <v>6</v>
      </c>
      <c r="E1937" s="22">
        <v>44259</v>
      </c>
      <c r="F1937" s="19">
        <v>20</v>
      </c>
      <c r="G1937" s="18">
        <v>0.05</v>
      </c>
      <c r="H1937">
        <f>F1937*VLOOKUP(B1937,產品!$A$2:$H$61,7,FALSE)*(1-銷售總表!G1937)</f>
        <v>34200</v>
      </c>
      <c r="I1937" s="35">
        <f>H1937-F1937*VLOOKUP(銷售總表!B1937,產品!$A$2:$H$61,8,FALSE)</f>
        <v>19800</v>
      </c>
      <c r="J1937" s="20">
        <f t="shared" si="30"/>
        <v>0.57894736842105265</v>
      </c>
    </row>
    <row r="1938" spans="1:10" x14ac:dyDescent="0.3">
      <c r="A1938" s="33">
        <v>1937</v>
      </c>
      <c r="B1938" s="4">
        <v>3</v>
      </c>
      <c r="C1938" s="15">
        <v>116</v>
      </c>
      <c r="D1938" s="16">
        <v>4</v>
      </c>
      <c r="E1938" s="22">
        <v>44259</v>
      </c>
      <c r="F1938" s="19">
        <v>75</v>
      </c>
      <c r="G1938" s="18">
        <v>0.11</v>
      </c>
      <c r="H1938">
        <f>F1938*VLOOKUP(B1938,產品!$A$2:$H$61,7,FALSE)*(1-銷售總表!G1938)</f>
        <v>66750</v>
      </c>
      <c r="I1938" s="35">
        <f>H1938-F1938*VLOOKUP(銷售總表!B1938,產品!$A$2:$H$61,8,FALSE)</f>
        <v>36750</v>
      </c>
      <c r="J1938" s="20">
        <f t="shared" si="30"/>
        <v>0.550561797752809</v>
      </c>
    </row>
    <row r="1939" spans="1:10" x14ac:dyDescent="0.3">
      <c r="A1939" s="33">
        <v>1938</v>
      </c>
      <c r="B1939" s="4">
        <v>51</v>
      </c>
      <c r="C1939" s="15">
        <v>118</v>
      </c>
      <c r="D1939" s="16">
        <v>5</v>
      </c>
      <c r="E1939" s="22">
        <v>44259</v>
      </c>
      <c r="F1939" s="19">
        <v>15</v>
      </c>
      <c r="G1939" s="18">
        <v>0.09</v>
      </c>
      <c r="H1939">
        <f>F1939*VLOOKUP(B1939,產品!$A$2:$H$61,7,FALSE)*(1-銷售總表!G1939)</f>
        <v>273000</v>
      </c>
      <c r="I1939" s="35">
        <f>H1939-F1939*VLOOKUP(銷售總表!B1939,產品!$A$2:$H$61,8,FALSE)</f>
        <v>63000</v>
      </c>
      <c r="J1939" s="20">
        <f t="shared" si="30"/>
        <v>0.23076923076923078</v>
      </c>
    </row>
    <row r="1940" spans="1:10" x14ac:dyDescent="0.3">
      <c r="A1940" s="33">
        <v>1939</v>
      </c>
      <c r="B1940" s="4">
        <v>16</v>
      </c>
      <c r="C1940" s="15">
        <v>116</v>
      </c>
      <c r="D1940" s="16">
        <v>4</v>
      </c>
      <c r="E1940" s="22">
        <v>44259</v>
      </c>
      <c r="F1940" s="17">
        <v>70</v>
      </c>
      <c r="G1940" s="18">
        <v>0.08</v>
      </c>
      <c r="H1940">
        <f>F1940*VLOOKUP(B1940,產品!$A$2:$H$61,7,FALSE)*(1-銷售總表!G1940)</f>
        <v>115920</v>
      </c>
      <c r="I1940" s="35">
        <f>H1940-F1940*VLOOKUP(銷售總表!B1940,產品!$A$2:$H$61,8,FALSE)</f>
        <v>65520</v>
      </c>
      <c r="J1940" s="20">
        <f t="shared" si="30"/>
        <v>0.56521739130434778</v>
      </c>
    </row>
    <row r="1941" spans="1:10" x14ac:dyDescent="0.3">
      <c r="A1941" s="33">
        <v>1940</v>
      </c>
      <c r="B1941" s="4">
        <v>9</v>
      </c>
      <c r="C1941" s="15">
        <v>277</v>
      </c>
      <c r="D1941" s="16">
        <v>4</v>
      </c>
      <c r="E1941" s="22">
        <v>44260</v>
      </c>
      <c r="F1941" s="17">
        <v>30</v>
      </c>
      <c r="G1941" s="18">
        <v>0.19</v>
      </c>
      <c r="H1941">
        <f>F1941*VLOOKUP(B1941,產品!$A$2:$H$61,7,FALSE)*(1-銷售總表!G1941)</f>
        <v>24300</v>
      </c>
      <c r="I1941" s="35">
        <f>H1941-F1941*VLOOKUP(銷售總表!B1941,產品!$A$2:$H$61,8,FALSE)</f>
        <v>12300</v>
      </c>
      <c r="J1941" s="20">
        <f t="shared" si="30"/>
        <v>0.50617283950617287</v>
      </c>
    </row>
    <row r="1942" spans="1:10" x14ac:dyDescent="0.3">
      <c r="A1942" s="33">
        <v>1941</v>
      </c>
      <c r="B1942" s="4">
        <v>3</v>
      </c>
      <c r="C1942" s="15">
        <v>293</v>
      </c>
      <c r="D1942" s="16">
        <v>4</v>
      </c>
      <c r="E1942" s="22">
        <v>44260</v>
      </c>
      <c r="F1942" s="17">
        <v>50</v>
      </c>
      <c r="G1942" s="18">
        <v>0.12</v>
      </c>
      <c r="H1942">
        <f>F1942*VLOOKUP(B1942,產品!$A$2:$H$61,7,FALSE)*(1-銷售總表!G1942)</f>
        <v>44000</v>
      </c>
      <c r="I1942" s="35">
        <f>H1942-F1942*VLOOKUP(銷售總表!B1942,產品!$A$2:$H$61,8,FALSE)</f>
        <v>24000</v>
      </c>
      <c r="J1942" s="20">
        <f t="shared" si="30"/>
        <v>0.54545454545454541</v>
      </c>
    </row>
    <row r="1943" spans="1:10" x14ac:dyDescent="0.3">
      <c r="A1943" s="33">
        <v>1942</v>
      </c>
      <c r="B1943" s="4">
        <v>52</v>
      </c>
      <c r="C1943" s="15">
        <v>124</v>
      </c>
      <c r="D1943" s="16">
        <v>6</v>
      </c>
      <c r="E1943" s="22">
        <v>44260</v>
      </c>
      <c r="F1943" s="19">
        <v>9</v>
      </c>
      <c r="G1943" s="18">
        <v>0.17</v>
      </c>
      <c r="H1943">
        <f>F1943*VLOOKUP(B1943,產品!$A$2:$H$61,7,FALSE)*(1-銷售總表!G1943)</f>
        <v>164340</v>
      </c>
      <c r="I1943" s="35">
        <f>H1943-F1943*VLOOKUP(銷售總表!B1943,產品!$A$2:$H$61,8,FALSE)</f>
        <v>25740.000000000029</v>
      </c>
      <c r="J1943" s="20">
        <f t="shared" si="30"/>
        <v>0.15662650602409656</v>
      </c>
    </row>
    <row r="1944" spans="1:10" x14ac:dyDescent="0.3">
      <c r="A1944" s="33">
        <v>1943</v>
      </c>
      <c r="B1944" s="4">
        <v>33</v>
      </c>
      <c r="C1944" s="15">
        <v>9</v>
      </c>
      <c r="D1944" s="16">
        <v>1</v>
      </c>
      <c r="E1944" s="22">
        <v>44260</v>
      </c>
      <c r="F1944" s="17">
        <v>15</v>
      </c>
      <c r="G1944" s="18">
        <v>0.16</v>
      </c>
      <c r="H1944">
        <f>F1944*VLOOKUP(B1944,產品!$A$2:$H$61,7,FALSE)*(1-銷售總表!G1944)</f>
        <v>94500</v>
      </c>
      <c r="I1944" s="35">
        <f>H1944-F1944*VLOOKUP(銷售總表!B1944,產品!$A$2:$H$61,8,FALSE)</f>
        <v>27000</v>
      </c>
      <c r="J1944" s="20">
        <f t="shared" si="30"/>
        <v>0.2857142857142857</v>
      </c>
    </row>
    <row r="1945" spans="1:10" x14ac:dyDescent="0.3">
      <c r="A1945" s="33">
        <v>1944</v>
      </c>
      <c r="B1945" s="4">
        <v>44</v>
      </c>
      <c r="C1945" s="15">
        <v>138</v>
      </c>
      <c r="D1945" s="16">
        <v>3</v>
      </c>
      <c r="E1945" s="22">
        <v>44260</v>
      </c>
      <c r="F1945" s="19">
        <v>8</v>
      </c>
      <c r="G1945" s="18">
        <v>0.11</v>
      </c>
      <c r="H1945">
        <f>F1945*VLOOKUP(B1945,產品!$A$2:$H$61,7,FALSE)*(1-銷售總表!G1945)</f>
        <v>142400</v>
      </c>
      <c r="I1945" s="35">
        <f>H1945-F1945*VLOOKUP(銷售總表!B1945,產品!$A$2:$H$61,8,FALSE)</f>
        <v>38400</v>
      </c>
      <c r="J1945" s="20">
        <f t="shared" si="30"/>
        <v>0.2696629213483146</v>
      </c>
    </row>
    <row r="1946" spans="1:10" x14ac:dyDescent="0.3">
      <c r="A1946" s="33">
        <v>1945</v>
      </c>
      <c r="B1946" s="4">
        <v>18</v>
      </c>
      <c r="C1946" s="15">
        <v>125</v>
      </c>
      <c r="D1946" s="16">
        <v>10</v>
      </c>
      <c r="E1946" s="22">
        <v>44260</v>
      </c>
      <c r="F1946" s="19">
        <v>100</v>
      </c>
      <c r="G1946" s="18">
        <v>0.09</v>
      </c>
      <c r="H1946">
        <f>F1946*VLOOKUP(B1946,產品!$A$2:$H$61,7,FALSE)*(1-銷售總表!G1946)</f>
        <v>163800</v>
      </c>
      <c r="I1946" s="35">
        <f>H1946-F1946*VLOOKUP(銷售總表!B1946,產品!$A$2:$H$61,8,FALSE)</f>
        <v>91800</v>
      </c>
      <c r="J1946" s="20">
        <f t="shared" si="30"/>
        <v>0.56043956043956045</v>
      </c>
    </row>
    <row r="1947" spans="1:10" x14ac:dyDescent="0.3">
      <c r="A1947" s="33">
        <v>1946</v>
      </c>
      <c r="B1947" s="4">
        <v>26</v>
      </c>
      <c r="C1947" s="15">
        <v>274</v>
      </c>
      <c r="D1947" s="16">
        <v>4</v>
      </c>
      <c r="E1947" s="22">
        <v>44262</v>
      </c>
      <c r="F1947" s="19">
        <v>3</v>
      </c>
      <c r="G1947" s="18">
        <v>0.11</v>
      </c>
      <c r="H1947">
        <f>F1947*VLOOKUP(B1947,產品!$A$2:$H$61,7,FALSE)*(1-銷售總表!G1947)</f>
        <v>17355</v>
      </c>
      <c r="I1947" s="35">
        <f>H1947-F1947*VLOOKUP(銷售總表!B1947,產品!$A$2:$H$61,8,FALSE)</f>
        <v>5655</v>
      </c>
      <c r="J1947" s="20">
        <f t="shared" si="30"/>
        <v>0.3258426966292135</v>
      </c>
    </row>
    <row r="1948" spans="1:10" x14ac:dyDescent="0.3">
      <c r="A1948" s="33">
        <v>1947</v>
      </c>
      <c r="B1948" s="4">
        <v>59</v>
      </c>
      <c r="C1948" s="15">
        <v>267</v>
      </c>
      <c r="D1948" s="16">
        <v>10</v>
      </c>
      <c r="E1948" s="22">
        <v>44262</v>
      </c>
      <c r="F1948" s="19">
        <v>5</v>
      </c>
      <c r="G1948" s="18">
        <v>0.2</v>
      </c>
      <c r="H1948">
        <f>F1948*VLOOKUP(B1948,產品!$A$2:$H$61,7,FALSE)*(1-銷售總表!G1948)</f>
        <v>96000</v>
      </c>
      <c r="I1948" s="35">
        <f>H1948-F1948*VLOOKUP(銷售總表!B1948,產品!$A$2:$H$61,8,FALSE)</f>
        <v>12000</v>
      </c>
      <c r="J1948" s="20">
        <f t="shared" si="30"/>
        <v>0.125</v>
      </c>
    </row>
    <row r="1949" spans="1:10" x14ac:dyDescent="0.3">
      <c r="A1949" s="33">
        <v>1948</v>
      </c>
      <c r="B1949" s="4">
        <v>35</v>
      </c>
      <c r="C1949" s="15">
        <v>271</v>
      </c>
      <c r="D1949" s="16">
        <v>1</v>
      </c>
      <c r="E1949" s="22">
        <v>44262</v>
      </c>
      <c r="F1949" s="19">
        <v>6</v>
      </c>
      <c r="G1949" s="18">
        <v>0.13</v>
      </c>
      <c r="H1949">
        <f>F1949*VLOOKUP(B1949,產品!$A$2:$H$61,7,FALSE)*(1-銷售總表!G1949)</f>
        <v>44370</v>
      </c>
      <c r="I1949" s="35">
        <f>H1949-F1949*VLOOKUP(銷售總表!B1949,產品!$A$2:$H$61,8,FALSE)</f>
        <v>13770</v>
      </c>
      <c r="J1949" s="20">
        <f t="shared" si="30"/>
        <v>0.31034482758620691</v>
      </c>
    </row>
    <row r="1950" spans="1:10" x14ac:dyDescent="0.3">
      <c r="A1950" s="33">
        <v>1949</v>
      </c>
      <c r="B1950" s="4">
        <v>57</v>
      </c>
      <c r="C1950" s="15">
        <v>257</v>
      </c>
      <c r="D1950" s="16">
        <v>2</v>
      </c>
      <c r="E1950" s="22">
        <v>44262</v>
      </c>
      <c r="F1950" s="19">
        <v>7</v>
      </c>
      <c r="G1950" s="18">
        <v>0.09</v>
      </c>
      <c r="H1950">
        <f>F1950*VLOOKUP(B1950,產品!$A$2:$H$61,7,FALSE)*(1-銷售總表!G1950)</f>
        <v>114660</v>
      </c>
      <c r="I1950" s="35">
        <f>H1950-F1950*VLOOKUP(銷售總表!B1950,產品!$A$2:$H$61,8,FALSE)</f>
        <v>26460</v>
      </c>
      <c r="J1950" s="20">
        <f t="shared" si="30"/>
        <v>0.23076923076923078</v>
      </c>
    </row>
    <row r="1951" spans="1:10" x14ac:dyDescent="0.3">
      <c r="A1951" s="33">
        <v>1950</v>
      </c>
      <c r="B1951" s="4">
        <v>37</v>
      </c>
      <c r="C1951" s="15">
        <v>118</v>
      </c>
      <c r="D1951" s="16">
        <v>8</v>
      </c>
      <c r="E1951" s="22">
        <v>44263</v>
      </c>
      <c r="F1951" s="19">
        <v>6</v>
      </c>
      <c r="G1951" s="18">
        <v>0.1</v>
      </c>
      <c r="H1951">
        <f>F1951*VLOOKUP(B1951,產品!$A$2:$H$61,7,FALSE)*(1-銷售總表!G1951)</f>
        <v>64800</v>
      </c>
      <c r="I1951" s="35">
        <f>H1951-F1951*VLOOKUP(銷售總表!B1951,產品!$A$2:$H$61,8,FALSE)</f>
        <v>18000</v>
      </c>
      <c r="J1951" s="20">
        <f t="shared" si="30"/>
        <v>0.27777777777777779</v>
      </c>
    </row>
    <row r="1952" spans="1:10" x14ac:dyDescent="0.3">
      <c r="A1952" s="33">
        <v>1951</v>
      </c>
      <c r="B1952" s="4">
        <v>3</v>
      </c>
      <c r="C1952" s="15">
        <v>10</v>
      </c>
      <c r="D1952" s="16">
        <v>9</v>
      </c>
      <c r="E1952" s="22">
        <v>44263</v>
      </c>
      <c r="F1952" s="17">
        <v>250</v>
      </c>
      <c r="G1952" s="18">
        <v>0.14000000000000001</v>
      </c>
      <c r="H1952">
        <f>F1952*VLOOKUP(B1952,產品!$A$2:$H$61,7,FALSE)*(1-銷售總表!G1952)</f>
        <v>215000</v>
      </c>
      <c r="I1952" s="35">
        <f>H1952-F1952*VLOOKUP(銷售總表!B1952,產品!$A$2:$H$61,8,FALSE)</f>
        <v>115000</v>
      </c>
      <c r="J1952" s="20">
        <f t="shared" si="30"/>
        <v>0.53488372093023251</v>
      </c>
    </row>
    <row r="1953" spans="1:10" x14ac:dyDescent="0.3">
      <c r="A1953" s="33">
        <v>1952</v>
      </c>
      <c r="B1953" s="4">
        <v>36</v>
      </c>
      <c r="C1953" s="15">
        <v>136</v>
      </c>
      <c r="D1953" s="16">
        <v>5</v>
      </c>
      <c r="E1953" s="22">
        <v>44264</v>
      </c>
      <c r="F1953" s="17">
        <v>3</v>
      </c>
      <c r="G1953" s="18">
        <v>0.11</v>
      </c>
      <c r="H1953">
        <f>F1953*VLOOKUP(B1953,產品!$A$2:$H$61,7,FALSE)*(1-銷售總表!G1953)</f>
        <v>24030</v>
      </c>
      <c r="I1953" s="35">
        <f>H1953-F1953*VLOOKUP(銷售總表!B1953,產品!$A$2:$H$61,8,FALSE)</f>
        <v>7830</v>
      </c>
      <c r="J1953" s="20">
        <f t="shared" si="30"/>
        <v>0.3258426966292135</v>
      </c>
    </row>
    <row r="1954" spans="1:10" x14ac:dyDescent="0.3">
      <c r="A1954" s="33">
        <v>1953</v>
      </c>
      <c r="B1954" s="4">
        <v>45</v>
      </c>
      <c r="C1954" s="15">
        <v>282</v>
      </c>
      <c r="D1954" s="16">
        <v>5</v>
      </c>
      <c r="E1954" s="22">
        <v>44265</v>
      </c>
      <c r="F1954" s="19">
        <v>2</v>
      </c>
      <c r="G1954" s="18">
        <v>0.09</v>
      </c>
      <c r="H1954">
        <f>F1954*VLOOKUP(B1954,產品!$A$2:$H$61,7,FALSE)*(1-銷售總表!G1954)</f>
        <v>25480</v>
      </c>
      <c r="I1954" s="35">
        <f>H1954-F1954*VLOOKUP(銷售總表!B1954,產品!$A$2:$H$61,8,FALSE)</f>
        <v>7280</v>
      </c>
      <c r="J1954" s="20">
        <f t="shared" si="30"/>
        <v>0.2857142857142857</v>
      </c>
    </row>
    <row r="1955" spans="1:10" x14ac:dyDescent="0.3">
      <c r="A1955" s="33">
        <v>1954</v>
      </c>
      <c r="B1955" s="4">
        <v>35</v>
      </c>
      <c r="C1955" s="15">
        <v>10</v>
      </c>
      <c r="D1955" s="16">
        <v>6</v>
      </c>
      <c r="E1955" s="22">
        <v>44265</v>
      </c>
      <c r="F1955" s="17">
        <v>9</v>
      </c>
      <c r="G1955" s="18">
        <v>0.12</v>
      </c>
      <c r="H1955">
        <f>F1955*VLOOKUP(B1955,產品!$A$2:$H$61,7,FALSE)*(1-銷售總表!G1955)</f>
        <v>67320</v>
      </c>
      <c r="I1955" s="35">
        <f>H1955-F1955*VLOOKUP(銷售總表!B1955,產品!$A$2:$H$61,8,FALSE)</f>
        <v>21420</v>
      </c>
      <c r="J1955" s="20">
        <f t="shared" si="30"/>
        <v>0.31818181818181818</v>
      </c>
    </row>
    <row r="1956" spans="1:10" x14ac:dyDescent="0.3">
      <c r="A1956" s="33">
        <v>1955</v>
      </c>
      <c r="B1956" s="4">
        <v>55</v>
      </c>
      <c r="C1956" s="15">
        <v>114</v>
      </c>
      <c r="D1956" s="16">
        <v>3</v>
      </c>
      <c r="E1956" s="22">
        <v>44265</v>
      </c>
      <c r="F1956" s="19">
        <v>5</v>
      </c>
      <c r="G1956" s="18">
        <v>0.08</v>
      </c>
      <c r="H1956">
        <f>F1956*VLOOKUP(B1956,產品!$A$2:$H$61,7,FALSE)*(1-銷售總表!G1956)</f>
        <v>92000</v>
      </c>
      <c r="I1956" s="35">
        <f>H1956-F1956*VLOOKUP(銷售總表!B1956,產品!$A$2:$H$61,8,FALSE)</f>
        <v>22000</v>
      </c>
      <c r="J1956" s="20">
        <f t="shared" si="30"/>
        <v>0.2391304347826087</v>
      </c>
    </row>
    <row r="1957" spans="1:10" x14ac:dyDescent="0.3">
      <c r="A1957" s="33">
        <v>1956</v>
      </c>
      <c r="B1957" s="4">
        <v>35</v>
      </c>
      <c r="C1957" s="15">
        <v>275</v>
      </c>
      <c r="D1957" s="16">
        <v>4</v>
      </c>
      <c r="E1957" s="22">
        <v>44266</v>
      </c>
      <c r="F1957" s="17">
        <v>5</v>
      </c>
      <c r="G1957" s="18">
        <v>0.09</v>
      </c>
      <c r="H1957">
        <f>F1957*VLOOKUP(B1957,產品!$A$2:$H$61,7,FALSE)*(1-銷售總表!G1957)</f>
        <v>38675</v>
      </c>
      <c r="I1957" s="35">
        <f>H1957-F1957*VLOOKUP(銷售總表!B1957,產品!$A$2:$H$61,8,FALSE)</f>
        <v>13175</v>
      </c>
      <c r="J1957" s="20">
        <f t="shared" si="30"/>
        <v>0.34065934065934067</v>
      </c>
    </row>
    <row r="1958" spans="1:10" x14ac:dyDescent="0.3">
      <c r="A1958" s="33">
        <v>1957</v>
      </c>
      <c r="B1958" s="4">
        <v>43</v>
      </c>
      <c r="C1958" s="15">
        <v>265</v>
      </c>
      <c r="D1958" s="16">
        <v>5</v>
      </c>
      <c r="E1958" s="22">
        <v>44266</v>
      </c>
      <c r="F1958" s="19">
        <v>14</v>
      </c>
      <c r="G1958" s="18">
        <v>0.2</v>
      </c>
      <c r="H1958">
        <f>F1958*VLOOKUP(B1958,產品!$A$2:$H$61,7,FALSE)*(1-銷售總表!G1958)</f>
        <v>201600</v>
      </c>
      <c r="I1958" s="35">
        <f>H1958-F1958*VLOOKUP(銷售總表!B1958,產品!$A$2:$H$61,8,FALSE)</f>
        <v>37800</v>
      </c>
      <c r="J1958" s="20">
        <f t="shared" si="30"/>
        <v>0.1875</v>
      </c>
    </row>
    <row r="1959" spans="1:10" x14ac:dyDescent="0.3">
      <c r="A1959" s="33">
        <v>1958</v>
      </c>
      <c r="B1959" s="4">
        <v>52</v>
      </c>
      <c r="C1959" s="15">
        <v>7</v>
      </c>
      <c r="D1959" s="16">
        <v>9</v>
      </c>
      <c r="E1959" s="22">
        <v>44267</v>
      </c>
      <c r="F1959" s="19">
        <v>10</v>
      </c>
      <c r="G1959" s="18">
        <v>0.17</v>
      </c>
      <c r="H1959">
        <f>F1959*VLOOKUP(B1959,產品!$A$2:$H$61,7,FALSE)*(1-銷售總表!G1959)</f>
        <v>182600</v>
      </c>
      <c r="I1959" s="35">
        <f>H1959-F1959*VLOOKUP(銷售總表!B1959,產品!$A$2:$H$61,8,FALSE)</f>
        <v>28600.000000000029</v>
      </c>
      <c r="J1959" s="20">
        <f t="shared" si="30"/>
        <v>0.15662650602409656</v>
      </c>
    </row>
    <row r="1960" spans="1:10" x14ac:dyDescent="0.3">
      <c r="A1960" s="33">
        <v>1959</v>
      </c>
      <c r="B1960" s="4">
        <v>36</v>
      </c>
      <c r="C1960" s="15">
        <v>277</v>
      </c>
      <c r="D1960" s="16">
        <v>10</v>
      </c>
      <c r="E1960" s="22">
        <v>44267</v>
      </c>
      <c r="F1960" s="19">
        <v>2</v>
      </c>
      <c r="G1960" s="18">
        <v>0.14000000000000001</v>
      </c>
      <c r="H1960">
        <f>F1960*VLOOKUP(B1960,產品!$A$2:$H$61,7,FALSE)*(1-銷售總表!G1960)</f>
        <v>15480</v>
      </c>
      <c r="I1960" s="35">
        <f>H1960-F1960*VLOOKUP(銷售總表!B1960,產品!$A$2:$H$61,8,FALSE)</f>
        <v>4680</v>
      </c>
      <c r="J1960" s="20">
        <f t="shared" si="30"/>
        <v>0.30232558139534882</v>
      </c>
    </row>
    <row r="1961" spans="1:10" x14ac:dyDescent="0.3">
      <c r="A1961" s="33">
        <v>1960</v>
      </c>
      <c r="B1961" s="4">
        <v>23</v>
      </c>
      <c r="C1961" s="15">
        <v>121</v>
      </c>
      <c r="D1961" s="16">
        <v>4</v>
      </c>
      <c r="E1961" s="22">
        <v>44267</v>
      </c>
      <c r="F1961" s="17">
        <v>19</v>
      </c>
      <c r="G1961" s="18">
        <v>0.06</v>
      </c>
      <c r="H1961">
        <f>F1961*VLOOKUP(B1961,產品!$A$2:$H$61,7,FALSE)*(1-銷售總表!G1961)</f>
        <v>32147.999999999996</v>
      </c>
      <c r="I1961" s="35">
        <f>H1961-F1961*VLOOKUP(銷售總表!B1961,產品!$A$2:$H$61,8,FALSE)</f>
        <v>18467.999999999996</v>
      </c>
      <c r="J1961" s="20">
        <f t="shared" si="30"/>
        <v>0.57446808510638292</v>
      </c>
    </row>
    <row r="1962" spans="1:10" x14ac:dyDescent="0.3">
      <c r="A1962" s="33">
        <v>1961</v>
      </c>
      <c r="B1962" s="4">
        <v>19</v>
      </c>
      <c r="C1962" s="15">
        <v>3</v>
      </c>
      <c r="D1962" s="16">
        <v>10</v>
      </c>
      <c r="E1962" s="22">
        <v>44267</v>
      </c>
      <c r="F1962" s="17">
        <v>40</v>
      </c>
      <c r="G1962" s="18">
        <v>0.13</v>
      </c>
      <c r="H1962">
        <f>F1962*VLOOKUP(B1962,產品!$A$2:$H$61,7,FALSE)*(1-銷售總表!G1962)</f>
        <v>62640</v>
      </c>
      <c r="I1962" s="35">
        <f>H1962-F1962*VLOOKUP(銷售總表!B1962,產品!$A$2:$H$61,8,FALSE)</f>
        <v>33840</v>
      </c>
      <c r="J1962" s="20">
        <f t="shared" si="30"/>
        <v>0.54022988505747127</v>
      </c>
    </row>
    <row r="1963" spans="1:10" x14ac:dyDescent="0.3">
      <c r="A1963" s="33">
        <v>1962</v>
      </c>
      <c r="B1963" s="4">
        <v>5</v>
      </c>
      <c r="C1963" s="15">
        <v>5</v>
      </c>
      <c r="D1963" s="16">
        <v>8</v>
      </c>
      <c r="E1963" s="22">
        <v>44268</v>
      </c>
      <c r="F1963" s="17">
        <v>200</v>
      </c>
      <c r="G1963" s="18">
        <v>0.08</v>
      </c>
      <c r="H1963">
        <f>F1963*VLOOKUP(B1963,產品!$A$2:$H$61,7,FALSE)*(1-銷售總表!G1963)</f>
        <v>184000</v>
      </c>
      <c r="I1963" s="35">
        <f>H1963-F1963*VLOOKUP(銷售總表!B1963,產品!$A$2:$H$61,8,FALSE)</f>
        <v>104000</v>
      </c>
      <c r="J1963" s="20">
        <f t="shared" si="30"/>
        <v>0.56521739130434778</v>
      </c>
    </row>
    <row r="1964" spans="1:10" x14ac:dyDescent="0.3">
      <c r="A1964" s="33">
        <v>1963</v>
      </c>
      <c r="B1964" s="4">
        <v>19</v>
      </c>
      <c r="C1964" s="15">
        <v>262</v>
      </c>
      <c r="D1964" s="16">
        <v>6</v>
      </c>
      <c r="E1964" s="22">
        <v>44269</v>
      </c>
      <c r="F1964" s="19">
        <v>12</v>
      </c>
      <c r="G1964" s="18">
        <v>0.19</v>
      </c>
      <c r="H1964">
        <f>F1964*VLOOKUP(B1964,產品!$A$2:$H$61,7,FALSE)*(1-銷售總表!G1964)</f>
        <v>17496</v>
      </c>
      <c r="I1964" s="35">
        <f>H1964-F1964*VLOOKUP(銷售總表!B1964,產品!$A$2:$H$61,8,FALSE)</f>
        <v>8856</v>
      </c>
      <c r="J1964" s="20">
        <f t="shared" si="30"/>
        <v>0.50617283950617287</v>
      </c>
    </row>
    <row r="1965" spans="1:10" x14ac:dyDescent="0.3">
      <c r="A1965" s="33">
        <v>1964</v>
      </c>
      <c r="B1965" s="4">
        <v>24</v>
      </c>
      <c r="C1965" s="15">
        <v>2</v>
      </c>
      <c r="D1965" s="16">
        <v>3</v>
      </c>
      <c r="E1965" s="22">
        <v>44269</v>
      </c>
      <c r="F1965" s="17">
        <v>30</v>
      </c>
      <c r="G1965" s="18">
        <v>0.15</v>
      </c>
      <c r="H1965">
        <f>F1965*VLOOKUP(B1965,產品!$A$2:$H$61,7,FALSE)*(1-銷售總表!G1965)</f>
        <v>45900</v>
      </c>
      <c r="I1965" s="35">
        <f>H1965-F1965*VLOOKUP(銷售總表!B1965,產品!$A$2:$H$61,8,FALSE)</f>
        <v>24300</v>
      </c>
      <c r="J1965" s="20">
        <f t="shared" si="30"/>
        <v>0.52941176470588236</v>
      </c>
    </row>
    <row r="1966" spans="1:10" x14ac:dyDescent="0.3">
      <c r="A1966" s="33">
        <v>1965</v>
      </c>
      <c r="B1966" s="4">
        <v>56</v>
      </c>
      <c r="C1966" s="15">
        <v>122</v>
      </c>
      <c r="D1966" s="16">
        <v>6</v>
      </c>
      <c r="E1966" s="22">
        <v>44269</v>
      </c>
      <c r="F1966" s="19">
        <v>10</v>
      </c>
      <c r="G1966" s="18">
        <v>0.13</v>
      </c>
      <c r="H1966">
        <f>F1966*VLOOKUP(B1966,產品!$A$2:$H$61,7,FALSE)*(1-銷售總表!G1966)</f>
        <v>191400</v>
      </c>
      <c r="I1966" s="35">
        <f>H1966-F1966*VLOOKUP(銷售總表!B1966,產品!$A$2:$H$61,8,FALSE)</f>
        <v>37400.000000000029</v>
      </c>
      <c r="J1966" s="20">
        <f t="shared" si="30"/>
        <v>0.19540229885057486</v>
      </c>
    </row>
    <row r="1967" spans="1:10" x14ac:dyDescent="0.3">
      <c r="A1967" s="33">
        <v>1966</v>
      </c>
      <c r="B1967" s="4">
        <v>33</v>
      </c>
      <c r="C1967" s="15">
        <v>290</v>
      </c>
      <c r="D1967" s="16">
        <v>1</v>
      </c>
      <c r="E1967" s="22">
        <v>44270</v>
      </c>
      <c r="F1967" s="17">
        <v>2</v>
      </c>
      <c r="G1967" s="18">
        <v>0.1</v>
      </c>
      <c r="H1967">
        <f>F1967*VLOOKUP(B1967,產品!$A$2:$H$61,7,FALSE)*(1-銷售總表!G1967)</f>
        <v>13500</v>
      </c>
      <c r="I1967" s="35">
        <f>H1967-F1967*VLOOKUP(銷售總表!B1967,產品!$A$2:$H$61,8,FALSE)</f>
        <v>4500</v>
      </c>
      <c r="J1967" s="20">
        <f t="shared" si="30"/>
        <v>0.33333333333333331</v>
      </c>
    </row>
    <row r="1968" spans="1:10" x14ac:dyDescent="0.3">
      <c r="A1968" s="33">
        <v>1967</v>
      </c>
      <c r="B1968" s="4">
        <v>4</v>
      </c>
      <c r="C1968" s="15">
        <v>262</v>
      </c>
      <c r="D1968" s="16">
        <v>8</v>
      </c>
      <c r="E1968" s="22">
        <v>44270</v>
      </c>
      <c r="F1968" s="17">
        <v>40</v>
      </c>
      <c r="G1968" s="18">
        <v>0.18</v>
      </c>
      <c r="H1968">
        <f>F1968*VLOOKUP(B1968,產品!$A$2:$H$61,7,FALSE)*(1-銷售總表!G1968)</f>
        <v>32800</v>
      </c>
      <c r="I1968" s="35">
        <f>H1968-F1968*VLOOKUP(銷售總表!B1968,產品!$A$2:$H$61,8,FALSE)</f>
        <v>16800</v>
      </c>
      <c r="J1968" s="20">
        <f t="shared" si="30"/>
        <v>0.51219512195121952</v>
      </c>
    </row>
    <row r="1969" spans="1:10" x14ac:dyDescent="0.3">
      <c r="A1969" s="33">
        <v>1968</v>
      </c>
      <c r="B1969" s="4">
        <v>9</v>
      </c>
      <c r="C1969" s="15">
        <v>2</v>
      </c>
      <c r="D1969" s="16">
        <v>5</v>
      </c>
      <c r="E1969" s="22">
        <v>44270</v>
      </c>
      <c r="F1969" s="17">
        <v>60</v>
      </c>
      <c r="G1969" s="18">
        <v>0.16</v>
      </c>
      <c r="H1969">
        <f>F1969*VLOOKUP(B1969,產品!$A$2:$H$61,7,FALSE)*(1-銷售總表!G1969)</f>
        <v>50400</v>
      </c>
      <c r="I1969" s="35">
        <f>H1969-F1969*VLOOKUP(銷售總表!B1969,產品!$A$2:$H$61,8,FALSE)</f>
        <v>26400</v>
      </c>
      <c r="J1969" s="20">
        <f t="shared" si="30"/>
        <v>0.52380952380952384</v>
      </c>
    </row>
    <row r="1970" spans="1:10" x14ac:dyDescent="0.3">
      <c r="A1970" s="33">
        <v>1969</v>
      </c>
      <c r="B1970" s="4">
        <v>42</v>
      </c>
      <c r="C1970" s="15">
        <v>140</v>
      </c>
      <c r="D1970" s="16">
        <v>4</v>
      </c>
      <c r="E1970" s="22">
        <v>44270</v>
      </c>
      <c r="F1970" s="19">
        <v>14</v>
      </c>
      <c r="G1970" s="18">
        <v>0.18</v>
      </c>
      <c r="H1970">
        <f>F1970*VLOOKUP(B1970,產品!$A$2:$H$61,7,FALSE)*(1-銷售總表!G1970)</f>
        <v>172200</v>
      </c>
      <c r="I1970" s="35">
        <f>H1970-F1970*VLOOKUP(銷售總表!B1970,產品!$A$2:$H$61,8,FALSE)</f>
        <v>35700</v>
      </c>
      <c r="J1970" s="20">
        <f t="shared" si="30"/>
        <v>0.2073170731707317</v>
      </c>
    </row>
    <row r="1971" spans="1:10" x14ac:dyDescent="0.3">
      <c r="A1971" s="33">
        <v>1970</v>
      </c>
      <c r="B1971" s="4">
        <v>58</v>
      </c>
      <c r="C1971" s="15">
        <v>263</v>
      </c>
      <c r="D1971" s="16">
        <v>10</v>
      </c>
      <c r="E1971" s="22">
        <v>44271</v>
      </c>
      <c r="F1971" s="19">
        <v>2</v>
      </c>
      <c r="G1971" s="18">
        <v>7.0000000000000007E-2</v>
      </c>
      <c r="H1971">
        <f>F1971*VLOOKUP(B1971,產品!$A$2:$H$61,7,FALSE)*(1-銷售總表!G1971)</f>
        <v>39060</v>
      </c>
      <c r="I1971" s="35">
        <f>H1971-F1971*VLOOKUP(銷售總表!B1971,產品!$A$2:$H$61,8,FALSE)</f>
        <v>9660.0000000000036</v>
      </c>
      <c r="J1971" s="20">
        <f t="shared" si="30"/>
        <v>0.24731182795698933</v>
      </c>
    </row>
    <row r="1972" spans="1:10" x14ac:dyDescent="0.3">
      <c r="A1972" s="33">
        <v>1971</v>
      </c>
      <c r="B1972" s="4">
        <v>52</v>
      </c>
      <c r="C1972" s="15">
        <v>122</v>
      </c>
      <c r="D1972" s="16">
        <v>10</v>
      </c>
      <c r="E1972" s="22">
        <v>44271</v>
      </c>
      <c r="F1972" s="17">
        <v>5</v>
      </c>
      <c r="G1972" s="18">
        <v>0.13</v>
      </c>
      <c r="H1972">
        <f>F1972*VLOOKUP(B1972,產品!$A$2:$H$61,7,FALSE)*(1-銷售總表!G1972)</f>
        <v>95700</v>
      </c>
      <c r="I1972" s="35">
        <f>H1972-F1972*VLOOKUP(銷售總表!B1972,產品!$A$2:$H$61,8,FALSE)</f>
        <v>18700.000000000015</v>
      </c>
      <c r="J1972" s="20">
        <f t="shared" si="30"/>
        <v>0.19540229885057486</v>
      </c>
    </row>
    <row r="1973" spans="1:10" x14ac:dyDescent="0.3">
      <c r="A1973" s="33">
        <v>1972</v>
      </c>
      <c r="B1973" s="4">
        <v>10</v>
      </c>
      <c r="C1973" s="15">
        <v>271</v>
      </c>
      <c r="D1973" s="16">
        <v>4</v>
      </c>
      <c r="E1973" s="22">
        <v>44271</v>
      </c>
      <c r="F1973" s="17">
        <v>60</v>
      </c>
      <c r="G1973" s="18">
        <v>0.18</v>
      </c>
      <c r="H1973">
        <f>F1973*VLOOKUP(B1973,產品!$A$2:$H$61,7,FALSE)*(1-銷售總表!G1973)</f>
        <v>49200.000000000007</v>
      </c>
      <c r="I1973" s="35">
        <f>H1973-F1973*VLOOKUP(銷售總表!B1973,產品!$A$2:$H$61,8,FALSE)</f>
        <v>25200.000000000007</v>
      </c>
      <c r="J1973" s="20">
        <f t="shared" si="30"/>
        <v>0.51219512195121963</v>
      </c>
    </row>
    <row r="1974" spans="1:10" x14ac:dyDescent="0.3">
      <c r="A1974" s="33">
        <v>1973</v>
      </c>
      <c r="B1974" s="4">
        <v>37</v>
      </c>
      <c r="C1974" s="15">
        <v>274</v>
      </c>
      <c r="D1974" s="16">
        <v>4</v>
      </c>
      <c r="E1974" s="22">
        <v>44271</v>
      </c>
      <c r="F1974" s="17">
        <v>10</v>
      </c>
      <c r="G1974" s="18">
        <v>0.13</v>
      </c>
      <c r="H1974">
        <f>F1974*VLOOKUP(B1974,產品!$A$2:$H$61,7,FALSE)*(1-銷售總表!G1974)</f>
        <v>104400</v>
      </c>
      <c r="I1974" s="35">
        <f>H1974-F1974*VLOOKUP(銷售總表!B1974,產品!$A$2:$H$61,8,FALSE)</f>
        <v>26400</v>
      </c>
      <c r="J1974" s="20">
        <f t="shared" si="30"/>
        <v>0.25287356321839083</v>
      </c>
    </row>
    <row r="1975" spans="1:10" x14ac:dyDescent="0.3">
      <c r="A1975" s="33">
        <v>1974</v>
      </c>
      <c r="B1975" s="4">
        <v>9</v>
      </c>
      <c r="C1975" s="15">
        <v>259</v>
      </c>
      <c r="D1975" s="16">
        <v>5</v>
      </c>
      <c r="E1975" s="22">
        <v>44272</v>
      </c>
      <c r="F1975" s="19">
        <v>10</v>
      </c>
      <c r="G1975" s="18">
        <v>0.2</v>
      </c>
      <c r="H1975">
        <f>F1975*VLOOKUP(B1975,產品!$A$2:$H$61,7,FALSE)*(1-銷售總表!G1975)</f>
        <v>8000</v>
      </c>
      <c r="I1975" s="35">
        <f>H1975-F1975*VLOOKUP(銷售總表!B1975,產品!$A$2:$H$61,8,FALSE)</f>
        <v>4000</v>
      </c>
      <c r="J1975" s="20">
        <f t="shared" si="30"/>
        <v>0.5</v>
      </c>
    </row>
    <row r="1976" spans="1:10" x14ac:dyDescent="0.3">
      <c r="A1976" s="33">
        <v>1975</v>
      </c>
      <c r="B1976" s="4">
        <v>46</v>
      </c>
      <c r="C1976" s="15">
        <v>290</v>
      </c>
      <c r="D1976" s="16">
        <v>9</v>
      </c>
      <c r="E1976" s="22">
        <v>44272</v>
      </c>
      <c r="F1976" s="17">
        <v>2</v>
      </c>
      <c r="G1976" s="18">
        <v>0.18</v>
      </c>
      <c r="H1976">
        <f>F1976*VLOOKUP(B1976,產品!$A$2:$H$61,7,FALSE)*(1-銷售總表!G1976)</f>
        <v>27880.000000000004</v>
      </c>
      <c r="I1976" s="35">
        <f>H1976-F1976*VLOOKUP(銷售總表!B1976,產品!$A$2:$H$61,8,FALSE)</f>
        <v>5780.0000000000036</v>
      </c>
      <c r="J1976" s="20">
        <f t="shared" si="30"/>
        <v>0.20731707317073181</v>
      </c>
    </row>
    <row r="1977" spans="1:10" x14ac:dyDescent="0.3">
      <c r="A1977" s="33">
        <v>1976</v>
      </c>
      <c r="B1977" s="4">
        <v>6</v>
      </c>
      <c r="C1977" s="15">
        <v>286</v>
      </c>
      <c r="D1977" s="16">
        <v>5</v>
      </c>
      <c r="E1977" s="22">
        <v>44272</v>
      </c>
      <c r="F1977" s="19">
        <v>60</v>
      </c>
      <c r="G1977" s="18">
        <v>0.06</v>
      </c>
      <c r="H1977">
        <f>F1977*VLOOKUP(B1977,產品!$A$2:$H$61,7,FALSE)*(1-銷售總表!G1977)</f>
        <v>56400</v>
      </c>
      <c r="I1977" s="35">
        <f>H1977-F1977*VLOOKUP(銷售總表!B1977,產品!$A$2:$H$61,8,FALSE)</f>
        <v>32400</v>
      </c>
      <c r="J1977" s="20">
        <f t="shared" si="30"/>
        <v>0.57446808510638303</v>
      </c>
    </row>
    <row r="1978" spans="1:10" x14ac:dyDescent="0.3">
      <c r="A1978" s="33">
        <v>1977</v>
      </c>
      <c r="B1978" s="4">
        <v>3</v>
      </c>
      <c r="C1978" s="15">
        <v>5</v>
      </c>
      <c r="D1978" s="16">
        <v>5</v>
      </c>
      <c r="E1978" s="22">
        <v>44272</v>
      </c>
      <c r="F1978" s="19">
        <v>180</v>
      </c>
      <c r="G1978" s="18">
        <v>0.05</v>
      </c>
      <c r="H1978">
        <f>F1978*VLOOKUP(B1978,產品!$A$2:$H$61,7,FALSE)*(1-銷售總表!G1978)</f>
        <v>171000</v>
      </c>
      <c r="I1978" s="35">
        <f>H1978-F1978*VLOOKUP(銷售總表!B1978,產品!$A$2:$H$61,8,FALSE)</f>
        <v>99000</v>
      </c>
      <c r="J1978" s="20">
        <f t="shared" si="30"/>
        <v>0.57894736842105265</v>
      </c>
    </row>
    <row r="1979" spans="1:10" x14ac:dyDescent="0.3">
      <c r="A1979" s="33">
        <v>1978</v>
      </c>
      <c r="B1979" s="4">
        <v>2</v>
      </c>
      <c r="C1979" s="15">
        <v>6</v>
      </c>
      <c r="D1979" s="16">
        <v>2</v>
      </c>
      <c r="E1979" s="22">
        <v>44273</v>
      </c>
      <c r="F1979" s="17">
        <v>10</v>
      </c>
      <c r="G1979" s="18">
        <v>0.11</v>
      </c>
      <c r="H1979">
        <f>F1979*VLOOKUP(B1979,產品!$A$2:$H$61,7,FALSE)*(1-銷售總表!G1979)</f>
        <v>8900</v>
      </c>
      <c r="I1979" s="35">
        <f>H1979-F1979*VLOOKUP(銷售總表!B1979,產品!$A$2:$H$61,8,FALSE)</f>
        <v>4900</v>
      </c>
      <c r="J1979" s="20">
        <f t="shared" si="30"/>
        <v>0.550561797752809</v>
      </c>
    </row>
    <row r="1980" spans="1:10" x14ac:dyDescent="0.3">
      <c r="A1980" s="33">
        <v>1979</v>
      </c>
      <c r="B1980" s="4">
        <v>25</v>
      </c>
      <c r="C1980" s="15">
        <v>8</v>
      </c>
      <c r="D1980" s="16">
        <v>10</v>
      </c>
      <c r="E1980" s="22">
        <v>44274</v>
      </c>
      <c r="F1980" s="19">
        <v>5</v>
      </c>
      <c r="G1980" s="18">
        <v>0.19</v>
      </c>
      <c r="H1980">
        <f>F1980*VLOOKUP(B1980,產品!$A$2:$H$61,7,FALSE)*(1-銷售總表!G1980)</f>
        <v>24300</v>
      </c>
      <c r="I1980" s="35">
        <f>H1980-F1980*VLOOKUP(銷售總表!B1980,產品!$A$2:$H$61,8,FALSE)</f>
        <v>6300</v>
      </c>
      <c r="J1980" s="20">
        <f t="shared" si="30"/>
        <v>0.25925925925925924</v>
      </c>
    </row>
    <row r="1981" spans="1:10" x14ac:dyDescent="0.3">
      <c r="A1981" s="33">
        <v>1980</v>
      </c>
      <c r="B1981" s="4">
        <v>34</v>
      </c>
      <c r="C1981" s="15">
        <v>115</v>
      </c>
      <c r="D1981" s="16">
        <v>2</v>
      </c>
      <c r="E1981" s="22">
        <v>44274</v>
      </c>
      <c r="F1981" s="19">
        <v>6</v>
      </c>
      <c r="G1981" s="18">
        <v>0.2</v>
      </c>
      <c r="H1981">
        <f>F1981*VLOOKUP(B1981,產品!$A$2:$H$61,7,FALSE)*(1-銷售總表!G1981)</f>
        <v>38400</v>
      </c>
      <c r="I1981" s="35">
        <f>H1981-F1981*VLOOKUP(銷售總表!B1981,產品!$A$2:$H$61,8,FALSE)</f>
        <v>9600</v>
      </c>
      <c r="J1981" s="20">
        <f t="shared" si="30"/>
        <v>0.25</v>
      </c>
    </row>
    <row r="1982" spans="1:10" x14ac:dyDescent="0.3">
      <c r="A1982" s="33">
        <v>1981</v>
      </c>
      <c r="B1982" s="4">
        <v>22</v>
      </c>
      <c r="C1982" s="15">
        <v>125</v>
      </c>
      <c r="D1982" s="16">
        <v>5</v>
      </c>
      <c r="E1982" s="22">
        <v>44275</v>
      </c>
      <c r="F1982" s="17">
        <v>10</v>
      </c>
      <c r="G1982" s="18">
        <v>0.05</v>
      </c>
      <c r="H1982">
        <f>F1982*VLOOKUP(B1982,產品!$A$2:$H$61,7,FALSE)*(1-銷售總表!G1982)</f>
        <v>17100</v>
      </c>
      <c r="I1982" s="35">
        <f>H1982-F1982*VLOOKUP(銷售總表!B1982,產品!$A$2:$H$61,8,FALSE)</f>
        <v>9900</v>
      </c>
      <c r="J1982" s="20">
        <f t="shared" si="30"/>
        <v>0.57894736842105265</v>
      </c>
    </row>
    <row r="1983" spans="1:10" x14ac:dyDescent="0.3">
      <c r="A1983" s="33">
        <v>1982</v>
      </c>
      <c r="B1983" s="4">
        <v>52</v>
      </c>
      <c r="C1983" s="15">
        <v>4</v>
      </c>
      <c r="D1983" s="16">
        <v>8</v>
      </c>
      <c r="E1983" s="22">
        <v>44276</v>
      </c>
      <c r="F1983" s="17">
        <v>5</v>
      </c>
      <c r="G1983" s="18">
        <v>0.06</v>
      </c>
      <c r="H1983">
        <f>F1983*VLOOKUP(B1983,產品!$A$2:$H$61,7,FALSE)*(1-銷售總表!G1983)</f>
        <v>103400</v>
      </c>
      <c r="I1983" s="35">
        <f>H1983-F1983*VLOOKUP(銷售總表!B1983,產品!$A$2:$H$61,8,FALSE)</f>
        <v>26400.000000000015</v>
      </c>
      <c r="J1983" s="20">
        <f t="shared" si="30"/>
        <v>0.25531914893617036</v>
      </c>
    </row>
    <row r="1984" spans="1:10" x14ac:dyDescent="0.3">
      <c r="A1984" s="33">
        <v>1983</v>
      </c>
      <c r="B1984" s="4">
        <v>60</v>
      </c>
      <c r="C1984" s="15">
        <v>258</v>
      </c>
      <c r="D1984" s="16">
        <v>5</v>
      </c>
      <c r="E1984" s="22">
        <v>44276</v>
      </c>
      <c r="F1984" s="19">
        <v>7</v>
      </c>
      <c r="G1984" s="18">
        <v>0.13</v>
      </c>
      <c r="H1984">
        <f>F1984*VLOOKUP(B1984,產品!$A$2:$H$61,7,FALSE)*(1-銷售總表!G1984)</f>
        <v>152250</v>
      </c>
      <c r="I1984" s="35">
        <f>H1984-F1984*VLOOKUP(銷售總表!B1984,產品!$A$2:$H$61,8,FALSE)</f>
        <v>29750</v>
      </c>
      <c r="J1984" s="20">
        <f t="shared" si="30"/>
        <v>0.19540229885057472</v>
      </c>
    </row>
    <row r="1985" spans="1:10" x14ac:dyDescent="0.3">
      <c r="A1985" s="33">
        <v>1984</v>
      </c>
      <c r="B1985" s="4">
        <v>7</v>
      </c>
      <c r="C1985" s="15">
        <v>272</v>
      </c>
      <c r="D1985" s="16">
        <v>9</v>
      </c>
      <c r="E1985" s="22">
        <v>44277</v>
      </c>
      <c r="F1985" s="17">
        <v>20</v>
      </c>
      <c r="G1985" s="18">
        <v>7.0000000000000007E-2</v>
      </c>
      <c r="H1985">
        <f>F1985*VLOOKUP(B1985,產品!$A$2:$H$61,7,FALSE)*(1-銷售總表!G1985)</f>
        <v>18600</v>
      </c>
      <c r="I1985" s="35">
        <f>H1985-F1985*VLOOKUP(銷售總表!B1985,產品!$A$2:$H$61,8,FALSE)</f>
        <v>10600</v>
      </c>
      <c r="J1985" s="20">
        <f t="shared" si="30"/>
        <v>0.56989247311827962</v>
      </c>
    </row>
    <row r="1986" spans="1:10" x14ac:dyDescent="0.3">
      <c r="A1986" s="33">
        <v>1985</v>
      </c>
      <c r="B1986" s="4">
        <v>46</v>
      </c>
      <c r="C1986" s="15">
        <v>5</v>
      </c>
      <c r="D1986" s="16">
        <v>10</v>
      </c>
      <c r="E1986" s="22">
        <v>44277</v>
      </c>
      <c r="F1986" s="19">
        <v>8</v>
      </c>
      <c r="G1986" s="18">
        <v>0.12</v>
      </c>
      <c r="H1986">
        <f>F1986*VLOOKUP(B1986,產品!$A$2:$H$61,7,FALSE)*(1-銷售總表!G1986)</f>
        <v>119680</v>
      </c>
      <c r="I1986" s="35">
        <f>H1986-F1986*VLOOKUP(銷售總表!B1986,產品!$A$2:$H$61,8,FALSE)</f>
        <v>31280</v>
      </c>
      <c r="J1986" s="20">
        <f t="shared" si="30"/>
        <v>0.26136363636363635</v>
      </c>
    </row>
    <row r="1987" spans="1:10" x14ac:dyDescent="0.3">
      <c r="A1987" s="33">
        <v>1986</v>
      </c>
      <c r="B1987" s="4">
        <v>15</v>
      </c>
      <c r="C1987" s="15">
        <v>11</v>
      </c>
      <c r="D1987" s="16">
        <v>6</v>
      </c>
      <c r="E1987" s="22">
        <v>44278</v>
      </c>
      <c r="F1987" s="19">
        <v>30</v>
      </c>
      <c r="G1987" s="18">
        <v>0.06</v>
      </c>
      <c r="H1987">
        <f>F1987*VLOOKUP(B1987,產品!$A$2:$H$61,7,FALSE)*(1-銷售總表!G1987)</f>
        <v>50760</v>
      </c>
      <c r="I1987" s="35">
        <f>H1987-F1987*VLOOKUP(銷售總表!B1987,產品!$A$2:$H$61,8,FALSE)</f>
        <v>29160</v>
      </c>
      <c r="J1987" s="20">
        <f t="shared" ref="J1987:J2050" si="31">I1987/H1987</f>
        <v>0.57446808510638303</v>
      </c>
    </row>
    <row r="1988" spans="1:10" x14ac:dyDescent="0.3">
      <c r="A1988" s="33">
        <v>1987</v>
      </c>
      <c r="B1988" s="4">
        <v>56</v>
      </c>
      <c r="C1988" s="15">
        <v>274</v>
      </c>
      <c r="D1988" s="16">
        <v>6</v>
      </c>
      <c r="E1988" s="22">
        <v>44281</v>
      </c>
      <c r="F1988" s="19">
        <v>8</v>
      </c>
      <c r="G1988" s="18">
        <v>0.06</v>
      </c>
      <c r="H1988">
        <f>F1988*VLOOKUP(B1988,產品!$A$2:$H$61,7,FALSE)*(1-銷售總表!G1988)</f>
        <v>165440</v>
      </c>
      <c r="I1988" s="35">
        <f>H1988-F1988*VLOOKUP(銷售總表!B1988,產品!$A$2:$H$61,8,FALSE)</f>
        <v>42240.000000000015</v>
      </c>
      <c r="J1988" s="20">
        <f t="shared" si="31"/>
        <v>0.2553191489361703</v>
      </c>
    </row>
    <row r="1989" spans="1:10" x14ac:dyDescent="0.3">
      <c r="A1989" s="33">
        <v>1988</v>
      </c>
      <c r="B1989" s="4">
        <v>8</v>
      </c>
      <c r="C1989" s="15">
        <v>289</v>
      </c>
      <c r="D1989" s="16">
        <v>10</v>
      </c>
      <c r="E1989" s="22">
        <v>44281</v>
      </c>
      <c r="F1989" s="19">
        <v>105</v>
      </c>
      <c r="G1989" s="18">
        <v>0.1</v>
      </c>
      <c r="H1989">
        <f>F1989*VLOOKUP(B1989,產品!$A$2:$H$61,7,FALSE)*(1-銷售總表!G1989)</f>
        <v>94500</v>
      </c>
      <c r="I1989" s="35">
        <f>H1989-F1989*VLOOKUP(銷售總表!B1989,產品!$A$2:$H$61,8,FALSE)</f>
        <v>52500</v>
      </c>
      <c r="J1989" s="20">
        <f t="shared" si="31"/>
        <v>0.55555555555555558</v>
      </c>
    </row>
    <row r="1990" spans="1:10" x14ac:dyDescent="0.3">
      <c r="A1990" s="33">
        <v>1989</v>
      </c>
      <c r="B1990" s="4">
        <v>32</v>
      </c>
      <c r="C1990" s="15">
        <v>7</v>
      </c>
      <c r="D1990" s="16">
        <v>4</v>
      </c>
      <c r="E1990" s="22">
        <v>44283</v>
      </c>
      <c r="F1990" s="19">
        <v>2</v>
      </c>
      <c r="G1990" s="18">
        <v>0.11</v>
      </c>
      <c r="H1990">
        <f>F1990*VLOOKUP(B1990,產品!$A$2:$H$61,7,FALSE)*(1-銷售總表!G1990)</f>
        <v>13350</v>
      </c>
      <c r="I1990" s="35">
        <f>H1990-F1990*VLOOKUP(銷售總表!B1990,產品!$A$2:$H$61,8,FALSE)</f>
        <v>4350</v>
      </c>
      <c r="J1990" s="20">
        <f t="shared" si="31"/>
        <v>0.3258426966292135</v>
      </c>
    </row>
    <row r="1991" spans="1:10" x14ac:dyDescent="0.3">
      <c r="A1991" s="33">
        <v>1990</v>
      </c>
      <c r="B1991" s="4">
        <v>35</v>
      </c>
      <c r="C1991" s="15">
        <v>292</v>
      </c>
      <c r="D1991" s="16">
        <v>9</v>
      </c>
      <c r="E1991" s="22">
        <v>44283</v>
      </c>
      <c r="F1991" s="17">
        <v>20</v>
      </c>
      <c r="G1991" s="18">
        <v>0.05</v>
      </c>
      <c r="H1991">
        <f>F1991*VLOOKUP(B1991,產品!$A$2:$H$61,7,FALSE)*(1-銷售總表!G1991)</f>
        <v>161500</v>
      </c>
      <c r="I1991" s="35">
        <f>H1991-F1991*VLOOKUP(銷售總表!B1991,產品!$A$2:$H$61,8,FALSE)</f>
        <v>59500</v>
      </c>
      <c r="J1991" s="20">
        <f t="shared" si="31"/>
        <v>0.36842105263157893</v>
      </c>
    </row>
    <row r="1992" spans="1:10" x14ac:dyDescent="0.3">
      <c r="A1992" s="33">
        <v>1991</v>
      </c>
      <c r="B1992" s="4">
        <v>20</v>
      </c>
      <c r="C1992" s="15">
        <v>123</v>
      </c>
      <c r="D1992" s="16">
        <v>8</v>
      </c>
      <c r="E1992" s="22">
        <v>44283</v>
      </c>
      <c r="F1992" s="17">
        <v>80</v>
      </c>
      <c r="G1992" s="18">
        <v>0.12</v>
      </c>
      <c r="H1992">
        <f>F1992*VLOOKUP(B1992,產品!$A$2:$H$61,7,FALSE)*(1-銷售總表!G1992)</f>
        <v>126720</v>
      </c>
      <c r="I1992" s="35">
        <f>H1992-F1992*VLOOKUP(銷售總表!B1992,產品!$A$2:$H$61,8,FALSE)</f>
        <v>69120</v>
      </c>
      <c r="J1992" s="20">
        <f t="shared" si="31"/>
        <v>0.54545454545454541</v>
      </c>
    </row>
    <row r="1993" spans="1:10" x14ac:dyDescent="0.3">
      <c r="A1993" s="33">
        <v>1992</v>
      </c>
      <c r="B1993" s="4">
        <v>7</v>
      </c>
      <c r="C1993" s="15">
        <v>257</v>
      </c>
      <c r="D1993" s="16">
        <v>1</v>
      </c>
      <c r="E1993" s="22">
        <v>44284</v>
      </c>
      <c r="F1993" s="17">
        <v>50</v>
      </c>
      <c r="G1993" s="18">
        <v>0.08</v>
      </c>
      <c r="H1993">
        <f>F1993*VLOOKUP(B1993,產品!$A$2:$H$61,7,FALSE)*(1-銷售總表!G1993)</f>
        <v>46000</v>
      </c>
      <c r="I1993" s="35">
        <f>H1993-F1993*VLOOKUP(銷售總表!B1993,產品!$A$2:$H$61,8,FALSE)</f>
        <v>26000</v>
      </c>
      <c r="J1993" s="20">
        <f t="shared" si="31"/>
        <v>0.56521739130434778</v>
      </c>
    </row>
    <row r="1994" spans="1:10" x14ac:dyDescent="0.3">
      <c r="A1994" s="33">
        <v>1993</v>
      </c>
      <c r="B1994" s="4">
        <v>16</v>
      </c>
      <c r="C1994" s="15">
        <v>7</v>
      </c>
      <c r="D1994" s="16">
        <v>7</v>
      </c>
      <c r="E1994" s="22">
        <v>44284</v>
      </c>
      <c r="F1994" s="19">
        <v>45</v>
      </c>
      <c r="G1994" s="18">
        <v>0.05</v>
      </c>
      <c r="H1994">
        <f>F1994*VLOOKUP(B1994,產品!$A$2:$H$61,7,FALSE)*(1-銷售總表!G1994)</f>
        <v>76950</v>
      </c>
      <c r="I1994" s="35">
        <f>H1994-F1994*VLOOKUP(銷售總表!B1994,產品!$A$2:$H$61,8,FALSE)</f>
        <v>44550</v>
      </c>
      <c r="J1994" s="20">
        <f t="shared" si="31"/>
        <v>0.57894736842105265</v>
      </c>
    </row>
    <row r="1995" spans="1:10" x14ac:dyDescent="0.3">
      <c r="A1995" s="33">
        <v>1994</v>
      </c>
      <c r="B1995" s="4">
        <v>40</v>
      </c>
      <c r="C1995" s="15">
        <v>118</v>
      </c>
      <c r="D1995" s="16">
        <v>7</v>
      </c>
      <c r="E1995" s="22">
        <v>44285</v>
      </c>
      <c r="F1995" s="17">
        <v>4</v>
      </c>
      <c r="G1995" s="18">
        <v>0.2</v>
      </c>
      <c r="H1995">
        <f>F1995*VLOOKUP(B1995,產品!$A$2:$H$61,7,FALSE)*(1-銷售總表!G1995)</f>
        <v>64000</v>
      </c>
      <c r="I1995" s="35">
        <f>H1995-F1995*VLOOKUP(銷售總表!B1995,產品!$A$2:$H$61,8,FALSE)</f>
        <v>12000</v>
      </c>
      <c r="J1995" s="20">
        <f t="shared" si="31"/>
        <v>0.1875</v>
      </c>
    </row>
    <row r="1996" spans="1:10" x14ac:dyDescent="0.3">
      <c r="A1996" s="33">
        <v>1995</v>
      </c>
      <c r="B1996" s="4">
        <v>1</v>
      </c>
      <c r="C1996" s="15">
        <v>277</v>
      </c>
      <c r="D1996" s="16">
        <v>4</v>
      </c>
      <c r="E1996" s="22">
        <v>44286</v>
      </c>
      <c r="F1996" s="19">
        <v>30</v>
      </c>
      <c r="G1996" s="18">
        <v>0.06</v>
      </c>
      <c r="H1996">
        <f>F1996*VLOOKUP(B1996,產品!$A$2:$H$61,7,FALSE)*(1-銷售總表!G1996)</f>
        <v>28200</v>
      </c>
      <c r="I1996" s="35">
        <f>H1996-F1996*VLOOKUP(銷售總表!B1996,產品!$A$2:$H$61,8,FALSE)</f>
        <v>16200</v>
      </c>
      <c r="J1996" s="20">
        <f t="shared" si="31"/>
        <v>0.57446808510638303</v>
      </c>
    </row>
    <row r="1997" spans="1:10" x14ac:dyDescent="0.3">
      <c r="A1997" s="33">
        <v>1996</v>
      </c>
      <c r="B1997" s="4">
        <v>10</v>
      </c>
      <c r="C1997" s="15">
        <v>115</v>
      </c>
      <c r="D1997" s="16">
        <v>8</v>
      </c>
      <c r="E1997" s="22">
        <v>44286</v>
      </c>
      <c r="F1997" s="17">
        <v>100</v>
      </c>
      <c r="G1997" s="18">
        <v>0.1</v>
      </c>
      <c r="H1997">
        <f>F1997*VLOOKUP(B1997,產品!$A$2:$H$61,7,FALSE)*(1-銷售總表!G1997)</f>
        <v>90000</v>
      </c>
      <c r="I1997" s="35">
        <f>H1997-F1997*VLOOKUP(銷售總表!B1997,產品!$A$2:$H$61,8,FALSE)</f>
        <v>50000</v>
      </c>
      <c r="J1997" s="20">
        <f t="shared" si="31"/>
        <v>0.55555555555555558</v>
      </c>
    </row>
    <row r="1998" spans="1:10" x14ac:dyDescent="0.3">
      <c r="A1998" s="33">
        <v>1997</v>
      </c>
      <c r="B1998" s="4">
        <v>38</v>
      </c>
      <c r="C1998" s="15">
        <v>134</v>
      </c>
      <c r="D1998" s="16">
        <v>7</v>
      </c>
      <c r="E1998" s="22">
        <v>44286</v>
      </c>
      <c r="F1998" s="19">
        <v>15</v>
      </c>
      <c r="G1998" s="18">
        <v>0.09</v>
      </c>
      <c r="H1998">
        <f>F1998*VLOOKUP(B1998,產品!$A$2:$H$61,7,FALSE)*(1-銷售總表!G1998)</f>
        <v>204750</v>
      </c>
      <c r="I1998" s="35">
        <f>H1998-F1998*VLOOKUP(銷售總表!B1998,產品!$A$2:$H$61,8,FALSE)</f>
        <v>58500</v>
      </c>
      <c r="J1998" s="20">
        <f t="shared" si="31"/>
        <v>0.2857142857142857</v>
      </c>
    </row>
    <row r="1999" spans="1:10" x14ac:dyDescent="0.3">
      <c r="A1999" s="33">
        <v>1998</v>
      </c>
      <c r="B1999" s="4">
        <v>7</v>
      </c>
      <c r="C1999" s="15">
        <v>10</v>
      </c>
      <c r="D1999" s="16">
        <v>9</v>
      </c>
      <c r="E1999" s="22">
        <v>44286</v>
      </c>
      <c r="F1999" s="17">
        <v>150</v>
      </c>
      <c r="G1999" s="18">
        <v>0.12</v>
      </c>
      <c r="H1999">
        <f>F1999*VLOOKUP(B1999,產品!$A$2:$H$61,7,FALSE)*(1-銷售總表!G1999)</f>
        <v>132000</v>
      </c>
      <c r="I1999" s="35">
        <f>H1999-F1999*VLOOKUP(銷售總表!B1999,產品!$A$2:$H$61,8,FALSE)</f>
        <v>72000</v>
      </c>
      <c r="J1999" s="20">
        <f t="shared" si="31"/>
        <v>0.54545454545454541</v>
      </c>
    </row>
    <row r="2000" spans="1:10" x14ac:dyDescent="0.3">
      <c r="A2000" s="33">
        <v>1999</v>
      </c>
      <c r="B2000" s="4">
        <v>13</v>
      </c>
      <c r="C2000" s="15">
        <v>123</v>
      </c>
      <c r="D2000" s="16">
        <v>4</v>
      </c>
      <c r="E2000" s="22">
        <v>44288</v>
      </c>
      <c r="F2000" s="17">
        <v>30</v>
      </c>
      <c r="G2000" s="18">
        <v>0.05</v>
      </c>
      <c r="H2000">
        <f>F2000*VLOOKUP(B2000,產品!$A$2:$H$61,7,FALSE)*(1-銷售總表!G2000)</f>
        <v>51300</v>
      </c>
      <c r="I2000" s="35">
        <f>H2000-F2000*VLOOKUP(銷售總表!B2000,產品!$A$2:$H$61,8,FALSE)</f>
        <v>29700</v>
      </c>
      <c r="J2000" s="20">
        <f t="shared" si="31"/>
        <v>0.57894736842105265</v>
      </c>
    </row>
    <row r="2001" spans="1:10" x14ac:dyDescent="0.3">
      <c r="A2001" s="33">
        <v>2000</v>
      </c>
      <c r="B2001" s="4">
        <v>39</v>
      </c>
      <c r="C2001" s="15">
        <v>261</v>
      </c>
      <c r="D2001" s="16">
        <v>1</v>
      </c>
      <c r="E2001" s="22">
        <v>44289</v>
      </c>
      <c r="F2001" s="19">
        <v>3</v>
      </c>
      <c r="G2001" s="18">
        <v>0.19</v>
      </c>
      <c r="H2001">
        <f>F2001*VLOOKUP(B2001,產品!$A$2:$H$61,7,FALSE)*(1-銷售總表!G2001)</f>
        <v>43740</v>
      </c>
      <c r="I2001" s="35">
        <f>H2001-F2001*VLOOKUP(銷售總表!B2001,產品!$A$2:$H$61,8,FALSE)</f>
        <v>8640</v>
      </c>
      <c r="J2001" s="20">
        <f t="shared" si="31"/>
        <v>0.19753086419753085</v>
      </c>
    </row>
    <row r="2002" spans="1:10" x14ac:dyDescent="0.3">
      <c r="A2002" s="33">
        <v>2001</v>
      </c>
      <c r="B2002" s="4">
        <v>27</v>
      </c>
      <c r="C2002" s="15">
        <v>12</v>
      </c>
      <c r="D2002" s="16">
        <v>4</v>
      </c>
      <c r="E2002" s="22">
        <v>44290</v>
      </c>
      <c r="F2002" s="17">
        <v>4</v>
      </c>
      <c r="G2002" s="18">
        <v>0.2</v>
      </c>
      <c r="H2002">
        <f>F2002*VLOOKUP(B2002,產品!$A$2:$H$61,7,FALSE)*(1-銷售總表!G2002)</f>
        <v>22400</v>
      </c>
      <c r="I2002" s="35">
        <f>H2002-F2002*VLOOKUP(銷售總表!B2002,產品!$A$2:$H$61,8,FALSE)</f>
        <v>5600</v>
      </c>
      <c r="J2002" s="20">
        <f t="shared" si="31"/>
        <v>0.25</v>
      </c>
    </row>
    <row r="2003" spans="1:10" x14ac:dyDescent="0.3">
      <c r="A2003" s="33">
        <v>2002</v>
      </c>
      <c r="B2003" s="4">
        <v>36</v>
      </c>
      <c r="C2003" s="15">
        <v>112</v>
      </c>
      <c r="D2003" s="16">
        <v>2</v>
      </c>
      <c r="E2003" s="22">
        <v>44290</v>
      </c>
      <c r="F2003" s="17">
        <v>6</v>
      </c>
      <c r="G2003" s="18">
        <v>7.0000000000000007E-2</v>
      </c>
      <c r="H2003">
        <f>F2003*VLOOKUP(B2003,產品!$A$2:$H$61,7,FALSE)*(1-銷售總表!G2003)</f>
        <v>50220</v>
      </c>
      <c r="I2003" s="35">
        <f>H2003-F2003*VLOOKUP(銷售總表!B2003,產品!$A$2:$H$61,8,FALSE)</f>
        <v>17820</v>
      </c>
      <c r="J2003" s="20">
        <f t="shared" si="31"/>
        <v>0.35483870967741937</v>
      </c>
    </row>
    <row r="2004" spans="1:10" x14ac:dyDescent="0.3">
      <c r="A2004" s="33">
        <v>2003</v>
      </c>
      <c r="B2004" s="4">
        <v>27</v>
      </c>
      <c r="C2004" s="15">
        <v>274</v>
      </c>
      <c r="D2004" s="16">
        <v>10</v>
      </c>
      <c r="E2004" s="22">
        <v>44291</v>
      </c>
      <c r="F2004" s="17">
        <v>2</v>
      </c>
      <c r="G2004" s="18">
        <v>0.09</v>
      </c>
      <c r="H2004">
        <f>F2004*VLOOKUP(B2004,產品!$A$2:$H$61,7,FALSE)*(1-銷售總表!G2004)</f>
        <v>12740</v>
      </c>
      <c r="I2004" s="35">
        <f>H2004-F2004*VLOOKUP(銷售總表!B2004,產品!$A$2:$H$61,8,FALSE)</f>
        <v>4340</v>
      </c>
      <c r="J2004" s="20">
        <f t="shared" si="31"/>
        <v>0.34065934065934067</v>
      </c>
    </row>
    <row r="2005" spans="1:10" x14ac:dyDescent="0.3">
      <c r="A2005" s="33">
        <v>2004</v>
      </c>
      <c r="B2005" s="4">
        <v>6</v>
      </c>
      <c r="C2005" s="15">
        <v>113</v>
      </c>
      <c r="D2005" s="16">
        <v>3</v>
      </c>
      <c r="E2005" s="22">
        <v>44292</v>
      </c>
      <c r="F2005" s="19">
        <v>13</v>
      </c>
      <c r="G2005" s="18">
        <v>0.05</v>
      </c>
      <c r="H2005">
        <f>F2005*VLOOKUP(B2005,產品!$A$2:$H$61,7,FALSE)*(1-銷售總表!G2005)</f>
        <v>12350</v>
      </c>
      <c r="I2005" s="35">
        <f>H2005-F2005*VLOOKUP(銷售總表!B2005,產品!$A$2:$H$61,8,FALSE)</f>
        <v>7150</v>
      </c>
      <c r="J2005" s="20">
        <f t="shared" si="31"/>
        <v>0.57894736842105265</v>
      </c>
    </row>
    <row r="2006" spans="1:10" x14ac:dyDescent="0.3">
      <c r="A2006" s="33">
        <v>2005</v>
      </c>
      <c r="B2006" s="4">
        <v>5</v>
      </c>
      <c r="C2006" s="15">
        <v>8</v>
      </c>
      <c r="D2006" s="16">
        <v>9</v>
      </c>
      <c r="E2006" s="22">
        <v>44292</v>
      </c>
      <c r="F2006" s="19">
        <v>30</v>
      </c>
      <c r="G2006" s="18">
        <v>0.11</v>
      </c>
      <c r="H2006">
        <f>F2006*VLOOKUP(B2006,產品!$A$2:$H$61,7,FALSE)*(1-銷售總表!G2006)</f>
        <v>26700</v>
      </c>
      <c r="I2006" s="35">
        <f>H2006-F2006*VLOOKUP(銷售總表!B2006,產品!$A$2:$H$61,8,FALSE)</f>
        <v>14700</v>
      </c>
      <c r="J2006" s="20">
        <f t="shared" si="31"/>
        <v>0.550561797752809</v>
      </c>
    </row>
    <row r="2007" spans="1:10" x14ac:dyDescent="0.3">
      <c r="A2007" s="33">
        <v>2006</v>
      </c>
      <c r="B2007" s="4">
        <v>19</v>
      </c>
      <c r="C2007" s="15">
        <v>289</v>
      </c>
      <c r="D2007" s="16">
        <v>1</v>
      </c>
      <c r="E2007" s="22">
        <v>44292</v>
      </c>
      <c r="F2007" s="17">
        <v>40</v>
      </c>
      <c r="G2007" s="18">
        <v>0.15</v>
      </c>
      <c r="H2007">
        <f>F2007*VLOOKUP(B2007,產品!$A$2:$H$61,7,FALSE)*(1-銷售總表!G2007)</f>
        <v>61200</v>
      </c>
      <c r="I2007" s="35">
        <f>H2007-F2007*VLOOKUP(銷售總表!B2007,產品!$A$2:$H$61,8,FALSE)</f>
        <v>32400</v>
      </c>
      <c r="J2007" s="20">
        <f t="shared" si="31"/>
        <v>0.52941176470588236</v>
      </c>
    </row>
    <row r="2008" spans="1:10" x14ac:dyDescent="0.3">
      <c r="A2008" s="33">
        <v>2007</v>
      </c>
      <c r="B2008" s="4">
        <v>11</v>
      </c>
      <c r="C2008" s="15">
        <v>275</v>
      </c>
      <c r="D2008" s="16">
        <v>6</v>
      </c>
      <c r="E2008" s="22">
        <v>44292</v>
      </c>
      <c r="F2008" s="17">
        <v>150</v>
      </c>
      <c r="G2008" s="18">
        <v>7.0000000000000007E-2</v>
      </c>
      <c r="H2008">
        <f>F2008*VLOOKUP(B2008,產品!$A$2:$H$61,7,FALSE)*(1-銷售總表!G2008)</f>
        <v>139500</v>
      </c>
      <c r="I2008" s="35">
        <f>H2008-F2008*VLOOKUP(銷售總表!B2008,產品!$A$2:$H$61,8,FALSE)</f>
        <v>79500</v>
      </c>
      <c r="J2008" s="20">
        <f t="shared" si="31"/>
        <v>0.56989247311827962</v>
      </c>
    </row>
    <row r="2009" spans="1:10" x14ac:dyDescent="0.3">
      <c r="A2009" s="33">
        <v>2008</v>
      </c>
      <c r="B2009" s="4">
        <v>53</v>
      </c>
      <c r="C2009" s="15">
        <v>282</v>
      </c>
      <c r="D2009" s="16">
        <v>6</v>
      </c>
      <c r="E2009" s="22">
        <v>44294</v>
      </c>
      <c r="F2009" s="17">
        <v>6</v>
      </c>
      <c r="G2009" s="18">
        <v>0.11</v>
      </c>
      <c r="H2009">
        <f>F2009*VLOOKUP(B2009,產品!$A$2:$H$61,7,FALSE)*(1-銷售總表!G2009)</f>
        <v>80100</v>
      </c>
      <c r="I2009" s="35">
        <f>H2009-F2009*VLOOKUP(銷售總表!B2009,產品!$A$2:$H$61,8,FALSE)</f>
        <v>17100</v>
      </c>
      <c r="J2009" s="20">
        <f t="shared" si="31"/>
        <v>0.21348314606741572</v>
      </c>
    </row>
    <row r="2010" spans="1:10" x14ac:dyDescent="0.3">
      <c r="A2010" s="33">
        <v>2009</v>
      </c>
      <c r="B2010" s="4">
        <v>57</v>
      </c>
      <c r="C2010" s="15">
        <v>124</v>
      </c>
      <c r="D2010" s="16">
        <v>9</v>
      </c>
      <c r="E2010" s="22">
        <v>44295</v>
      </c>
      <c r="F2010" s="17">
        <v>2</v>
      </c>
      <c r="G2010" s="18">
        <v>0.09</v>
      </c>
      <c r="H2010">
        <f>F2010*VLOOKUP(B2010,產品!$A$2:$H$61,7,FALSE)*(1-銷售總表!G2010)</f>
        <v>32760</v>
      </c>
      <c r="I2010" s="35">
        <f>H2010-F2010*VLOOKUP(銷售總表!B2010,產品!$A$2:$H$61,8,FALSE)</f>
        <v>7560</v>
      </c>
      <c r="J2010" s="20">
        <f t="shared" si="31"/>
        <v>0.23076923076923078</v>
      </c>
    </row>
    <row r="2011" spans="1:10" x14ac:dyDescent="0.3">
      <c r="A2011" s="33">
        <v>2010</v>
      </c>
      <c r="B2011" s="4">
        <v>4</v>
      </c>
      <c r="C2011" s="15">
        <v>12</v>
      </c>
      <c r="D2011" s="16">
        <v>2</v>
      </c>
      <c r="E2011" s="22">
        <v>44295</v>
      </c>
      <c r="F2011" s="19">
        <v>20</v>
      </c>
      <c r="G2011" s="18">
        <v>7.0000000000000007E-2</v>
      </c>
      <c r="H2011">
        <f>F2011*VLOOKUP(B2011,產品!$A$2:$H$61,7,FALSE)*(1-銷售總表!G2011)</f>
        <v>18600</v>
      </c>
      <c r="I2011" s="35">
        <f>H2011-F2011*VLOOKUP(銷售總表!B2011,產品!$A$2:$H$61,8,FALSE)</f>
        <v>10600</v>
      </c>
      <c r="J2011" s="20">
        <f t="shared" si="31"/>
        <v>0.56989247311827962</v>
      </c>
    </row>
    <row r="2012" spans="1:10" x14ac:dyDescent="0.3">
      <c r="A2012" s="33">
        <v>2011</v>
      </c>
      <c r="B2012" s="4">
        <v>42</v>
      </c>
      <c r="C2012" s="15">
        <v>9</v>
      </c>
      <c r="D2012" s="16">
        <v>9</v>
      </c>
      <c r="E2012" s="22">
        <v>44296</v>
      </c>
      <c r="F2012" s="19">
        <v>5</v>
      </c>
      <c r="G2012" s="18">
        <v>0.05</v>
      </c>
      <c r="H2012">
        <f>F2012*VLOOKUP(B2012,產品!$A$2:$H$61,7,FALSE)*(1-銷售總表!G2012)</f>
        <v>71250</v>
      </c>
      <c r="I2012" s="35">
        <f>H2012-F2012*VLOOKUP(銷售總表!B2012,產品!$A$2:$H$61,8,FALSE)</f>
        <v>22500</v>
      </c>
      <c r="J2012" s="20">
        <f t="shared" si="31"/>
        <v>0.31578947368421051</v>
      </c>
    </row>
    <row r="2013" spans="1:10" x14ac:dyDescent="0.3">
      <c r="A2013" s="33">
        <v>2012</v>
      </c>
      <c r="B2013" s="4">
        <v>35</v>
      </c>
      <c r="C2013" s="15">
        <v>123</v>
      </c>
      <c r="D2013" s="16">
        <v>8</v>
      </c>
      <c r="E2013" s="22">
        <v>44298</v>
      </c>
      <c r="F2013" s="19">
        <v>7</v>
      </c>
      <c r="G2013" s="18">
        <v>0.06</v>
      </c>
      <c r="H2013">
        <f>F2013*VLOOKUP(B2013,產品!$A$2:$H$61,7,FALSE)*(1-銷售總表!G2013)</f>
        <v>55930</v>
      </c>
      <c r="I2013" s="35">
        <f>H2013-F2013*VLOOKUP(銷售總表!B2013,產品!$A$2:$H$61,8,FALSE)</f>
        <v>20230</v>
      </c>
      <c r="J2013" s="20">
        <f t="shared" si="31"/>
        <v>0.36170212765957449</v>
      </c>
    </row>
    <row r="2014" spans="1:10" x14ac:dyDescent="0.3">
      <c r="A2014" s="33">
        <v>2013</v>
      </c>
      <c r="B2014" s="4">
        <v>8</v>
      </c>
      <c r="C2014" s="15">
        <v>2</v>
      </c>
      <c r="D2014" s="16">
        <v>5</v>
      </c>
      <c r="E2014" s="22">
        <v>44298</v>
      </c>
      <c r="F2014" s="19">
        <v>80</v>
      </c>
      <c r="G2014" s="18">
        <v>0.2</v>
      </c>
      <c r="H2014">
        <f>F2014*VLOOKUP(B2014,產品!$A$2:$H$61,7,FALSE)*(1-銷售總表!G2014)</f>
        <v>64000</v>
      </c>
      <c r="I2014" s="35">
        <f>H2014-F2014*VLOOKUP(銷售總表!B2014,產品!$A$2:$H$61,8,FALSE)</f>
        <v>32000</v>
      </c>
      <c r="J2014" s="20">
        <f t="shared" si="31"/>
        <v>0.5</v>
      </c>
    </row>
    <row r="2015" spans="1:10" x14ac:dyDescent="0.3">
      <c r="A2015" s="33">
        <v>2014</v>
      </c>
      <c r="B2015" s="4">
        <v>47</v>
      </c>
      <c r="C2015" s="15">
        <v>289</v>
      </c>
      <c r="D2015" s="16">
        <v>8</v>
      </c>
      <c r="E2015" s="22">
        <v>44298</v>
      </c>
      <c r="F2015" s="19">
        <v>10</v>
      </c>
      <c r="G2015" s="18">
        <v>0.14000000000000001</v>
      </c>
      <c r="H2015">
        <f>F2015*VLOOKUP(B2015,產品!$A$2:$H$61,7,FALSE)*(1-銷售總表!G2015)</f>
        <v>172000</v>
      </c>
      <c r="I2015" s="35">
        <f>H2015-F2015*VLOOKUP(銷售總表!B2015,產品!$A$2:$H$61,8,FALSE)</f>
        <v>42000</v>
      </c>
      <c r="J2015" s="20">
        <f t="shared" si="31"/>
        <v>0.2441860465116279</v>
      </c>
    </row>
    <row r="2016" spans="1:10" x14ac:dyDescent="0.3">
      <c r="A2016" s="33">
        <v>2015</v>
      </c>
      <c r="B2016" s="4">
        <v>14</v>
      </c>
      <c r="C2016" s="15">
        <v>257</v>
      </c>
      <c r="D2016" s="16">
        <v>10</v>
      </c>
      <c r="E2016" s="22">
        <v>44299</v>
      </c>
      <c r="F2016" s="19">
        <v>12</v>
      </c>
      <c r="G2016" s="18">
        <v>0.08</v>
      </c>
      <c r="H2016">
        <f>F2016*VLOOKUP(B2016,產品!$A$2:$H$61,7,FALSE)*(1-銷售總表!G2016)</f>
        <v>19872</v>
      </c>
      <c r="I2016" s="35">
        <f>H2016-F2016*VLOOKUP(銷售總表!B2016,產品!$A$2:$H$61,8,FALSE)</f>
        <v>11232</v>
      </c>
      <c r="J2016" s="20">
        <f t="shared" si="31"/>
        <v>0.56521739130434778</v>
      </c>
    </row>
    <row r="2017" spans="1:10" x14ac:dyDescent="0.3">
      <c r="A2017" s="33">
        <v>2016</v>
      </c>
      <c r="B2017" s="4">
        <v>24</v>
      </c>
      <c r="C2017" s="15">
        <v>124</v>
      </c>
      <c r="D2017" s="16">
        <v>3</v>
      </c>
      <c r="E2017" s="22">
        <v>44299</v>
      </c>
      <c r="F2017" s="17">
        <v>20</v>
      </c>
      <c r="G2017" s="18">
        <v>0.13</v>
      </c>
      <c r="H2017">
        <f>F2017*VLOOKUP(B2017,產品!$A$2:$H$61,7,FALSE)*(1-銷售總表!G2017)</f>
        <v>31320</v>
      </c>
      <c r="I2017" s="35">
        <f>H2017-F2017*VLOOKUP(銷售總表!B2017,產品!$A$2:$H$61,8,FALSE)</f>
        <v>16920</v>
      </c>
      <c r="J2017" s="20">
        <f t="shared" si="31"/>
        <v>0.54022988505747127</v>
      </c>
    </row>
    <row r="2018" spans="1:10" x14ac:dyDescent="0.3">
      <c r="A2018" s="33">
        <v>2017</v>
      </c>
      <c r="B2018" s="4">
        <v>17</v>
      </c>
      <c r="C2018" s="15">
        <v>6</v>
      </c>
      <c r="D2018" s="16">
        <v>4</v>
      </c>
      <c r="E2018" s="22">
        <v>44299</v>
      </c>
      <c r="F2018" s="19">
        <v>22</v>
      </c>
      <c r="G2018" s="18">
        <v>0.16</v>
      </c>
      <c r="H2018">
        <f>F2018*VLOOKUP(B2018,產品!$A$2:$H$61,7,FALSE)*(1-銷售總表!G2018)</f>
        <v>33264</v>
      </c>
      <c r="I2018" s="35">
        <f>H2018-F2018*VLOOKUP(銷售總表!B2018,產品!$A$2:$H$61,8,FALSE)</f>
        <v>17424</v>
      </c>
      <c r="J2018" s="20">
        <f t="shared" si="31"/>
        <v>0.52380952380952384</v>
      </c>
    </row>
    <row r="2019" spans="1:10" x14ac:dyDescent="0.3">
      <c r="A2019" s="33">
        <v>2018</v>
      </c>
      <c r="B2019" s="4">
        <v>54</v>
      </c>
      <c r="C2019" s="15">
        <v>257</v>
      </c>
      <c r="D2019" s="16">
        <v>9</v>
      </c>
      <c r="E2019" s="22">
        <v>44300</v>
      </c>
      <c r="F2019" s="17">
        <v>10</v>
      </c>
      <c r="G2019" s="18">
        <v>0.19</v>
      </c>
      <c r="H2019">
        <f>F2019*VLOOKUP(B2019,產品!$A$2:$H$61,7,FALSE)*(1-銷售總表!G2019)</f>
        <v>145800</v>
      </c>
      <c r="I2019" s="35">
        <f>H2019-F2019*VLOOKUP(銷售總表!B2019,產品!$A$2:$H$61,8,FALSE)</f>
        <v>19800</v>
      </c>
      <c r="J2019" s="20">
        <f t="shared" si="31"/>
        <v>0.13580246913580246</v>
      </c>
    </row>
    <row r="2020" spans="1:10" x14ac:dyDescent="0.3">
      <c r="A2020" s="33">
        <v>2019</v>
      </c>
      <c r="B2020" s="4">
        <v>43</v>
      </c>
      <c r="C2020" s="15">
        <v>140</v>
      </c>
      <c r="D2020" s="16">
        <v>1</v>
      </c>
      <c r="E2020" s="22">
        <v>44300</v>
      </c>
      <c r="F2020" s="17">
        <v>4</v>
      </c>
      <c r="G2020" s="18">
        <v>0.18</v>
      </c>
      <c r="H2020">
        <f>F2020*VLOOKUP(B2020,產品!$A$2:$H$61,7,FALSE)*(1-銷售總表!G2020)</f>
        <v>59040.000000000007</v>
      </c>
      <c r="I2020" s="35">
        <f>H2020-F2020*VLOOKUP(銷售總表!B2020,產品!$A$2:$H$61,8,FALSE)</f>
        <v>12240.000000000007</v>
      </c>
      <c r="J2020" s="20">
        <f t="shared" si="31"/>
        <v>0.20731707317073181</v>
      </c>
    </row>
    <row r="2021" spans="1:10" x14ac:dyDescent="0.3">
      <c r="A2021" s="33">
        <v>2020</v>
      </c>
      <c r="B2021" s="4">
        <v>10</v>
      </c>
      <c r="C2021" s="15">
        <v>116</v>
      </c>
      <c r="D2021" s="16">
        <v>10</v>
      </c>
      <c r="E2021" s="22">
        <v>44300</v>
      </c>
      <c r="F2021" s="17">
        <v>40</v>
      </c>
      <c r="G2021" s="18">
        <v>0.05</v>
      </c>
      <c r="H2021">
        <f>F2021*VLOOKUP(B2021,產品!$A$2:$H$61,7,FALSE)*(1-銷售總表!G2021)</f>
        <v>38000</v>
      </c>
      <c r="I2021" s="35">
        <f>H2021-F2021*VLOOKUP(銷售總表!B2021,產品!$A$2:$H$61,8,FALSE)</f>
        <v>22000</v>
      </c>
      <c r="J2021" s="20">
        <f t="shared" si="31"/>
        <v>0.57894736842105265</v>
      </c>
    </row>
    <row r="2022" spans="1:10" x14ac:dyDescent="0.3">
      <c r="A2022" s="33">
        <v>2021</v>
      </c>
      <c r="B2022" s="4">
        <v>58</v>
      </c>
      <c r="C2022" s="15">
        <v>126</v>
      </c>
      <c r="D2022" s="16">
        <v>10</v>
      </c>
      <c r="E2022" s="22">
        <v>44302</v>
      </c>
      <c r="F2022" s="17">
        <v>3</v>
      </c>
      <c r="G2022" s="18">
        <v>0.05</v>
      </c>
      <c r="H2022">
        <f>F2022*VLOOKUP(B2022,產品!$A$2:$H$61,7,FALSE)*(1-銷售總表!G2022)</f>
        <v>59850</v>
      </c>
      <c r="I2022" s="35">
        <f>H2022-F2022*VLOOKUP(銷售總表!B2022,產品!$A$2:$H$61,8,FALSE)</f>
        <v>15750.000000000007</v>
      </c>
      <c r="J2022" s="20">
        <f t="shared" si="31"/>
        <v>0.2631578947368422</v>
      </c>
    </row>
    <row r="2023" spans="1:10" x14ac:dyDescent="0.3">
      <c r="A2023" s="33">
        <v>2022</v>
      </c>
      <c r="B2023" s="4">
        <v>33</v>
      </c>
      <c r="C2023" s="15">
        <v>285</v>
      </c>
      <c r="D2023" s="16">
        <v>10</v>
      </c>
      <c r="E2023" s="22">
        <v>44303</v>
      </c>
      <c r="F2023" s="17">
        <v>10</v>
      </c>
      <c r="G2023" s="18">
        <v>0.17</v>
      </c>
      <c r="H2023">
        <f>F2023*VLOOKUP(B2023,產品!$A$2:$H$61,7,FALSE)*(1-銷售總表!G2023)</f>
        <v>62250</v>
      </c>
      <c r="I2023" s="35">
        <f>H2023-F2023*VLOOKUP(銷售總表!B2023,產品!$A$2:$H$61,8,FALSE)</f>
        <v>17250</v>
      </c>
      <c r="J2023" s="20">
        <f t="shared" si="31"/>
        <v>0.27710843373493976</v>
      </c>
    </row>
    <row r="2024" spans="1:10" x14ac:dyDescent="0.3">
      <c r="A2024" s="33">
        <v>2023</v>
      </c>
      <c r="B2024" s="4">
        <v>3</v>
      </c>
      <c r="C2024" s="15">
        <v>137</v>
      </c>
      <c r="D2024" s="16">
        <v>4</v>
      </c>
      <c r="E2024" s="22">
        <v>44303</v>
      </c>
      <c r="F2024" s="19">
        <v>10</v>
      </c>
      <c r="G2024" s="18">
        <v>0.14000000000000001</v>
      </c>
      <c r="H2024">
        <f>F2024*VLOOKUP(B2024,產品!$A$2:$H$61,7,FALSE)*(1-銷售總表!G2024)</f>
        <v>8600</v>
      </c>
      <c r="I2024" s="35">
        <f>H2024-F2024*VLOOKUP(銷售總表!B2024,產品!$A$2:$H$61,8,FALSE)</f>
        <v>4600</v>
      </c>
      <c r="J2024" s="20">
        <f t="shared" si="31"/>
        <v>0.53488372093023251</v>
      </c>
    </row>
    <row r="2025" spans="1:10" x14ac:dyDescent="0.3">
      <c r="A2025" s="33">
        <v>2024</v>
      </c>
      <c r="B2025" s="4">
        <v>2</v>
      </c>
      <c r="C2025" s="15">
        <v>123</v>
      </c>
      <c r="D2025" s="16">
        <v>4</v>
      </c>
      <c r="E2025" s="22">
        <v>44303</v>
      </c>
      <c r="F2025" s="19">
        <v>14</v>
      </c>
      <c r="G2025" s="18">
        <v>0.08</v>
      </c>
      <c r="H2025">
        <f>F2025*VLOOKUP(B2025,產品!$A$2:$H$61,7,FALSE)*(1-銷售總表!G2025)</f>
        <v>12880</v>
      </c>
      <c r="I2025" s="35">
        <f>H2025-F2025*VLOOKUP(銷售總表!B2025,產品!$A$2:$H$61,8,FALSE)</f>
        <v>7280</v>
      </c>
      <c r="J2025" s="20">
        <f t="shared" si="31"/>
        <v>0.56521739130434778</v>
      </c>
    </row>
    <row r="2026" spans="1:10" x14ac:dyDescent="0.3">
      <c r="A2026" s="33">
        <v>2025</v>
      </c>
      <c r="B2026" s="4">
        <v>1</v>
      </c>
      <c r="C2026" s="15">
        <v>260</v>
      </c>
      <c r="D2026" s="16">
        <v>9</v>
      </c>
      <c r="E2026" s="22">
        <v>44305</v>
      </c>
      <c r="F2026" s="17">
        <v>10</v>
      </c>
      <c r="G2026" s="18">
        <v>0.18</v>
      </c>
      <c r="H2026">
        <f>F2026*VLOOKUP(B2026,產品!$A$2:$H$61,7,FALSE)*(1-銷售總表!G2026)</f>
        <v>8200</v>
      </c>
      <c r="I2026" s="35">
        <f>H2026-F2026*VLOOKUP(銷售總表!B2026,產品!$A$2:$H$61,8,FALSE)</f>
        <v>4200</v>
      </c>
      <c r="J2026" s="20">
        <f t="shared" si="31"/>
        <v>0.51219512195121952</v>
      </c>
    </row>
    <row r="2027" spans="1:10" x14ac:dyDescent="0.3">
      <c r="A2027" s="33">
        <v>2026</v>
      </c>
      <c r="B2027" s="4">
        <v>24</v>
      </c>
      <c r="C2027" s="15">
        <v>283</v>
      </c>
      <c r="D2027" s="16">
        <v>1</v>
      </c>
      <c r="E2027" s="22">
        <v>44305</v>
      </c>
      <c r="F2027" s="17">
        <v>30</v>
      </c>
      <c r="G2027" s="18">
        <v>0.16</v>
      </c>
      <c r="H2027">
        <f>F2027*VLOOKUP(B2027,產品!$A$2:$H$61,7,FALSE)*(1-銷售總表!G2027)</f>
        <v>45360</v>
      </c>
      <c r="I2027" s="35">
        <f>H2027-F2027*VLOOKUP(銷售總表!B2027,產品!$A$2:$H$61,8,FALSE)</f>
        <v>23760</v>
      </c>
      <c r="J2027" s="20">
        <f t="shared" si="31"/>
        <v>0.52380952380952384</v>
      </c>
    </row>
    <row r="2028" spans="1:10" x14ac:dyDescent="0.3">
      <c r="A2028" s="33">
        <v>2027</v>
      </c>
      <c r="B2028" s="4">
        <v>31</v>
      </c>
      <c r="C2028" s="15">
        <v>137</v>
      </c>
      <c r="D2028" s="16">
        <v>4</v>
      </c>
      <c r="E2028" s="22">
        <v>44307</v>
      </c>
      <c r="F2028" s="19">
        <v>3</v>
      </c>
      <c r="G2028" s="18">
        <v>0.12</v>
      </c>
      <c r="H2028">
        <f>F2028*VLOOKUP(B2028,產品!$A$2:$H$61,7,FALSE)*(1-銷售總表!G2028)</f>
        <v>18480</v>
      </c>
      <c r="I2028" s="35">
        <f>H2028-F2028*VLOOKUP(銷售總表!B2028,產品!$A$2:$H$61,8,FALSE)</f>
        <v>5880</v>
      </c>
      <c r="J2028" s="20">
        <f t="shared" si="31"/>
        <v>0.31818181818181818</v>
      </c>
    </row>
    <row r="2029" spans="1:10" x14ac:dyDescent="0.3">
      <c r="A2029" s="33">
        <v>2028</v>
      </c>
      <c r="B2029" s="4">
        <v>6</v>
      </c>
      <c r="C2029" s="15">
        <v>261</v>
      </c>
      <c r="D2029" s="16">
        <v>4</v>
      </c>
      <c r="E2029" s="22">
        <v>44307</v>
      </c>
      <c r="F2029" s="17">
        <v>12</v>
      </c>
      <c r="G2029" s="18">
        <v>0.06</v>
      </c>
      <c r="H2029">
        <f>F2029*VLOOKUP(B2029,產品!$A$2:$H$61,7,FALSE)*(1-銷售總表!G2029)</f>
        <v>11280</v>
      </c>
      <c r="I2029" s="35">
        <f>H2029-F2029*VLOOKUP(銷售總表!B2029,產品!$A$2:$H$61,8,FALSE)</f>
        <v>6480</v>
      </c>
      <c r="J2029" s="20">
        <f t="shared" si="31"/>
        <v>0.57446808510638303</v>
      </c>
    </row>
    <row r="2030" spans="1:10" x14ac:dyDescent="0.3">
      <c r="A2030" s="33">
        <v>2029</v>
      </c>
      <c r="B2030" s="4">
        <v>18</v>
      </c>
      <c r="C2030" s="15">
        <v>271</v>
      </c>
      <c r="D2030" s="16">
        <v>4</v>
      </c>
      <c r="E2030" s="22">
        <v>44307</v>
      </c>
      <c r="F2030" s="19">
        <v>50</v>
      </c>
      <c r="G2030" s="18">
        <v>0.09</v>
      </c>
      <c r="H2030">
        <f>F2030*VLOOKUP(B2030,產品!$A$2:$H$61,7,FALSE)*(1-銷售總表!G2030)</f>
        <v>81900</v>
      </c>
      <c r="I2030" s="35">
        <f>H2030-F2030*VLOOKUP(銷售總表!B2030,產品!$A$2:$H$61,8,FALSE)</f>
        <v>45900</v>
      </c>
      <c r="J2030" s="20">
        <f t="shared" si="31"/>
        <v>0.56043956043956045</v>
      </c>
    </row>
    <row r="2031" spans="1:10" x14ac:dyDescent="0.3">
      <c r="A2031" s="33">
        <v>2030</v>
      </c>
      <c r="B2031" s="4">
        <v>60</v>
      </c>
      <c r="C2031" s="15">
        <v>4</v>
      </c>
      <c r="D2031" s="16">
        <v>2</v>
      </c>
      <c r="E2031" s="22">
        <v>44307</v>
      </c>
      <c r="F2031" s="19">
        <v>13</v>
      </c>
      <c r="G2031" s="18">
        <v>0.08</v>
      </c>
      <c r="H2031">
        <f>F2031*VLOOKUP(B2031,產品!$A$2:$H$61,7,FALSE)*(1-銷售總表!G2031)</f>
        <v>299000</v>
      </c>
      <c r="I2031" s="35">
        <f>H2031-F2031*VLOOKUP(銷售總表!B2031,產品!$A$2:$H$61,8,FALSE)</f>
        <v>71500</v>
      </c>
      <c r="J2031" s="20">
        <f t="shared" si="31"/>
        <v>0.2391304347826087</v>
      </c>
    </row>
    <row r="2032" spans="1:10" x14ac:dyDescent="0.3">
      <c r="A2032" s="33">
        <v>2031</v>
      </c>
      <c r="B2032" s="4">
        <v>12</v>
      </c>
      <c r="C2032" s="15">
        <v>272</v>
      </c>
      <c r="D2032" s="16">
        <v>5</v>
      </c>
      <c r="E2032" s="22">
        <v>44307</v>
      </c>
      <c r="F2032" s="19">
        <v>200</v>
      </c>
      <c r="G2032" s="18">
        <v>0.09</v>
      </c>
      <c r="H2032">
        <f>F2032*VLOOKUP(B2032,產品!$A$2:$H$61,7,FALSE)*(1-銷售總表!G2032)</f>
        <v>182000</v>
      </c>
      <c r="I2032" s="35">
        <f>H2032-F2032*VLOOKUP(銷售總表!B2032,產品!$A$2:$H$61,8,FALSE)</f>
        <v>102000</v>
      </c>
      <c r="J2032" s="20">
        <f t="shared" si="31"/>
        <v>0.56043956043956045</v>
      </c>
    </row>
    <row r="2033" spans="1:10" x14ac:dyDescent="0.3">
      <c r="A2033" s="33">
        <v>2032</v>
      </c>
      <c r="B2033" s="4">
        <v>7</v>
      </c>
      <c r="C2033" s="15">
        <v>271</v>
      </c>
      <c r="D2033" s="16">
        <v>8</v>
      </c>
      <c r="E2033" s="22">
        <v>44309</v>
      </c>
      <c r="F2033" s="19">
        <v>16</v>
      </c>
      <c r="G2033" s="18">
        <v>0.1</v>
      </c>
      <c r="H2033">
        <f>F2033*VLOOKUP(B2033,產品!$A$2:$H$61,7,FALSE)*(1-銷售總表!G2033)</f>
        <v>14400</v>
      </c>
      <c r="I2033" s="35">
        <f>H2033-F2033*VLOOKUP(銷售總表!B2033,產品!$A$2:$H$61,8,FALSE)</f>
        <v>8000</v>
      </c>
      <c r="J2033" s="20">
        <f t="shared" si="31"/>
        <v>0.55555555555555558</v>
      </c>
    </row>
    <row r="2034" spans="1:10" x14ac:dyDescent="0.3">
      <c r="A2034" s="33">
        <v>2033</v>
      </c>
      <c r="B2034" s="4">
        <v>22</v>
      </c>
      <c r="C2034" s="15">
        <v>9</v>
      </c>
      <c r="D2034" s="16">
        <v>3</v>
      </c>
      <c r="E2034" s="22">
        <v>44309</v>
      </c>
      <c r="F2034" s="19">
        <v>17</v>
      </c>
      <c r="G2034" s="18">
        <v>0.05</v>
      </c>
      <c r="H2034">
        <f>F2034*VLOOKUP(B2034,產品!$A$2:$H$61,7,FALSE)*(1-銷售總表!G2034)</f>
        <v>29070</v>
      </c>
      <c r="I2034" s="35">
        <f>H2034-F2034*VLOOKUP(銷售總表!B2034,產品!$A$2:$H$61,8,FALSE)</f>
        <v>16830</v>
      </c>
      <c r="J2034" s="20">
        <f t="shared" si="31"/>
        <v>0.57894736842105265</v>
      </c>
    </row>
    <row r="2035" spans="1:10" x14ac:dyDescent="0.3">
      <c r="A2035" s="33">
        <v>2034</v>
      </c>
      <c r="B2035" s="4">
        <v>47</v>
      </c>
      <c r="C2035" s="15">
        <v>264</v>
      </c>
      <c r="D2035" s="16">
        <v>3</v>
      </c>
      <c r="E2035" s="22">
        <v>44310</v>
      </c>
      <c r="F2035" s="17">
        <v>2</v>
      </c>
      <c r="G2035" s="18">
        <v>0.2</v>
      </c>
      <c r="H2035">
        <f>F2035*VLOOKUP(B2035,產品!$A$2:$H$61,7,FALSE)*(1-銷售總表!G2035)</f>
        <v>32000</v>
      </c>
      <c r="I2035" s="35">
        <f>H2035-F2035*VLOOKUP(銷售總表!B2035,產品!$A$2:$H$61,8,FALSE)</f>
        <v>6000</v>
      </c>
      <c r="J2035" s="20">
        <f t="shared" si="31"/>
        <v>0.1875</v>
      </c>
    </row>
    <row r="2036" spans="1:10" x14ac:dyDescent="0.3">
      <c r="A2036" s="33">
        <v>2035</v>
      </c>
      <c r="B2036" s="4">
        <v>14</v>
      </c>
      <c r="C2036" s="15">
        <v>12</v>
      </c>
      <c r="D2036" s="16">
        <v>5</v>
      </c>
      <c r="E2036" s="22">
        <v>44311</v>
      </c>
      <c r="F2036" s="19">
        <v>40</v>
      </c>
      <c r="G2036" s="18">
        <v>0.11</v>
      </c>
      <c r="H2036">
        <f>F2036*VLOOKUP(B2036,產品!$A$2:$H$61,7,FALSE)*(1-銷售總表!G2036)</f>
        <v>64080</v>
      </c>
      <c r="I2036" s="35">
        <f>H2036-F2036*VLOOKUP(銷售總表!B2036,產品!$A$2:$H$61,8,FALSE)</f>
        <v>35280</v>
      </c>
      <c r="J2036" s="20">
        <f t="shared" si="31"/>
        <v>0.550561797752809</v>
      </c>
    </row>
    <row r="2037" spans="1:10" x14ac:dyDescent="0.3">
      <c r="A2037" s="33">
        <v>2036</v>
      </c>
      <c r="B2037" s="4">
        <v>30</v>
      </c>
      <c r="C2037" s="15">
        <v>289</v>
      </c>
      <c r="D2037" s="16">
        <v>9</v>
      </c>
      <c r="E2037" s="22">
        <v>44312</v>
      </c>
      <c r="F2037" s="17">
        <v>33</v>
      </c>
      <c r="G2037" s="18">
        <v>0.09</v>
      </c>
      <c r="H2037">
        <f>F2037*VLOOKUP(B2037,產品!$A$2:$H$61,7,FALSE)*(1-銷售總表!G2037)</f>
        <v>195195</v>
      </c>
      <c r="I2037" s="35">
        <f>H2037-F2037*VLOOKUP(銷售總表!B2037,產品!$A$2:$H$61,8,FALSE)</f>
        <v>66495</v>
      </c>
      <c r="J2037" s="20">
        <f t="shared" si="31"/>
        <v>0.34065934065934067</v>
      </c>
    </row>
    <row r="2038" spans="1:10" x14ac:dyDescent="0.3">
      <c r="A2038" s="33">
        <v>2037</v>
      </c>
      <c r="B2038" s="4">
        <v>23</v>
      </c>
      <c r="C2038" s="15">
        <v>278</v>
      </c>
      <c r="D2038" s="16">
        <v>8</v>
      </c>
      <c r="E2038" s="22">
        <v>44312</v>
      </c>
      <c r="F2038" s="19">
        <v>200</v>
      </c>
      <c r="G2038" s="18">
        <v>0.18</v>
      </c>
      <c r="H2038">
        <f>F2038*VLOOKUP(B2038,產品!$A$2:$H$61,7,FALSE)*(1-銷售總表!G2038)</f>
        <v>295200</v>
      </c>
      <c r="I2038" s="35">
        <f>H2038-F2038*VLOOKUP(銷售總表!B2038,產品!$A$2:$H$61,8,FALSE)</f>
        <v>151200</v>
      </c>
      <c r="J2038" s="20">
        <f t="shared" si="31"/>
        <v>0.51219512195121952</v>
      </c>
    </row>
    <row r="2039" spans="1:10" x14ac:dyDescent="0.3">
      <c r="A2039" s="33">
        <v>2038</v>
      </c>
      <c r="B2039" s="4">
        <v>38</v>
      </c>
      <c r="C2039" s="15">
        <v>291</v>
      </c>
      <c r="D2039" s="16">
        <v>2</v>
      </c>
      <c r="E2039" s="22">
        <v>44313</v>
      </c>
      <c r="F2039" s="19">
        <v>10</v>
      </c>
      <c r="G2039" s="18">
        <v>0.1</v>
      </c>
      <c r="H2039">
        <f>F2039*VLOOKUP(B2039,產品!$A$2:$H$61,7,FALSE)*(1-銷售總表!G2039)</f>
        <v>135000</v>
      </c>
      <c r="I2039" s="35">
        <f>H2039-F2039*VLOOKUP(銷售總表!B2039,產品!$A$2:$H$61,8,FALSE)</f>
        <v>37500</v>
      </c>
      <c r="J2039" s="20">
        <f t="shared" si="31"/>
        <v>0.27777777777777779</v>
      </c>
    </row>
    <row r="2040" spans="1:10" x14ac:dyDescent="0.3">
      <c r="A2040" s="33">
        <v>2039</v>
      </c>
      <c r="B2040" s="4">
        <v>2</v>
      </c>
      <c r="C2040" s="15">
        <v>124</v>
      </c>
      <c r="D2040" s="16">
        <v>7</v>
      </c>
      <c r="E2040" s="22">
        <v>44316</v>
      </c>
      <c r="F2040" s="19">
        <v>100</v>
      </c>
      <c r="G2040" s="18">
        <v>0.19</v>
      </c>
      <c r="H2040">
        <f>F2040*VLOOKUP(B2040,產品!$A$2:$H$61,7,FALSE)*(1-銷售總表!G2040)</f>
        <v>81000</v>
      </c>
      <c r="I2040" s="35">
        <f>H2040-F2040*VLOOKUP(銷售總表!B2040,產品!$A$2:$H$61,8,FALSE)</f>
        <v>41000</v>
      </c>
      <c r="J2040" s="20">
        <f t="shared" si="31"/>
        <v>0.50617283950617287</v>
      </c>
    </row>
    <row r="2041" spans="1:10" x14ac:dyDescent="0.3">
      <c r="A2041" s="33">
        <v>2040</v>
      </c>
      <c r="B2041" s="4">
        <v>10</v>
      </c>
      <c r="C2041" s="15">
        <v>271</v>
      </c>
      <c r="D2041" s="16">
        <v>9</v>
      </c>
      <c r="E2041" s="22">
        <v>44317</v>
      </c>
      <c r="F2041" s="17">
        <v>20</v>
      </c>
      <c r="G2041" s="18">
        <v>0.08</v>
      </c>
      <c r="H2041">
        <f>F2041*VLOOKUP(B2041,產品!$A$2:$H$61,7,FALSE)*(1-銷售總表!G2041)</f>
        <v>18400</v>
      </c>
      <c r="I2041" s="35">
        <f>H2041-F2041*VLOOKUP(銷售總表!B2041,產品!$A$2:$H$61,8,FALSE)</f>
        <v>10400</v>
      </c>
      <c r="J2041" s="20">
        <f t="shared" si="31"/>
        <v>0.56521739130434778</v>
      </c>
    </row>
    <row r="2042" spans="1:10" x14ac:dyDescent="0.3">
      <c r="A2042" s="33">
        <v>2041</v>
      </c>
      <c r="B2042" s="4">
        <v>22</v>
      </c>
      <c r="C2042" s="15">
        <v>9</v>
      </c>
      <c r="D2042" s="16">
        <v>9</v>
      </c>
      <c r="E2042" s="22">
        <v>44317</v>
      </c>
      <c r="F2042" s="17">
        <v>20</v>
      </c>
      <c r="G2042" s="18">
        <v>7.0000000000000007E-2</v>
      </c>
      <c r="H2042">
        <f>F2042*VLOOKUP(B2042,產品!$A$2:$H$61,7,FALSE)*(1-銷售總表!G2042)</f>
        <v>33480</v>
      </c>
      <c r="I2042" s="35">
        <f>H2042-F2042*VLOOKUP(銷售總表!B2042,產品!$A$2:$H$61,8,FALSE)</f>
        <v>19080</v>
      </c>
      <c r="J2042" s="20">
        <f t="shared" si="31"/>
        <v>0.56989247311827962</v>
      </c>
    </row>
    <row r="2043" spans="1:10" x14ac:dyDescent="0.3">
      <c r="A2043" s="33">
        <v>2042</v>
      </c>
      <c r="B2043" s="4">
        <v>20</v>
      </c>
      <c r="C2043" s="15">
        <v>3</v>
      </c>
      <c r="D2043" s="16">
        <v>4</v>
      </c>
      <c r="E2043" s="22">
        <v>44319</v>
      </c>
      <c r="F2043" s="17">
        <v>20</v>
      </c>
      <c r="G2043" s="18">
        <v>0.2</v>
      </c>
      <c r="H2043">
        <f>F2043*VLOOKUP(B2043,產品!$A$2:$H$61,7,FALSE)*(1-銷售總表!G2043)</f>
        <v>28800</v>
      </c>
      <c r="I2043" s="35">
        <f>H2043-F2043*VLOOKUP(銷售總表!B2043,產品!$A$2:$H$61,8,FALSE)</f>
        <v>14400</v>
      </c>
      <c r="J2043" s="20">
        <f t="shared" si="31"/>
        <v>0.5</v>
      </c>
    </row>
    <row r="2044" spans="1:10" x14ac:dyDescent="0.3">
      <c r="A2044" s="33">
        <v>2043</v>
      </c>
      <c r="B2044" s="4">
        <v>49</v>
      </c>
      <c r="C2044" s="15">
        <v>277</v>
      </c>
      <c r="D2044" s="16">
        <v>4</v>
      </c>
      <c r="E2044" s="22">
        <v>44320</v>
      </c>
      <c r="F2044" s="19">
        <v>6</v>
      </c>
      <c r="G2044" s="18">
        <v>0.15</v>
      </c>
      <c r="H2044">
        <f>F2044*VLOOKUP(B2044,產品!$A$2:$H$61,7,FALSE)*(1-銷售總表!G2044)</f>
        <v>76500</v>
      </c>
      <c r="I2044" s="35">
        <f>H2044-F2044*VLOOKUP(銷售總表!B2044,產品!$A$2:$H$61,8,FALSE)</f>
        <v>13500</v>
      </c>
      <c r="J2044" s="20">
        <f t="shared" si="31"/>
        <v>0.17647058823529413</v>
      </c>
    </row>
    <row r="2045" spans="1:10" x14ac:dyDescent="0.3">
      <c r="A2045" s="33">
        <v>2044</v>
      </c>
      <c r="B2045" s="4">
        <v>14</v>
      </c>
      <c r="C2045" s="15">
        <v>117</v>
      </c>
      <c r="D2045" s="16">
        <v>3</v>
      </c>
      <c r="E2045" s="22">
        <v>44320</v>
      </c>
      <c r="F2045" s="19">
        <v>100</v>
      </c>
      <c r="G2045" s="18">
        <v>7.0000000000000007E-2</v>
      </c>
      <c r="H2045">
        <f>F2045*VLOOKUP(B2045,產品!$A$2:$H$61,7,FALSE)*(1-銷售總表!G2045)</f>
        <v>167400</v>
      </c>
      <c r="I2045" s="35">
        <f>H2045-F2045*VLOOKUP(銷售總表!B2045,產品!$A$2:$H$61,8,FALSE)</f>
        <v>95400</v>
      </c>
      <c r="J2045" s="20">
        <f t="shared" si="31"/>
        <v>0.56989247311827962</v>
      </c>
    </row>
    <row r="2046" spans="1:10" x14ac:dyDescent="0.3">
      <c r="A2046" s="33">
        <v>2045</v>
      </c>
      <c r="B2046" s="4">
        <v>18</v>
      </c>
      <c r="C2046" s="15">
        <v>113</v>
      </c>
      <c r="D2046" s="16">
        <v>6</v>
      </c>
      <c r="E2046" s="22">
        <v>44321</v>
      </c>
      <c r="F2046" s="19">
        <v>100</v>
      </c>
      <c r="G2046" s="18">
        <v>0.08</v>
      </c>
      <c r="H2046">
        <f>F2046*VLOOKUP(B2046,產品!$A$2:$H$61,7,FALSE)*(1-銷售總表!G2046)</f>
        <v>165600</v>
      </c>
      <c r="I2046" s="35">
        <f>H2046-F2046*VLOOKUP(銷售總表!B2046,產品!$A$2:$H$61,8,FALSE)</f>
        <v>93600</v>
      </c>
      <c r="J2046" s="20">
        <f t="shared" si="31"/>
        <v>0.56521739130434778</v>
      </c>
    </row>
    <row r="2047" spans="1:10" x14ac:dyDescent="0.3">
      <c r="A2047" s="33">
        <v>2046</v>
      </c>
      <c r="B2047" s="4">
        <v>43</v>
      </c>
      <c r="C2047" s="15">
        <v>277</v>
      </c>
      <c r="D2047" s="16">
        <v>6</v>
      </c>
      <c r="E2047" s="22">
        <v>44326</v>
      </c>
      <c r="F2047" s="17">
        <v>3</v>
      </c>
      <c r="G2047" s="18">
        <v>0.13</v>
      </c>
      <c r="H2047">
        <f>F2047*VLOOKUP(B2047,產品!$A$2:$H$61,7,FALSE)*(1-銷售總表!G2047)</f>
        <v>46980</v>
      </c>
      <c r="I2047" s="35">
        <f>H2047-F2047*VLOOKUP(銷售總表!B2047,產品!$A$2:$H$61,8,FALSE)</f>
        <v>11880</v>
      </c>
      <c r="J2047" s="20">
        <f t="shared" si="31"/>
        <v>0.25287356321839083</v>
      </c>
    </row>
    <row r="2048" spans="1:10" x14ac:dyDescent="0.3">
      <c r="A2048" s="33">
        <v>2047</v>
      </c>
      <c r="B2048" s="4">
        <v>1</v>
      </c>
      <c r="C2048" s="15">
        <v>11</v>
      </c>
      <c r="D2048" s="16">
        <v>6</v>
      </c>
      <c r="E2048" s="22">
        <v>44328</v>
      </c>
      <c r="F2048" s="17">
        <v>60</v>
      </c>
      <c r="G2048" s="18">
        <v>0.18</v>
      </c>
      <c r="H2048">
        <f>F2048*VLOOKUP(B2048,產品!$A$2:$H$61,7,FALSE)*(1-銷售總表!G2048)</f>
        <v>49200.000000000007</v>
      </c>
      <c r="I2048" s="35">
        <f>H2048-F2048*VLOOKUP(銷售總表!B2048,產品!$A$2:$H$61,8,FALSE)</f>
        <v>25200.000000000007</v>
      </c>
      <c r="J2048" s="20">
        <f t="shared" si="31"/>
        <v>0.51219512195121963</v>
      </c>
    </row>
    <row r="2049" spans="1:10" x14ac:dyDescent="0.3">
      <c r="A2049" s="33">
        <v>2048</v>
      </c>
      <c r="B2049" s="4">
        <v>44</v>
      </c>
      <c r="C2049" s="15">
        <v>112</v>
      </c>
      <c r="D2049" s="16">
        <v>8</v>
      </c>
      <c r="E2049" s="22">
        <v>44329</v>
      </c>
      <c r="F2049" s="17">
        <v>5</v>
      </c>
      <c r="G2049" s="18">
        <v>0.14000000000000001</v>
      </c>
      <c r="H2049">
        <f>F2049*VLOOKUP(B2049,產品!$A$2:$H$61,7,FALSE)*(1-銷售總表!G2049)</f>
        <v>86000</v>
      </c>
      <c r="I2049" s="35">
        <f>H2049-F2049*VLOOKUP(銷售總表!B2049,產品!$A$2:$H$61,8,FALSE)</f>
        <v>21000</v>
      </c>
      <c r="J2049" s="20">
        <f t="shared" si="31"/>
        <v>0.2441860465116279</v>
      </c>
    </row>
    <row r="2050" spans="1:10" x14ac:dyDescent="0.3">
      <c r="A2050" s="33">
        <v>2049</v>
      </c>
      <c r="B2050" s="4">
        <v>7</v>
      </c>
      <c r="C2050" s="15">
        <v>258</v>
      </c>
      <c r="D2050" s="16">
        <v>1</v>
      </c>
      <c r="E2050" s="22">
        <v>44329</v>
      </c>
      <c r="F2050" s="19">
        <v>300</v>
      </c>
      <c r="G2050" s="18">
        <v>0.2</v>
      </c>
      <c r="H2050">
        <f>F2050*VLOOKUP(B2050,產品!$A$2:$H$61,7,FALSE)*(1-銷售總表!G2050)</f>
        <v>240000</v>
      </c>
      <c r="I2050" s="35">
        <f>H2050-F2050*VLOOKUP(銷售總表!B2050,產品!$A$2:$H$61,8,FALSE)</f>
        <v>120000</v>
      </c>
      <c r="J2050" s="20">
        <f t="shared" si="31"/>
        <v>0.5</v>
      </c>
    </row>
    <row r="2051" spans="1:10" x14ac:dyDescent="0.3">
      <c r="A2051" s="33">
        <v>2050</v>
      </c>
      <c r="B2051" s="4">
        <v>36</v>
      </c>
      <c r="C2051" s="15">
        <v>2</v>
      </c>
      <c r="D2051" s="16">
        <v>2</v>
      </c>
      <c r="E2051" s="22">
        <v>44330</v>
      </c>
      <c r="F2051" s="17">
        <v>3</v>
      </c>
      <c r="G2051" s="18">
        <v>0.18</v>
      </c>
      <c r="H2051">
        <f>F2051*VLOOKUP(B2051,產品!$A$2:$H$61,7,FALSE)*(1-銷售總表!G2051)</f>
        <v>22140</v>
      </c>
      <c r="I2051" s="35">
        <f>H2051-F2051*VLOOKUP(銷售總表!B2051,產品!$A$2:$H$61,8,FALSE)</f>
        <v>5940</v>
      </c>
      <c r="J2051" s="20">
        <f t="shared" ref="J2051:J2114" si="32">I2051/H2051</f>
        <v>0.26829268292682928</v>
      </c>
    </row>
    <row r="2052" spans="1:10" x14ac:dyDescent="0.3">
      <c r="A2052" s="33">
        <v>2051</v>
      </c>
      <c r="B2052" s="4">
        <v>55</v>
      </c>
      <c r="C2052" s="15">
        <v>267</v>
      </c>
      <c r="D2052" s="16">
        <v>7</v>
      </c>
      <c r="E2052" s="22">
        <v>44330</v>
      </c>
      <c r="F2052" s="19">
        <v>4</v>
      </c>
      <c r="G2052" s="18">
        <v>0.06</v>
      </c>
      <c r="H2052">
        <f>F2052*VLOOKUP(B2052,產品!$A$2:$H$61,7,FALSE)*(1-銷售總表!G2052)</f>
        <v>75200</v>
      </c>
      <c r="I2052" s="35">
        <f>H2052-F2052*VLOOKUP(銷售總表!B2052,產品!$A$2:$H$61,8,FALSE)</f>
        <v>19200</v>
      </c>
      <c r="J2052" s="20">
        <f t="shared" si="32"/>
        <v>0.25531914893617019</v>
      </c>
    </row>
    <row r="2053" spans="1:10" x14ac:dyDescent="0.3">
      <c r="A2053" s="33">
        <v>2052</v>
      </c>
      <c r="B2053" s="4">
        <v>51</v>
      </c>
      <c r="C2053" s="15">
        <v>264</v>
      </c>
      <c r="D2053" s="16">
        <v>1</v>
      </c>
      <c r="E2053" s="22">
        <v>44330</v>
      </c>
      <c r="F2053" s="19">
        <v>9</v>
      </c>
      <c r="G2053" s="18">
        <v>0.05</v>
      </c>
      <c r="H2053">
        <f>F2053*VLOOKUP(B2053,產品!$A$2:$H$61,7,FALSE)*(1-銷售總表!G2053)</f>
        <v>171000</v>
      </c>
      <c r="I2053" s="35">
        <f>H2053-F2053*VLOOKUP(銷售總表!B2053,產品!$A$2:$H$61,8,FALSE)</f>
        <v>45000</v>
      </c>
      <c r="J2053" s="20">
        <f t="shared" si="32"/>
        <v>0.26315789473684209</v>
      </c>
    </row>
    <row r="2054" spans="1:10" x14ac:dyDescent="0.3">
      <c r="A2054" s="33">
        <v>2053</v>
      </c>
      <c r="B2054" s="4">
        <v>20</v>
      </c>
      <c r="C2054" s="15">
        <v>112</v>
      </c>
      <c r="D2054" s="16">
        <v>2</v>
      </c>
      <c r="E2054" s="22">
        <v>44332</v>
      </c>
      <c r="F2054" s="19">
        <v>13</v>
      </c>
      <c r="G2054" s="18">
        <v>0.12</v>
      </c>
      <c r="H2054">
        <f>F2054*VLOOKUP(B2054,產品!$A$2:$H$61,7,FALSE)*(1-銷售總表!G2054)</f>
        <v>20592</v>
      </c>
      <c r="I2054" s="35">
        <f>H2054-F2054*VLOOKUP(銷售總表!B2054,產品!$A$2:$H$61,8,FALSE)</f>
        <v>11232</v>
      </c>
      <c r="J2054" s="20">
        <f t="shared" si="32"/>
        <v>0.54545454545454541</v>
      </c>
    </row>
    <row r="2055" spans="1:10" x14ac:dyDescent="0.3">
      <c r="A2055" s="33">
        <v>2054</v>
      </c>
      <c r="B2055" s="4">
        <v>2</v>
      </c>
      <c r="C2055" s="15">
        <v>258</v>
      </c>
      <c r="D2055" s="16">
        <v>8</v>
      </c>
      <c r="E2055" s="22">
        <v>44332</v>
      </c>
      <c r="F2055" s="17">
        <v>30</v>
      </c>
      <c r="G2055" s="18">
        <v>0.2</v>
      </c>
      <c r="H2055">
        <f>F2055*VLOOKUP(B2055,產品!$A$2:$H$61,7,FALSE)*(1-銷售總表!G2055)</f>
        <v>24000</v>
      </c>
      <c r="I2055" s="35">
        <f>H2055-F2055*VLOOKUP(銷售總表!B2055,產品!$A$2:$H$61,8,FALSE)</f>
        <v>12000</v>
      </c>
      <c r="J2055" s="20">
        <f t="shared" si="32"/>
        <v>0.5</v>
      </c>
    </row>
    <row r="2056" spans="1:10" x14ac:dyDescent="0.3">
      <c r="A2056" s="33">
        <v>2055</v>
      </c>
      <c r="B2056" s="4">
        <v>14</v>
      </c>
      <c r="C2056" s="15">
        <v>269</v>
      </c>
      <c r="D2056" s="16">
        <v>9</v>
      </c>
      <c r="E2056" s="22">
        <v>44333</v>
      </c>
      <c r="F2056" s="17">
        <v>12</v>
      </c>
      <c r="G2056" s="18">
        <v>0.17</v>
      </c>
      <c r="H2056">
        <f>F2056*VLOOKUP(B2056,產品!$A$2:$H$61,7,FALSE)*(1-銷售總表!G2056)</f>
        <v>17928</v>
      </c>
      <c r="I2056" s="35">
        <f>H2056-F2056*VLOOKUP(銷售總表!B2056,產品!$A$2:$H$61,8,FALSE)</f>
        <v>9288</v>
      </c>
      <c r="J2056" s="20">
        <f t="shared" si="32"/>
        <v>0.51807228915662651</v>
      </c>
    </row>
    <row r="2057" spans="1:10" x14ac:dyDescent="0.3">
      <c r="A2057" s="33">
        <v>2056</v>
      </c>
      <c r="B2057" s="4">
        <v>19</v>
      </c>
      <c r="C2057" s="15">
        <v>5</v>
      </c>
      <c r="D2057" s="16">
        <v>6</v>
      </c>
      <c r="E2057" s="22">
        <v>44337</v>
      </c>
      <c r="F2057" s="19">
        <v>50</v>
      </c>
      <c r="G2057" s="18">
        <v>0.05</v>
      </c>
      <c r="H2057">
        <f>F2057*VLOOKUP(B2057,產品!$A$2:$H$61,7,FALSE)*(1-銷售總表!G2057)</f>
        <v>85500</v>
      </c>
      <c r="I2057" s="35">
        <f>H2057-F2057*VLOOKUP(銷售總表!B2057,產品!$A$2:$H$61,8,FALSE)</f>
        <v>49500</v>
      </c>
      <c r="J2057" s="20">
        <f t="shared" si="32"/>
        <v>0.57894736842105265</v>
      </c>
    </row>
    <row r="2058" spans="1:10" x14ac:dyDescent="0.3">
      <c r="A2058" s="33">
        <v>2057</v>
      </c>
      <c r="B2058" s="4">
        <v>10</v>
      </c>
      <c r="C2058" s="15">
        <v>121</v>
      </c>
      <c r="D2058" s="16">
        <v>1</v>
      </c>
      <c r="E2058" s="22">
        <v>44342</v>
      </c>
      <c r="F2058" s="19">
        <v>100</v>
      </c>
      <c r="G2058" s="18">
        <v>0.08</v>
      </c>
      <c r="H2058">
        <f>F2058*VLOOKUP(B2058,產品!$A$2:$H$61,7,FALSE)*(1-銷售總表!G2058)</f>
        <v>92000</v>
      </c>
      <c r="I2058" s="35">
        <f>H2058-F2058*VLOOKUP(銷售總表!B2058,產品!$A$2:$H$61,8,FALSE)</f>
        <v>52000</v>
      </c>
      <c r="J2058" s="20">
        <f t="shared" si="32"/>
        <v>0.56521739130434778</v>
      </c>
    </row>
    <row r="2059" spans="1:10" x14ac:dyDescent="0.3">
      <c r="A2059" s="33">
        <v>2058</v>
      </c>
      <c r="B2059" s="4">
        <v>31</v>
      </c>
      <c r="C2059" s="15">
        <v>112</v>
      </c>
      <c r="D2059" s="16">
        <v>3</v>
      </c>
      <c r="E2059" s="22">
        <v>44347</v>
      </c>
      <c r="F2059" s="17">
        <v>2</v>
      </c>
      <c r="G2059" s="18">
        <v>0.11</v>
      </c>
      <c r="H2059">
        <f>F2059*VLOOKUP(B2059,產品!$A$2:$H$61,7,FALSE)*(1-銷售總表!G2059)</f>
        <v>12460</v>
      </c>
      <c r="I2059" s="35">
        <f>H2059-F2059*VLOOKUP(銷售總表!B2059,產品!$A$2:$H$61,8,FALSE)</f>
        <v>4060</v>
      </c>
      <c r="J2059" s="20">
        <f t="shared" si="32"/>
        <v>0.3258426966292135</v>
      </c>
    </row>
    <row r="2060" spans="1:10" x14ac:dyDescent="0.3">
      <c r="A2060" s="33">
        <v>2059</v>
      </c>
      <c r="B2060" s="4">
        <v>38</v>
      </c>
      <c r="C2060" s="15">
        <v>267</v>
      </c>
      <c r="D2060" s="16">
        <v>2</v>
      </c>
      <c r="E2060" s="22">
        <v>44347</v>
      </c>
      <c r="F2060" s="19">
        <v>3</v>
      </c>
      <c r="G2060" s="18">
        <v>0.2</v>
      </c>
      <c r="H2060">
        <f>F2060*VLOOKUP(B2060,產品!$A$2:$H$61,7,FALSE)*(1-銷售總表!G2060)</f>
        <v>36000</v>
      </c>
      <c r="I2060" s="35">
        <f>H2060-F2060*VLOOKUP(銷售總表!B2060,產品!$A$2:$H$61,8,FALSE)</f>
        <v>6750</v>
      </c>
      <c r="J2060" s="20">
        <f t="shared" si="32"/>
        <v>0.1875</v>
      </c>
    </row>
    <row r="2061" spans="1:10" x14ac:dyDescent="0.3">
      <c r="A2061" s="33">
        <v>2060</v>
      </c>
      <c r="B2061" s="4">
        <v>46</v>
      </c>
      <c r="C2061" s="15">
        <v>269</v>
      </c>
      <c r="D2061" s="16">
        <v>4</v>
      </c>
      <c r="E2061" s="22">
        <v>44347</v>
      </c>
      <c r="F2061" s="17">
        <v>2</v>
      </c>
      <c r="G2061" s="18">
        <v>0.1</v>
      </c>
      <c r="H2061">
        <f>F2061*VLOOKUP(B2061,產品!$A$2:$H$61,7,FALSE)*(1-銷售總表!G2061)</f>
        <v>30600</v>
      </c>
      <c r="I2061" s="35">
        <f>H2061-F2061*VLOOKUP(銷售總表!B2061,產品!$A$2:$H$61,8,FALSE)</f>
        <v>8500</v>
      </c>
      <c r="J2061" s="20">
        <f t="shared" si="32"/>
        <v>0.27777777777777779</v>
      </c>
    </row>
    <row r="2062" spans="1:10" x14ac:dyDescent="0.3">
      <c r="A2062" s="33">
        <v>2061</v>
      </c>
      <c r="B2062" s="4">
        <v>52</v>
      </c>
      <c r="C2062" s="15">
        <v>258</v>
      </c>
      <c r="D2062" s="16">
        <v>3</v>
      </c>
      <c r="E2062" s="22">
        <v>44347</v>
      </c>
      <c r="F2062" s="17">
        <v>6</v>
      </c>
      <c r="G2062" s="18">
        <v>0.15</v>
      </c>
      <c r="H2062">
        <f>F2062*VLOOKUP(B2062,產品!$A$2:$H$61,7,FALSE)*(1-銷售總表!G2062)</f>
        <v>112200</v>
      </c>
      <c r="I2062" s="35">
        <f>H2062-F2062*VLOOKUP(銷售總表!B2062,產品!$A$2:$H$61,8,FALSE)</f>
        <v>19800.000000000015</v>
      </c>
      <c r="J2062" s="20">
        <f t="shared" si="32"/>
        <v>0.17647058823529424</v>
      </c>
    </row>
    <row r="2063" spans="1:10" x14ac:dyDescent="0.3">
      <c r="A2063" s="33">
        <v>2062</v>
      </c>
      <c r="B2063" s="4">
        <v>28</v>
      </c>
      <c r="C2063" s="15">
        <v>272</v>
      </c>
      <c r="D2063" s="16">
        <v>5</v>
      </c>
      <c r="E2063" s="22">
        <v>44348</v>
      </c>
      <c r="F2063" s="19">
        <v>4</v>
      </c>
      <c r="G2063" s="18">
        <v>0.1</v>
      </c>
      <c r="H2063">
        <f>F2063*VLOOKUP(B2063,產品!$A$2:$H$61,7,FALSE)*(1-銷售總表!G2063)</f>
        <v>27000</v>
      </c>
      <c r="I2063" s="35">
        <f>H2063-F2063*VLOOKUP(銷售總表!B2063,產品!$A$2:$H$61,8,FALSE)</f>
        <v>9000</v>
      </c>
      <c r="J2063" s="20">
        <f t="shared" si="32"/>
        <v>0.33333333333333331</v>
      </c>
    </row>
    <row r="2064" spans="1:10" x14ac:dyDescent="0.3">
      <c r="A2064" s="33">
        <v>2063</v>
      </c>
      <c r="B2064" s="4">
        <v>25</v>
      </c>
      <c r="C2064" s="15">
        <v>123</v>
      </c>
      <c r="D2064" s="16">
        <v>3</v>
      </c>
      <c r="E2064" s="22">
        <v>44348</v>
      </c>
      <c r="F2064" s="17">
        <v>15</v>
      </c>
      <c r="G2064" s="18">
        <v>0.17</v>
      </c>
      <c r="H2064">
        <f>F2064*VLOOKUP(B2064,產品!$A$2:$H$61,7,FALSE)*(1-銷售總表!G2064)</f>
        <v>74700</v>
      </c>
      <c r="I2064" s="35">
        <f>H2064-F2064*VLOOKUP(銷售總表!B2064,產品!$A$2:$H$61,8,FALSE)</f>
        <v>20700</v>
      </c>
      <c r="J2064" s="20">
        <f t="shared" si="32"/>
        <v>0.27710843373493976</v>
      </c>
    </row>
    <row r="2065" spans="1:10" x14ac:dyDescent="0.3">
      <c r="A2065" s="33">
        <v>2064</v>
      </c>
      <c r="B2065" s="4">
        <v>33</v>
      </c>
      <c r="C2065" s="15">
        <v>12</v>
      </c>
      <c r="D2065" s="16">
        <v>9</v>
      </c>
      <c r="E2065" s="22">
        <v>44348</v>
      </c>
      <c r="F2065" s="17">
        <v>15</v>
      </c>
      <c r="G2065" s="18">
        <v>0.11</v>
      </c>
      <c r="H2065">
        <f>F2065*VLOOKUP(B2065,產品!$A$2:$H$61,7,FALSE)*(1-銷售總表!G2065)</f>
        <v>100125</v>
      </c>
      <c r="I2065" s="35">
        <f>H2065-F2065*VLOOKUP(銷售總表!B2065,產品!$A$2:$H$61,8,FALSE)</f>
        <v>32625</v>
      </c>
      <c r="J2065" s="20">
        <f t="shared" si="32"/>
        <v>0.3258426966292135</v>
      </c>
    </row>
    <row r="2066" spans="1:10" x14ac:dyDescent="0.3">
      <c r="A2066" s="33">
        <v>2065</v>
      </c>
      <c r="B2066" s="4">
        <v>42</v>
      </c>
      <c r="C2066" s="15">
        <v>266</v>
      </c>
      <c r="D2066" s="16">
        <v>10</v>
      </c>
      <c r="E2066" s="22">
        <v>44349</v>
      </c>
      <c r="F2066" s="17">
        <v>1</v>
      </c>
      <c r="G2066" s="18">
        <v>0.08</v>
      </c>
      <c r="H2066">
        <f>F2066*VLOOKUP(B2066,產品!$A$2:$H$61,7,FALSE)*(1-銷售總表!G2066)</f>
        <v>13800</v>
      </c>
      <c r="I2066" s="35">
        <f>H2066-F2066*VLOOKUP(銷售總表!B2066,產品!$A$2:$H$61,8,FALSE)</f>
        <v>4050</v>
      </c>
      <c r="J2066" s="20">
        <f t="shared" si="32"/>
        <v>0.29347826086956524</v>
      </c>
    </row>
    <row r="2067" spans="1:10" x14ac:dyDescent="0.3">
      <c r="A2067" s="33">
        <v>2066</v>
      </c>
      <c r="B2067" s="4">
        <v>2</v>
      </c>
      <c r="C2067" s="15">
        <v>284</v>
      </c>
      <c r="D2067" s="16">
        <v>3</v>
      </c>
      <c r="E2067" s="22">
        <v>44349</v>
      </c>
      <c r="F2067" s="19">
        <v>20</v>
      </c>
      <c r="G2067" s="18">
        <v>0.09</v>
      </c>
      <c r="H2067">
        <f>F2067*VLOOKUP(B2067,產品!$A$2:$H$61,7,FALSE)*(1-銷售總表!G2067)</f>
        <v>18200</v>
      </c>
      <c r="I2067" s="35">
        <f>H2067-F2067*VLOOKUP(銷售總表!B2067,產品!$A$2:$H$61,8,FALSE)</f>
        <v>10200</v>
      </c>
      <c r="J2067" s="20">
        <f t="shared" si="32"/>
        <v>0.56043956043956045</v>
      </c>
    </row>
    <row r="2068" spans="1:10" x14ac:dyDescent="0.3">
      <c r="A2068" s="33">
        <v>2067</v>
      </c>
      <c r="B2068" s="4">
        <v>19</v>
      </c>
      <c r="C2068" s="15">
        <v>264</v>
      </c>
      <c r="D2068" s="16">
        <v>7</v>
      </c>
      <c r="E2068" s="22">
        <v>44349</v>
      </c>
      <c r="F2068" s="19">
        <v>11</v>
      </c>
      <c r="G2068" s="18">
        <v>7.0000000000000007E-2</v>
      </c>
      <c r="H2068">
        <f>F2068*VLOOKUP(B2068,產品!$A$2:$H$61,7,FALSE)*(1-銷售總表!G2068)</f>
        <v>18414</v>
      </c>
      <c r="I2068" s="35">
        <f>H2068-F2068*VLOOKUP(銷售總表!B2068,產品!$A$2:$H$61,8,FALSE)</f>
        <v>10494</v>
      </c>
      <c r="J2068" s="20">
        <f t="shared" si="32"/>
        <v>0.56989247311827962</v>
      </c>
    </row>
    <row r="2069" spans="1:10" x14ac:dyDescent="0.3">
      <c r="A2069" s="33">
        <v>2068</v>
      </c>
      <c r="B2069" s="4">
        <v>36</v>
      </c>
      <c r="C2069" s="15">
        <v>113</v>
      </c>
      <c r="D2069" s="16">
        <v>9</v>
      </c>
      <c r="E2069" s="22">
        <v>44349</v>
      </c>
      <c r="F2069" s="19">
        <v>4</v>
      </c>
      <c r="G2069" s="18">
        <v>0.09</v>
      </c>
      <c r="H2069">
        <f>F2069*VLOOKUP(B2069,產品!$A$2:$H$61,7,FALSE)*(1-銷售總表!G2069)</f>
        <v>32760</v>
      </c>
      <c r="I2069" s="35">
        <f>H2069-F2069*VLOOKUP(銷售總表!B2069,產品!$A$2:$H$61,8,FALSE)</f>
        <v>11160</v>
      </c>
      <c r="J2069" s="20">
        <f t="shared" si="32"/>
        <v>0.34065934065934067</v>
      </c>
    </row>
    <row r="2070" spans="1:10" x14ac:dyDescent="0.3">
      <c r="A2070" s="33">
        <v>2069</v>
      </c>
      <c r="B2070" s="4">
        <v>36</v>
      </c>
      <c r="C2070" s="15">
        <v>268</v>
      </c>
      <c r="D2070" s="16">
        <v>10</v>
      </c>
      <c r="E2070" s="22">
        <v>44349</v>
      </c>
      <c r="F2070" s="17">
        <v>5</v>
      </c>
      <c r="G2070" s="18">
        <v>0.12</v>
      </c>
      <c r="H2070">
        <f>F2070*VLOOKUP(B2070,產品!$A$2:$H$61,7,FALSE)*(1-銷售總表!G2070)</f>
        <v>39600</v>
      </c>
      <c r="I2070" s="35">
        <f>H2070-F2070*VLOOKUP(銷售總表!B2070,產品!$A$2:$H$61,8,FALSE)</f>
        <v>12600</v>
      </c>
      <c r="J2070" s="20">
        <f t="shared" si="32"/>
        <v>0.31818181818181818</v>
      </c>
    </row>
    <row r="2071" spans="1:10" x14ac:dyDescent="0.3">
      <c r="A2071" s="33">
        <v>2070</v>
      </c>
      <c r="B2071" s="4">
        <v>9</v>
      </c>
      <c r="C2071" s="15">
        <v>120</v>
      </c>
      <c r="D2071" s="16">
        <v>1</v>
      </c>
      <c r="E2071" s="22">
        <v>44349</v>
      </c>
      <c r="F2071" s="17">
        <v>30</v>
      </c>
      <c r="G2071" s="18">
        <v>0.17</v>
      </c>
      <c r="H2071">
        <f>F2071*VLOOKUP(B2071,產品!$A$2:$H$61,7,FALSE)*(1-銷售總表!G2071)</f>
        <v>24900</v>
      </c>
      <c r="I2071" s="35">
        <f>H2071-F2071*VLOOKUP(銷售總表!B2071,產品!$A$2:$H$61,8,FALSE)</f>
        <v>12900</v>
      </c>
      <c r="J2071" s="20">
        <f t="shared" si="32"/>
        <v>0.51807228915662651</v>
      </c>
    </row>
    <row r="2072" spans="1:10" x14ac:dyDescent="0.3">
      <c r="A2072" s="33">
        <v>2071</v>
      </c>
      <c r="B2072" s="4">
        <v>22</v>
      </c>
      <c r="C2072" s="15">
        <v>267</v>
      </c>
      <c r="D2072" s="16">
        <v>10</v>
      </c>
      <c r="E2072" s="22">
        <v>44349</v>
      </c>
      <c r="F2072" s="17">
        <v>15</v>
      </c>
      <c r="G2072" s="18">
        <v>0.1</v>
      </c>
      <c r="H2072">
        <f>F2072*VLOOKUP(B2072,產品!$A$2:$H$61,7,FALSE)*(1-銷售總表!G2072)</f>
        <v>24300</v>
      </c>
      <c r="I2072" s="35">
        <f>H2072-F2072*VLOOKUP(銷售總表!B2072,產品!$A$2:$H$61,8,FALSE)</f>
        <v>13500</v>
      </c>
      <c r="J2072" s="20">
        <f t="shared" si="32"/>
        <v>0.55555555555555558</v>
      </c>
    </row>
    <row r="2073" spans="1:10" x14ac:dyDescent="0.3">
      <c r="A2073" s="33">
        <v>2072</v>
      </c>
      <c r="B2073" s="4">
        <v>56</v>
      </c>
      <c r="C2073" s="15">
        <v>3</v>
      </c>
      <c r="D2073" s="16">
        <v>1</v>
      </c>
      <c r="E2073" s="22">
        <v>44349</v>
      </c>
      <c r="F2073" s="17">
        <v>5</v>
      </c>
      <c r="G2073" s="18">
        <v>0.17</v>
      </c>
      <c r="H2073">
        <f>F2073*VLOOKUP(B2073,產品!$A$2:$H$61,7,FALSE)*(1-銷售總表!G2073)</f>
        <v>91300</v>
      </c>
      <c r="I2073" s="35">
        <f>H2073-F2073*VLOOKUP(銷售總表!B2073,產品!$A$2:$H$61,8,FALSE)</f>
        <v>14300.000000000015</v>
      </c>
      <c r="J2073" s="20">
        <f t="shared" si="32"/>
        <v>0.15662650602409656</v>
      </c>
    </row>
    <row r="2074" spans="1:10" x14ac:dyDescent="0.3">
      <c r="A2074" s="33">
        <v>2073</v>
      </c>
      <c r="B2074" s="4">
        <v>17</v>
      </c>
      <c r="C2074" s="15">
        <v>267</v>
      </c>
      <c r="D2074" s="16">
        <v>5</v>
      </c>
      <c r="E2074" s="22">
        <v>44349</v>
      </c>
      <c r="F2074" s="19">
        <v>40</v>
      </c>
      <c r="G2074" s="18">
        <v>0.2</v>
      </c>
      <c r="H2074">
        <f>F2074*VLOOKUP(B2074,產品!$A$2:$H$61,7,FALSE)*(1-銷售總表!G2074)</f>
        <v>57600</v>
      </c>
      <c r="I2074" s="35">
        <f>H2074-F2074*VLOOKUP(銷售總表!B2074,產品!$A$2:$H$61,8,FALSE)</f>
        <v>28800</v>
      </c>
      <c r="J2074" s="20">
        <f t="shared" si="32"/>
        <v>0.5</v>
      </c>
    </row>
    <row r="2075" spans="1:10" x14ac:dyDescent="0.3">
      <c r="A2075" s="33">
        <v>2074</v>
      </c>
      <c r="B2075" s="4">
        <v>30</v>
      </c>
      <c r="C2075" s="15">
        <v>4</v>
      </c>
      <c r="D2075" s="16">
        <v>9</v>
      </c>
      <c r="E2075" s="22">
        <v>44350</v>
      </c>
      <c r="F2075" s="19">
        <v>3</v>
      </c>
      <c r="G2075" s="18">
        <v>0.18</v>
      </c>
      <c r="H2075">
        <f>F2075*VLOOKUP(B2075,產品!$A$2:$H$61,7,FALSE)*(1-銷售總表!G2075)</f>
        <v>15990.000000000002</v>
      </c>
      <c r="I2075" s="35">
        <f>H2075-F2075*VLOOKUP(銷售總表!B2075,產品!$A$2:$H$61,8,FALSE)</f>
        <v>4290.0000000000018</v>
      </c>
      <c r="J2075" s="20">
        <f t="shared" si="32"/>
        <v>0.26829268292682934</v>
      </c>
    </row>
    <row r="2076" spans="1:10" x14ac:dyDescent="0.3">
      <c r="A2076" s="33">
        <v>2075</v>
      </c>
      <c r="B2076" s="4">
        <v>40</v>
      </c>
      <c r="C2076" s="15">
        <v>12</v>
      </c>
      <c r="D2076" s="16">
        <v>2</v>
      </c>
      <c r="E2076" s="22">
        <v>44350</v>
      </c>
      <c r="F2076" s="17">
        <v>2</v>
      </c>
      <c r="G2076" s="18">
        <v>0.12</v>
      </c>
      <c r="H2076">
        <f>F2076*VLOOKUP(B2076,產品!$A$2:$H$61,7,FALSE)*(1-銷售總表!G2076)</f>
        <v>35200</v>
      </c>
      <c r="I2076" s="35">
        <f>H2076-F2076*VLOOKUP(銷售總表!B2076,產品!$A$2:$H$61,8,FALSE)</f>
        <v>9200</v>
      </c>
      <c r="J2076" s="20">
        <f t="shared" si="32"/>
        <v>0.26136363636363635</v>
      </c>
    </row>
    <row r="2077" spans="1:10" x14ac:dyDescent="0.3">
      <c r="A2077" s="33">
        <v>2076</v>
      </c>
      <c r="B2077" s="4">
        <v>16</v>
      </c>
      <c r="C2077" s="15">
        <v>265</v>
      </c>
      <c r="D2077" s="16">
        <v>9</v>
      </c>
      <c r="E2077" s="22">
        <v>44350</v>
      </c>
      <c r="F2077" s="19">
        <v>20</v>
      </c>
      <c r="G2077" s="18">
        <v>0.2</v>
      </c>
      <c r="H2077">
        <f>F2077*VLOOKUP(B2077,產品!$A$2:$H$61,7,FALSE)*(1-銷售總表!G2077)</f>
        <v>28800</v>
      </c>
      <c r="I2077" s="35">
        <f>H2077-F2077*VLOOKUP(銷售總表!B2077,產品!$A$2:$H$61,8,FALSE)</f>
        <v>14400</v>
      </c>
      <c r="J2077" s="20">
        <f t="shared" si="32"/>
        <v>0.5</v>
      </c>
    </row>
    <row r="2078" spans="1:10" x14ac:dyDescent="0.3">
      <c r="A2078" s="33">
        <v>2077</v>
      </c>
      <c r="B2078" s="4">
        <v>22</v>
      </c>
      <c r="C2078" s="15">
        <v>265</v>
      </c>
      <c r="D2078" s="16">
        <v>6</v>
      </c>
      <c r="E2078" s="22">
        <v>44350</v>
      </c>
      <c r="F2078" s="17">
        <v>20</v>
      </c>
      <c r="G2078" s="18">
        <v>0.14000000000000001</v>
      </c>
      <c r="H2078">
        <f>F2078*VLOOKUP(B2078,產品!$A$2:$H$61,7,FALSE)*(1-銷售總表!G2078)</f>
        <v>30960</v>
      </c>
      <c r="I2078" s="35">
        <f>H2078-F2078*VLOOKUP(銷售總表!B2078,產品!$A$2:$H$61,8,FALSE)</f>
        <v>16560</v>
      </c>
      <c r="J2078" s="20">
        <f t="shared" si="32"/>
        <v>0.53488372093023251</v>
      </c>
    </row>
    <row r="2079" spans="1:10" x14ac:dyDescent="0.3">
      <c r="A2079" s="33">
        <v>2078</v>
      </c>
      <c r="B2079" s="4">
        <v>28</v>
      </c>
      <c r="C2079" s="15">
        <v>136</v>
      </c>
      <c r="D2079" s="16">
        <v>1</v>
      </c>
      <c r="E2079" s="22">
        <v>44350</v>
      </c>
      <c r="F2079" s="19">
        <v>9</v>
      </c>
      <c r="G2079" s="18">
        <v>0.06</v>
      </c>
      <c r="H2079">
        <f>F2079*VLOOKUP(B2079,產品!$A$2:$H$61,7,FALSE)*(1-銷售總表!G2079)</f>
        <v>63450</v>
      </c>
      <c r="I2079" s="35">
        <f>H2079-F2079*VLOOKUP(銷售總表!B2079,產品!$A$2:$H$61,8,FALSE)</f>
        <v>22950</v>
      </c>
      <c r="J2079" s="20">
        <f t="shared" si="32"/>
        <v>0.36170212765957449</v>
      </c>
    </row>
    <row r="2080" spans="1:10" x14ac:dyDescent="0.3">
      <c r="A2080" s="33">
        <v>2079</v>
      </c>
      <c r="B2080" s="4">
        <v>21</v>
      </c>
      <c r="C2080" s="15">
        <v>124</v>
      </c>
      <c r="D2080" s="16">
        <v>10</v>
      </c>
      <c r="E2080" s="22">
        <v>44350</v>
      </c>
      <c r="F2080" s="19">
        <v>30</v>
      </c>
      <c r="G2080" s="18">
        <v>0.08</v>
      </c>
      <c r="H2080">
        <f>F2080*VLOOKUP(B2080,產品!$A$2:$H$61,7,FALSE)*(1-銷售總表!G2080)</f>
        <v>49680</v>
      </c>
      <c r="I2080" s="35">
        <f>H2080-F2080*VLOOKUP(銷售總表!B2080,產品!$A$2:$H$61,8,FALSE)</f>
        <v>28080</v>
      </c>
      <c r="J2080" s="20">
        <f t="shared" si="32"/>
        <v>0.56521739130434778</v>
      </c>
    </row>
    <row r="2081" spans="1:10" x14ac:dyDescent="0.3">
      <c r="A2081" s="33">
        <v>2080</v>
      </c>
      <c r="B2081" s="4">
        <v>38</v>
      </c>
      <c r="C2081" s="15">
        <v>9</v>
      </c>
      <c r="D2081" s="16">
        <v>9</v>
      </c>
      <c r="E2081" s="22">
        <v>44350</v>
      </c>
      <c r="F2081" s="19">
        <v>15</v>
      </c>
      <c r="G2081" s="18">
        <v>0.2</v>
      </c>
      <c r="H2081">
        <f>F2081*VLOOKUP(B2081,產品!$A$2:$H$61,7,FALSE)*(1-銷售總表!G2081)</f>
        <v>180000</v>
      </c>
      <c r="I2081" s="35">
        <f>H2081-F2081*VLOOKUP(銷售總表!B2081,產品!$A$2:$H$61,8,FALSE)</f>
        <v>33750</v>
      </c>
      <c r="J2081" s="20">
        <f t="shared" si="32"/>
        <v>0.1875</v>
      </c>
    </row>
    <row r="2082" spans="1:10" x14ac:dyDescent="0.3">
      <c r="A2082" s="33">
        <v>2081</v>
      </c>
      <c r="B2082" s="4">
        <v>39</v>
      </c>
      <c r="C2082" s="15">
        <v>267</v>
      </c>
      <c r="D2082" s="16">
        <v>1</v>
      </c>
      <c r="E2082" s="22">
        <v>44350</v>
      </c>
      <c r="F2082" s="19">
        <v>15</v>
      </c>
      <c r="G2082" s="18">
        <v>0.14000000000000001</v>
      </c>
      <c r="H2082">
        <f>F2082*VLOOKUP(B2082,產品!$A$2:$H$61,7,FALSE)*(1-銷售總表!G2082)</f>
        <v>232200</v>
      </c>
      <c r="I2082" s="35">
        <f>H2082-F2082*VLOOKUP(銷售總表!B2082,產品!$A$2:$H$61,8,FALSE)</f>
        <v>56700</v>
      </c>
      <c r="J2082" s="20">
        <f t="shared" si="32"/>
        <v>0.2441860465116279</v>
      </c>
    </row>
    <row r="2083" spans="1:10" x14ac:dyDescent="0.3">
      <c r="A2083" s="33">
        <v>2082</v>
      </c>
      <c r="B2083" s="4">
        <v>42</v>
      </c>
      <c r="C2083" s="15">
        <v>285</v>
      </c>
      <c r="D2083" s="16">
        <v>5</v>
      </c>
      <c r="E2083" s="22">
        <v>44350</v>
      </c>
      <c r="F2083" s="19">
        <v>20</v>
      </c>
      <c r="G2083" s="18">
        <v>0.06</v>
      </c>
      <c r="H2083">
        <f>F2083*VLOOKUP(B2083,產品!$A$2:$H$61,7,FALSE)*(1-銷售總表!G2083)</f>
        <v>282000</v>
      </c>
      <c r="I2083" s="35">
        <f>H2083-F2083*VLOOKUP(銷售總表!B2083,產品!$A$2:$H$61,8,FALSE)</f>
        <v>87000</v>
      </c>
      <c r="J2083" s="20">
        <f t="shared" si="32"/>
        <v>0.30851063829787234</v>
      </c>
    </row>
    <row r="2084" spans="1:10" x14ac:dyDescent="0.3">
      <c r="A2084" s="33">
        <v>2083</v>
      </c>
      <c r="B2084" s="4">
        <v>37</v>
      </c>
      <c r="C2084" s="15">
        <v>8</v>
      </c>
      <c r="D2084" s="16">
        <v>1</v>
      </c>
      <c r="E2084" s="22">
        <v>44350</v>
      </c>
      <c r="F2084" s="17">
        <v>25</v>
      </c>
      <c r="G2084" s="18">
        <v>0.05</v>
      </c>
      <c r="H2084">
        <f>F2084*VLOOKUP(B2084,產品!$A$2:$H$61,7,FALSE)*(1-銷售總表!G2084)</f>
        <v>285000</v>
      </c>
      <c r="I2084" s="35">
        <f>H2084-F2084*VLOOKUP(銷售總表!B2084,產品!$A$2:$H$61,8,FALSE)</f>
        <v>90000</v>
      </c>
      <c r="J2084" s="20">
        <f t="shared" si="32"/>
        <v>0.31578947368421051</v>
      </c>
    </row>
    <row r="2085" spans="1:10" x14ac:dyDescent="0.3">
      <c r="A2085" s="33">
        <v>2084</v>
      </c>
      <c r="B2085" s="4">
        <v>51</v>
      </c>
      <c r="C2085" s="15">
        <v>116</v>
      </c>
      <c r="D2085" s="16">
        <v>2</v>
      </c>
      <c r="E2085" s="22">
        <v>44351</v>
      </c>
      <c r="F2085" s="19">
        <v>3</v>
      </c>
      <c r="G2085" s="18">
        <v>0.14000000000000001</v>
      </c>
      <c r="H2085">
        <f>F2085*VLOOKUP(B2085,產品!$A$2:$H$61,7,FALSE)*(1-銷售總表!G2085)</f>
        <v>51600</v>
      </c>
      <c r="I2085" s="35">
        <f>H2085-F2085*VLOOKUP(銷售總表!B2085,產品!$A$2:$H$61,8,FALSE)</f>
        <v>9600</v>
      </c>
      <c r="J2085" s="20">
        <f t="shared" si="32"/>
        <v>0.18604651162790697</v>
      </c>
    </row>
    <row r="2086" spans="1:10" x14ac:dyDescent="0.3">
      <c r="A2086" s="33">
        <v>2085</v>
      </c>
      <c r="B2086" s="4">
        <v>31</v>
      </c>
      <c r="C2086" s="15">
        <v>7</v>
      </c>
      <c r="D2086" s="16">
        <v>6</v>
      </c>
      <c r="E2086" s="22">
        <v>44351</v>
      </c>
      <c r="F2086" s="19">
        <v>5</v>
      </c>
      <c r="G2086" s="18">
        <v>0.06</v>
      </c>
      <c r="H2086">
        <f>F2086*VLOOKUP(B2086,產品!$A$2:$H$61,7,FALSE)*(1-銷售總表!G2086)</f>
        <v>32900</v>
      </c>
      <c r="I2086" s="35">
        <f>H2086-F2086*VLOOKUP(銷售總表!B2086,產品!$A$2:$H$61,8,FALSE)</f>
        <v>11900</v>
      </c>
      <c r="J2086" s="20">
        <f t="shared" si="32"/>
        <v>0.36170212765957449</v>
      </c>
    </row>
    <row r="2087" spans="1:10" x14ac:dyDescent="0.3">
      <c r="A2087" s="33">
        <v>2086</v>
      </c>
      <c r="B2087" s="4">
        <v>43</v>
      </c>
      <c r="C2087" s="15">
        <v>10</v>
      </c>
      <c r="D2087" s="16">
        <v>6</v>
      </c>
      <c r="E2087" s="22">
        <v>44351</v>
      </c>
      <c r="F2087" s="19">
        <v>3</v>
      </c>
      <c r="G2087" s="18">
        <v>0.12</v>
      </c>
      <c r="H2087">
        <f>F2087*VLOOKUP(B2087,產品!$A$2:$H$61,7,FALSE)*(1-銷售總表!G2087)</f>
        <v>47520</v>
      </c>
      <c r="I2087" s="35">
        <f>H2087-F2087*VLOOKUP(銷售總表!B2087,產品!$A$2:$H$61,8,FALSE)</f>
        <v>12420</v>
      </c>
      <c r="J2087" s="20">
        <f t="shared" si="32"/>
        <v>0.26136363636363635</v>
      </c>
    </row>
    <row r="2088" spans="1:10" x14ac:dyDescent="0.3">
      <c r="A2088" s="33">
        <v>2087</v>
      </c>
      <c r="B2088" s="4">
        <v>20</v>
      </c>
      <c r="C2088" s="15">
        <v>1</v>
      </c>
      <c r="D2088" s="16">
        <v>5</v>
      </c>
      <c r="E2088" s="22">
        <v>44351</v>
      </c>
      <c r="F2088" s="19">
        <v>14</v>
      </c>
      <c r="G2088" s="18">
        <v>0.05</v>
      </c>
      <c r="H2088">
        <f>F2088*VLOOKUP(B2088,產品!$A$2:$H$61,7,FALSE)*(1-銷售總表!G2088)</f>
        <v>23940</v>
      </c>
      <c r="I2088" s="35">
        <f>H2088-F2088*VLOOKUP(銷售總表!B2088,產品!$A$2:$H$61,8,FALSE)</f>
        <v>13860</v>
      </c>
      <c r="J2088" s="20">
        <f t="shared" si="32"/>
        <v>0.57894736842105265</v>
      </c>
    </row>
    <row r="2089" spans="1:10" x14ac:dyDescent="0.3">
      <c r="A2089" s="33">
        <v>2088</v>
      </c>
      <c r="B2089" s="4">
        <v>52</v>
      </c>
      <c r="C2089" s="15">
        <v>118</v>
      </c>
      <c r="D2089" s="16">
        <v>2</v>
      </c>
      <c r="E2089" s="22">
        <v>44351</v>
      </c>
      <c r="F2089" s="17">
        <v>13</v>
      </c>
      <c r="G2089" s="18">
        <v>0.17</v>
      </c>
      <c r="H2089">
        <f>F2089*VLOOKUP(B2089,產品!$A$2:$H$61,7,FALSE)*(1-銷售總表!G2089)</f>
        <v>237380</v>
      </c>
      <c r="I2089" s="35">
        <f>H2089-F2089*VLOOKUP(銷售總表!B2089,產品!$A$2:$H$61,8,FALSE)</f>
        <v>37180.000000000029</v>
      </c>
      <c r="J2089" s="20">
        <f t="shared" si="32"/>
        <v>0.1566265060240965</v>
      </c>
    </row>
    <row r="2090" spans="1:10" x14ac:dyDescent="0.3">
      <c r="A2090" s="33">
        <v>2089</v>
      </c>
      <c r="B2090" s="4">
        <v>57</v>
      </c>
      <c r="C2090" s="15">
        <v>5</v>
      </c>
      <c r="D2090" s="16">
        <v>1</v>
      </c>
      <c r="E2090" s="22">
        <v>44351</v>
      </c>
      <c r="F2090" s="17">
        <v>15</v>
      </c>
      <c r="G2090" s="18">
        <v>0.09</v>
      </c>
      <c r="H2090">
        <f>F2090*VLOOKUP(B2090,產品!$A$2:$H$61,7,FALSE)*(1-銷售總表!G2090)</f>
        <v>245700</v>
      </c>
      <c r="I2090" s="35">
        <f>H2090-F2090*VLOOKUP(銷售總表!B2090,產品!$A$2:$H$61,8,FALSE)</f>
        <v>56700</v>
      </c>
      <c r="J2090" s="20">
        <f t="shared" si="32"/>
        <v>0.23076923076923078</v>
      </c>
    </row>
    <row r="2091" spans="1:10" x14ac:dyDescent="0.3">
      <c r="A2091" s="33">
        <v>2090</v>
      </c>
      <c r="B2091" s="4">
        <v>49</v>
      </c>
      <c r="C2091" s="15">
        <v>123</v>
      </c>
      <c r="D2091" s="16">
        <v>2</v>
      </c>
      <c r="E2091" s="22">
        <v>44351</v>
      </c>
      <c r="F2091" s="19">
        <v>20</v>
      </c>
      <c r="G2091" s="18">
        <v>0.1</v>
      </c>
      <c r="H2091">
        <f>F2091*VLOOKUP(B2091,產品!$A$2:$H$61,7,FALSE)*(1-銷售總表!G2091)</f>
        <v>270000</v>
      </c>
      <c r="I2091" s="35">
        <f>H2091-F2091*VLOOKUP(銷售總表!B2091,產品!$A$2:$H$61,8,FALSE)</f>
        <v>60000</v>
      </c>
      <c r="J2091" s="20">
        <f t="shared" si="32"/>
        <v>0.22222222222222221</v>
      </c>
    </row>
    <row r="2092" spans="1:10" x14ac:dyDescent="0.3">
      <c r="A2092" s="33">
        <v>2091</v>
      </c>
      <c r="B2092" s="4">
        <v>1</v>
      </c>
      <c r="C2092" s="15">
        <v>258</v>
      </c>
      <c r="D2092" s="16">
        <v>4</v>
      </c>
      <c r="E2092" s="22">
        <v>44352</v>
      </c>
      <c r="F2092" s="17">
        <v>12</v>
      </c>
      <c r="G2092" s="18">
        <v>0.08</v>
      </c>
      <c r="H2092">
        <f>F2092*VLOOKUP(B2092,產品!$A$2:$H$61,7,FALSE)*(1-銷售總表!G2092)</f>
        <v>11040</v>
      </c>
      <c r="I2092" s="35">
        <f>H2092-F2092*VLOOKUP(銷售總表!B2092,產品!$A$2:$H$61,8,FALSE)</f>
        <v>6240</v>
      </c>
      <c r="J2092" s="20">
        <f t="shared" si="32"/>
        <v>0.56521739130434778</v>
      </c>
    </row>
    <row r="2093" spans="1:10" x14ac:dyDescent="0.3">
      <c r="A2093" s="33">
        <v>2092</v>
      </c>
      <c r="B2093" s="4">
        <v>37</v>
      </c>
      <c r="C2093" s="15">
        <v>294</v>
      </c>
      <c r="D2093" s="16">
        <v>10</v>
      </c>
      <c r="E2093" s="22">
        <v>44352</v>
      </c>
      <c r="F2093" s="17">
        <v>4</v>
      </c>
      <c r="G2093" s="18">
        <v>0.18</v>
      </c>
      <c r="H2093">
        <f>F2093*VLOOKUP(B2093,產品!$A$2:$H$61,7,FALSE)*(1-銷售總表!G2093)</f>
        <v>39360</v>
      </c>
      <c r="I2093" s="35">
        <f>H2093-F2093*VLOOKUP(銷售總表!B2093,產品!$A$2:$H$61,8,FALSE)</f>
        <v>8160</v>
      </c>
      <c r="J2093" s="20">
        <f t="shared" si="32"/>
        <v>0.2073170731707317</v>
      </c>
    </row>
    <row r="2094" spans="1:10" x14ac:dyDescent="0.3">
      <c r="A2094" s="33">
        <v>2093</v>
      </c>
      <c r="B2094" s="4">
        <v>26</v>
      </c>
      <c r="C2094" s="15">
        <v>277</v>
      </c>
      <c r="D2094" s="16">
        <v>5</v>
      </c>
      <c r="E2094" s="22">
        <v>44352</v>
      </c>
      <c r="F2094" s="19">
        <v>5</v>
      </c>
      <c r="G2094" s="18">
        <v>0.13</v>
      </c>
      <c r="H2094">
        <f>F2094*VLOOKUP(B2094,產品!$A$2:$H$61,7,FALSE)*(1-銷售總表!G2094)</f>
        <v>28275</v>
      </c>
      <c r="I2094" s="35">
        <f>H2094-F2094*VLOOKUP(銷售總表!B2094,產品!$A$2:$H$61,8,FALSE)</f>
        <v>8775</v>
      </c>
      <c r="J2094" s="20">
        <f t="shared" si="32"/>
        <v>0.31034482758620691</v>
      </c>
    </row>
    <row r="2095" spans="1:10" x14ac:dyDescent="0.3">
      <c r="A2095" s="33">
        <v>2094</v>
      </c>
      <c r="B2095" s="4">
        <v>37</v>
      </c>
      <c r="C2095" s="15">
        <v>9</v>
      </c>
      <c r="D2095" s="16">
        <v>5</v>
      </c>
      <c r="E2095" s="22">
        <v>44352</v>
      </c>
      <c r="F2095" s="19">
        <v>10</v>
      </c>
      <c r="G2095" s="18">
        <v>0.17</v>
      </c>
      <c r="H2095">
        <f>F2095*VLOOKUP(B2095,產品!$A$2:$H$61,7,FALSE)*(1-銷售總表!G2095)</f>
        <v>99600</v>
      </c>
      <c r="I2095" s="35">
        <f>H2095-F2095*VLOOKUP(銷售總表!B2095,產品!$A$2:$H$61,8,FALSE)</f>
        <v>21600</v>
      </c>
      <c r="J2095" s="20">
        <f t="shared" si="32"/>
        <v>0.21686746987951808</v>
      </c>
    </row>
    <row r="2096" spans="1:10" x14ac:dyDescent="0.3">
      <c r="A2096" s="33">
        <v>2095</v>
      </c>
      <c r="B2096" s="4">
        <v>15</v>
      </c>
      <c r="C2096" s="15">
        <v>275</v>
      </c>
      <c r="D2096" s="16">
        <v>2</v>
      </c>
      <c r="E2096" s="22">
        <v>44352</v>
      </c>
      <c r="F2096" s="19">
        <v>50</v>
      </c>
      <c r="G2096" s="18">
        <v>0.18</v>
      </c>
      <c r="H2096">
        <f>F2096*VLOOKUP(B2096,產品!$A$2:$H$61,7,FALSE)*(1-銷售總表!G2096)</f>
        <v>73800</v>
      </c>
      <c r="I2096" s="35">
        <f>H2096-F2096*VLOOKUP(銷售總表!B2096,產品!$A$2:$H$61,8,FALSE)</f>
        <v>37800</v>
      </c>
      <c r="J2096" s="20">
        <f t="shared" si="32"/>
        <v>0.51219512195121952</v>
      </c>
    </row>
    <row r="2097" spans="1:10" x14ac:dyDescent="0.3">
      <c r="A2097" s="33">
        <v>2096</v>
      </c>
      <c r="B2097" s="4">
        <v>56</v>
      </c>
      <c r="C2097" s="15">
        <v>267</v>
      </c>
      <c r="D2097" s="16">
        <v>1</v>
      </c>
      <c r="E2097" s="22">
        <v>44352</v>
      </c>
      <c r="F2097" s="19">
        <v>10</v>
      </c>
      <c r="G2097" s="18">
        <v>7.0000000000000007E-2</v>
      </c>
      <c r="H2097">
        <f>F2097*VLOOKUP(B2097,產品!$A$2:$H$61,7,FALSE)*(1-銷售總表!G2097)</f>
        <v>204600</v>
      </c>
      <c r="I2097" s="35">
        <f>H2097-F2097*VLOOKUP(銷售總表!B2097,產品!$A$2:$H$61,8,FALSE)</f>
        <v>50600.000000000029</v>
      </c>
      <c r="J2097" s="20">
        <f t="shared" si="32"/>
        <v>0.24731182795698939</v>
      </c>
    </row>
    <row r="2098" spans="1:10" x14ac:dyDescent="0.3">
      <c r="A2098" s="33">
        <v>2097</v>
      </c>
      <c r="B2098" s="4">
        <v>51</v>
      </c>
      <c r="C2098" s="15">
        <v>7</v>
      </c>
      <c r="D2098" s="16">
        <v>3</v>
      </c>
      <c r="E2098" s="22">
        <v>44352</v>
      </c>
      <c r="F2098" s="17">
        <v>15</v>
      </c>
      <c r="G2098" s="18">
        <v>0.13</v>
      </c>
      <c r="H2098">
        <f>F2098*VLOOKUP(B2098,產品!$A$2:$H$61,7,FALSE)*(1-銷售總表!G2098)</f>
        <v>261000</v>
      </c>
      <c r="I2098" s="35">
        <f>H2098-F2098*VLOOKUP(銷售總表!B2098,產品!$A$2:$H$61,8,FALSE)</f>
        <v>51000</v>
      </c>
      <c r="J2098" s="20">
        <f t="shared" si="32"/>
        <v>0.19540229885057472</v>
      </c>
    </row>
    <row r="2099" spans="1:10" x14ac:dyDescent="0.3">
      <c r="A2099" s="33">
        <v>2098</v>
      </c>
      <c r="B2099" s="4">
        <v>16</v>
      </c>
      <c r="C2099" s="15">
        <v>123</v>
      </c>
      <c r="D2099" s="16">
        <v>6</v>
      </c>
      <c r="E2099" s="22">
        <v>44352</v>
      </c>
      <c r="F2099" s="19">
        <v>60</v>
      </c>
      <c r="G2099" s="18">
        <v>0.11</v>
      </c>
      <c r="H2099">
        <f>F2099*VLOOKUP(B2099,產品!$A$2:$H$61,7,FALSE)*(1-銷售總表!G2099)</f>
        <v>96120</v>
      </c>
      <c r="I2099" s="35">
        <f>H2099-F2099*VLOOKUP(銷售總表!B2099,產品!$A$2:$H$61,8,FALSE)</f>
        <v>52920</v>
      </c>
      <c r="J2099" s="20">
        <f t="shared" si="32"/>
        <v>0.550561797752809</v>
      </c>
    </row>
    <row r="2100" spans="1:10" x14ac:dyDescent="0.3">
      <c r="A2100" s="33">
        <v>2099</v>
      </c>
      <c r="B2100" s="4">
        <v>11</v>
      </c>
      <c r="C2100" s="15">
        <v>113</v>
      </c>
      <c r="D2100" s="16">
        <v>7</v>
      </c>
      <c r="E2100" s="22">
        <v>44352</v>
      </c>
      <c r="F2100" s="19">
        <v>150</v>
      </c>
      <c r="G2100" s="18">
        <v>0.06</v>
      </c>
      <c r="H2100">
        <f>F2100*VLOOKUP(B2100,產品!$A$2:$H$61,7,FALSE)*(1-銷售總表!G2100)</f>
        <v>141000</v>
      </c>
      <c r="I2100" s="35">
        <f>H2100-F2100*VLOOKUP(銷售總表!B2100,產品!$A$2:$H$61,8,FALSE)</f>
        <v>81000</v>
      </c>
      <c r="J2100" s="20">
        <f t="shared" si="32"/>
        <v>0.57446808510638303</v>
      </c>
    </row>
    <row r="2101" spans="1:10" x14ac:dyDescent="0.3">
      <c r="A2101" s="33">
        <v>2100</v>
      </c>
      <c r="B2101" s="4">
        <v>48</v>
      </c>
      <c r="C2101" s="15">
        <v>136</v>
      </c>
      <c r="D2101" s="16">
        <v>3</v>
      </c>
      <c r="E2101" s="22">
        <v>44353</v>
      </c>
      <c r="F2101" s="17">
        <v>2</v>
      </c>
      <c r="G2101" s="18">
        <v>0.18</v>
      </c>
      <c r="H2101">
        <f>F2101*VLOOKUP(B2101,產品!$A$2:$H$61,7,FALSE)*(1-銷售總表!G2101)</f>
        <v>36080</v>
      </c>
      <c r="I2101" s="35">
        <f>H2101-F2101*VLOOKUP(銷售總表!B2101,產品!$A$2:$H$61,8,FALSE)</f>
        <v>7480</v>
      </c>
      <c r="J2101" s="20">
        <f t="shared" si="32"/>
        <v>0.2073170731707317</v>
      </c>
    </row>
    <row r="2102" spans="1:10" x14ac:dyDescent="0.3">
      <c r="A2102" s="33">
        <v>2101</v>
      </c>
      <c r="B2102" s="4">
        <v>59</v>
      </c>
      <c r="C2102" s="15">
        <v>12</v>
      </c>
      <c r="D2102" s="16">
        <v>9</v>
      </c>
      <c r="E2102" s="22">
        <v>44353</v>
      </c>
      <c r="F2102" s="19">
        <v>3</v>
      </c>
      <c r="G2102" s="18">
        <v>7.0000000000000007E-2</v>
      </c>
      <c r="H2102">
        <f>F2102*VLOOKUP(B2102,產品!$A$2:$H$61,7,FALSE)*(1-銷售總表!G2102)</f>
        <v>66960</v>
      </c>
      <c r="I2102" s="35">
        <f>H2102-F2102*VLOOKUP(銷售總表!B2102,產品!$A$2:$H$61,8,FALSE)</f>
        <v>16560</v>
      </c>
      <c r="J2102" s="20">
        <f t="shared" si="32"/>
        <v>0.24731182795698925</v>
      </c>
    </row>
    <row r="2103" spans="1:10" x14ac:dyDescent="0.3">
      <c r="A2103" s="33">
        <v>2102</v>
      </c>
      <c r="B2103" s="4">
        <v>45</v>
      </c>
      <c r="C2103" s="15">
        <v>9</v>
      </c>
      <c r="D2103" s="16">
        <v>1</v>
      </c>
      <c r="E2103" s="22">
        <v>44353</v>
      </c>
      <c r="F2103" s="17">
        <v>6</v>
      </c>
      <c r="G2103" s="18">
        <v>0.06</v>
      </c>
      <c r="H2103">
        <f>F2103*VLOOKUP(B2103,產品!$A$2:$H$61,7,FALSE)*(1-銷售總表!G2103)</f>
        <v>78960</v>
      </c>
      <c r="I2103" s="35">
        <f>H2103-F2103*VLOOKUP(銷售總表!B2103,產品!$A$2:$H$61,8,FALSE)</f>
        <v>24360</v>
      </c>
      <c r="J2103" s="20">
        <f t="shared" si="32"/>
        <v>0.30851063829787234</v>
      </c>
    </row>
    <row r="2104" spans="1:10" x14ac:dyDescent="0.3">
      <c r="A2104" s="33">
        <v>2103</v>
      </c>
      <c r="B2104" s="4">
        <v>41</v>
      </c>
      <c r="C2104" s="15">
        <v>294</v>
      </c>
      <c r="D2104" s="16">
        <v>10</v>
      </c>
      <c r="E2104" s="22">
        <v>44353</v>
      </c>
      <c r="F2104" s="19">
        <v>10</v>
      </c>
      <c r="G2104" s="18">
        <v>0.09</v>
      </c>
      <c r="H2104">
        <f>F2104*VLOOKUP(B2104,產品!$A$2:$H$61,7,FALSE)*(1-銷售總表!G2104)</f>
        <v>109200</v>
      </c>
      <c r="I2104" s="35">
        <f>H2104-F2104*VLOOKUP(銷售總表!B2104,產品!$A$2:$H$61,8,FALSE)</f>
        <v>31200</v>
      </c>
      <c r="J2104" s="20">
        <f t="shared" si="32"/>
        <v>0.2857142857142857</v>
      </c>
    </row>
    <row r="2105" spans="1:10" x14ac:dyDescent="0.3">
      <c r="A2105" s="33">
        <v>2104</v>
      </c>
      <c r="B2105" s="4">
        <v>16</v>
      </c>
      <c r="C2105" s="15">
        <v>12</v>
      </c>
      <c r="D2105" s="16">
        <v>2</v>
      </c>
      <c r="E2105" s="22">
        <v>44353</v>
      </c>
      <c r="F2105" s="17">
        <v>128</v>
      </c>
      <c r="G2105" s="18">
        <v>7.0000000000000007E-2</v>
      </c>
      <c r="H2105">
        <f>F2105*VLOOKUP(B2105,產品!$A$2:$H$61,7,FALSE)*(1-銷售總表!G2105)</f>
        <v>214272</v>
      </c>
      <c r="I2105" s="35">
        <f>H2105-F2105*VLOOKUP(銷售總表!B2105,產品!$A$2:$H$61,8,FALSE)</f>
        <v>122112</v>
      </c>
      <c r="J2105" s="20">
        <f t="shared" si="32"/>
        <v>0.56989247311827962</v>
      </c>
    </row>
    <row r="2106" spans="1:10" x14ac:dyDescent="0.3">
      <c r="A2106" s="33">
        <v>2105</v>
      </c>
      <c r="B2106" s="4">
        <v>10</v>
      </c>
      <c r="C2106" s="15">
        <v>270</v>
      </c>
      <c r="D2106" s="16">
        <v>1</v>
      </c>
      <c r="E2106" s="22">
        <v>44354</v>
      </c>
      <c r="F2106" s="19">
        <v>20</v>
      </c>
      <c r="G2106" s="18">
        <v>0.1</v>
      </c>
      <c r="H2106">
        <f>F2106*VLOOKUP(B2106,產品!$A$2:$H$61,7,FALSE)*(1-銷售總表!G2106)</f>
        <v>18000</v>
      </c>
      <c r="I2106" s="35">
        <f>H2106-F2106*VLOOKUP(銷售總表!B2106,產品!$A$2:$H$61,8,FALSE)</f>
        <v>10000</v>
      </c>
      <c r="J2106" s="20">
        <f t="shared" si="32"/>
        <v>0.55555555555555558</v>
      </c>
    </row>
    <row r="2107" spans="1:10" x14ac:dyDescent="0.3">
      <c r="A2107" s="33">
        <v>2106</v>
      </c>
      <c r="B2107" s="4">
        <v>53</v>
      </c>
      <c r="C2107" s="15">
        <v>138</v>
      </c>
      <c r="D2107" s="16">
        <v>7</v>
      </c>
      <c r="E2107" s="22">
        <v>44354</v>
      </c>
      <c r="F2107" s="17">
        <v>10</v>
      </c>
      <c r="G2107" s="18">
        <v>0.13</v>
      </c>
      <c r="H2107">
        <f>F2107*VLOOKUP(B2107,產品!$A$2:$H$61,7,FALSE)*(1-銷售總表!G2107)</f>
        <v>130500</v>
      </c>
      <c r="I2107" s="35">
        <f>H2107-F2107*VLOOKUP(銷售總表!B2107,產品!$A$2:$H$61,8,FALSE)</f>
        <v>25500</v>
      </c>
      <c r="J2107" s="20">
        <f t="shared" si="32"/>
        <v>0.19540229885057472</v>
      </c>
    </row>
    <row r="2108" spans="1:10" x14ac:dyDescent="0.3">
      <c r="A2108" s="33">
        <v>2107</v>
      </c>
      <c r="B2108" s="4">
        <v>54</v>
      </c>
      <c r="C2108" s="15">
        <v>278</v>
      </c>
      <c r="D2108" s="16">
        <v>7</v>
      </c>
      <c r="E2108" s="22">
        <v>44355</v>
      </c>
      <c r="F2108" s="19">
        <v>1</v>
      </c>
      <c r="G2108" s="18">
        <v>0.08</v>
      </c>
      <c r="H2108">
        <f>F2108*VLOOKUP(B2108,產品!$A$2:$H$61,7,FALSE)*(1-銷售總表!G2108)</f>
        <v>16560</v>
      </c>
      <c r="I2108" s="35">
        <f>H2108-F2108*VLOOKUP(銷售總表!B2108,產品!$A$2:$H$61,8,FALSE)</f>
        <v>3960</v>
      </c>
      <c r="J2108" s="20">
        <f t="shared" si="32"/>
        <v>0.2391304347826087</v>
      </c>
    </row>
    <row r="2109" spans="1:10" x14ac:dyDescent="0.3">
      <c r="A2109" s="33">
        <v>2108</v>
      </c>
      <c r="B2109" s="4">
        <v>10</v>
      </c>
      <c r="C2109" s="15">
        <v>267</v>
      </c>
      <c r="D2109" s="16">
        <v>6</v>
      </c>
      <c r="E2109" s="22">
        <v>44355</v>
      </c>
      <c r="F2109" s="19">
        <v>16</v>
      </c>
      <c r="G2109" s="18">
        <v>0.12</v>
      </c>
      <c r="H2109">
        <f>F2109*VLOOKUP(B2109,產品!$A$2:$H$61,7,FALSE)*(1-銷售總表!G2109)</f>
        <v>14080</v>
      </c>
      <c r="I2109" s="35">
        <f>H2109-F2109*VLOOKUP(銷售總表!B2109,產品!$A$2:$H$61,8,FALSE)</f>
        <v>7680</v>
      </c>
      <c r="J2109" s="20">
        <f t="shared" si="32"/>
        <v>0.54545454545454541</v>
      </c>
    </row>
    <row r="2110" spans="1:10" x14ac:dyDescent="0.3">
      <c r="A2110" s="33">
        <v>2109</v>
      </c>
      <c r="B2110" s="4">
        <v>39</v>
      </c>
      <c r="C2110" s="15">
        <v>258</v>
      </c>
      <c r="D2110" s="16">
        <v>5</v>
      </c>
      <c r="E2110" s="22">
        <v>44355</v>
      </c>
      <c r="F2110" s="17">
        <v>3</v>
      </c>
      <c r="G2110" s="18">
        <v>0.2</v>
      </c>
      <c r="H2110">
        <f>F2110*VLOOKUP(B2110,產品!$A$2:$H$61,7,FALSE)*(1-銷售總表!G2110)</f>
        <v>43200</v>
      </c>
      <c r="I2110" s="35">
        <f>H2110-F2110*VLOOKUP(銷售總表!B2110,產品!$A$2:$H$61,8,FALSE)</f>
        <v>8100</v>
      </c>
      <c r="J2110" s="20">
        <f t="shared" si="32"/>
        <v>0.1875</v>
      </c>
    </row>
    <row r="2111" spans="1:10" x14ac:dyDescent="0.3">
      <c r="A2111" s="33">
        <v>2110</v>
      </c>
      <c r="B2111" s="4">
        <v>56</v>
      </c>
      <c r="C2111" s="15">
        <v>275</v>
      </c>
      <c r="D2111" s="16">
        <v>9</v>
      </c>
      <c r="E2111" s="22">
        <v>44355</v>
      </c>
      <c r="F2111" s="19">
        <v>6</v>
      </c>
      <c r="G2111" s="18">
        <v>0.11</v>
      </c>
      <c r="H2111">
        <f>F2111*VLOOKUP(B2111,產品!$A$2:$H$61,7,FALSE)*(1-銷售總表!G2111)</f>
        <v>117480</v>
      </c>
      <c r="I2111" s="35">
        <f>H2111-F2111*VLOOKUP(銷售總表!B2111,產品!$A$2:$H$61,8,FALSE)</f>
        <v>25080.000000000015</v>
      </c>
      <c r="J2111" s="20">
        <f t="shared" si="32"/>
        <v>0.21348314606741586</v>
      </c>
    </row>
    <row r="2112" spans="1:10" x14ac:dyDescent="0.3">
      <c r="A2112" s="33">
        <v>2111</v>
      </c>
      <c r="B2112" s="4">
        <v>14</v>
      </c>
      <c r="C2112" s="15">
        <v>276</v>
      </c>
      <c r="D2112" s="16">
        <v>6</v>
      </c>
      <c r="E2112" s="22">
        <v>44355</v>
      </c>
      <c r="F2112" s="19">
        <v>200</v>
      </c>
      <c r="G2112" s="18">
        <v>0.17</v>
      </c>
      <c r="H2112">
        <f>F2112*VLOOKUP(B2112,產品!$A$2:$H$61,7,FALSE)*(1-銷售總表!G2112)</f>
        <v>298800</v>
      </c>
      <c r="I2112" s="35">
        <f>H2112-F2112*VLOOKUP(銷售總表!B2112,產品!$A$2:$H$61,8,FALSE)</f>
        <v>154800</v>
      </c>
      <c r="J2112" s="20">
        <f t="shared" si="32"/>
        <v>0.51807228915662651</v>
      </c>
    </row>
    <row r="2113" spans="1:10" x14ac:dyDescent="0.3">
      <c r="A2113" s="33">
        <v>2112</v>
      </c>
      <c r="B2113" s="4">
        <v>34</v>
      </c>
      <c r="C2113" s="15">
        <v>291</v>
      </c>
      <c r="D2113" s="16">
        <v>4</v>
      </c>
      <c r="E2113" s="22">
        <v>44356</v>
      </c>
      <c r="F2113" s="17">
        <v>2</v>
      </c>
      <c r="G2113" s="18">
        <v>0.16</v>
      </c>
      <c r="H2113">
        <f>F2113*VLOOKUP(B2113,產品!$A$2:$H$61,7,FALSE)*(1-銷售總表!G2113)</f>
        <v>13440</v>
      </c>
      <c r="I2113" s="35">
        <f>H2113-F2113*VLOOKUP(銷售總表!B2113,產品!$A$2:$H$61,8,FALSE)</f>
        <v>3840</v>
      </c>
      <c r="J2113" s="20">
        <f t="shared" si="32"/>
        <v>0.2857142857142857</v>
      </c>
    </row>
    <row r="2114" spans="1:10" x14ac:dyDescent="0.3">
      <c r="A2114" s="33">
        <v>2113</v>
      </c>
      <c r="B2114" s="4">
        <v>37</v>
      </c>
      <c r="C2114" s="15">
        <v>259</v>
      </c>
      <c r="D2114" s="16">
        <v>3</v>
      </c>
      <c r="E2114" s="22">
        <v>44356</v>
      </c>
      <c r="F2114" s="19">
        <v>3</v>
      </c>
      <c r="G2114" s="18">
        <v>0.11</v>
      </c>
      <c r="H2114">
        <f>F2114*VLOOKUP(B2114,產品!$A$2:$H$61,7,FALSE)*(1-銷售總表!G2114)</f>
        <v>32040</v>
      </c>
      <c r="I2114" s="35">
        <f>H2114-F2114*VLOOKUP(銷售總表!B2114,產品!$A$2:$H$61,8,FALSE)</f>
        <v>8640</v>
      </c>
      <c r="J2114" s="20">
        <f t="shared" si="32"/>
        <v>0.2696629213483146</v>
      </c>
    </row>
    <row r="2115" spans="1:10" x14ac:dyDescent="0.3">
      <c r="A2115" s="33">
        <v>2114</v>
      </c>
      <c r="B2115" s="4">
        <v>30</v>
      </c>
      <c r="C2115" s="15">
        <v>274</v>
      </c>
      <c r="D2115" s="16">
        <v>5</v>
      </c>
      <c r="E2115" s="22">
        <v>44356</v>
      </c>
      <c r="F2115" s="19">
        <v>6</v>
      </c>
      <c r="G2115" s="18">
        <v>7.0000000000000007E-2</v>
      </c>
      <c r="H2115">
        <f>F2115*VLOOKUP(B2115,產品!$A$2:$H$61,7,FALSE)*(1-銷售總表!G2115)</f>
        <v>36270</v>
      </c>
      <c r="I2115" s="35">
        <f>H2115-F2115*VLOOKUP(銷售總表!B2115,產品!$A$2:$H$61,8,FALSE)</f>
        <v>12870</v>
      </c>
      <c r="J2115" s="20">
        <f t="shared" ref="J2115:J2178" si="33">I2115/H2115</f>
        <v>0.35483870967741937</v>
      </c>
    </row>
    <row r="2116" spans="1:10" x14ac:dyDescent="0.3">
      <c r="A2116" s="33">
        <v>2115</v>
      </c>
      <c r="B2116" s="4">
        <v>37</v>
      </c>
      <c r="C2116" s="15">
        <v>260</v>
      </c>
      <c r="D2116" s="16">
        <v>2</v>
      </c>
      <c r="E2116" s="22">
        <v>44356</v>
      </c>
      <c r="F2116" s="17">
        <v>6</v>
      </c>
      <c r="G2116" s="18">
        <v>0.13</v>
      </c>
      <c r="H2116">
        <f>F2116*VLOOKUP(B2116,產品!$A$2:$H$61,7,FALSE)*(1-銷售總表!G2116)</f>
        <v>62640</v>
      </c>
      <c r="I2116" s="35">
        <f>H2116-F2116*VLOOKUP(銷售總表!B2116,產品!$A$2:$H$61,8,FALSE)</f>
        <v>15840</v>
      </c>
      <c r="J2116" s="20">
        <f t="shared" si="33"/>
        <v>0.25287356321839083</v>
      </c>
    </row>
    <row r="2117" spans="1:10" x14ac:dyDescent="0.3">
      <c r="A2117" s="33">
        <v>2116</v>
      </c>
      <c r="B2117" s="4">
        <v>46</v>
      </c>
      <c r="C2117" s="15">
        <v>125</v>
      </c>
      <c r="D2117" s="16">
        <v>9</v>
      </c>
      <c r="E2117" s="22">
        <v>44356</v>
      </c>
      <c r="F2117" s="17">
        <v>4</v>
      </c>
      <c r="G2117" s="18">
        <v>0.09</v>
      </c>
      <c r="H2117">
        <f>F2117*VLOOKUP(B2117,產品!$A$2:$H$61,7,FALSE)*(1-銷售總表!G2117)</f>
        <v>61880</v>
      </c>
      <c r="I2117" s="35">
        <f>H2117-F2117*VLOOKUP(銷售總表!B2117,產品!$A$2:$H$61,8,FALSE)</f>
        <v>17680</v>
      </c>
      <c r="J2117" s="20">
        <f t="shared" si="33"/>
        <v>0.2857142857142857</v>
      </c>
    </row>
    <row r="2118" spans="1:10" x14ac:dyDescent="0.3">
      <c r="A2118" s="33">
        <v>2117</v>
      </c>
      <c r="B2118" s="4">
        <v>8</v>
      </c>
      <c r="C2118" s="15">
        <v>116</v>
      </c>
      <c r="D2118" s="16">
        <v>7</v>
      </c>
      <c r="E2118" s="22">
        <v>44356</v>
      </c>
      <c r="F2118" s="19">
        <v>60</v>
      </c>
      <c r="G2118" s="18">
        <v>0.14000000000000001</v>
      </c>
      <c r="H2118">
        <f>F2118*VLOOKUP(B2118,產品!$A$2:$H$61,7,FALSE)*(1-銷售總表!G2118)</f>
        <v>51600</v>
      </c>
      <c r="I2118" s="35">
        <f>H2118-F2118*VLOOKUP(銷售總表!B2118,產品!$A$2:$H$61,8,FALSE)</f>
        <v>27600</v>
      </c>
      <c r="J2118" s="20">
        <f t="shared" si="33"/>
        <v>0.53488372093023251</v>
      </c>
    </row>
    <row r="2119" spans="1:10" x14ac:dyDescent="0.3">
      <c r="A2119" s="33">
        <v>2118</v>
      </c>
      <c r="B2119" s="4">
        <v>3</v>
      </c>
      <c r="C2119" s="15">
        <v>113</v>
      </c>
      <c r="D2119" s="16">
        <v>5</v>
      </c>
      <c r="E2119" s="22">
        <v>44356</v>
      </c>
      <c r="F2119" s="19">
        <v>90</v>
      </c>
      <c r="G2119" s="18">
        <v>0.13</v>
      </c>
      <c r="H2119">
        <f>F2119*VLOOKUP(B2119,產品!$A$2:$H$61,7,FALSE)*(1-銷售總表!G2119)</f>
        <v>78300</v>
      </c>
      <c r="I2119" s="35">
        <f>H2119-F2119*VLOOKUP(銷售總表!B2119,產品!$A$2:$H$61,8,FALSE)</f>
        <v>42300</v>
      </c>
      <c r="J2119" s="20">
        <f t="shared" si="33"/>
        <v>0.54022988505747127</v>
      </c>
    </row>
    <row r="2120" spans="1:10" x14ac:dyDescent="0.3">
      <c r="A2120" s="33">
        <v>2119</v>
      </c>
      <c r="B2120" s="4">
        <v>39</v>
      </c>
      <c r="C2120" s="15">
        <v>8</v>
      </c>
      <c r="D2120" s="16">
        <v>10</v>
      </c>
      <c r="E2120" s="22">
        <v>44356</v>
      </c>
      <c r="F2120" s="17">
        <v>20</v>
      </c>
      <c r="G2120" s="18">
        <v>0.19</v>
      </c>
      <c r="H2120">
        <f>F2120*VLOOKUP(B2120,產品!$A$2:$H$61,7,FALSE)*(1-銷售總表!G2120)</f>
        <v>291600</v>
      </c>
      <c r="I2120" s="35">
        <f>H2120-F2120*VLOOKUP(銷售總表!B2120,產品!$A$2:$H$61,8,FALSE)</f>
        <v>57600</v>
      </c>
      <c r="J2120" s="20">
        <f t="shared" si="33"/>
        <v>0.19753086419753085</v>
      </c>
    </row>
    <row r="2121" spans="1:10" x14ac:dyDescent="0.3">
      <c r="A2121" s="33">
        <v>2120</v>
      </c>
      <c r="B2121" s="4">
        <v>3</v>
      </c>
      <c r="C2121" s="15">
        <v>280</v>
      </c>
      <c r="D2121" s="16">
        <v>4</v>
      </c>
      <c r="E2121" s="22">
        <v>44357</v>
      </c>
      <c r="F2121" s="17">
        <v>10</v>
      </c>
      <c r="G2121" s="18">
        <v>0.1</v>
      </c>
      <c r="H2121">
        <f>F2121*VLOOKUP(B2121,產品!$A$2:$H$61,7,FALSE)*(1-銷售總表!G2121)</f>
        <v>9000</v>
      </c>
      <c r="I2121" s="35">
        <f>H2121-F2121*VLOOKUP(銷售總表!B2121,產品!$A$2:$H$61,8,FALSE)</f>
        <v>5000</v>
      </c>
      <c r="J2121" s="20">
        <f t="shared" si="33"/>
        <v>0.55555555555555558</v>
      </c>
    </row>
    <row r="2122" spans="1:10" x14ac:dyDescent="0.3">
      <c r="A2122" s="33">
        <v>2121</v>
      </c>
      <c r="B2122" s="4">
        <v>57</v>
      </c>
      <c r="C2122" s="15">
        <v>263</v>
      </c>
      <c r="D2122" s="16">
        <v>6</v>
      </c>
      <c r="E2122" s="22">
        <v>44357</v>
      </c>
      <c r="F2122" s="19">
        <v>5</v>
      </c>
      <c r="G2122" s="18">
        <v>7.0000000000000007E-2</v>
      </c>
      <c r="H2122">
        <f>F2122*VLOOKUP(B2122,產品!$A$2:$H$61,7,FALSE)*(1-銷售總表!G2122)</f>
        <v>83700</v>
      </c>
      <c r="I2122" s="35">
        <f>H2122-F2122*VLOOKUP(銷售總表!B2122,產品!$A$2:$H$61,8,FALSE)</f>
        <v>20700</v>
      </c>
      <c r="J2122" s="20">
        <f t="shared" si="33"/>
        <v>0.24731182795698925</v>
      </c>
    </row>
    <row r="2123" spans="1:10" x14ac:dyDescent="0.3">
      <c r="A2123" s="33">
        <v>2122</v>
      </c>
      <c r="B2123" s="4">
        <v>26</v>
      </c>
      <c r="C2123" s="15">
        <v>5</v>
      </c>
      <c r="D2123" s="16">
        <v>2</v>
      </c>
      <c r="E2123" s="22">
        <v>44358</v>
      </c>
      <c r="F2123" s="17">
        <v>10</v>
      </c>
      <c r="G2123" s="18">
        <v>0.2</v>
      </c>
      <c r="H2123">
        <f>F2123*VLOOKUP(B2123,產品!$A$2:$H$61,7,FALSE)*(1-銷售總表!G2123)</f>
        <v>52000</v>
      </c>
      <c r="I2123" s="35">
        <f>H2123-F2123*VLOOKUP(銷售總表!B2123,產品!$A$2:$H$61,8,FALSE)</f>
        <v>13000</v>
      </c>
      <c r="J2123" s="20">
        <f t="shared" si="33"/>
        <v>0.25</v>
      </c>
    </row>
    <row r="2124" spans="1:10" x14ac:dyDescent="0.3">
      <c r="A2124" s="33">
        <v>2123</v>
      </c>
      <c r="B2124" s="4">
        <v>33</v>
      </c>
      <c r="C2124" s="15">
        <v>259</v>
      </c>
      <c r="D2124" s="16">
        <v>5</v>
      </c>
      <c r="E2124" s="22">
        <v>44358</v>
      </c>
      <c r="F2124" s="17">
        <v>2</v>
      </c>
      <c r="G2124" s="18">
        <v>0.05</v>
      </c>
      <c r="H2124">
        <f>F2124*VLOOKUP(B2124,產品!$A$2:$H$61,7,FALSE)*(1-銷售總表!G2124)</f>
        <v>14250</v>
      </c>
      <c r="I2124" s="35">
        <f>H2124-F2124*VLOOKUP(銷售總表!B2124,產品!$A$2:$H$61,8,FALSE)</f>
        <v>5250</v>
      </c>
      <c r="J2124" s="20">
        <f t="shared" si="33"/>
        <v>0.36842105263157893</v>
      </c>
    </row>
    <row r="2125" spans="1:10" x14ac:dyDescent="0.3">
      <c r="A2125" s="33">
        <v>2124</v>
      </c>
      <c r="B2125" s="4">
        <v>16</v>
      </c>
      <c r="C2125" s="15">
        <v>290</v>
      </c>
      <c r="D2125" s="16">
        <v>9</v>
      </c>
      <c r="E2125" s="22">
        <v>44358</v>
      </c>
      <c r="F2125" s="19">
        <v>20</v>
      </c>
      <c r="G2125" s="18">
        <v>0.18</v>
      </c>
      <c r="H2125">
        <f>F2125*VLOOKUP(B2125,產品!$A$2:$H$61,7,FALSE)*(1-銷售總表!G2125)</f>
        <v>29520.000000000004</v>
      </c>
      <c r="I2125" s="35">
        <f>H2125-F2125*VLOOKUP(銷售總表!B2125,產品!$A$2:$H$61,8,FALSE)</f>
        <v>15120.000000000004</v>
      </c>
      <c r="J2125" s="20">
        <f t="shared" si="33"/>
        <v>0.51219512195121952</v>
      </c>
    </row>
    <row r="2126" spans="1:10" x14ac:dyDescent="0.3">
      <c r="A2126" s="33">
        <v>2125</v>
      </c>
      <c r="B2126" s="4">
        <v>29</v>
      </c>
      <c r="C2126" s="15">
        <v>262</v>
      </c>
      <c r="D2126" s="16">
        <v>7</v>
      </c>
      <c r="E2126" s="22">
        <v>44358</v>
      </c>
      <c r="F2126" s="19">
        <v>13</v>
      </c>
      <c r="G2126" s="18">
        <v>0.05</v>
      </c>
      <c r="H2126">
        <f>F2126*VLOOKUP(B2126,產品!$A$2:$H$61,7,FALSE)*(1-銷售總表!G2126)</f>
        <v>74100</v>
      </c>
      <c r="I2126" s="35">
        <f>H2126-F2126*VLOOKUP(銷售總表!B2126,產品!$A$2:$H$61,8,FALSE)</f>
        <v>27300</v>
      </c>
      <c r="J2126" s="20">
        <f t="shared" si="33"/>
        <v>0.36842105263157893</v>
      </c>
    </row>
    <row r="2127" spans="1:10" x14ac:dyDescent="0.3">
      <c r="A2127" s="33">
        <v>2126</v>
      </c>
      <c r="B2127" s="4">
        <v>19</v>
      </c>
      <c r="C2127" s="15">
        <v>7</v>
      </c>
      <c r="D2127" s="16">
        <v>4</v>
      </c>
      <c r="E2127" s="22">
        <v>44358</v>
      </c>
      <c r="F2127" s="17">
        <v>70</v>
      </c>
      <c r="G2127" s="18">
        <v>0.13</v>
      </c>
      <c r="H2127">
        <f>F2127*VLOOKUP(B2127,產品!$A$2:$H$61,7,FALSE)*(1-銷售總表!G2127)</f>
        <v>109620</v>
      </c>
      <c r="I2127" s="35">
        <f>H2127-F2127*VLOOKUP(銷售總表!B2127,產品!$A$2:$H$61,8,FALSE)</f>
        <v>59220</v>
      </c>
      <c r="J2127" s="20">
        <f t="shared" si="33"/>
        <v>0.54022988505747127</v>
      </c>
    </row>
    <row r="2128" spans="1:10" x14ac:dyDescent="0.3">
      <c r="A2128" s="33">
        <v>2127</v>
      </c>
      <c r="B2128" s="4">
        <v>31</v>
      </c>
      <c r="C2128" s="15">
        <v>263</v>
      </c>
      <c r="D2128" s="16">
        <v>9</v>
      </c>
      <c r="E2128" s="22">
        <v>44359</v>
      </c>
      <c r="F2128" s="19">
        <v>10</v>
      </c>
      <c r="G2128" s="18">
        <v>0.14000000000000001</v>
      </c>
      <c r="H2128">
        <f>F2128*VLOOKUP(B2128,產品!$A$2:$H$61,7,FALSE)*(1-銷售總表!G2128)</f>
        <v>60200</v>
      </c>
      <c r="I2128" s="35">
        <f>H2128-F2128*VLOOKUP(銷售總表!B2128,產品!$A$2:$H$61,8,FALSE)</f>
        <v>18200</v>
      </c>
      <c r="J2128" s="20">
        <f t="shared" si="33"/>
        <v>0.30232558139534882</v>
      </c>
    </row>
    <row r="2129" spans="1:10" x14ac:dyDescent="0.3">
      <c r="A2129" s="33">
        <v>2128</v>
      </c>
      <c r="B2129" s="4">
        <v>35</v>
      </c>
      <c r="C2129" s="15">
        <v>10</v>
      </c>
      <c r="D2129" s="16">
        <v>2</v>
      </c>
      <c r="E2129" s="22">
        <v>44359</v>
      </c>
      <c r="F2129" s="19">
        <v>3</v>
      </c>
      <c r="G2129" s="18">
        <v>0.09</v>
      </c>
      <c r="H2129">
        <f>F2129*VLOOKUP(B2129,產品!$A$2:$H$61,7,FALSE)*(1-銷售總表!G2129)</f>
        <v>23205</v>
      </c>
      <c r="I2129" s="35">
        <f>H2129-F2129*VLOOKUP(銷售總表!B2129,產品!$A$2:$H$61,8,FALSE)</f>
        <v>7905</v>
      </c>
      <c r="J2129" s="20">
        <f t="shared" si="33"/>
        <v>0.34065934065934067</v>
      </c>
    </row>
    <row r="2130" spans="1:10" x14ac:dyDescent="0.3">
      <c r="A2130" s="33">
        <v>2129</v>
      </c>
      <c r="B2130" s="4">
        <v>41</v>
      </c>
      <c r="C2130" s="15">
        <v>5</v>
      </c>
      <c r="D2130" s="16">
        <v>7</v>
      </c>
      <c r="E2130" s="22">
        <v>44359</v>
      </c>
      <c r="F2130" s="17">
        <v>3</v>
      </c>
      <c r="G2130" s="18">
        <v>0.1</v>
      </c>
      <c r="H2130">
        <f>F2130*VLOOKUP(B2130,產品!$A$2:$H$61,7,FALSE)*(1-銷售總表!G2130)</f>
        <v>32400</v>
      </c>
      <c r="I2130" s="35">
        <f>H2130-F2130*VLOOKUP(銷售總表!B2130,產品!$A$2:$H$61,8,FALSE)</f>
        <v>9000</v>
      </c>
      <c r="J2130" s="20">
        <f t="shared" si="33"/>
        <v>0.27777777777777779</v>
      </c>
    </row>
    <row r="2131" spans="1:10" x14ac:dyDescent="0.3">
      <c r="A2131" s="33">
        <v>2130</v>
      </c>
      <c r="B2131" s="4">
        <v>28</v>
      </c>
      <c r="C2131" s="15">
        <v>11</v>
      </c>
      <c r="D2131" s="16">
        <v>6</v>
      </c>
      <c r="E2131" s="22">
        <v>44359</v>
      </c>
      <c r="F2131" s="19">
        <v>10</v>
      </c>
      <c r="G2131" s="18">
        <v>0.18</v>
      </c>
      <c r="H2131">
        <f>F2131*VLOOKUP(B2131,產品!$A$2:$H$61,7,FALSE)*(1-銷售總表!G2131)</f>
        <v>61500.000000000007</v>
      </c>
      <c r="I2131" s="35">
        <f>H2131-F2131*VLOOKUP(銷售總表!B2131,產品!$A$2:$H$61,8,FALSE)</f>
        <v>16500.000000000007</v>
      </c>
      <c r="J2131" s="20">
        <f t="shared" si="33"/>
        <v>0.26829268292682934</v>
      </c>
    </row>
    <row r="2132" spans="1:10" x14ac:dyDescent="0.3">
      <c r="A2132" s="33">
        <v>2131</v>
      </c>
      <c r="B2132" s="4">
        <v>40</v>
      </c>
      <c r="C2132" s="15">
        <v>135</v>
      </c>
      <c r="D2132" s="16">
        <v>4</v>
      </c>
      <c r="E2132" s="22">
        <v>44359</v>
      </c>
      <c r="F2132" s="17">
        <v>4</v>
      </c>
      <c r="G2132" s="18">
        <v>0.09</v>
      </c>
      <c r="H2132">
        <f>F2132*VLOOKUP(B2132,產品!$A$2:$H$61,7,FALSE)*(1-銷售總表!G2132)</f>
        <v>72800</v>
      </c>
      <c r="I2132" s="35">
        <f>H2132-F2132*VLOOKUP(銷售總表!B2132,產品!$A$2:$H$61,8,FALSE)</f>
        <v>20800</v>
      </c>
      <c r="J2132" s="20">
        <f t="shared" si="33"/>
        <v>0.2857142857142857</v>
      </c>
    </row>
    <row r="2133" spans="1:10" x14ac:dyDescent="0.3">
      <c r="A2133" s="33">
        <v>2132</v>
      </c>
      <c r="B2133" s="4">
        <v>59</v>
      </c>
      <c r="C2133" s="15">
        <v>2</v>
      </c>
      <c r="D2133" s="16">
        <v>5</v>
      </c>
      <c r="E2133" s="22">
        <v>44359</v>
      </c>
      <c r="F2133" s="19">
        <v>10</v>
      </c>
      <c r="G2133" s="18">
        <v>0.15</v>
      </c>
      <c r="H2133">
        <f>F2133*VLOOKUP(B2133,產品!$A$2:$H$61,7,FALSE)*(1-銷售總表!G2133)</f>
        <v>204000</v>
      </c>
      <c r="I2133" s="35">
        <f>H2133-F2133*VLOOKUP(銷售總表!B2133,產品!$A$2:$H$61,8,FALSE)</f>
        <v>36000</v>
      </c>
      <c r="J2133" s="20">
        <f t="shared" si="33"/>
        <v>0.17647058823529413</v>
      </c>
    </row>
    <row r="2134" spans="1:10" x14ac:dyDescent="0.3">
      <c r="A2134" s="33">
        <v>2133</v>
      </c>
      <c r="B2134" s="4">
        <v>45</v>
      </c>
      <c r="C2134" s="15">
        <v>5</v>
      </c>
      <c r="D2134" s="16">
        <v>7</v>
      </c>
      <c r="E2134" s="22">
        <v>44359</v>
      </c>
      <c r="F2134" s="17">
        <v>20</v>
      </c>
      <c r="G2134" s="18">
        <v>0.1</v>
      </c>
      <c r="H2134">
        <f>F2134*VLOOKUP(B2134,產品!$A$2:$H$61,7,FALSE)*(1-銷售總表!G2134)</f>
        <v>252000</v>
      </c>
      <c r="I2134" s="35">
        <f>H2134-F2134*VLOOKUP(銷售總表!B2134,產品!$A$2:$H$61,8,FALSE)</f>
        <v>70000</v>
      </c>
      <c r="J2134" s="20">
        <f t="shared" si="33"/>
        <v>0.27777777777777779</v>
      </c>
    </row>
    <row r="2135" spans="1:10" x14ac:dyDescent="0.3">
      <c r="A2135" s="33">
        <v>2134</v>
      </c>
      <c r="B2135" s="4">
        <v>37</v>
      </c>
      <c r="C2135" s="15">
        <v>261</v>
      </c>
      <c r="D2135" s="16">
        <v>4</v>
      </c>
      <c r="E2135" s="22">
        <v>44359</v>
      </c>
      <c r="F2135" s="19">
        <v>25</v>
      </c>
      <c r="G2135" s="18">
        <v>0.06</v>
      </c>
      <c r="H2135">
        <f>F2135*VLOOKUP(B2135,產品!$A$2:$H$61,7,FALSE)*(1-銷售總表!G2135)</f>
        <v>282000</v>
      </c>
      <c r="I2135" s="35">
        <f>H2135-F2135*VLOOKUP(銷售總表!B2135,產品!$A$2:$H$61,8,FALSE)</f>
        <v>87000</v>
      </c>
      <c r="J2135" s="20">
        <f t="shared" si="33"/>
        <v>0.30851063829787234</v>
      </c>
    </row>
    <row r="2136" spans="1:10" x14ac:dyDescent="0.3">
      <c r="A2136" s="33">
        <v>2135</v>
      </c>
      <c r="B2136" s="4">
        <v>31</v>
      </c>
      <c r="C2136" s="15">
        <v>114</v>
      </c>
      <c r="D2136" s="16">
        <v>5</v>
      </c>
      <c r="E2136" s="22">
        <v>44360</v>
      </c>
      <c r="F2136" s="19">
        <v>2</v>
      </c>
      <c r="G2136" s="18">
        <v>0.08</v>
      </c>
      <c r="H2136">
        <f>F2136*VLOOKUP(B2136,產品!$A$2:$H$61,7,FALSE)*(1-銷售總表!G2136)</f>
        <v>12880</v>
      </c>
      <c r="I2136" s="35">
        <f>H2136-F2136*VLOOKUP(銷售總表!B2136,產品!$A$2:$H$61,8,FALSE)</f>
        <v>4480</v>
      </c>
      <c r="J2136" s="20">
        <f t="shared" si="33"/>
        <v>0.34782608695652173</v>
      </c>
    </row>
    <row r="2137" spans="1:10" x14ac:dyDescent="0.3">
      <c r="A2137" s="33">
        <v>2136</v>
      </c>
      <c r="B2137" s="4">
        <v>32</v>
      </c>
      <c r="C2137" s="15">
        <v>261</v>
      </c>
      <c r="D2137" s="16">
        <v>6</v>
      </c>
      <c r="E2137" s="22">
        <v>44360</v>
      </c>
      <c r="F2137" s="19">
        <v>3</v>
      </c>
      <c r="G2137" s="18">
        <v>7.0000000000000007E-2</v>
      </c>
      <c r="H2137">
        <f>F2137*VLOOKUP(B2137,產品!$A$2:$H$61,7,FALSE)*(1-銷售總表!G2137)</f>
        <v>20925</v>
      </c>
      <c r="I2137" s="35">
        <f>H2137-F2137*VLOOKUP(銷售總表!B2137,產品!$A$2:$H$61,8,FALSE)</f>
        <v>7425</v>
      </c>
      <c r="J2137" s="20">
        <f t="shared" si="33"/>
        <v>0.35483870967741937</v>
      </c>
    </row>
    <row r="2138" spans="1:10" x14ac:dyDescent="0.3">
      <c r="A2138" s="33">
        <v>2137</v>
      </c>
      <c r="B2138" s="4">
        <v>45</v>
      </c>
      <c r="C2138" s="15">
        <v>119</v>
      </c>
      <c r="D2138" s="16">
        <v>7</v>
      </c>
      <c r="E2138" s="22">
        <v>44360</v>
      </c>
      <c r="F2138" s="17">
        <v>2</v>
      </c>
      <c r="G2138" s="18">
        <v>0.05</v>
      </c>
      <c r="H2138">
        <f>F2138*VLOOKUP(B2138,產品!$A$2:$H$61,7,FALSE)*(1-銷售總表!G2138)</f>
        <v>26600</v>
      </c>
      <c r="I2138" s="35">
        <f>H2138-F2138*VLOOKUP(銷售總表!B2138,產品!$A$2:$H$61,8,FALSE)</f>
        <v>8400</v>
      </c>
      <c r="J2138" s="20">
        <f t="shared" si="33"/>
        <v>0.31578947368421051</v>
      </c>
    </row>
    <row r="2139" spans="1:10" x14ac:dyDescent="0.3">
      <c r="A2139" s="33">
        <v>2138</v>
      </c>
      <c r="B2139" s="4">
        <v>35</v>
      </c>
      <c r="C2139" s="15">
        <v>115</v>
      </c>
      <c r="D2139" s="16">
        <v>1</v>
      </c>
      <c r="E2139" s="22">
        <v>44360</v>
      </c>
      <c r="F2139" s="19">
        <v>5</v>
      </c>
      <c r="G2139" s="18">
        <v>0.2</v>
      </c>
      <c r="H2139">
        <f>F2139*VLOOKUP(B2139,產品!$A$2:$H$61,7,FALSE)*(1-銷售總表!G2139)</f>
        <v>34000</v>
      </c>
      <c r="I2139" s="35">
        <f>H2139-F2139*VLOOKUP(銷售總表!B2139,產品!$A$2:$H$61,8,FALSE)</f>
        <v>8500</v>
      </c>
      <c r="J2139" s="20">
        <f t="shared" si="33"/>
        <v>0.25</v>
      </c>
    </row>
    <row r="2140" spans="1:10" x14ac:dyDescent="0.3">
      <c r="A2140" s="33">
        <v>2139</v>
      </c>
      <c r="B2140" s="4">
        <v>8</v>
      </c>
      <c r="C2140" s="15">
        <v>275</v>
      </c>
      <c r="D2140" s="16">
        <v>8</v>
      </c>
      <c r="E2140" s="22">
        <v>44360</v>
      </c>
      <c r="F2140" s="17">
        <v>30</v>
      </c>
      <c r="G2140" s="18">
        <v>0.14000000000000001</v>
      </c>
      <c r="H2140">
        <f>F2140*VLOOKUP(B2140,產品!$A$2:$H$61,7,FALSE)*(1-銷售總表!G2140)</f>
        <v>25800</v>
      </c>
      <c r="I2140" s="35">
        <f>H2140-F2140*VLOOKUP(銷售總表!B2140,產品!$A$2:$H$61,8,FALSE)</f>
        <v>13800</v>
      </c>
      <c r="J2140" s="20">
        <f t="shared" si="33"/>
        <v>0.53488372093023251</v>
      </c>
    </row>
    <row r="2141" spans="1:10" x14ac:dyDescent="0.3">
      <c r="A2141" s="33">
        <v>2140</v>
      </c>
      <c r="B2141" s="4">
        <v>42</v>
      </c>
      <c r="C2141" s="15">
        <v>271</v>
      </c>
      <c r="D2141" s="16">
        <v>1</v>
      </c>
      <c r="E2141" s="22">
        <v>44360</v>
      </c>
      <c r="F2141" s="19">
        <v>4</v>
      </c>
      <c r="G2141" s="18">
        <v>0.12</v>
      </c>
      <c r="H2141">
        <f>F2141*VLOOKUP(B2141,產品!$A$2:$H$61,7,FALSE)*(1-銷售總表!G2141)</f>
        <v>52800</v>
      </c>
      <c r="I2141" s="35">
        <f>H2141-F2141*VLOOKUP(銷售總表!B2141,產品!$A$2:$H$61,8,FALSE)</f>
        <v>13800</v>
      </c>
      <c r="J2141" s="20">
        <f t="shared" si="33"/>
        <v>0.26136363636363635</v>
      </c>
    </row>
    <row r="2142" spans="1:10" x14ac:dyDescent="0.3">
      <c r="A2142" s="33">
        <v>2141</v>
      </c>
      <c r="B2142" s="4">
        <v>48</v>
      </c>
      <c r="C2142" s="15">
        <v>277</v>
      </c>
      <c r="D2142" s="16">
        <v>4</v>
      </c>
      <c r="E2142" s="22">
        <v>44360</v>
      </c>
      <c r="F2142" s="19">
        <v>3</v>
      </c>
      <c r="G2142" s="18">
        <v>0.09</v>
      </c>
      <c r="H2142">
        <f>F2142*VLOOKUP(B2142,產品!$A$2:$H$61,7,FALSE)*(1-銷售總表!G2142)</f>
        <v>60060</v>
      </c>
      <c r="I2142" s="35">
        <f>H2142-F2142*VLOOKUP(銷售總表!B2142,產品!$A$2:$H$61,8,FALSE)</f>
        <v>17160</v>
      </c>
      <c r="J2142" s="20">
        <f t="shared" si="33"/>
        <v>0.2857142857142857</v>
      </c>
    </row>
    <row r="2143" spans="1:10" x14ac:dyDescent="0.3">
      <c r="A2143" s="33">
        <v>2142</v>
      </c>
      <c r="B2143" s="4">
        <v>49</v>
      </c>
      <c r="C2143" s="15">
        <v>123</v>
      </c>
      <c r="D2143" s="16">
        <v>1</v>
      </c>
      <c r="E2143" s="22">
        <v>44360</v>
      </c>
      <c r="F2143" s="17">
        <v>5</v>
      </c>
      <c r="G2143" s="18">
        <v>7.0000000000000007E-2</v>
      </c>
      <c r="H2143">
        <f>F2143*VLOOKUP(B2143,產品!$A$2:$H$61,7,FALSE)*(1-銷售總表!G2143)</f>
        <v>69750</v>
      </c>
      <c r="I2143" s="35">
        <f>H2143-F2143*VLOOKUP(銷售總表!B2143,產品!$A$2:$H$61,8,FALSE)</f>
        <v>17250</v>
      </c>
      <c r="J2143" s="20">
        <f t="shared" si="33"/>
        <v>0.24731182795698925</v>
      </c>
    </row>
    <row r="2144" spans="1:10" x14ac:dyDescent="0.3">
      <c r="A2144" s="33">
        <v>2143</v>
      </c>
      <c r="B2144" s="4">
        <v>32</v>
      </c>
      <c r="C2144" s="15">
        <v>285</v>
      </c>
      <c r="D2144" s="16">
        <v>10</v>
      </c>
      <c r="E2144" s="22">
        <v>44360</v>
      </c>
      <c r="F2144" s="19">
        <v>10</v>
      </c>
      <c r="G2144" s="18">
        <v>0.16</v>
      </c>
      <c r="H2144">
        <f>F2144*VLOOKUP(B2144,產品!$A$2:$H$61,7,FALSE)*(1-銷售總表!G2144)</f>
        <v>63000</v>
      </c>
      <c r="I2144" s="35">
        <f>H2144-F2144*VLOOKUP(銷售總表!B2144,產品!$A$2:$H$61,8,FALSE)</f>
        <v>18000</v>
      </c>
      <c r="J2144" s="20">
        <f t="shared" si="33"/>
        <v>0.2857142857142857</v>
      </c>
    </row>
    <row r="2145" spans="1:10" x14ac:dyDescent="0.3">
      <c r="A2145" s="33">
        <v>2144</v>
      </c>
      <c r="B2145" s="4">
        <v>56</v>
      </c>
      <c r="C2145" s="15">
        <v>284</v>
      </c>
      <c r="D2145" s="16">
        <v>8</v>
      </c>
      <c r="E2145" s="22">
        <v>44360</v>
      </c>
      <c r="F2145" s="17">
        <v>12</v>
      </c>
      <c r="G2145" s="18">
        <v>0.2</v>
      </c>
      <c r="H2145">
        <f>F2145*VLOOKUP(B2145,產品!$A$2:$H$61,7,FALSE)*(1-銷售總表!G2145)</f>
        <v>211200</v>
      </c>
      <c r="I2145" s="35">
        <f>H2145-F2145*VLOOKUP(銷售總表!B2145,產品!$A$2:$H$61,8,FALSE)</f>
        <v>26400.000000000029</v>
      </c>
      <c r="J2145" s="20">
        <f t="shared" si="33"/>
        <v>0.12500000000000014</v>
      </c>
    </row>
    <row r="2146" spans="1:10" x14ac:dyDescent="0.3">
      <c r="A2146" s="33">
        <v>2145</v>
      </c>
      <c r="B2146" s="4">
        <v>47</v>
      </c>
      <c r="C2146" s="15">
        <v>282</v>
      </c>
      <c r="D2146" s="16">
        <v>4</v>
      </c>
      <c r="E2146" s="22">
        <v>44360</v>
      </c>
      <c r="F2146" s="17">
        <v>9</v>
      </c>
      <c r="G2146" s="18">
        <v>0.17</v>
      </c>
      <c r="H2146">
        <f>F2146*VLOOKUP(B2146,產品!$A$2:$H$61,7,FALSE)*(1-銷售總表!G2146)</f>
        <v>149400</v>
      </c>
      <c r="I2146" s="35">
        <f>H2146-F2146*VLOOKUP(銷售總表!B2146,產品!$A$2:$H$61,8,FALSE)</f>
        <v>32400</v>
      </c>
      <c r="J2146" s="20">
        <f t="shared" si="33"/>
        <v>0.21686746987951808</v>
      </c>
    </row>
    <row r="2147" spans="1:10" x14ac:dyDescent="0.3">
      <c r="A2147" s="33">
        <v>2146</v>
      </c>
      <c r="B2147" s="4">
        <v>18</v>
      </c>
      <c r="C2147" s="15">
        <v>262</v>
      </c>
      <c r="D2147" s="16">
        <v>6</v>
      </c>
      <c r="E2147" s="22">
        <v>44360</v>
      </c>
      <c r="F2147" s="19">
        <v>40</v>
      </c>
      <c r="G2147" s="18">
        <v>0.13</v>
      </c>
      <c r="H2147">
        <f>F2147*VLOOKUP(B2147,產品!$A$2:$H$61,7,FALSE)*(1-銷售總表!G2147)</f>
        <v>62640</v>
      </c>
      <c r="I2147" s="35">
        <f>H2147-F2147*VLOOKUP(銷售總表!B2147,產品!$A$2:$H$61,8,FALSE)</f>
        <v>33840</v>
      </c>
      <c r="J2147" s="20">
        <f t="shared" si="33"/>
        <v>0.54022988505747127</v>
      </c>
    </row>
    <row r="2148" spans="1:10" x14ac:dyDescent="0.3">
      <c r="A2148" s="33">
        <v>2147</v>
      </c>
      <c r="B2148" s="4">
        <v>6</v>
      </c>
      <c r="C2148" s="15">
        <v>114</v>
      </c>
      <c r="D2148" s="16">
        <v>4</v>
      </c>
      <c r="E2148" s="22">
        <v>44361</v>
      </c>
      <c r="F2148" s="17">
        <v>13</v>
      </c>
      <c r="G2148" s="18">
        <v>0.09</v>
      </c>
      <c r="H2148">
        <f>F2148*VLOOKUP(B2148,產品!$A$2:$H$61,7,FALSE)*(1-銷售總表!G2148)</f>
        <v>11830</v>
      </c>
      <c r="I2148" s="35">
        <f>H2148-F2148*VLOOKUP(銷售總表!B2148,產品!$A$2:$H$61,8,FALSE)</f>
        <v>6630</v>
      </c>
      <c r="J2148" s="20">
        <f t="shared" si="33"/>
        <v>0.56043956043956045</v>
      </c>
    </row>
    <row r="2149" spans="1:10" x14ac:dyDescent="0.3">
      <c r="A2149" s="33">
        <v>2148</v>
      </c>
      <c r="B2149" s="4">
        <v>34</v>
      </c>
      <c r="C2149" s="15">
        <v>280</v>
      </c>
      <c r="D2149" s="16">
        <v>4</v>
      </c>
      <c r="E2149" s="22">
        <v>44361</v>
      </c>
      <c r="F2149" s="19">
        <v>4</v>
      </c>
      <c r="G2149" s="18">
        <v>0.15</v>
      </c>
      <c r="H2149">
        <f>F2149*VLOOKUP(B2149,產品!$A$2:$H$61,7,FALSE)*(1-銷售總表!G2149)</f>
        <v>27200</v>
      </c>
      <c r="I2149" s="35">
        <f>H2149-F2149*VLOOKUP(銷售總表!B2149,產品!$A$2:$H$61,8,FALSE)</f>
        <v>8000</v>
      </c>
      <c r="J2149" s="20">
        <f t="shared" si="33"/>
        <v>0.29411764705882354</v>
      </c>
    </row>
    <row r="2150" spans="1:10" x14ac:dyDescent="0.3">
      <c r="A2150" s="33">
        <v>2149</v>
      </c>
      <c r="B2150" s="4">
        <v>20</v>
      </c>
      <c r="C2150" s="15">
        <v>275</v>
      </c>
      <c r="D2150" s="16">
        <v>6</v>
      </c>
      <c r="E2150" s="22">
        <v>44361</v>
      </c>
      <c r="F2150" s="19">
        <v>20</v>
      </c>
      <c r="G2150" s="18">
        <v>0.05</v>
      </c>
      <c r="H2150">
        <f>F2150*VLOOKUP(B2150,產品!$A$2:$H$61,7,FALSE)*(1-銷售總表!G2150)</f>
        <v>34200</v>
      </c>
      <c r="I2150" s="35">
        <f>H2150-F2150*VLOOKUP(銷售總表!B2150,產品!$A$2:$H$61,8,FALSE)</f>
        <v>19800</v>
      </c>
      <c r="J2150" s="20">
        <f t="shared" si="33"/>
        <v>0.57894736842105265</v>
      </c>
    </row>
    <row r="2151" spans="1:10" x14ac:dyDescent="0.3">
      <c r="A2151" s="33">
        <v>2150</v>
      </c>
      <c r="B2151" s="4">
        <v>46</v>
      </c>
      <c r="C2151" s="15">
        <v>259</v>
      </c>
      <c r="D2151" s="16">
        <v>2</v>
      </c>
      <c r="E2151" s="22">
        <v>44361</v>
      </c>
      <c r="F2151" s="17">
        <v>5</v>
      </c>
      <c r="G2151" s="18">
        <v>0.09</v>
      </c>
      <c r="H2151">
        <f>F2151*VLOOKUP(B2151,產品!$A$2:$H$61,7,FALSE)*(1-銷售總表!G2151)</f>
        <v>77350</v>
      </c>
      <c r="I2151" s="35">
        <f>H2151-F2151*VLOOKUP(銷售總表!B2151,產品!$A$2:$H$61,8,FALSE)</f>
        <v>22100</v>
      </c>
      <c r="J2151" s="20">
        <f t="shared" si="33"/>
        <v>0.2857142857142857</v>
      </c>
    </row>
    <row r="2152" spans="1:10" x14ac:dyDescent="0.3">
      <c r="A2152" s="33">
        <v>2151</v>
      </c>
      <c r="B2152" s="4">
        <v>49</v>
      </c>
      <c r="C2152" s="15">
        <v>10</v>
      </c>
      <c r="D2152" s="16">
        <v>2</v>
      </c>
      <c r="E2152" s="22">
        <v>44361</v>
      </c>
      <c r="F2152" s="19">
        <v>20</v>
      </c>
      <c r="G2152" s="18">
        <v>0.18</v>
      </c>
      <c r="H2152">
        <f>F2152*VLOOKUP(B2152,產品!$A$2:$H$61,7,FALSE)*(1-銷售總表!G2152)</f>
        <v>246000.00000000003</v>
      </c>
      <c r="I2152" s="35">
        <f>H2152-F2152*VLOOKUP(銷售總表!B2152,產品!$A$2:$H$61,8,FALSE)</f>
        <v>36000.000000000029</v>
      </c>
      <c r="J2152" s="20">
        <f t="shared" si="33"/>
        <v>0.14634146341463425</v>
      </c>
    </row>
    <row r="2153" spans="1:10" x14ac:dyDescent="0.3">
      <c r="A2153" s="33">
        <v>2152</v>
      </c>
      <c r="B2153" s="4">
        <v>57</v>
      </c>
      <c r="C2153" s="15">
        <v>5</v>
      </c>
      <c r="D2153" s="16">
        <v>10</v>
      </c>
      <c r="E2153" s="22">
        <v>44361</v>
      </c>
      <c r="F2153" s="17">
        <v>10</v>
      </c>
      <c r="G2153" s="18">
        <v>7.0000000000000007E-2</v>
      </c>
      <c r="H2153">
        <f>F2153*VLOOKUP(B2153,產品!$A$2:$H$61,7,FALSE)*(1-銷售總表!G2153)</f>
        <v>167400</v>
      </c>
      <c r="I2153" s="35">
        <f>H2153-F2153*VLOOKUP(銷售總表!B2153,產品!$A$2:$H$61,8,FALSE)</f>
        <v>41400</v>
      </c>
      <c r="J2153" s="20">
        <f t="shared" si="33"/>
        <v>0.24731182795698925</v>
      </c>
    </row>
    <row r="2154" spans="1:10" x14ac:dyDescent="0.3">
      <c r="A2154" s="33">
        <v>2153</v>
      </c>
      <c r="B2154" s="4">
        <v>18</v>
      </c>
      <c r="C2154" s="15">
        <v>116</v>
      </c>
      <c r="D2154" s="16">
        <v>5</v>
      </c>
      <c r="E2154" s="22">
        <v>44362</v>
      </c>
      <c r="F2154" s="19">
        <v>20</v>
      </c>
      <c r="G2154" s="18">
        <v>0.2</v>
      </c>
      <c r="H2154">
        <f>F2154*VLOOKUP(B2154,產品!$A$2:$H$61,7,FALSE)*(1-銷售總表!G2154)</f>
        <v>28800</v>
      </c>
      <c r="I2154" s="35">
        <f>H2154-F2154*VLOOKUP(銷售總表!B2154,產品!$A$2:$H$61,8,FALSE)</f>
        <v>14400</v>
      </c>
      <c r="J2154" s="20">
        <f t="shared" si="33"/>
        <v>0.5</v>
      </c>
    </row>
    <row r="2155" spans="1:10" x14ac:dyDescent="0.3">
      <c r="A2155" s="33">
        <v>2154</v>
      </c>
      <c r="B2155" s="4">
        <v>30</v>
      </c>
      <c r="C2155" s="15">
        <v>112</v>
      </c>
      <c r="D2155" s="16">
        <v>2</v>
      </c>
      <c r="E2155" s="22">
        <v>44362</v>
      </c>
      <c r="F2155" s="17">
        <v>7</v>
      </c>
      <c r="G2155" s="18">
        <v>0.05</v>
      </c>
      <c r="H2155">
        <f>F2155*VLOOKUP(B2155,產品!$A$2:$H$61,7,FALSE)*(1-銷售總表!G2155)</f>
        <v>43225</v>
      </c>
      <c r="I2155" s="35">
        <f>H2155-F2155*VLOOKUP(銷售總表!B2155,產品!$A$2:$H$61,8,FALSE)</f>
        <v>15925</v>
      </c>
      <c r="J2155" s="20">
        <f t="shared" si="33"/>
        <v>0.36842105263157893</v>
      </c>
    </row>
    <row r="2156" spans="1:10" x14ac:dyDescent="0.3">
      <c r="A2156" s="33">
        <v>2155</v>
      </c>
      <c r="B2156" s="4">
        <v>39</v>
      </c>
      <c r="C2156" s="15">
        <v>11</v>
      </c>
      <c r="D2156" s="16">
        <v>1</v>
      </c>
      <c r="E2156" s="22">
        <v>44362</v>
      </c>
      <c r="F2156" s="19">
        <v>6</v>
      </c>
      <c r="G2156" s="18">
        <v>0.19</v>
      </c>
      <c r="H2156">
        <f>F2156*VLOOKUP(B2156,產品!$A$2:$H$61,7,FALSE)*(1-銷售總表!G2156)</f>
        <v>87480</v>
      </c>
      <c r="I2156" s="35">
        <f>H2156-F2156*VLOOKUP(銷售總表!B2156,產品!$A$2:$H$61,8,FALSE)</f>
        <v>17280</v>
      </c>
      <c r="J2156" s="20">
        <f t="shared" si="33"/>
        <v>0.19753086419753085</v>
      </c>
    </row>
    <row r="2157" spans="1:10" x14ac:dyDescent="0.3">
      <c r="A2157" s="33">
        <v>2156</v>
      </c>
      <c r="B2157" s="4">
        <v>41</v>
      </c>
      <c r="C2157" s="15">
        <v>7</v>
      </c>
      <c r="D2157" s="16">
        <v>4</v>
      </c>
      <c r="E2157" s="22">
        <v>44362</v>
      </c>
      <c r="F2157" s="19">
        <v>10</v>
      </c>
      <c r="G2157" s="18">
        <v>0.11</v>
      </c>
      <c r="H2157">
        <f>F2157*VLOOKUP(B2157,產品!$A$2:$H$61,7,FALSE)*(1-銷售總表!G2157)</f>
        <v>106800</v>
      </c>
      <c r="I2157" s="35">
        <f>H2157-F2157*VLOOKUP(銷售總表!B2157,產品!$A$2:$H$61,8,FALSE)</f>
        <v>28800</v>
      </c>
      <c r="J2157" s="20">
        <f t="shared" si="33"/>
        <v>0.2696629213483146</v>
      </c>
    </row>
    <row r="2158" spans="1:10" x14ac:dyDescent="0.3">
      <c r="A2158" s="33">
        <v>2157</v>
      </c>
      <c r="B2158" s="4">
        <v>10</v>
      </c>
      <c r="C2158" s="15">
        <v>284</v>
      </c>
      <c r="D2158" s="16">
        <v>2</v>
      </c>
      <c r="E2158" s="22">
        <v>44362</v>
      </c>
      <c r="F2158" s="19">
        <v>80</v>
      </c>
      <c r="G2158" s="18">
        <v>0.15</v>
      </c>
      <c r="H2158">
        <f>F2158*VLOOKUP(B2158,產品!$A$2:$H$61,7,FALSE)*(1-銷售總表!G2158)</f>
        <v>68000</v>
      </c>
      <c r="I2158" s="35">
        <f>H2158-F2158*VLOOKUP(銷售總表!B2158,產品!$A$2:$H$61,8,FALSE)</f>
        <v>36000</v>
      </c>
      <c r="J2158" s="20">
        <f t="shared" si="33"/>
        <v>0.52941176470588236</v>
      </c>
    </row>
    <row r="2159" spans="1:10" x14ac:dyDescent="0.3">
      <c r="A2159" s="33">
        <v>2158</v>
      </c>
      <c r="B2159" s="4">
        <v>40</v>
      </c>
      <c r="C2159" s="15">
        <v>3</v>
      </c>
      <c r="D2159" s="16">
        <v>9</v>
      </c>
      <c r="E2159" s="22">
        <v>44362</v>
      </c>
      <c r="F2159" s="19">
        <v>10</v>
      </c>
      <c r="G2159" s="18">
        <v>0.16</v>
      </c>
      <c r="H2159">
        <f>F2159*VLOOKUP(B2159,產品!$A$2:$H$61,7,FALSE)*(1-銷售總表!G2159)</f>
        <v>168000</v>
      </c>
      <c r="I2159" s="35">
        <f>H2159-F2159*VLOOKUP(銷售總表!B2159,產品!$A$2:$H$61,8,FALSE)</f>
        <v>38000</v>
      </c>
      <c r="J2159" s="20">
        <f t="shared" si="33"/>
        <v>0.22619047619047619</v>
      </c>
    </row>
    <row r="2160" spans="1:10" x14ac:dyDescent="0.3">
      <c r="A2160" s="33">
        <v>2159</v>
      </c>
      <c r="B2160" s="4">
        <v>20</v>
      </c>
      <c r="C2160" s="15">
        <v>6</v>
      </c>
      <c r="D2160" s="16">
        <v>5</v>
      </c>
      <c r="E2160" s="22">
        <v>44362</v>
      </c>
      <c r="F2160" s="19">
        <v>60</v>
      </c>
      <c r="G2160" s="18">
        <v>0.2</v>
      </c>
      <c r="H2160">
        <f>F2160*VLOOKUP(B2160,產品!$A$2:$H$61,7,FALSE)*(1-銷售總表!G2160)</f>
        <v>86400</v>
      </c>
      <c r="I2160" s="35">
        <f>H2160-F2160*VLOOKUP(銷售總表!B2160,產品!$A$2:$H$61,8,FALSE)</f>
        <v>43200</v>
      </c>
      <c r="J2160" s="20">
        <f t="shared" si="33"/>
        <v>0.5</v>
      </c>
    </row>
    <row r="2161" spans="1:10" x14ac:dyDescent="0.3">
      <c r="A2161" s="33">
        <v>2160</v>
      </c>
      <c r="B2161" s="4">
        <v>19</v>
      </c>
      <c r="C2161" s="15">
        <v>7</v>
      </c>
      <c r="D2161" s="16">
        <v>6</v>
      </c>
      <c r="E2161" s="22">
        <v>44362</v>
      </c>
      <c r="F2161" s="17">
        <v>60</v>
      </c>
      <c r="G2161" s="18">
        <v>0.12</v>
      </c>
      <c r="H2161">
        <f>F2161*VLOOKUP(B2161,產品!$A$2:$H$61,7,FALSE)*(1-銷售總表!G2161)</f>
        <v>95040</v>
      </c>
      <c r="I2161" s="35">
        <f>H2161-F2161*VLOOKUP(銷售總表!B2161,產品!$A$2:$H$61,8,FALSE)</f>
        <v>51840</v>
      </c>
      <c r="J2161" s="20">
        <f t="shared" si="33"/>
        <v>0.54545454545454541</v>
      </c>
    </row>
    <row r="2162" spans="1:10" x14ac:dyDescent="0.3">
      <c r="A2162" s="33">
        <v>2161</v>
      </c>
      <c r="B2162" s="4">
        <v>34</v>
      </c>
      <c r="C2162" s="15">
        <v>9</v>
      </c>
      <c r="D2162" s="16">
        <v>4</v>
      </c>
      <c r="E2162" s="22">
        <v>44363</v>
      </c>
      <c r="F2162" s="19">
        <v>3</v>
      </c>
      <c r="G2162" s="18">
        <v>0.19</v>
      </c>
      <c r="H2162">
        <f>F2162*VLOOKUP(B2162,產品!$A$2:$H$61,7,FALSE)*(1-銷售總表!G2162)</f>
        <v>19440</v>
      </c>
      <c r="I2162" s="35">
        <f>H2162-F2162*VLOOKUP(銷售總表!B2162,產品!$A$2:$H$61,8,FALSE)</f>
        <v>5040</v>
      </c>
      <c r="J2162" s="20">
        <f t="shared" si="33"/>
        <v>0.25925925925925924</v>
      </c>
    </row>
    <row r="2163" spans="1:10" x14ac:dyDescent="0.3">
      <c r="A2163" s="33">
        <v>2162</v>
      </c>
      <c r="B2163" s="4">
        <v>8</v>
      </c>
      <c r="C2163" s="15">
        <v>276</v>
      </c>
      <c r="D2163" s="16">
        <v>2</v>
      </c>
      <c r="E2163" s="22">
        <v>44363</v>
      </c>
      <c r="F2163" s="17">
        <v>15</v>
      </c>
      <c r="G2163" s="18">
        <v>0.09</v>
      </c>
      <c r="H2163">
        <f>F2163*VLOOKUP(B2163,產品!$A$2:$H$61,7,FALSE)*(1-銷售總表!G2163)</f>
        <v>13650</v>
      </c>
      <c r="I2163" s="35">
        <f>H2163-F2163*VLOOKUP(銷售總表!B2163,產品!$A$2:$H$61,8,FALSE)</f>
        <v>7650</v>
      </c>
      <c r="J2163" s="20">
        <f t="shared" si="33"/>
        <v>0.56043956043956045</v>
      </c>
    </row>
    <row r="2164" spans="1:10" x14ac:dyDescent="0.3">
      <c r="A2164" s="33">
        <v>2163</v>
      </c>
      <c r="B2164" s="4">
        <v>5</v>
      </c>
      <c r="C2164" s="15">
        <v>8</v>
      </c>
      <c r="D2164" s="16">
        <v>7</v>
      </c>
      <c r="E2164" s="22">
        <v>44363</v>
      </c>
      <c r="F2164" s="19">
        <v>18</v>
      </c>
      <c r="G2164" s="18">
        <v>0.15</v>
      </c>
      <c r="H2164">
        <f>F2164*VLOOKUP(B2164,產品!$A$2:$H$61,7,FALSE)*(1-銷售總表!G2164)</f>
        <v>15300</v>
      </c>
      <c r="I2164" s="35">
        <f>H2164-F2164*VLOOKUP(銷售總表!B2164,產品!$A$2:$H$61,8,FALSE)</f>
        <v>8100</v>
      </c>
      <c r="J2164" s="20">
        <f t="shared" si="33"/>
        <v>0.52941176470588236</v>
      </c>
    </row>
    <row r="2165" spans="1:10" x14ac:dyDescent="0.3">
      <c r="A2165" s="33">
        <v>2164</v>
      </c>
      <c r="B2165" s="4">
        <v>46</v>
      </c>
      <c r="C2165" s="15">
        <v>117</v>
      </c>
      <c r="D2165" s="16">
        <v>8</v>
      </c>
      <c r="E2165" s="22">
        <v>44363</v>
      </c>
      <c r="F2165" s="17">
        <v>4</v>
      </c>
      <c r="G2165" s="18">
        <v>0.18</v>
      </c>
      <c r="H2165">
        <f>F2165*VLOOKUP(B2165,產品!$A$2:$H$61,7,FALSE)*(1-銷售總表!G2165)</f>
        <v>55760.000000000007</v>
      </c>
      <c r="I2165" s="35">
        <f>H2165-F2165*VLOOKUP(銷售總表!B2165,產品!$A$2:$H$61,8,FALSE)</f>
        <v>11560.000000000007</v>
      </c>
      <c r="J2165" s="20">
        <f t="shared" si="33"/>
        <v>0.20731707317073181</v>
      </c>
    </row>
    <row r="2166" spans="1:10" x14ac:dyDescent="0.3">
      <c r="A2166" s="33">
        <v>2165</v>
      </c>
      <c r="B2166" s="4">
        <v>41</v>
      </c>
      <c r="C2166" s="15">
        <v>258</v>
      </c>
      <c r="D2166" s="16">
        <v>3</v>
      </c>
      <c r="E2166" s="22">
        <v>44363</v>
      </c>
      <c r="F2166" s="17">
        <v>5</v>
      </c>
      <c r="G2166" s="18">
        <v>0.08</v>
      </c>
      <c r="H2166">
        <f>F2166*VLOOKUP(B2166,產品!$A$2:$H$61,7,FALSE)*(1-銷售總表!G2166)</f>
        <v>55200</v>
      </c>
      <c r="I2166" s="35">
        <f>H2166-F2166*VLOOKUP(銷售總表!B2166,產品!$A$2:$H$61,8,FALSE)</f>
        <v>16200</v>
      </c>
      <c r="J2166" s="20">
        <f t="shared" si="33"/>
        <v>0.29347826086956524</v>
      </c>
    </row>
    <row r="2167" spans="1:10" x14ac:dyDescent="0.3">
      <c r="A2167" s="33">
        <v>2166</v>
      </c>
      <c r="B2167" s="4">
        <v>54</v>
      </c>
      <c r="C2167" s="15">
        <v>291</v>
      </c>
      <c r="D2167" s="16">
        <v>5</v>
      </c>
      <c r="E2167" s="22">
        <v>44363</v>
      </c>
      <c r="F2167" s="17">
        <v>6</v>
      </c>
      <c r="G2167" s="18">
        <v>0.13</v>
      </c>
      <c r="H2167">
        <f>F2167*VLOOKUP(B2167,產品!$A$2:$H$61,7,FALSE)*(1-銷售總表!G2167)</f>
        <v>93960</v>
      </c>
      <c r="I2167" s="35">
        <f>H2167-F2167*VLOOKUP(銷售總表!B2167,產品!$A$2:$H$61,8,FALSE)</f>
        <v>18360</v>
      </c>
      <c r="J2167" s="20">
        <f t="shared" si="33"/>
        <v>0.19540229885057472</v>
      </c>
    </row>
    <row r="2168" spans="1:10" x14ac:dyDescent="0.3">
      <c r="A2168" s="33">
        <v>2167</v>
      </c>
      <c r="B2168" s="4">
        <v>29</v>
      </c>
      <c r="C2168" s="15">
        <v>10</v>
      </c>
      <c r="D2168" s="16">
        <v>10</v>
      </c>
      <c r="E2168" s="22">
        <v>44363</v>
      </c>
      <c r="F2168" s="17">
        <v>10</v>
      </c>
      <c r="G2168" s="18">
        <v>0.09</v>
      </c>
      <c r="H2168">
        <f>F2168*VLOOKUP(B2168,產品!$A$2:$H$61,7,FALSE)*(1-銷售總表!G2168)</f>
        <v>54600</v>
      </c>
      <c r="I2168" s="35">
        <f>H2168-F2168*VLOOKUP(銷售總表!B2168,產品!$A$2:$H$61,8,FALSE)</f>
        <v>18600</v>
      </c>
      <c r="J2168" s="20">
        <f t="shared" si="33"/>
        <v>0.34065934065934067</v>
      </c>
    </row>
    <row r="2169" spans="1:10" x14ac:dyDescent="0.3">
      <c r="A2169" s="33">
        <v>2168</v>
      </c>
      <c r="B2169" s="4">
        <v>45</v>
      </c>
      <c r="C2169" s="15">
        <v>291</v>
      </c>
      <c r="D2169" s="16">
        <v>1</v>
      </c>
      <c r="E2169" s="22">
        <v>44363</v>
      </c>
      <c r="F2169" s="17">
        <v>7</v>
      </c>
      <c r="G2169" s="18">
        <v>0.13</v>
      </c>
      <c r="H2169">
        <f>F2169*VLOOKUP(B2169,產品!$A$2:$H$61,7,FALSE)*(1-銷售總表!G2169)</f>
        <v>85260</v>
      </c>
      <c r="I2169" s="35">
        <f>H2169-F2169*VLOOKUP(銷售總表!B2169,產品!$A$2:$H$61,8,FALSE)</f>
        <v>21560</v>
      </c>
      <c r="J2169" s="20">
        <f t="shared" si="33"/>
        <v>0.25287356321839083</v>
      </c>
    </row>
    <row r="2170" spans="1:10" x14ac:dyDescent="0.3">
      <c r="A2170" s="33">
        <v>2169</v>
      </c>
      <c r="B2170" s="4">
        <v>1</v>
      </c>
      <c r="C2170" s="15">
        <v>269</v>
      </c>
      <c r="D2170" s="16">
        <v>7</v>
      </c>
      <c r="E2170" s="22">
        <v>44363</v>
      </c>
      <c r="F2170" s="19">
        <v>40</v>
      </c>
      <c r="G2170" s="18">
        <v>0.05</v>
      </c>
      <c r="H2170">
        <f>F2170*VLOOKUP(B2170,產品!$A$2:$H$61,7,FALSE)*(1-銷售總表!G2170)</f>
        <v>38000</v>
      </c>
      <c r="I2170" s="35">
        <f>H2170-F2170*VLOOKUP(銷售總表!B2170,產品!$A$2:$H$61,8,FALSE)</f>
        <v>22000</v>
      </c>
      <c r="J2170" s="20">
        <f t="shared" si="33"/>
        <v>0.57894736842105265</v>
      </c>
    </row>
    <row r="2171" spans="1:10" x14ac:dyDescent="0.3">
      <c r="A2171" s="33">
        <v>2170</v>
      </c>
      <c r="B2171" s="4">
        <v>44</v>
      </c>
      <c r="C2171" s="15">
        <v>8</v>
      </c>
      <c r="D2171" s="16">
        <v>7</v>
      </c>
      <c r="E2171" s="22">
        <v>44363</v>
      </c>
      <c r="F2171" s="17">
        <v>5</v>
      </c>
      <c r="G2171" s="18">
        <v>7.0000000000000007E-2</v>
      </c>
      <c r="H2171">
        <f>F2171*VLOOKUP(B2171,產品!$A$2:$H$61,7,FALSE)*(1-銷售總表!G2171)</f>
        <v>93000</v>
      </c>
      <c r="I2171" s="35">
        <f>H2171-F2171*VLOOKUP(銷售總表!B2171,產品!$A$2:$H$61,8,FALSE)</f>
        <v>28000</v>
      </c>
      <c r="J2171" s="20">
        <f t="shared" si="33"/>
        <v>0.30107526881720431</v>
      </c>
    </row>
    <row r="2172" spans="1:10" x14ac:dyDescent="0.3">
      <c r="A2172" s="33">
        <v>2171</v>
      </c>
      <c r="B2172" s="4">
        <v>45</v>
      </c>
      <c r="C2172" s="15">
        <v>112</v>
      </c>
      <c r="D2172" s="16">
        <v>6</v>
      </c>
      <c r="E2172" s="22">
        <v>44363</v>
      </c>
      <c r="F2172" s="17">
        <v>20</v>
      </c>
      <c r="G2172" s="18">
        <v>0.14000000000000001</v>
      </c>
      <c r="H2172">
        <f>F2172*VLOOKUP(B2172,產品!$A$2:$H$61,7,FALSE)*(1-銷售總表!G2172)</f>
        <v>240800</v>
      </c>
      <c r="I2172" s="35">
        <f>H2172-F2172*VLOOKUP(銷售總表!B2172,產品!$A$2:$H$61,8,FALSE)</f>
        <v>58800</v>
      </c>
      <c r="J2172" s="20">
        <f t="shared" si="33"/>
        <v>0.2441860465116279</v>
      </c>
    </row>
    <row r="2173" spans="1:10" x14ac:dyDescent="0.3">
      <c r="A2173" s="33">
        <v>2172</v>
      </c>
      <c r="B2173" s="4">
        <v>4</v>
      </c>
      <c r="C2173" s="15">
        <v>285</v>
      </c>
      <c r="D2173" s="16">
        <v>7</v>
      </c>
      <c r="E2173" s="22">
        <v>44364</v>
      </c>
      <c r="F2173" s="19">
        <v>18</v>
      </c>
      <c r="G2173" s="18">
        <v>0.18</v>
      </c>
      <c r="H2173">
        <f>F2173*VLOOKUP(B2173,產品!$A$2:$H$61,7,FALSE)*(1-銷售總表!G2173)</f>
        <v>14760.000000000002</v>
      </c>
      <c r="I2173" s="35">
        <f>H2173-F2173*VLOOKUP(銷售總表!B2173,產品!$A$2:$H$61,8,FALSE)</f>
        <v>7560.0000000000018</v>
      </c>
      <c r="J2173" s="20">
        <f t="shared" si="33"/>
        <v>0.51219512195121952</v>
      </c>
    </row>
    <row r="2174" spans="1:10" x14ac:dyDescent="0.3">
      <c r="A2174" s="33">
        <v>2173</v>
      </c>
      <c r="B2174" s="4">
        <v>34</v>
      </c>
      <c r="C2174" s="15">
        <v>112</v>
      </c>
      <c r="D2174" s="16">
        <v>2</v>
      </c>
      <c r="E2174" s="22">
        <v>44364</v>
      </c>
      <c r="F2174" s="19">
        <v>5</v>
      </c>
      <c r="G2174" s="18">
        <v>0.19</v>
      </c>
      <c r="H2174">
        <f>F2174*VLOOKUP(B2174,產品!$A$2:$H$61,7,FALSE)*(1-銷售總表!G2174)</f>
        <v>32400.000000000004</v>
      </c>
      <c r="I2174" s="35">
        <f>H2174-F2174*VLOOKUP(銷售總表!B2174,產品!$A$2:$H$61,8,FALSE)</f>
        <v>8400.0000000000036</v>
      </c>
      <c r="J2174" s="20">
        <f t="shared" si="33"/>
        <v>0.25925925925925936</v>
      </c>
    </row>
    <row r="2175" spans="1:10" x14ac:dyDescent="0.3">
      <c r="A2175" s="33">
        <v>2174</v>
      </c>
      <c r="B2175" s="4">
        <v>34</v>
      </c>
      <c r="C2175" s="15">
        <v>8</v>
      </c>
      <c r="D2175" s="16">
        <v>4</v>
      </c>
      <c r="E2175" s="22">
        <v>44364</v>
      </c>
      <c r="F2175" s="19">
        <v>8</v>
      </c>
      <c r="G2175" s="18">
        <v>0.2</v>
      </c>
      <c r="H2175">
        <f>F2175*VLOOKUP(B2175,產品!$A$2:$H$61,7,FALSE)*(1-銷售總表!G2175)</f>
        <v>51200</v>
      </c>
      <c r="I2175" s="35">
        <f>H2175-F2175*VLOOKUP(銷售總表!B2175,產品!$A$2:$H$61,8,FALSE)</f>
        <v>12800</v>
      </c>
      <c r="J2175" s="20">
        <f t="shared" si="33"/>
        <v>0.25</v>
      </c>
    </row>
    <row r="2176" spans="1:10" x14ac:dyDescent="0.3">
      <c r="A2176" s="33">
        <v>2175</v>
      </c>
      <c r="B2176" s="4">
        <v>11</v>
      </c>
      <c r="C2176" s="15">
        <v>291</v>
      </c>
      <c r="D2176" s="16">
        <v>7</v>
      </c>
      <c r="E2176" s="22">
        <v>44364</v>
      </c>
      <c r="F2176" s="19">
        <v>45</v>
      </c>
      <c r="G2176" s="18">
        <v>0.15</v>
      </c>
      <c r="H2176">
        <f>F2176*VLOOKUP(B2176,產品!$A$2:$H$61,7,FALSE)*(1-銷售總表!G2176)</f>
        <v>38250</v>
      </c>
      <c r="I2176" s="35">
        <f>H2176-F2176*VLOOKUP(銷售總表!B2176,產品!$A$2:$H$61,8,FALSE)</f>
        <v>20250</v>
      </c>
      <c r="J2176" s="20">
        <f t="shared" si="33"/>
        <v>0.52941176470588236</v>
      </c>
    </row>
    <row r="2177" spans="1:10" x14ac:dyDescent="0.3">
      <c r="A2177" s="33">
        <v>2176</v>
      </c>
      <c r="B2177" s="4">
        <v>3</v>
      </c>
      <c r="C2177" s="15">
        <v>292</v>
      </c>
      <c r="D2177" s="16">
        <v>1</v>
      </c>
      <c r="E2177" s="22">
        <v>44364</v>
      </c>
      <c r="F2177" s="19">
        <v>60</v>
      </c>
      <c r="G2177" s="18">
        <v>0.1</v>
      </c>
      <c r="H2177">
        <f>F2177*VLOOKUP(B2177,產品!$A$2:$H$61,7,FALSE)*(1-銷售總表!G2177)</f>
        <v>54000</v>
      </c>
      <c r="I2177" s="35">
        <f>H2177-F2177*VLOOKUP(銷售總表!B2177,產品!$A$2:$H$61,8,FALSE)</f>
        <v>30000</v>
      </c>
      <c r="J2177" s="20">
        <f t="shared" si="33"/>
        <v>0.55555555555555558</v>
      </c>
    </row>
    <row r="2178" spans="1:10" x14ac:dyDescent="0.3">
      <c r="A2178" s="33">
        <v>2177</v>
      </c>
      <c r="B2178" s="4">
        <v>29</v>
      </c>
      <c r="C2178" s="15">
        <v>116</v>
      </c>
      <c r="D2178" s="16">
        <v>10</v>
      </c>
      <c r="E2178" s="22">
        <v>44364</v>
      </c>
      <c r="F2178" s="19">
        <v>20</v>
      </c>
      <c r="G2178" s="18">
        <v>0.13</v>
      </c>
      <c r="H2178">
        <f>F2178*VLOOKUP(B2178,產品!$A$2:$H$61,7,FALSE)*(1-銷售總表!G2178)</f>
        <v>104400</v>
      </c>
      <c r="I2178" s="35">
        <f>H2178-F2178*VLOOKUP(銷售總表!B2178,產品!$A$2:$H$61,8,FALSE)</f>
        <v>32400</v>
      </c>
      <c r="J2178" s="20">
        <f t="shared" si="33"/>
        <v>0.31034482758620691</v>
      </c>
    </row>
    <row r="2179" spans="1:10" x14ac:dyDescent="0.3">
      <c r="A2179" s="33">
        <v>2178</v>
      </c>
      <c r="B2179" s="4">
        <v>39</v>
      </c>
      <c r="C2179" s="15">
        <v>140</v>
      </c>
      <c r="D2179" s="16">
        <v>3</v>
      </c>
      <c r="E2179" s="22">
        <v>44365</v>
      </c>
      <c r="F2179" s="17">
        <v>5</v>
      </c>
      <c r="G2179" s="18">
        <v>0.15</v>
      </c>
      <c r="H2179">
        <f>F2179*VLOOKUP(B2179,產品!$A$2:$H$61,7,FALSE)*(1-銷售總表!G2179)</f>
        <v>76500</v>
      </c>
      <c r="I2179" s="35">
        <f>H2179-F2179*VLOOKUP(銷售總表!B2179,產品!$A$2:$H$61,8,FALSE)</f>
        <v>18000</v>
      </c>
      <c r="J2179" s="20">
        <f t="shared" ref="J2179:J2242" si="34">I2179/H2179</f>
        <v>0.23529411764705882</v>
      </c>
    </row>
    <row r="2180" spans="1:10" x14ac:dyDescent="0.3">
      <c r="A2180" s="33">
        <v>2179</v>
      </c>
      <c r="B2180" s="4">
        <v>50</v>
      </c>
      <c r="C2180" s="15">
        <v>258</v>
      </c>
      <c r="D2180" s="16">
        <v>7</v>
      </c>
      <c r="E2180" s="22">
        <v>44365</v>
      </c>
      <c r="F2180" s="17">
        <v>12</v>
      </c>
      <c r="G2180" s="18">
        <v>0.16</v>
      </c>
      <c r="H2180">
        <f>F2180*VLOOKUP(B2180,產品!$A$2:$H$61,7,FALSE)*(1-銷售總表!G2180)</f>
        <v>181440</v>
      </c>
      <c r="I2180" s="35">
        <f>H2180-F2180*VLOOKUP(銷售總表!B2180,產品!$A$2:$H$61,8,FALSE)</f>
        <v>30240</v>
      </c>
      <c r="J2180" s="20">
        <f t="shared" si="34"/>
        <v>0.16666666666666666</v>
      </c>
    </row>
    <row r="2181" spans="1:10" x14ac:dyDescent="0.3">
      <c r="A2181" s="33">
        <v>2180</v>
      </c>
      <c r="B2181" s="4">
        <v>46</v>
      </c>
      <c r="C2181" s="15">
        <v>126</v>
      </c>
      <c r="D2181" s="16">
        <v>6</v>
      </c>
      <c r="E2181" s="22">
        <v>44365</v>
      </c>
      <c r="F2181" s="19">
        <v>10</v>
      </c>
      <c r="G2181" s="18">
        <v>0.14000000000000001</v>
      </c>
      <c r="H2181">
        <f>F2181*VLOOKUP(B2181,產品!$A$2:$H$61,7,FALSE)*(1-銷售總表!G2181)</f>
        <v>146200</v>
      </c>
      <c r="I2181" s="35">
        <f>H2181-F2181*VLOOKUP(銷售總表!B2181,產品!$A$2:$H$61,8,FALSE)</f>
        <v>35700</v>
      </c>
      <c r="J2181" s="20">
        <f t="shared" si="34"/>
        <v>0.2441860465116279</v>
      </c>
    </row>
    <row r="2182" spans="1:10" x14ac:dyDescent="0.3">
      <c r="A2182" s="33">
        <v>2181</v>
      </c>
      <c r="B2182" s="4">
        <v>28</v>
      </c>
      <c r="C2182" s="15">
        <v>272</v>
      </c>
      <c r="D2182" s="16">
        <v>7</v>
      </c>
      <c r="E2182" s="22">
        <v>44365</v>
      </c>
      <c r="F2182" s="19">
        <v>25</v>
      </c>
      <c r="G2182" s="18">
        <v>0.13</v>
      </c>
      <c r="H2182">
        <f>F2182*VLOOKUP(B2182,產品!$A$2:$H$61,7,FALSE)*(1-銷售總表!G2182)</f>
        <v>163125</v>
      </c>
      <c r="I2182" s="35">
        <f>H2182-F2182*VLOOKUP(銷售總表!B2182,產品!$A$2:$H$61,8,FALSE)</f>
        <v>50625</v>
      </c>
      <c r="J2182" s="20">
        <f t="shared" si="34"/>
        <v>0.31034482758620691</v>
      </c>
    </row>
    <row r="2183" spans="1:10" x14ac:dyDescent="0.3">
      <c r="A2183" s="33">
        <v>2182</v>
      </c>
      <c r="B2183" s="4">
        <v>57</v>
      </c>
      <c r="C2183" s="15">
        <v>273</v>
      </c>
      <c r="D2183" s="16">
        <v>6</v>
      </c>
      <c r="E2183" s="22">
        <v>44365</v>
      </c>
      <c r="F2183" s="19">
        <v>15</v>
      </c>
      <c r="G2183" s="18">
        <v>0.05</v>
      </c>
      <c r="H2183">
        <f>F2183*VLOOKUP(B2183,產品!$A$2:$H$61,7,FALSE)*(1-銷售總表!G2183)</f>
        <v>256500</v>
      </c>
      <c r="I2183" s="35">
        <f>H2183-F2183*VLOOKUP(銷售總表!B2183,產品!$A$2:$H$61,8,FALSE)</f>
        <v>67500</v>
      </c>
      <c r="J2183" s="20">
        <f t="shared" si="34"/>
        <v>0.26315789473684209</v>
      </c>
    </row>
    <row r="2184" spans="1:10" x14ac:dyDescent="0.3">
      <c r="A2184" s="33">
        <v>2183</v>
      </c>
      <c r="B2184" s="4">
        <v>13</v>
      </c>
      <c r="C2184" s="15">
        <v>138</v>
      </c>
      <c r="D2184" s="16">
        <v>10</v>
      </c>
      <c r="E2184" s="22">
        <v>44366</v>
      </c>
      <c r="F2184" s="17">
        <v>12</v>
      </c>
      <c r="G2184" s="18">
        <v>0.09</v>
      </c>
      <c r="H2184">
        <f>F2184*VLOOKUP(B2184,產品!$A$2:$H$61,7,FALSE)*(1-銷售總表!G2184)</f>
        <v>19656</v>
      </c>
      <c r="I2184" s="35">
        <f>H2184-F2184*VLOOKUP(銷售總表!B2184,產品!$A$2:$H$61,8,FALSE)</f>
        <v>11016</v>
      </c>
      <c r="J2184" s="20">
        <f t="shared" si="34"/>
        <v>0.56043956043956045</v>
      </c>
    </row>
    <row r="2185" spans="1:10" x14ac:dyDescent="0.3">
      <c r="A2185" s="33">
        <v>2184</v>
      </c>
      <c r="B2185" s="4">
        <v>3</v>
      </c>
      <c r="C2185" s="15">
        <v>261</v>
      </c>
      <c r="D2185" s="16">
        <v>2</v>
      </c>
      <c r="E2185" s="22">
        <v>44366</v>
      </c>
      <c r="F2185" s="17">
        <v>40</v>
      </c>
      <c r="G2185" s="18">
        <v>0.16</v>
      </c>
      <c r="H2185">
        <f>F2185*VLOOKUP(B2185,產品!$A$2:$H$61,7,FALSE)*(1-銷售總表!G2185)</f>
        <v>33600</v>
      </c>
      <c r="I2185" s="35">
        <f>H2185-F2185*VLOOKUP(銷售總表!B2185,產品!$A$2:$H$61,8,FALSE)</f>
        <v>17600</v>
      </c>
      <c r="J2185" s="20">
        <f t="shared" si="34"/>
        <v>0.52380952380952384</v>
      </c>
    </row>
    <row r="2186" spans="1:10" x14ac:dyDescent="0.3">
      <c r="A2186" s="33">
        <v>2185</v>
      </c>
      <c r="B2186" s="4">
        <v>19</v>
      </c>
      <c r="C2186" s="15">
        <v>271</v>
      </c>
      <c r="D2186" s="16">
        <v>8</v>
      </c>
      <c r="E2186" s="22">
        <v>44366</v>
      </c>
      <c r="F2186" s="17">
        <v>50</v>
      </c>
      <c r="G2186" s="18">
        <v>0.16</v>
      </c>
      <c r="H2186">
        <f>F2186*VLOOKUP(B2186,產品!$A$2:$H$61,7,FALSE)*(1-銷售總表!G2186)</f>
        <v>75600</v>
      </c>
      <c r="I2186" s="35">
        <f>H2186-F2186*VLOOKUP(銷售總表!B2186,產品!$A$2:$H$61,8,FALSE)</f>
        <v>39600</v>
      </c>
      <c r="J2186" s="20">
        <f t="shared" si="34"/>
        <v>0.52380952380952384</v>
      </c>
    </row>
    <row r="2187" spans="1:10" x14ac:dyDescent="0.3">
      <c r="A2187" s="33">
        <v>2186</v>
      </c>
      <c r="B2187" s="4">
        <v>48</v>
      </c>
      <c r="C2187" s="15">
        <v>283</v>
      </c>
      <c r="D2187" s="16">
        <v>8</v>
      </c>
      <c r="E2187" s="22">
        <v>44366</v>
      </c>
      <c r="F2187" s="19">
        <v>15</v>
      </c>
      <c r="G2187" s="18">
        <v>0.17</v>
      </c>
      <c r="H2187">
        <f>F2187*VLOOKUP(B2187,產品!$A$2:$H$61,7,FALSE)*(1-銷售總表!G2187)</f>
        <v>273900</v>
      </c>
      <c r="I2187" s="35">
        <f>H2187-F2187*VLOOKUP(銷售總表!B2187,產品!$A$2:$H$61,8,FALSE)</f>
        <v>59400</v>
      </c>
      <c r="J2187" s="20">
        <f t="shared" si="34"/>
        <v>0.21686746987951808</v>
      </c>
    </row>
    <row r="2188" spans="1:10" x14ac:dyDescent="0.3">
      <c r="A2188" s="33">
        <v>2187</v>
      </c>
      <c r="B2188" s="4">
        <v>45</v>
      </c>
      <c r="C2188" s="15">
        <v>4</v>
      </c>
      <c r="D2188" s="16">
        <v>3</v>
      </c>
      <c r="E2188" s="22">
        <v>44366</v>
      </c>
      <c r="F2188" s="17">
        <v>15</v>
      </c>
      <c r="G2188" s="18">
        <v>0.05</v>
      </c>
      <c r="H2188">
        <f>F2188*VLOOKUP(B2188,產品!$A$2:$H$61,7,FALSE)*(1-銷售總表!G2188)</f>
        <v>199500</v>
      </c>
      <c r="I2188" s="35">
        <f>H2188-F2188*VLOOKUP(銷售總表!B2188,產品!$A$2:$H$61,8,FALSE)</f>
        <v>63000</v>
      </c>
      <c r="J2188" s="20">
        <f t="shared" si="34"/>
        <v>0.31578947368421051</v>
      </c>
    </row>
    <row r="2189" spans="1:10" x14ac:dyDescent="0.3">
      <c r="A2189" s="33">
        <v>2188</v>
      </c>
      <c r="B2189" s="4">
        <v>33</v>
      </c>
      <c r="C2189" s="15">
        <v>290</v>
      </c>
      <c r="D2189" s="16">
        <v>4</v>
      </c>
      <c r="E2189" s="22">
        <v>44367</v>
      </c>
      <c r="F2189" s="17">
        <v>10</v>
      </c>
      <c r="G2189" s="18">
        <v>0.06</v>
      </c>
      <c r="H2189">
        <f>F2189*VLOOKUP(B2189,產品!$A$2:$H$61,7,FALSE)*(1-銷售總表!G2189)</f>
        <v>70500</v>
      </c>
      <c r="I2189" s="35">
        <f>H2189-F2189*VLOOKUP(銷售總表!B2189,產品!$A$2:$H$61,8,FALSE)</f>
        <v>25500</v>
      </c>
      <c r="J2189" s="20">
        <f t="shared" si="34"/>
        <v>0.36170212765957449</v>
      </c>
    </row>
    <row r="2190" spans="1:10" x14ac:dyDescent="0.3">
      <c r="A2190" s="33">
        <v>2189</v>
      </c>
      <c r="B2190" s="4">
        <v>30</v>
      </c>
      <c r="C2190" s="15">
        <v>124</v>
      </c>
      <c r="D2190" s="16">
        <v>6</v>
      </c>
      <c r="E2190" s="22">
        <v>44367</v>
      </c>
      <c r="F2190" s="17">
        <v>5</v>
      </c>
      <c r="G2190" s="18">
        <v>0.14000000000000001</v>
      </c>
      <c r="H2190">
        <f>F2190*VLOOKUP(B2190,產品!$A$2:$H$61,7,FALSE)*(1-銷售總表!G2190)</f>
        <v>27950</v>
      </c>
      <c r="I2190" s="35">
        <f>H2190-F2190*VLOOKUP(銷售總表!B2190,產品!$A$2:$H$61,8,FALSE)</f>
        <v>8450</v>
      </c>
      <c r="J2190" s="20">
        <f t="shared" si="34"/>
        <v>0.30232558139534882</v>
      </c>
    </row>
    <row r="2191" spans="1:10" x14ac:dyDescent="0.3">
      <c r="A2191" s="33">
        <v>2190</v>
      </c>
      <c r="B2191" s="4">
        <v>60</v>
      </c>
      <c r="C2191" s="15">
        <v>126</v>
      </c>
      <c r="D2191" s="16">
        <v>10</v>
      </c>
      <c r="E2191" s="22">
        <v>44367</v>
      </c>
      <c r="F2191" s="19">
        <v>2</v>
      </c>
      <c r="G2191" s="18">
        <v>0.1</v>
      </c>
      <c r="H2191">
        <f>F2191*VLOOKUP(B2191,產品!$A$2:$H$61,7,FALSE)*(1-銷售總表!G2191)</f>
        <v>45000</v>
      </c>
      <c r="I2191" s="35">
        <f>H2191-F2191*VLOOKUP(銷售總表!B2191,產品!$A$2:$H$61,8,FALSE)</f>
        <v>10000</v>
      </c>
      <c r="J2191" s="20">
        <f t="shared" si="34"/>
        <v>0.22222222222222221</v>
      </c>
    </row>
    <row r="2192" spans="1:10" x14ac:dyDescent="0.3">
      <c r="A2192" s="33">
        <v>2191</v>
      </c>
      <c r="B2192" s="4">
        <v>4</v>
      </c>
      <c r="C2192" s="15">
        <v>120</v>
      </c>
      <c r="D2192" s="16">
        <v>8</v>
      </c>
      <c r="E2192" s="22">
        <v>44367</v>
      </c>
      <c r="F2192" s="17">
        <v>30</v>
      </c>
      <c r="G2192" s="18">
        <v>0.2</v>
      </c>
      <c r="H2192">
        <f>F2192*VLOOKUP(B2192,產品!$A$2:$H$61,7,FALSE)*(1-銷售總表!G2192)</f>
        <v>24000</v>
      </c>
      <c r="I2192" s="35">
        <f>H2192-F2192*VLOOKUP(銷售總表!B2192,產品!$A$2:$H$61,8,FALSE)</f>
        <v>12000</v>
      </c>
      <c r="J2192" s="20">
        <f t="shared" si="34"/>
        <v>0.5</v>
      </c>
    </row>
    <row r="2193" spans="1:10" x14ac:dyDescent="0.3">
      <c r="A2193" s="33">
        <v>2192</v>
      </c>
      <c r="B2193" s="4">
        <v>24</v>
      </c>
      <c r="C2193" s="15">
        <v>126</v>
      </c>
      <c r="D2193" s="16">
        <v>9</v>
      </c>
      <c r="E2193" s="22">
        <v>44367</v>
      </c>
      <c r="F2193" s="17">
        <v>20</v>
      </c>
      <c r="G2193" s="18">
        <v>0.2</v>
      </c>
      <c r="H2193">
        <f>F2193*VLOOKUP(B2193,產品!$A$2:$H$61,7,FALSE)*(1-銷售總表!G2193)</f>
        <v>28800</v>
      </c>
      <c r="I2193" s="35">
        <f>H2193-F2193*VLOOKUP(銷售總表!B2193,產品!$A$2:$H$61,8,FALSE)</f>
        <v>14400</v>
      </c>
      <c r="J2193" s="20">
        <f t="shared" si="34"/>
        <v>0.5</v>
      </c>
    </row>
    <row r="2194" spans="1:10" x14ac:dyDescent="0.3">
      <c r="A2194" s="33">
        <v>2193</v>
      </c>
      <c r="B2194" s="4">
        <v>2</v>
      </c>
      <c r="C2194" s="15">
        <v>123</v>
      </c>
      <c r="D2194" s="16">
        <v>2</v>
      </c>
      <c r="E2194" s="22">
        <v>44367</v>
      </c>
      <c r="F2194" s="19">
        <v>90</v>
      </c>
      <c r="G2194" s="18">
        <v>0.12</v>
      </c>
      <c r="H2194">
        <f>F2194*VLOOKUP(B2194,產品!$A$2:$H$61,7,FALSE)*(1-銷售總表!G2194)</f>
        <v>79200</v>
      </c>
      <c r="I2194" s="35">
        <f>H2194-F2194*VLOOKUP(銷售總表!B2194,產品!$A$2:$H$61,8,FALSE)</f>
        <v>43200</v>
      </c>
      <c r="J2194" s="20">
        <f t="shared" si="34"/>
        <v>0.54545454545454541</v>
      </c>
    </row>
    <row r="2195" spans="1:10" x14ac:dyDescent="0.3">
      <c r="A2195" s="33">
        <v>2194</v>
      </c>
      <c r="B2195" s="4">
        <v>58</v>
      </c>
      <c r="C2195" s="15">
        <v>284</v>
      </c>
      <c r="D2195" s="16">
        <v>1</v>
      </c>
      <c r="E2195" s="22">
        <v>44368</v>
      </c>
      <c r="F2195" s="17">
        <v>1</v>
      </c>
      <c r="G2195" s="18">
        <v>0.08</v>
      </c>
      <c r="H2195">
        <f>F2195*VLOOKUP(B2195,產品!$A$2:$H$61,7,FALSE)*(1-銷售總表!G2195)</f>
        <v>19320</v>
      </c>
      <c r="I2195" s="35">
        <f>H2195-F2195*VLOOKUP(銷售總表!B2195,產品!$A$2:$H$61,8,FALSE)</f>
        <v>4620.0000000000018</v>
      </c>
      <c r="J2195" s="20">
        <f t="shared" si="34"/>
        <v>0.23913043478260879</v>
      </c>
    </row>
    <row r="2196" spans="1:10" x14ac:dyDescent="0.3">
      <c r="A2196" s="33">
        <v>2195</v>
      </c>
      <c r="B2196" s="4">
        <v>20</v>
      </c>
      <c r="C2196" s="15">
        <v>276</v>
      </c>
      <c r="D2196" s="16">
        <v>1</v>
      </c>
      <c r="E2196" s="22">
        <v>44368</v>
      </c>
      <c r="F2196" s="17">
        <v>11</v>
      </c>
      <c r="G2196" s="18">
        <v>0.06</v>
      </c>
      <c r="H2196">
        <f>F2196*VLOOKUP(B2196,產品!$A$2:$H$61,7,FALSE)*(1-銷售總表!G2196)</f>
        <v>18612</v>
      </c>
      <c r="I2196" s="35">
        <f>H2196-F2196*VLOOKUP(銷售總表!B2196,產品!$A$2:$H$61,8,FALSE)</f>
        <v>10692</v>
      </c>
      <c r="J2196" s="20">
        <f t="shared" si="34"/>
        <v>0.57446808510638303</v>
      </c>
    </row>
    <row r="2197" spans="1:10" x14ac:dyDescent="0.3">
      <c r="A2197" s="33">
        <v>2196</v>
      </c>
      <c r="B2197" s="4">
        <v>42</v>
      </c>
      <c r="C2197" s="15">
        <v>278</v>
      </c>
      <c r="D2197" s="16">
        <v>7</v>
      </c>
      <c r="E2197" s="22">
        <v>44368</v>
      </c>
      <c r="F2197" s="17">
        <v>3</v>
      </c>
      <c r="G2197" s="18">
        <v>0.08</v>
      </c>
      <c r="H2197">
        <f>F2197*VLOOKUP(B2197,產品!$A$2:$H$61,7,FALSE)*(1-銷售總表!G2197)</f>
        <v>41400</v>
      </c>
      <c r="I2197" s="35">
        <f>H2197-F2197*VLOOKUP(銷售總表!B2197,產品!$A$2:$H$61,8,FALSE)</f>
        <v>12150</v>
      </c>
      <c r="J2197" s="20">
        <f t="shared" si="34"/>
        <v>0.29347826086956524</v>
      </c>
    </row>
    <row r="2198" spans="1:10" x14ac:dyDescent="0.3">
      <c r="A2198" s="33">
        <v>2197</v>
      </c>
      <c r="B2198" s="4">
        <v>2</v>
      </c>
      <c r="C2198" s="15">
        <v>282</v>
      </c>
      <c r="D2198" s="16">
        <v>7</v>
      </c>
      <c r="E2198" s="22">
        <v>44368</v>
      </c>
      <c r="F2198" s="17">
        <v>30</v>
      </c>
      <c r="G2198" s="18">
        <v>0.16</v>
      </c>
      <c r="H2198">
        <f>F2198*VLOOKUP(B2198,產品!$A$2:$H$61,7,FALSE)*(1-銷售總表!G2198)</f>
        <v>25200</v>
      </c>
      <c r="I2198" s="35">
        <f>H2198-F2198*VLOOKUP(銷售總表!B2198,產品!$A$2:$H$61,8,FALSE)</f>
        <v>13200</v>
      </c>
      <c r="J2198" s="20">
        <f t="shared" si="34"/>
        <v>0.52380952380952384</v>
      </c>
    </row>
    <row r="2199" spans="1:10" x14ac:dyDescent="0.3">
      <c r="A2199" s="33">
        <v>2198</v>
      </c>
      <c r="B2199" s="4">
        <v>8</v>
      </c>
      <c r="C2199" s="15">
        <v>260</v>
      </c>
      <c r="D2199" s="16">
        <v>1</v>
      </c>
      <c r="E2199" s="22">
        <v>44368</v>
      </c>
      <c r="F2199" s="19">
        <v>30</v>
      </c>
      <c r="G2199" s="18">
        <v>0.14000000000000001</v>
      </c>
      <c r="H2199">
        <f>F2199*VLOOKUP(B2199,產品!$A$2:$H$61,7,FALSE)*(1-銷售總表!G2199)</f>
        <v>25800</v>
      </c>
      <c r="I2199" s="35">
        <f>H2199-F2199*VLOOKUP(銷售總表!B2199,產品!$A$2:$H$61,8,FALSE)</f>
        <v>13800</v>
      </c>
      <c r="J2199" s="20">
        <f t="shared" si="34"/>
        <v>0.53488372093023251</v>
      </c>
    </row>
    <row r="2200" spans="1:10" x14ac:dyDescent="0.3">
      <c r="A2200" s="33">
        <v>2199</v>
      </c>
      <c r="B2200" s="4">
        <v>24</v>
      </c>
      <c r="C2200" s="15">
        <v>282</v>
      </c>
      <c r="D2200" s="16">
        <v>4</v>
      </c>
      <c r="E2200" s="22">
        <v>44368</v>
      </c>
      <c r="F2200" s="17">
        <v>20</v>
      </c>
      <c r="G2200" s="18">
        <v>0.1</v>
      </c>
      <c r="H2200">
        <f>F2200*VLOOKUP(B2200,產品!$A$2:$H$61,7,FALSE)*(1-銷售總表!G2200)</f>
        <v>32400</v>
      </c>
      <c r="I2200" s="35">
        <f>H2200-F2200*VLOOKUP(銷售總表!B2200,產品!$A$2:$H$61,8,FALSE)</f>
        <v>18000</v>
      </c>
      <c r="J2200" s="20">
        <f t="shared" si="34"/>
        <v>0.55555555555555558</v>
      </c>
    </row>
    <row r="2201" spans="1:10" x14ac:dyDescent="0.3">
      <c r="A2201" s="33">
        <v>2200</v>
      </c>
      <c r="B2201" s="4">
        <v>22</v>
      </c>
      <c r="C2201" s="15">
        <v>115</v>
      </c>
      <c r="D2201" s="16">
        <v>7</v>
      </c>
      <c r="E2201" s="22">
        <v>44368</v>
      </c>
      <c r="F2201" s="19">
        <v>40</v>
      </c>
      <c r="G2201" s="18">
        <v>0.1</v>
      </c>
      <c r="H2201">
        <f>F2201*VLOOKUP(B2201,產品!$A$2:$H$61,7,FALSE)*(1-銷售總表!G2201)</f>
        <v>64800</v>
      </c>
      <c r="I2201" s="35">
        <f>H2201-F2201*VLOOKUP(銷售總表!B2201,產品!$A$2:$H$61,8,FALSE)</f>
        <v>36000</v>
      </c>
      <c r="J2201" s="20">
        <f t="shared" si="34"/>
        <v>0.55555555555555558</v>
      </c>
    </row>
    <row r="2202" spans="1:10" x14ac:dyDescent="0.3">
      <c r="A2202" s="33">
        <v>2201</v>
      </c>
      <c r="B2202" s="4">
        <v>60</v>
      </c>
      <c r="C2202" s="15">
        <v>123</v>
      </c>
      <c r="D2202" s="16">
        <v>1</v>
      </c>
      <c r="E2202" s="22">
        <v>44368</v>
      </c>
      <c r="F2202" s="19">
        <v>7</v>
      </c>
      <c r="G2202" s="18">
        <v>0.09</v>
      </c>
      <c r="H2202">
        <f>F2202*VLOOKUP(B2202,產品!$A$2:$H$61,7,FALSE)*(1-銷售總表!G2202)</f>
        <v>159250</v>
      </c>
      <c r="I2202" s="35">
        <f>H2202-F2202*VLOOKUP(銷售總表!B2202,產品!$A$2:$H$61,8,FALSE)</f>
        <v>36750</v>
      </c>
      <c r="J2202" s="20">
        <f t="shared" si="34"/>
        <v>0.23076923076923078</v>
      </c>
    </row>
    <row r="2203" spans="1:10" x14ac:dyDescent="0.3">
      <c r="A2203" s="33">
        <v>2202</v>
      </c>
      <c r="B2203" s="4">
        <v>9</v>
      </c>
      <c r="C2203" s="15">
        <v>5</v>
      </c>
      <c r="D2203" s="16">
        <v>8</v>
      </c>
      <c r="E2203" s="22">
        <v>44368</v>
      </c>
      <c r="F2203" s="17">
        <v>100</v>
      </c>
      <c r="G2203" s="18">
        <v>0.08</v>
      </c>
      <c r="H2203">
        <f>F2203*VLOOKUP(B2203,產品!$A$2:$H$61,7,FALSE)*(1-銷售總表!G2203)</f>
        <v>92000</v>
      </c>
      <c r="I2203" s="35">
        <f>H2203-F2203*VLOOKUP(銷售總表!B2203,產品!$A$2:$H$61,8,FALSE)</f>
        <v>52000</v>
      </c>
      <c r="J2203" s="20">
        <f t="shared" si="34"/>
        <v>0.56521739130434778</v>
      </c>
    </row>
    <row r="2204" spans="1:10" x14ac:dyDescent="0.3">
      <c r="A2204" s="33">
        <v>2203</v>
      </c>
      <c r="B2204" s="4">
        <v>2</v>
      </c>
      <c r="C2204" s="15">
        <v>8</v>
      </c>
      <c r="D2204" s="16">
        <v>7</v>
      </c>
      <c r="E2204" s="22">
        <v>44368</v>
      </c>
      <c r="F2204" s="19">
        <v>200</v>
      </c>
      <c r="G2204" s="18">
        <v>0.15</v>
      </c>
      <c r="H2204">
        <f>F2204*VLOOKUP(B2204,產品!$A$2:$H$61,7,FALSE)*(1-銷售總表!G2204)</f>
        <v>170000</v>
      </c>
      <c r="I2204" s="35">
        <f>H2204-F2204*VLOOKUP(銷售總表!B2204,產品!$A$2:$H$61,8,FALSE)</f>
        <v>90000</v>
      </c>
      <c r="J2204" s="20">
        <f t="shared" si="34"/>
        <v>0.52941176470588236</v>
      </c>
    </row>
    <row r="2205" spans="1:10" x14ac:dyDescent="0.3">
      <c r="A2205" s="33">
        <v>2204</v>
      </c>
      <c r="B2205" s="4">
        <v>23</v>
      </c>
      <c r="C2205" s="15">
        <v>284</v>
      </c>
      <c r="D2205" s="16">
        <v>5</v>
      </c>
      <c r="E2205" s="22">
        <v>44368</v>
      </c>
      <c r="F2205" s="17">
        <v>150</v>
      </c>
      <c r="G2205" s="18">
        <v>7.0000000000000007E-2</v>
      </c>
      <c r="H2205">
        <f>F2205*VLOOKUP(B2205,產品!$A$2:$H$61,7,FALSE)*(1-銷售總表!G2205)</f>
        <v>251099.99999999997</v>
      </c>
      <c r="I2205" s="35">
        <f>H2205-F2205*VLOOKUP(銷售總表!B2205,產品!$A$2:$H$61,8,FALSE)</f>
        <v>143099.99999999997</v>
      </c>
      <c r="J2205" s="20">
        <f t="shared" si="34"/>
        <v>0.56989247311827951</v>
      </c>
    </row>
    <row r="2206" spans="1:10" x14ac:dyDescent="0.3">
      <c r="A2206" s="33">
        <v>2205</v>
      </c>
      <c r="B2206" s="4">
        <v>35</v>
      </c>
      <c r="C2206" s="15">
        <v>293</v>
      </c>
      <c r="D2206" s="16">
        <v>1</v>
      </c>
      <c r="E2206" s="22">
        <v>44369</v>
      </c>
      <c r="F2206" s="19">
        <v>3</v>
      </c>
      <c r="G2206" s="18">
        <v>0.09</v>
      </c>
      <c r="H2206">
        <f>F2206*VLOOKUP(B2206,產品!$A$2:$H$61,7,FALSE)*(1-銷售總表!G2206)</f>
        <v>23205</v>
      </c>
      <c r="I2206" s="35">
        <f>H2206-F2206*VLOOKUP(銷售總表!B2206,產品!$A$2:$H$61,8,FALSE)</f>
        <v>7905</v>
      </c>
      <c r="J2206" s="20">
        <f t="shared" si="34"/>
        <v>0.34065934065934067</v>
      </c>
    </row>
    <row r="2207" spans="1:10" x14ac:dyDescent="0.3">
      <c r="A2207" s="33">
        <v>2206</v>
      </c>
      <c r="B2207" s="4">
        <v>42</v>
      </c>
      <c r="C2207" s="15">
        <v>118</v>
      </c>
      <c r="D2207" s="16">
        <v>3</v>
      </c>
      <c r="E2207" s="22">
        <v>44369</v>
      </c>
      <c r="F2207" s="17">
        <v>3</v>
      </c>
      <c r="G2207" s="18">
        <v>0.17</v>
      </c>
      <c r="H2207">
        <f>F2207*VLOOKUP(B2207,產品!$A$2:$H$61,7,FALSE)*(1-銷售總表!G2207)</f>
        <v>37350</v>
      </c>
      <c r="I2207" s="35">
        <f>H2207-F2207*VLOOKUP(銷售總表!B2207,產品!$A$2:$H$61,8,FALSE)</f>
        <v>8100</v>
      </c>
      <c r="J2207" s="20">
        <f t="shared" si="34"/>
        <v>0.21686746987951808</v>
      </c>
    </row>
    <row r="2208" spans="1:10" x14ac:dyDescent="0.3">
      <c r="A2208" s="33">
        <v>2207</v>
      </c>
      <c r="B2208" s="4">
        <v>47</v>
      </c>
      <c r="C2208" s="15">
        <v>261</v>
      </c>
      <c r="D2208" s="16">
        <v>6</v>
      </c>
      <c r="E2208" s="22">
        <v>44369</v>
      </c>
      <c r="F2208" s="17">
        <v>2</v>
      </c>
      <c r="G2208" s="18">
        <v>0.08</v>
      </c>
      <c r="H2208">
        <f>F2208*VLOOKUP(B2208,產品!$A$2:$H$61,7,FALSE)*(1-銷售總表!G2208)</f>
        <v>36800</v>
      </c>
      <c r="I2208" s="35">
        <f>H2208-F2208*VLOOKUP(銷售總表!B2208,產品!$A$2:$H$61,8,FALSE)</f>
        <v>10800</v>
      </c>
      <c r="J2208" s="20">
        <f t="shared" si="34"/>
        <v>0.29347826086956524</v>
      </c>
    </row>
    <row r="2209" spans="1:10" x14ac:dyDescent="0.3">
      <c r="A2209" s="33">
        <v>2208</v>
      </c>
      <c r="B2209" s="4">
        <v>2</v>
      </c>
      <c r="C2209" s="15">
        <v>11</v>
      </c>
      <c r="D2209" s="16">
        <v>5</v>
      </c>
      <c r="E2209" s="22">
        <v>44369</v>
      </c>
      <c r="F2209" s="19">
        <v>20</v>
      </c>
      <c r="G2209" s="18">
        <v>0.05</v>
      </c>
      <c r="H2209">
        <f>F2209*VLOOKUP(B2209,產品!$A$2:$H$61,7,FALSE)*(1-銷售總表!G2209)</f>
        <v>19000</v>
      </c>
      <c r="I2209" s="35">
        <f>H2209-F2209*VLOOKUP(銷售總表!B2209,產品!$A$2:$H$61,8,FALSE)</f>
        <v>11000</v>
      </c>
      <c r="J2209" s="20">
        <f t="shared" si="34"/>
        <v>0.57894736842105265</v>
      </c>
    </row>
    <row r="2210" spans="1:10" x14ac:dyDescent="0.3">
      <c r="A2210" s="33">
        <v>2209</v>
      </c>
      <c r="B2210" s="4">
        <v>18</v>
      </c>
      <c r="C2210" s="15">
        <v>258</v>
      </c>
      <c r="D2210" s="16">
        <v>3</v>
      </c>
      <c r="E2210" s="22">
        <v>44369</v>
      </c>
      <c r="F2210" s="19">
        <v>100</v>
      </c>
      <c r="G2210" s="18">
        <v>0.1</v>
      </c>
      <c r="H2210">
        <f>F2210*VLOOKUP(B2210,產品!$A$2:$H$61,7,FALSE)*(1-銷售總表!G2210)</f>
        <v>162000</v>
      </c>
      <c r="I2210" s="35">
        <f>H2210-F2210*VLOOKUP(銷售總表!B2210,產品!$A$2:$H$61,8,FALSE)</f>
        <v>90000</v>
      </c>
      <c r="J2210" s="20">
        <f t="shared" si="34"/>
        <v>0.55555555555555558</v>
      </c>
    </row>
    <row r="2211" spans="1:10" x14ac:dyDescent="0.3">
      <c r="A2211" s="33">
        <v>2210</v>
      </c>
      <c r="B2211" s="4">
        <v>35</v>
      </c>
      <c r="C2211" s="15">
        <v>271</v>
      </c>
      <c r="D2211" s="16">
        <v>10</v>
      </c>
      <c r="E2211" s="22">
        <v>44370</v>
      </c>
      <c r="F2211" s="19">
        <v>6</v>
      </c>
      <c r="G2211" s="18">
        <v>0.1</v>
      </c>
      <c r="H2211">
        <f>F2211*VLOOKUP(B2211,產品!$A$2:$H$61,7,FALSE)*(1-銷售總表!G2211)</f>
        <v>45900</v>
      </c>
      <c r="I2211" s="35">
        <f>H2211-F2211*VLOOKUP(銷售總表!B2211,產品!$A$2:$H$61,8,FALSE)</f>
        <v>15300</v>
      </c>
      <c r="J2211" s="20">
        <f t="shared" si="34"/>
        <v>0.33333333333333331</v>
      </c>
    </row>
    <row r="2212" spans="1:10" x14ac:dyDescent="0.3">
      <c r="A2212" s="33">
        <v>2211</v>
      </c>
      <c r="B2212" s="4">
        <v>3</v>
      </c>
      <c r="C2212" s="15">
        <v>272</v>
      </c>
      <c r="D2212" s="16">
        <v>3</v>
      </c>
      <c r="E2212" s="22">
        <v>44370</v>
      </c>
      <c r="F2212" s="19">
        <v>30</v>
      </c>
      <c r="G2212" s="18">
        <v>0.05</v>
      </c>
      <c r="H2212">
        <f>F2212*VLOOKUP(B2212,產品!$A$2:$H$61,7,FALSE)*(1-銷售總表!G2212)</f>
        <v>28500</v>
      </c>
      <c r="I2212" s="35">
        <f>H2212-F2212*VLOOKUP(銷售總表!B2212,產品!$A$2:$H$61,8,FALSE)</f>
        <v>16500</v>
      </c>
      <c r="J2212" s="20">
        <f t="shared" si="34"/>
        <v>0.57894736842105265</v>
      </c>
    </row>
    <row r="2213" spans="1:10" x14ac:dyDescent="0.3">
      <c r="A2213" s="33">
        <v>2212</v>
      </c>
      <c r="B2213" s="4">
        <v>49</v>
      </c>
      <c r="C2213" s="15">
        <v>12</v>
      </c>
      <c r="D2213" s="16">
        <v>1</v>
      </c>
      <c r="E2213" s="22">
        <v>44370</v>
      </c>
      <c r="F2213" s="17">
        <v>15</v>
      </c>
      <c r="G2213" s="18">
        <v>0.06</v>
      </c>
      <c r="H2213">
        <f>F2213*VLOOKUP(B2213,產品!$A$2:$H$61,7,FALSE)*(1-銷售總表!G2213)</f>
        <v>211500</v>
      </c>
      <c r="I2213" s="35">
        <f>H2213-F2213*VLOOKUP(銷售總表!B2213,產品!$A$2:$H$61,8,FALSE)</f>
        <v>54000</v>
      </c>
      <c r="J2213" s="20">
        <f t="shared" si="34"/>
        <v>0.25531914893617019</v>
      </c>
    </row>
    <row r="2214" spans="1:10" x14ac:dyDescent="0.3">
      <c r="A2214" s="33">
        <v>2213</v>
      </c>
      <c r="B2214" s="4">
        <v>9</v>
      </c>
      <c r="C2214" s="15">
        <v>285</v>
      </c>
      <c r="D2214" s="16">
        <v>7</v>
      </c>
      <c r="E2214" s="22">
        <v>44371</v>
      </c>
      <c r="F2214" s="19">
        <v>11</v>
      </c>
      <c r="G2214" s="18">
        <v>0.17</v>
      </c>
      <c r="H2214">
        <f>F2214*VLOOKUP(B2214,產品!$A$2:$H$61,7,FALSE)*(1-銷售總表!G2214)</f>
        <v>9130</v>
      </c>
      <c r="I2214" s="35">
        <f>H2214-F2214*VLOOKUP(銷售總表!B2214,產品!$A$2:$H$61,8,FALSE)</f>
        <v>4730</v>
      </c>
      <c r="J2214" s="20">
        <f t="shared" si="34"/>
        <v>0.51807228915662651</v>
      </c>
    </row>
    <row r="2215" spans="1:10" x14ac:dyDescent="0.3">
      <c r="A2215" s="33">
        <v>2214</v>
      </c>
      <c r="B2215" s="4">
        <v>5</v>
      </c>
      <c r="C2215" s="15">
        <v>265</v>
      </c>
      <c r="D2215" s="16">
        <v>1</v>
      </c>
      <c r="E2215" s="22">
        <v>44371</v>
      </c>
      <c r="F2215" s="19">
        <v>10</v>
      </c>
      <c r="G2215" s="18">
        <v>0.09</v>
      </c>
      <c r="H2215">
        <f>F2215*VLOOKUP(B2215,產品!$A$2:$H$61,7,FALSE)*(1-銷售總表!G2215)</f>
        <v>9100</v>
      </c>
      <c r="I2215" s="35">
        <f>H2215-F2215*VLOOKUP(銷售總表!B2215,產品!$A$2:$H$61,8,FALSE)</f>
        <v>5100</v>
      </c>
      <c r="J2215" s="20">
        <f t="shared" si="34"/>
        <v>0.56043956043956045</v>
      </c>
    </row>
    <row r="2216" spans="1:10" x14ac:dyDescent="0.3">
      <c r="A2216" s="33">
        <v>2215</v>
      </c>
      <c r="B2216" s="4">
        <v>26</v>
      </c>
      <c r="C2216" s="15">
        <v>265</v>
      </c>
      <c r="D2216" s="16">
        <v>9</v>
      </c>
      <c r="E2216" s="22">
        <v>44371</v>
      </c>
      <c r="F2216" s="19">
        <v>6</v>
      </c>
      <c r="G2216" s="18">
        <v>0.2</v>
      </c>
      <c r="H2216">
        <f>F2216*VLOOKUP(B2216,產品!$A$2:$H$61,7,FALSE)*(1-銷售總表!G2216)</f>
        <v>31200</v>
      </c>
      <c r="I2216" s="35">
        <f>H2216-F2216*VLOOKUP(銷售總表!B2216,產品!$A$2:$H$61,8,FALSE)</f>
        <v>7800</v>
      </c>
      <c r="J2216" s="20">
        <f t="shared" si="34"/>
        <v>0.25</v>
      </c>
    </row>
    <row r="2217" spans="1:10" x14ac:dyDescent="0.3">
      <c r="A2217" s="33">
        <v>2216</v>
      </c>
      <c r="B2217" s="4">
        <v>16</v>
      </c>
      <c r="C2217" s="15">
        <v>281</v>
      </c>
      <c r="D2217" s="16">
        <v>5</v>
      </c>
      <c r="E2217" s="22">
        <v>44371</v>
      </c>
      <c r="F2217" s="17">
        <v>30</v>
      </c>
      <c r="G2217" s="18">
        <v>0.13</v>
      </c>
      <c r="H2217">
        <f>F2217*VLOOKUP(B2217,產品!$A$2:$H$61,7,FALSE)*(1-銷售總表!G2217)</f>
        <v>46980</v>
      </c>
      <c r="I2217" s="35">
        <f>H2217-F2217*VLOOKUP(銷售總表!B2217,產品!$A$2:$H$61,8,FALSE)</f>
        <v>25380</v>
      </c>
      <c r="J2217" s="20">
        <f t="shared" si="34"/>
        <v>0.54022988505747127</v>
      </c>
    </row>
    <row r="2218" spans="1:10" x14ac:dyDescent="0.3">
      <c r="A2218" s="33">
        <v>2217</v>
      </c>
      <c r="B2218" s="4">
        <v>53</v>
      </c>
      <c r="C2218" s="15">
        <v>113</v>
      </c>
      <c r="D2218" s="16">
        <v>9</v>
      </c>
      <c r="E2218" s="22">
        <v>44371</v>
      </c>
      <c r="F2218" s="19">
        <v>8</v>
      </c>
      <c r="G2218" s="18">
        <v>0.05</v>
      </c>
      <c r="H2218">
        <f>F2218*VLOOKUP(B2218,產品!$A$2:$H$61,7,FALSE)*(1-銷售總表!G2218)</f>
        <v>114000</v>
      </c>
      <c r="I2218" s="35">
        <f>H2218-F2218*VLOOKUP(銷售總表!B2218,產品!$A$2:$H$61,8,FALSE)</f>
        <v>30000</v>
      </c>
      <c r="J2218" s="20">
        <f t="shared" si="34"/>
        <v>0.26315789473684209</v>
      </c>
    </row>
    <row r="2219" spans="1:10" x14ac:dyDescent="0.3">
      <c r="A2219" s="33">
        <v>2218</v>
      </c>
      <c r="B2219" s="4">
        <v>24</v>
      </c>
      <c r="C2219" s="15">
        <v>282</v>
      </c>
      <c r="D2219" s="16">
        <v>1</v>
      </c>
      <c r="E2219" s="22">
        <v>44371</v>
      </c>
      <c r="F2219" s="19">
        <v>50</v>
      </c>
      <c r="G2219" s="18">
        <v>0.1</v>
      </c>
      <c r="H2219">
        <f>F2219*VLOOKUP(B2219,產品!$A$2:$H$61,7,FALSE)*(1-銷售總表!G2219)</f>
        <v>81000</v>
      </c>
      <c r="I2219" s="35">
        <f>H2219-F2219*VLOOKUP(銷售總表!B2219,產品!$A$2:$H$61,8,FALSE)</f>
        <v>45000</v>
      </c>
      <c r="J2219" s="20">
        <f t="shared" si="34"/>
        <v>0.55555555555555558</v>
      </c>
    </row>
    <row r="2220" spans="1:10" x14ac:dyDescent="0.3">
      <c r="A2220" s="33">
        <v>2219</v>
      </c>
      <c r="B2220" s="4">
        <v>34</v>
      </c>
      <c r="C2220" s="15">
        <v>270</v>
      </c>
      <c r="D2220" s="16">
        <v>2</v>
      </c>
      <c r="E2220" s="22">
        <v>44372</v>
      </c>
      <c r="F2220" s="17">
        <v>2</v>
      </c>
      <c r="G2220" s="18">
        <v>0.09</v>
      </c>
      <c r="H2220">
        <f>F2220*VLOOKUP(B2220,產品!$A$2:$H$61,7,FALSE)*(1-銷售總表!G2220)</f>
        <v>14560</v>
      </c>
      <c r="I2220" s="35">
        <f>H2220-F2220*VLOOKUP(銷售總表!B2220,產品!$A$2:$H$61,8,FALSE)</f>
        <v>4960</v>
      </c>
      <c r="J2220" s="20">
        <f t="shared" si="34"/>
        <v>0.34065934065934067</v>
      </c>
    </row>
    <row r="2221" spans="1:10" x14ac:dyDescent="0.3">
      <c r="A2221" s="33">
        <v>2220</v>
      </c>
      <c r="B2221" s="4">
        <v>45</v>
      </c>
      <c r="C2221" s="15">
        <v>286</v>
      </c>
      <c r="D2221" s="16">
        <v>9</v>
      </c>
      <c r="E2221" s="22">
        <v>44372</v>
      </c>
      <c r="F2221" s="17">
        <v>7</v>
      </c>
      <c r="G2221" s="18">
        <v>0.2</v>
      </c>
      <c r="H2221">
        <f>F2221*VLOOKUP(B2221,產品!$A$2:$H$61,7,FALSE)*(1-銷售總表!G2221)</f>
        <v>78400</v>
      </c>
      <c r="I2221" s="35">
        <f>H2221-F2221*VLOOKUP(銷售總表!B2221,產品!$A$2:$H$61,8,FALSE)</f>
        <v>14700</v>
      </c>
      <c r="J2221" s="20">
        <f t="shared" si="34"/>
        <v>0.1875</v>
      </c>
    </row>
    <row r="2222" spans="1:10" x14ac:dyDescent="0.3">
      <c r="A2222" s="33">
        <v>2221</v>
      </c>
      <c r="B2222" s="4">
        <v>47</v>
      </c>
      <c r="C2222" s="15">
        <v>112</v>
      </c>
      <c r="D2222" s="16">
        <v>6</v>
      </c>
      <c r="E2222" s="22">
        <v>44372</v>
      </c>
      <c r="F2222" s="17">
        <v>7</v>
      </c>
      <c r="G2222" s="18">
        <v>0.16</v>
      </c>
      <c r="H2222">
        <f>F2222*VLOOKUP(B2222,產品!$A$2:$H$61,7,FALSE)*(1-銷售總表!G2222)</f>
        <v>117600</v>
      </c>
      <c r="I2222" s="35">
        <f>H2222-F2222*VLOOKUP(銷售總表!B2222,產品!$A$2:$H$61,8,FALSE)</f>
        <v>26600</v>
      </c>
      <c r="J2222" s="20">
        <f t="shared" si="34"/>
        <v>0.22619047619047619</v>
      </c>
    </row>
    <row r="2223" spans="1:10" x14ac:dyDescent="0.3">
      <c r="A2223" s="33">
        <v>2222</v>
      </c>
      <c r="B2223" s="4">
        <v>7</v>
      </c>
      <c r="C2223" s="15">
        <v>7</v>
      </c>
      <c r="D2223" s="16">
        <v>4</v>
      </c>
      <c r="E2223" s="22">
        <v>44372</v>
      </c>
      <c r="F2223" s="17">
        <v>60</v>
      </c>
      <c r="G2223" s="18">
        <v>0.08</v>
      </c>
      <c r="H2223">
        <f>F2223*VLOOKUP(B2223,產品!$A$2:$H$61,7,FALSE)*(1-銷售總表!G2223)</f>
        <v>55200</v>
      </c>
      <c r="I2223" s="35">
        <f>H2223-F2223*VLOOKUP(銷售總表!B2223,產品!$A$2:$H$61,8,FALSE)</f>
        <v>31200</v>
      </c>
      <c r="J2223" s="20">
        <f t="shared" si="34"/>
        <v>0.56521739130434778</v>
      </c>
    </row>
    <row r="2224" spans="1:10" x14ac:dyDescent="0.3">
      <c r="A2224" s="33">
        <v>2223</v>
      </c>
      <c r="B2224" s="4">
        <v>24</v>
      </c>
      <c r="C2224" s="15">
        <v>9</v>
      </c>
      <c r="D2224" s="16">
        <v>2</v>
      </c>
      <c r="E2224" s="22">
        <v>44372</v>
      </c>
      <c r="F2224" s="17">
        <v>70</v>
      </c>
      <c r="G2224" s="18">
        <v>0.15</v>
      </c>
      <c r="H2224">
        <f>F2224*VLOOKUP(B2224,產品!$A$2:$H$61,7,FALSE)*(1-銷售總表!G2224)</f>
        <v>107100</v>
      </c>
      <c r="I2224" s="35">
        <f>H2224-F2224*VLOOKUP(銷售總表!B2224,產品!$A$2:$H$61,8,FALSE)</f>
        <v>56700</v>
      </c>
      <c r="J2224" s="20">
        <f t="shared" si="34"/>
        <v>0.52941176470588236</v>
      </c>
    </row>
    <row r="2225" spans="1:10" x14ac:dyDescent="0.3">
      <c r="A2225" s="33">
        <v>2224</v>
      </c>
      <c r="B2225" s="4">
        <v>43</v>
      </c>
      <c r="C2225" s="15">
        <v>258</v>
      </c>
      <c r="D2225" s="16">
        <v>8</v>
      </c>
      <c r="E2225" s="22">
        <v>44372</v>
      </c>
      <c r="F2225" s="19">
        <v>14</v>
      </c>
      <c r="G2225" s="18">
        <v>0.1</v>
      </c>
      <c r="H2225">
        <f>F2225*VLOOKUP(B2225,產品!$A$2:$H$61,7,FALSE)*(1-銷售總表!G2225)</f>
        <v>226800</v>
      </c>
      <c r="I2225" s="35">
        <f>H2225-F2225*VLOOKUP(銷售總表!B2225,產品!$A$2:$H$61,8,FALSE)</f>
        <v>63000</v>
      </c>
      <c r="J2225" s="20">
        <f t="shared" si="34"/>
        <v>0.27777777777777779</v>
      </c>
    </row>
    <row r="2226" spans="1:10" x14ac:dyDescent="0.3">
      <c r="A2226" s="33">
        <v>2225</v>
      </c>
      <c r="B2226" s="4">
        <v>30</v>
      </c>
      <c r="C2226" s="15">
        <v>11</v>
      </c>
      <c r="D2226" s="16">
        <v>2</v>
      </c>
      <c r="E2226" s="22">
        <v>44373</v>
      </c>
      <c r="F2226" s="17">
        <v>10</v>
      </c>
      <c r="G2226" s="18">
        <v>0.15</v>
      </c>
      <c r="H2226">
        <f>F2226*VLOOKUP(B2226,產品!$A$2:$H$61,7,FALSE)*(1-銷售總表!G2226)</f>
        <v>55250</v>
      </c>
      <c r="I2226" s="35">
        <f>H2226-F2226*VLOOKUP(銷售總表!B2226,產品!$A$2:$H$61,8,FALSE)</f>
        <v>16250</v>
      </c>
      <c r="J2226" s="20">
        <f t="shared" si="34"/>
        <v>0.29411764705882354</v>
      </c>
    </row>
    <row r="2227" spans="1:10" x14ac:dyDescent="0.3">
      <c r="A2227" s="33">
        <v>2226</v>
      </c>
      <c r="B2227" s="4">
        <v>45</v>
      </c>
      <c r="C2227" s="15">
        <v>282</v>
      </c>
      <c r="D2227" s="16">
        <v>3</v>
      </c>
      <c r="E2227" s="22">
        <v>44373</v>
      </c>
      <c r="F2227" s="17">
        <v>10</v>
      </c>
      <c r="G2227" s="18">
        <v>0.1</v>
      </c>
      <c r="H2227">
        <f>F2227*VLOOKUP(B2227,產品!$A$2:$H$61,7,FALSE)*(1-銷售總表!G2227)</f>
        <v>126000</v>
      </c>
      <c r="I2227" s="35">
        <f>H2227-F2227*VLOOKUP(銷售總表!B2227,產品!$A$2:$H$61,8,FALSE)</f>
        <v>35000</v>
      </c>
      <c r="J2227" s="20">
        <f t="shared" si="34"/>
        <v>0.27777777777777779</v>
      </c>
    </row>
    <row r="2228" spans="1:10" x14ac:dyDescent="0.3">
      <c r="A2228" s="33">
        <v>2227</v>
      </c>
      <c r="B2228" s="4">
        <v>26</v>
      </c>
      <c r="C2228" s="15">
        <v>11</v>
      </c>
      <c r="D2228" s="16">
        <v>10</v>
      </c>
      <c r="E2228" s="22">
        <v>44373</v>
      </c>
      <c r="F2228" s="19">
        <v>2</v>
      </c>
      <c r="G2228" s="18">
        <v>0.06</v>
      </c>
      <c r="H2228">
        <f>F2228*VLOOKUP(B2228,產品!$A$2:$H$61,7,FALSE)*(1-銷售總表!G2228)</f>
        <v>12220</v>
      </c>
      <c r="I2228" s="35">
        <f>H2228-F2228*VLOOKUP(銷售總表!B2228,產品!$A$2:$H$61,8,FALSE)</f>
        <v>4420</v>
      </c>
      <c r="J2228" s="20">
        <f t="shared" si="34"/>
        <v>0.36170212765957449</v>
      </c>
    </row>
    <row r="2229" spans="1:10" x14ac:dyDescent="0.3">
      <c r="A2229" s="33">
        <v>2228</v>
      </c>
      <c r="B2229" s="4">
        <v>8</v>
      </c>
      <c r="C2229" s="15">
        <v>5</v>
      </c>
      <c r="D2229" s="16">
        <v>2</v>
      </c>
      <c r="E2229" s="22">
        <v>44373</v>
      </c>
      <c r="F2229" s="19">
        <v>11</v>
      </c>
      <c r="G2229" s="18">
        <v>0.16</v>
      </c>
      <c r="H2229">
        <f>F2229*VLOOKUP(B2229,產品!$A$2:$H$61,7,FALSE)*(1-銷售總表!G2229)</f>
        <v>9240</v>
      </c>
      <c r="I2229" s="35">
        <f>H2229-F2229*VLOOKUP(銷售總表!B2229,產品!$A$2:$H$61,8,FALSE)</f>
        <v>4840</v>
      </c>
      <c r="J2229" s="20">
        <f t="shared" si="34"/>
        <v>0.52380952380952384</v>
      </c>
    </row>
    <row r="2230" spans="1:10" x14ac:dyDescent="0.3">
      <c r="A2230" s="33">
        <v>2229</v>
      </c>
      <c r="B2230" s="4">
        <v>32</v>
      </c>
      <c r="C2230" s="15">
        <v>11</v>
      </c>
      <c r="D2230" s="16">
        <v>7</v>
      </c>
      <c r="E2230" s="22">
        <v>44373</v>
      </c>
      <c r="F2230" s="19">
        <v>3</v>
      </c>
      <c r="G2230" s="18">
        <v>0.17</v>
      </c>
      <c r="H2230">
        <f>F2230*VLOOKUP(B2230,產品!$A$2:$H$61,7,FALSE)*(1-銷售總表!G2230)</f>
        <v>18675</v>
      </c>
      <c r="I2230" s="35">
        <f>H2230-F2230*VLOOKUP(銷售總表!B2230,產品!$A$2:$H$61,8,FALSE)</f>
        <v>5175</v>
      </c>
      <c r="J2230" s="20">
        <f t="shared" si="34"/>
        <v>0.27710843373493976</v>
      </c>
    </row>
    <row r="2231" spans="1:10" x14ac:dyDescent="0.3">
      <c r="A2231" s="33">
        <v>2230</v>
      </c>
      <c r="B2231" s="4">
        <v>33</v>
      </c>
      <c r="C2231" s="15">
        <v>123</v>
      </c>
      <c r="D2231" s="16">
        <v>6</v>
      </c>
      <c r="E2231" s="22">
        <v>44373</v>
      </c>
      <c r="F2231" s="17">
        <v>3</v>
      </c>
      <c r="G2231" s="18">
        <v>0.08</v>
      </c>
      <c r="H2231">
        <f>F2231*VLOOKUP(B2231,產品!$A$2:$H$61,7,FALSE)*(1-銷售總表!G2231)</f>
        <v>20700</v>
      </c>
      <c r="I2231" s="35">
        <f>H2231-F2231*VLOOKUP(銷售總表!B2231,產品!$A$2:$H$61,8,FALSE)</f>
        <v>7200</v>
      </c>
      <c r="J2231" s="20">
        <f t="shared" si="34"/>
        <v>0.34782608695652173</v>
      </c>
    </row>
    <row r="2232" spans="1:10" x14ac:dyDescent="0.3">
      <c r="A2232" s="33">
        <v>2231</v>
      </c>
      <c r="B2232" s="4">
        <v>28</v>
      </c>
      <c r="C2232" s="15">
        <v>116</v>
      </c>
      <c r="D2232" s="16">
        <v>3</v>
      </c>
      <c r="E2232" s="22">
        <v>44373</v>
      </c>
      <c r="F2232" s="19">
        <v>5</v>
      </c>
      <c r="G2232" s="18">
        <v>0.19</v>
      </c>
      <c r="H2232">
        <f>F2232*VLOOKUP(B2232,產品!$A$2:$H$61,7,FALSE)*(1-銷售總表!G2232)</f>
        <v>30375.000000000004</v>
      </c>
      <c r="I2232" s="35">
        <f>H2232-F2232*VLOOKUP(銷售總表!B2232,產品!$A$2:$H$61,8,FALSE)</f>
        <v>7875.0000000000036</v>
      </c>
      <c r="J2232" s="20">
        <f t="shared" si="34"/>
        <v>0.25925925925925936</v>
      </c>
    </row>
    <row r="2233" spans="1:10" x14ac:dyDescent="0.3">
      <c r="A2233" s="33">
        <v>2232</v>
      </c>
      <c r="B2233" s="4">
        <v>14</v>
      </c>
      <c r="C2233" s="15">
        <v>276</v>
      </c>
      <c r="D2233" s="16">
        <v>4</v>
      </c>
      <c r="E2233" s="22">
        <v>44373</v>
      </c>
      <c r="F2233" s="17">
        <v>11</v>
      </c>
      <c r="G2233" s="18">
        <v>0.11</v>
      </c>
      <c r="H2233">
        <f>F2233*VLOOKUP(B2233,產品!$A$2:$H$61,7,FALSE)*(1-銷售總表!G2233)</f>
        <v>17622</v>
      </c>
      <c r="I2233" s="35">
        <f>H2233-F2233*VLOOKUP(銷售總表!B2233,產品!$A$2:$H$61,8,FALSE)</f>
        <v>9702</v>
      </c>
      <c r="J2233" s="20">
        <f t="shared" si="34"/>
        <v>0.550561797752809</v>
      </c>
    </row>
    <row r="2234" spans="1:10" x14ac:dyDescent="0.3">
      <c r="A2234" s="33">
        <v>2233</v>
      </c>
      <c r="B2234" s="4">
        <v>24</v>
      </c>
      <c r="C2234" s="15">
        <v>7</v>
      </c>
      <c r="D2234" s="16">
        <v>7</v>
      </c>
      <c r="E2234" s="22">
        <v>44373</v>
      </c>
      <c r="F2234" s="19">
        <v>11</v>
      </c>
      <c r="G2234" s="18">
        <v>7.0000000000000007E-2</v>
      </c>
      <c r="H2234">
        <f>F2234*VLOOKUP(B2234,產品!$A$2:$H$61,7,FALSE)*(1-銷售總表!G2234)</f>
        <v>18414</v>
      </c>
      <c r="I2234" s="35">
        <f>H2234-F2234*VLOOKUP(銷售總表!B2234,產品!$A$2:$H$61,8,FALSE)</f>
        <v>10494</v>
      </c>
      <c r="J2234" s="20">
        <f t="shared" si="34"/>
        <v>0.56989247311827962</v>
      </c>
    </row>
    <row r="2235" spans="1:10" x14ac:dyDescent="0.3">
      <c r="A2235" s="33">
        <v>2234</v>
      </c>
      <c r="B2235" s="4">
        <v>37</v>
      </c>
      <c r="C2235" s="15">
        <v>117</v>
      </c>
      <c r="D2235" s="16">
        <v>10</v>
      </c>
      <c r="E2235" s="22">
        <v>44373</v>
      </c>
      <c r="F2235" s="19">
        <v>5</v>
      </c>
      <c r="G2235" s="18">
        <v>0.12</v>
      </c>
      <c r="H2235">
        <f>F2235*VLOOKUP(B2235,產品!$A$2:$H$61,7,FALSE)*(1-銷售總表!G2235)</f>
        <v>52800</v>
      </c>
      <c r="I2235" s="35">
        <f>H2235-F2235*VLOOKUP(銷售總表!B2235,產品!$A$2:$H$61,8,FALSE)</f>
        <v>13800</v>
      </c>
      <c r="J2235" s="20">
        <f t="shared" si="34"/>
        <v>0.26136363636363635</v>
      </c>
    </row>
    <row r="2236" spans="1:10" x14ac:dyDescent="0.3">
      <c r="A2236" s="33">
        <v>2235</v>
      </c>
      <c r="B2236" s="4">
        <v>60</v>
      </c>
      <c r="C2236" s="15">
        <v>265</v>
      </c>
      <c r="D2236" s="16">
        <v>8</v>
      </c>
      <c r="E2236" s="22">
        <v>44373</v>
      </c>
      <c r="F2236" s="19">
        <v>3</v>
      </c>
      <c r="G2236" s="18">
        <v>0.09</v>
      </c>
      <c r="H2236">
        <f>F2236*VLOOKUP(B2236,產品!$A$2:$H$61,7,FALSE)*(1-銷售總表!G2236)</f>
        <v>68250</v>
      </c>
      <c r="I2236" s="35">
        <f>H2236-F2236*VLOOKUP(銷售總表!B2236,產品!$A$2:$H$61,8,FALSE)</f>
        <v>15750</v>
      </c>
      <c r="J2236" s="20">
        <f t="shared" si="34"/>
        <v>0.23076923076923078</v>
      </c>
    </row>
    <row r="2237" spans="1:10" x14ac:dyDescent="0.3">
      <c r="A2237" s="33">
        <v>2236</v>
      </c>
      <c r="B2237" s="4">
        <v>10</v>
      </c>
      <c r="C2237" s="15">
        <v>269</v>
      </c>
      <c r="D2237" s="16">
        <v>8</v>
      </c>
      <c r="E2237" s="22">
        <v>44373</v>
      </c>
      <c r="F2237" s="19">
        <v>30</v>
      </c>
      <c r="G2237" s="18">
        <v>0.06</v>
      </c>
      <c r="H2237">
        <f>F2237*VLOOKUP(B2237,產品!$A$2:$H$61,7,FALSE)*(1-銷售總表!G2237)</f>
        <v>28200</v>
      </c>
      <c r="I2237" s="35">
        <f>H2237-F2237*VLOOKUP(銷售總表!B2237,產品!$A$2:$H$61,8,FALSE)</f>
        <v>16200</v>
      </c>
      <c r="J2237" s="20">
        <f t="shared" si="34"/>
        <v>0.57446808510638303</v>
      </c>
    </row>
    <row r="2238" spans="1:10" x14ac:dyDescent="0.3">
      <c r="A2238" s="33">
        <v>2237</v>
      </c>
      <c r="B2238" s="4">
        <v>3</v>
      </c>
      <c r="C2238" s="15">
        <v>265</v>
      </c>
      <c r="D2238" s="16">
        <v>7</v>
      </c>
      <c r="E2238" s="22">
        <v>44373</v>
      </c>
      <c r="F2238" s="19">
        <v>50</v>
      </c>
      <c r="G2238" s="18">
        <v>0.14000000000000001</v>
      </c>
      <c r="H2238">
        <f>F2238*VLOOKUP(B2238,產品!$A$2:$H$61,7,FALSE)*(1-銷售總表!G2238)</f>
        <v>43000</v>
      </c>
      <c r="I2238" s="35">
        <f>H2238-F2238*VLOOKUP(銷售總表!B2238,產品!$A$2:$H$61,8,FALSE)</f>
        <v>23000</v>
      </c>
      <c r="J2238" s="20">
        <f t="shared" si="34"/>
        <v>0.53488372093023251</v>
      </c>
    </row>
    <row r="2239" spans="1:10" x14ac:dyDescent="0.3">
      <c r="A2239" s="33">
        <v>2238</v>
      </c>
      <c r="B2239" s="4">
        <v>37</v>
      </c>
      <c r="C2239" s="15">
        <v>116</v>
      </c>
      <c r="D2239" s="16">
        <v>8</v>
      </c>
      <c r="E2239" s="22">
        <v>44373</v>
      </c>
      <c r="F2239" s="17">
        <v>9</v>
      </c>
      <c r="G2239" s="18">
        <v>0.12</v>
      </c>
      <c r="H2239">
        <f>F2239*VLOOKUP(B2239,產品!$A$2:$H$61,7,FALSE)*(1-銷售總表!G2239)</f>
        <v>95040</v>
      </c>
      <c r="I2239" s="35">
        <f>H2239-F2239*VLOOKUP(銷售總表!B2239,產品!$A$2:$H$61,8,FALSE)</f>
        <v>24840</v>
      </c>
      <c r="J2239" s="20">
        <f t="shared" si="34"/>
        <v>0.26136363636363635</v>
      </c>
    </row>
    <row r="2240" spans="1:10" x14ac:dyDescent="0.3">
      <c r="A2240" s="33">
        <v>2239</v>
      </c>
      <c r="B2240" s="4">
        <v>18</v>
      </c>
      <c r="C2240" s="15">
        <v>3</v>
      </c>
      <c r="D2240" s="16">
        <v>10</v>
      </c>
      <c r="E2240" s="22">
        <v>44373</v>
      </c>
      <c r="F2240" s="17">
        <v>150</v>
      </c>
      <c r="G2240" s="18">
        <v>0.18</v>
      </c>
      <c r="H2240">
        <f>F2240*VLOOKUP(B2240,產品!$A$2:$H$61,7,FALSE)*(1-銷售總表!G2240)</f>
        <v>221400.00000000003</v>
      </c>
      <c r="I2240" s="35">
        <f>H2240-F2240*VLOOKUP(銷售總表!B2240,產品!$A$2:$H$61,8,FALSE)</f>
        <v>113400.00000000003</v>
      </c>
      <c r="J2240" s="20">
        <f t="shared" si="34"/>
        <v>0.51219512195121952</v>
      </c>
    </row>
    <row r="2241" spans="1:10" x14ac:dyDescent="0.3">
      <c r="A2241" s="33">
        <v>2240</v>
      </c>
      <c r="B2241" s="4">
        <v>6</v>
      </c>
      <c r="C2241" s="15">
        <v>8</v>
      </c>
      <c r="D2241" s="16">
        <v>8</v>
      </c>
      <c r="E2241" s="22">
        <v>44373</v>
      </c>
      <c r="F2241" s="19">
        <v>300</v>
      </c>
      <c r="G2241" s="18">
        <v>0.2</v>
      </c>
      <c r="H2241">
        <f>F2241*VLOOKUP(B2241,產品!$A$2:$H$61,7,FALSE)*(1-銷售總表!G2241)</f>
        <v>240000</v>
      </c>
      <c r="I2241" s="35">
        <f>H2241-F2241*VLOOKUP(銷售總表!B2241,產品!$A$2:$H$61,8,FALSE)</f>
        <v>120000</v>
      </c>
      <c r="J2241" s="20">
        <f t="shared" si="34"/>
        <v>0.5</v>
      </c>
    </row>
    <row r="2242" spans="1:10" x14ac:dyDescent="0.3">
      <c r="A2242" s="33">
        <v>2241</v>
      </c>
      <c r="B2242" s="4">
        <v>10</v>
      </c>
      <c r="C2242" s="15">
        <v>258</v>
      </c>
      <c r="D2242" s="16">
        <v>8</v>
      </c>
      <c r="E2242" s="22">
        <v>44373</v>
      </c>
      <c r="F2242" s="19">
        <v>250</v>
      </c>
      <c r="G2242" s="18">
        <v>0.12</v>
      </c>
      <c r="H2242">
        <f>F2242*VLOOKUP(B2242,產品!$A$2:$H$61,7,FALSE)*(1-銷售總表!G2242)</f>
        <v>220000</v>
      </c>
      <c r="I2242" s="35">
        <f>H2242-F2242*VLOOKUP(銷售總表!B2242,產品!$A$2:$H$61,8,FALSE)</f>
        <v>120000</v>
      </c>
      <c r="J2242" s="20">
        <f t="shared" si="34"/>
        <v>0.54545454545454541</v>
      </c>
    </row>
    <row r="2243" spans="1:10" x14ac:dyDescent="0.3">
      <c r="A2243" s="33">
        <v>2242</v>
      </c>
      <c r="B2243" s="4">
        <v>6</v>
      </c>
      <c r="C2243" s="15">
        <v>112</v>
      </c>
      <c r="D2243" s="16">
        <v>2</v>
      </c>
      <c r="E2243" s="22">
        <v>44373</v>
      </c>
      <c r="F2243" s="19">
        <v>250</v>
      </c>
      <c r="G2243" s="18">
        <v>0.08</v>
      </c>
      <c r="H2243">
        <f>F2243*VLOOKUP(B2243,產品!$A$2:$H$61,7,FALSE)*(1-銷售總表!G2243)</f>
        <v>230000</v>
      </c>
      <c r="I2243" s="35">
        <f>H2243-F2243*VLOOKUP(銷售總表!B2243,產品!$A$2:$H$61,8,FALSE)</f>
        <v>130000</v>
      </c>
      <c r="J2243" s="20">
        <f t="shared" ref="J2243:J2306" si="35">I2243/H2243</f>
        <v>0.56521739130434778</v>
      </c>
    </row>
    <row r="2244" spans="1:10" x14ac:dyDescent="0.3">
      <c r="A2244" s="33">
        <v>2243</v>
      </c>
      <c r="B2244" s="4">
        <v>46</v>
      </c>
      <c r="C2244" s="15">
        <v>112</v>
      </c>
      <c r="D2244" s="16">
        <v>2</v>
      </c>
      <c r="E2244" s="22">
        <v>44374</v>
      </c>
      <c r="F2244" s="19">
        <v>5</v>
      </c>
      <c r="G2244" s="18">
        <v>0.11</v>
      </c>
      <c r="H2244">
        <f>F2244*VLOOKUP(B2244,產品!$A$2:$H$61,7,FALSE)*(1-銷售總表!G2244)</f>
        <v>75650</v>
      </c>
      <c r="I2244" s="35">
        <f>H2244-F2244*VLOOKUP(銷售總表!B2244,產品!$A$2:$H$61,8,FALSE)</f>
        <v>20400</v>
      </c>
      <c r="J2244" s="20">
        <f t="shared" si="35"/>
        <v>0.2696629213483146</v>
      </c>
    </row>
    <row r="2245" spans="1:10" x14ac:dyDescent="0.3">
      <c r="A2245" s="33">
        <v>2244</v>
      </c>
      <c r="B2245" s="4">
        <v>16</v>
      </c>
      <c r="C2245" s="15">
        <v>121</v>
      </c>
      <c r="D2245" s="16">
        <v>2</v>
      </c>
      <c r="E2245" s="22">
        <v>44374</v>
      </c>
      <c r="F2245" s="19">
        <v>30</v>
      </c>
      <c r="G2245" s="18">
        <v>0.19</v>
      </c>
      <c r="H2245">
        <f>F2245*VLOOKUP(B2245,產品!$A$2:$H$61,7,FALSE)*(1-銷售總表!G2245)</f>
        <v>43740</v>
      </c>
      <c r="I2245" s="35">
        <f>H2245-F2245*VLOOKUP(銷售總表!B2245,產品!$A$2:$H$61,8,FALSE)</f>
        <v>22140</v>
      </c>
      <c r="J2245" s="20">
        <f t="shared" si="35"/>
        <v>0.50617283950617287</v>
      </c>
    </row>
    <row r="2246" spans="1:10" x14ac:dyDescent="0.3">
      <c r="A2246" s="33">
        <v>2245</v>
      </c>
      <c r="B2246" s="4">
        <v>44</v>
      </c>
      <c r="C2246" s="15">
        <v>268</v>
      </c>
      <c r="D2246" s="16">
        <v>3</v>
      </c>
      <c r="E2246" s="22">
        <v>44374</v>
      </c>
      <c r="F2246" s="19">
        <v>8</v>
      </c>
      <c r="G2246" s="18">
        <v>0.09</v>
      </c>
      <c r="H2246">
        <f>F2246*VLOOKUP(B2246,產品!$A$2:$H$61,7,FALSE)*(1-銷售總表!G2246)</f>
        <v>145600</v>
      </c>
      <c r="I2246" s="35">
        <f>H2246-F2246*VLOOKUP(銷售總表!B2246,產品!$A$2:$H$61,8,FALSE)</f>
        <v>41600</v>
      </c>
      <c r="J2246" s="20">
        <f t="shared" si="35"/>
        <v>0.2857142857142857</v>
      </c>
    </row>
    <row r="2247" spans="1:10" x14ac:dyDescent="0.3">
      <c r="A2247" s="33">
        <v>2246</v>
      </c>
      <c r="B2247" s="4">
        <v>20</v>
      </c>
      <c r="C2247" s="15">
        <v>9</v>
      </c>
      <c r="D2247" s="16">
        <v>4</v>
      </c>
      <c r="E2247" s="22">
        <v>44374</v>
      </c>
      <c r="F2247" s="17">
        <v>100</v>
      </c>
      <c r="G2247" s="18">
        <v>0.06</v>
      </c>
      <c r="H2247">
        <f>F2247*VLOOKUP(B2247,產品!$A$2:$H$61,7,FALSE)*(1-銷售總表!G2247)</f>
        <v>169200</v>
      </c>
      <c r="I2247" s="35">
        <f>H2247-F2247*VLOOKUP(銷售總表!B2247,產品!$A$2:$H$61,8,FALSE)</f>
        <v>97200</v>
      </c>
      <c r="J2247" s="20">
        <f t="shared" si="35"/>
        <v>0.57446808510638303</v>
      </c>
    </row>
    <row r="2248" spans="1:10" x14ac:dyDescent="0.3">
      <c r="A2248" s="33">
        <v>2247</v>
      </c>
      <c r="B2248" s="4">
        <v>35</v>
      </c>
      <c r="C2248" s="15">
        <v>277</v>
      </c>
      <c r="D2248" s="16">
        <v>2</v>
      </c>
      <c r="E2248" s="22">
        <v>44375</v>
      </c>
      <c r="F2248" s="17">
        <v>2</v>
      </c>
      <c r="G2248" s="18">
        <v>0.12</v>
      </c>
      <c r="H2248">
        <f>F2248*VLOOKUP(B2248,產品!$A$2:$H$61,7,FALSE)*(1-銷售總表!G2248)</f>
        <v>14960</v>
      </c>
      <c r="I2248" s="35">
        <f>H2248-F2248*VLOOKUP(銷售總表!B2248,產品!$A$2:$H$61,8,FALSE)</f>
        <v>4760</v>
      </c>
      <c r="J2248" s="20">
        <f t="shared" si="35"/>
        <v>0.31818181818181818</v>
      </c>
    </row>
    <row r="2249" spans="1:10" x14ac:dyDescent="0.3">
      <c r="A2249" s="33">
        <v>2248</v>
      </c>
      <c r="B2249" s="4">
        <v>25</v>
      </c>
      <c r="C2249" s="15">
        <v>5</v>
      </c>
      <c r="D2249" s="16">
        <v>9</v>
      </c>
      <c r="E2249" s="22">
        <v>44375</v>
      </c>
      <c r="F2249" s="19">
        <v>3</v>
      </c>
      <c r="G2249" s="18">
        <v>0.09</v>
      </c>
      <c r="H2249">
        <f>F2249*VLOOKUP(B2249,產品!$A$2:$H$61,7,FALSE)*(1-銷售總表!G2249)</f>
        <v>16380</v>
      </c>
      <c r="I2249" s="35">
        <f>H2249-F2249*VLOOKUP(銷售總表!B2249,產品!$A$2:$H$61,8,FALSE)</f>
        <v>5580</v>
      </c>
      <c r="J2249" s="20">
        <f t="shared" si="35"/>
        <v>0.34065934065934067</v>
      </c>
    </row>
    <row r="2250" spans="1:10" x14ac:dyDescent="0.3">
      <c r="A2250" s="33">
        <v>2249</v>
      </c>
      <c r="B2250" s="4">
        <v>31</v>
      </c>
      <c r="C2250" s="15">
        <v>293</v>
      </c>
      <c r="D2250" s="16">
        <v>4</v>
      </c>
      <c r="E2250" s="22">
        <v>44375</v>
      </c>
      <c r="F2250" s="17">
        <v>6</v>
      </c>
      <c r="G2250" s="18">
        <v>7.0000000000000007E-2</v>
      </c>
      <c r="H2250">
        <f>F2250*VLOOKUP(B2250,產品!$A$2:$H$61,7,FALSE)*(1-銷售總表!G2250)</f>
        <v>39060</v>
      </c>
      <c r="I2250" s="35">
        <f>H2250-F2250*VLOOKUP(銷售總表!B2250,產品!$A$2:$H$61,8,FALSE)</f>
        <v>13860</v>
      </c>
      <c r="J2250" s="20">
        <f t="shared" si="35"/>
        <v>0.35483870967741937</v>
      </c>
    </row>
    <row r="2251" spans="1:10" x14ac:dyDescent="0.3">
      <c r="A2251" s="33">
        <v>2250</v>
      </c>
      <c r="B2251" s="4">
        <v>18</v>
      </c>
      <c r="C2251" s="15">
        <v>266</v>
      </c>
      <c r="D2251" s="16">
        <v>1</v>
      </c>
      <c r="E2251" s="22">
        <v>44375</v>
      </c>
      <c r="F2251" s="17">
        <v>30</v>
      </c>
      <c r="G2251" s="18">
        <v>0.08</v>
      </c>
      <c r="H2251">
        <f>F2251*VLOOKUP(B2251,產品!$A$2:$H$61,7,FALSE)*(1-銷售總表!G2251)</f>
        <v>49680</v>
      </c>
      <c r="I2251" s="35">
        <f>H2251-F2251*VLOOKUP(銷售總表!B2251,產品!$A$2:$H$61,8,FALSE)</f>
        <v>28080</v>
      </c>
      <c r="J2251" s="20">
        <f t="shared" si="35"/>
        <v>0.56521739130434778</v>
      </c>
    </row>
    <row r="2252" spans="1:10" x14ac:dyDescent="0.3">
      <c r="A2252" s="33">
        <v>2251</v>
      </c>
      <c r="B2252" s="4">
        <v>14</v>
      </c>
      <c r="C2252" s="15">
        <v>258</v>
      </c>
      <c r="D2252" s="16">
        <v>10</v>
      </c>
      <c r="E2252" s="22">
        <v>44375</v>
      </c>
      <c r="F2252" s="19">
        <v>40</v>
      </c>
      <c r="G2252" s="18">
        <v>0.08</v>
      </c>
      <c r="H2252">
        <f>F2252*VLOOKUP(B2252,產品!$A$2:$H$61,7,FALSE)*(1-銷售總表!G2252)</f>
        <v>66240</v>
      </c>
      <c r="I2252" s="35">
        <f>H2252-F2252*VLOOKUP(銷售總表!B2252,產品!$A$2:$H$61,8,FALSE)</f>
        <v>37440</v>
      </c>
      <c r="J2252" s="20">
        <f t="shared" si="35"/>
        <v>0.56521739130434778</v>
      </c>
    </row>
    <row r="2253" spans="1:10" x14ac:dyDescent="0.3">
      <c r="A2253" s="33">
        <v>2252</v>
      </c>
      <c r="B2253" s="4">
        <v>42</v>
      </c>
      <c r="C2253" s="15">
        <v>275</v>
      </c>
      <c r="D2253" s="16">
        <v>8</v>
      </c>
      <c r="E2253" s="22">
        <v>44375</v>
      </c>
      <c r="F2253" s="17">
        <v>15</v>
      </c>
      <c r="G2253" s="18">
        <v>0.06</v>
      </c>
      <c r="H2253">
        <f>F2253*VLOOKUP(B2253,產品!$A$2:$H$61,7,FALSE)*(1-銷售總表!G2253)</f>
        <v>211500</v>
      </c>
      <c r="I2253" s="35">
        <f>H2253-F2253*VLOOKUP(銷售總表!B2253,產品!$A$2:$H$61,8,FALSE)</f>
        <v>65250</v>
      </c>
      <c r="J2253" s="20">
        <f t="shared" si="35"/>
        <v>0.30851063829787234</v>
      </c>
    </row>
    <row r="2254" spans="1:10" x14ac:dyDescent="0.3">
      <c r="A2254" s="33">
        <v>2253</v>
      </c>
      <c r="B2254" s="4">
        <v>45</v>
      </c>
      <c r="C2254" s="15">
        <v>271</v>
      </c>
      <c r="D2254" s="16">
        <v>2</v>
      </c>
      <c r="E2254" s="22">
        <v>44375</v>
      </c>
      <c r="F2254" s="19">
        <v>20</v>
      </c>
      <c r="G2254" s="18">
        <v>0.08</v>
      </c>
      <c r="H2254">
        <f>F2254*VLOOKUP(B2254,產品!$A$2:$H$61,7,FALSE)*(1-銷售總表!G2254)</f>
        <v>257600</v>
      </c>
      <c r="I2254" s="35">
        <f>H2254-F2254*VLOOKUP(銷售總表!B2254,產品!$A$2:$H$61,8,FALSE)</f>
        <v>75600</v>
      </c>
      <c r="J2254" s="20">
        <f t="shared" si="35"/>
        <v>0.29347826086956524</v>
      </c>
    </row>
    <row r="2255" spans="1:10" x14ac:dyDescent="0.3">
      <c r="A2255" s="33">
        <v>2254</v>
      </c>
      <c r="B2255" s="4">
        <v>26</v>
      </c>
      <c r="C2255" s="15">
        <v>113</v>
      </c>
      <c r="D2255" s="16">
        <v>4</v>
      </c>
      <c r="E2255" s="22">
        <v>44376</v>
      </c>
      <c r="F2255" s="19">
        <v>3</v>
      </c>
      <c r="G2255" s="18">
        <v>0.13</v>
      </c>
      <c r="H2255">
        <f>F2255*VLOOKUP(B2255,產品!$A$2:$H$61,7,FALSE)*(1-銷售總表!G2255)</f>
        <v>16965</v>
      </c>
      <c r="I2255" s="35">
        <f>H2255-F2255*VLOOKUP(銷售總表!B2255,產品!$A$2:$H$61,8,FALSE)</f>
        <v>5265</v>
      </c>
      <c r="J2255" s="20">
        <f t="shared" si="35"/>
        <v>0.31034482758620691</v>
      </c>
    </row>
    <row r="2256" spans="1:10" x14ac:dyDescent="0.3">
      <c r="A2256" s="33">
        <v>2255</v>
      </c>
      <c r="B2256" s="4">
        <v>29</v>
      </c>
      <c r="C2256" s="15">
        <v>293</v>
      </c>
      <c r="D2256" s="16">
        <v>8</v>
      </c>
      <c r="E2256" s="22">
        <v>44376</v>
      </c>
      <c r="F2256" s="19">
        <v>5</v>
      </c>
      <c r="G2256" s="18">
        <v>0.16</v>
      </c>
      <c r="H2256">
        <f>F2256*VLOOKUP(B2256,產品!$A$2:$H$61,7,FALSE)*(1-銷售總表!G2256)</f>
        <v>25200</v>
      </c>
      <c r="I2256" s="35">
        <f>H2256-F2256*VLOOKUP(銷售總表!B2256,產品!$A$2:$H$61,8,FALSE)</f>
        <v>7200</v>
      </c>
      <c r="J2256" s="20">
        <f t="shared" si="35"/>
        <v>0.2857142857142857</v>
      </c>
    </row>
    <row r="2257" spans="1:10" x14ac:dyDescent="0.3">
      <c r="A2257" s="33">
        <v>2256</v>
      </c>
      <c r="B2257" s="4">
        <v>31</v>
      </c>
      <c r="C2257" s="15">
        <v>4</v>
      </c>
      <c r="D2257" s="16">
        <v>9</v>
      </c>
      <c r="E2257" s="22">
        <v>44376</v>
      </c>
      <c r="F2257" s="19">
        <v>5</v>
      </c>
      <c r="G2257" s="18">
        <v>7.0000000000000007E-2</v>
      </c>
      <c r="H2257">
        <f>F2257*VLOOKUP(B2257,產品!$A$2:$H$61,7,FALSE)*(1-銷售總表!G2257)</f>
        <v>32549.999999999996</v>
      </c>
      <c r="I2257" s="35">
        <f>H2257-F2257*VLOOKUP(銷售總表!B2257,產品!$A$2:$H$61,8,FALSE)</f>
        <v>11549.999999999996</v>
      </c>
      <c r="J2257" s="20">
        <f t="shared" si="35"/>
        <v>0.35483870967741926</v>
      </c>
    </row>
    <row r="2258" spans="1:10" x14ac:dyDescent="0.3">
      <c r="A2258" s="33">
        <v>2257</v>
      </c>
      <c r="B2258" s="4">
        <v>14</v>
      </c>
      <c r="C2258" s="15">
        <v>258</v>
      </c>
      <c r="D2258" s="16">
        <v>3</v>
      </c>
      <c r="E2258" s="22">
        <v>44376</v>
      </c>
      <c r="F2258" s="17">
        <v>20</v>
      </c>
      <c r="G2258" s="18">
        <v>0.05</v>
      </c>
      <c r="H2258">
        <f>F2258*VLOOKUP(B2258,產品!$A$2:$H$61,7,FALSE)*(1-銷售總表!G2258)</f>
        <v>34200</v>
      </c>
      <c r="I2258" s="35">
        <f>H2258-F2258*VLOOKUP(銷售總表!B2258,產品!$A$2:$H$61,8,FALSE)</f>
        <v>19800</v>
      </c>
      <c r="J2258" s="20">
        <f t="shared" si="35"/>
        <v>0.57894736842105265</v>
      </c>
    </row>
    <row r="2259" spans="1:10" x14ac:dyDescent="0.3">
      <c r="A2259" s="33">
        <v>2258</v>
      </c>
      <c r="B2259" s="4">
        <v>38</v>
      </c>
      <c r="C2259" s="15">
        <v>118</v>
      </c>
      <c r="D2259" s="16">
        <v>10</v>
      </c>
      <c r="E2259" s="22">
        <v>44376</v>
      </c>
      <c r="F2259" s="17">
        <v>15</v>
      </c>
      <c r="G2259" s="18">
        <v>0.15</v>
      </c>
      <c r="H2259">
        <f>F2259*VLOOKUP(B2259,產品!$A$2:$H$61,7,FALSE)*(1-銷售總表!G2259)</f>
        <v>191250</v>
      </c>
      <c r="I2259" s="35">
        <f>H2259-F2259*VLOOKUP(銷售總表!B2259,產品!$A$2:$H$61,8,FALSE)</f>
        <v>45000</v>
      </c>
      <c r="J2259" s="20">
        <f t="shared" si="35"/>
        <v>0.23529411764705882</v>
      </c>
    </row>
    <row r="2260" spans="1:10" x14ac:dyDescent="0.3">
      <c r="A2260" s="33">
        <v>2259</v>
      </c>
      <c r="B2260" s="4">
        <v>13</v>
      </c>
      <c r="C2260" s="15">
        <v>261</v>
      </c>
      <c r="D2260" s="16">
        <v>6</v>
      </c>
      <c r="E2260" s="22">
        <v>44376</v>
      </c>
      <c r="F2260" s="19">
        <v>50</v>
      </c>
      <c r="G2260" s="18">
        <v>0.05</v>
      </c>
      <c r="H2260">
        <f>F2260*VLOOKUP(B2260,產品!$A$2:$H$61,7,FALSE)*(1-銷售總表!G2260)</f>
        <v>85500</v>
      </c>
      <c r="I2260" s="35">
        <f>H2260-F2260*VLOOKUP(銷售總表!B2260,產品!$A$2:$H$61,8,FALSE)</f>
        <v>49500</v>
      </c>
      <c r="J2260" s="20">
        <f t="shared" si="35"/>
        <v>0.57894736842105265</v>
      </c>
    </row>
    <row r="2261" spans="1:10" x14ac:dyDescent="0.3">
      <c r="A2261" s="33">
        <v>2260</v>
      </c>
      <c r="B2261" s="4">
        <v>15</v>
      </c>
      <c r="C2261" s="15">
        <v>3</v>
      </c>
      <c r="D2261" s="16">
        <v>3</v>
      </c>
      <c r="E2261" s="22">
        <v>44376</v>
      </c>
      <c r="F2261" s="19">
        <v>60</v>
      </c>
      <c r="G2261" s="18">
        <v>0.13</v>
      </c>
      <c r="H2261">
        <f>F2261*VLOOKUP(B2261,產品!$A$2:$H$61,7,FALSE)*(1-銷售總表!G2261)</f>
        <v>93960</v>
      </c>
      <c r="I2261" s="35">
        <f>H2261-F2261*VLOOKUP(銷售總表!B2261,產品!$A$2:$H$61,8,FALSE)</f>
        <v>50760</v>
      </c>
      <c r="J2261" s="20">
        <f t="shared" si="35"/>
        <v>0.54022988505747127</v>
      </c>
    </row>
    <row r="2262" spans="1:10" x14ac:dyDescent="0.3">
      <c r="A2262" s="33">
        <v>2261</v>
      </c>
      <c r="B2262" s="4">
        <v>16</v>
      </c>
      <c r="C2262" s="15">
        <v>8</v>
      </c>
      <c r="D2262" s="16">
        <v>6</v>
      </c>
      <c r="E2262" s="22">
        <v>44376</v>
      </c>
      <c r="F2262" s="19">
        <v>80</v>
      </c>
      <c r="G2262" s="18">
        <v>0.06</v>
      </c>
      <c r="H2262">
        <f>F2262*VLOOKUP(B2262,產品!$A$2:$H$61,7,FALSE)*(1-銷售總表!G2262)</f>
        <v>135360</v>
      </c>
      <c r="I2262" s="35">
        <f>H2262-F2262*VLOOKUP(銷售總表!B2262,產品!$A$2:$H$61,8,FALSE)</f>
        <v>77760</v>
      </c>
      <c r="J2262" s="20">
        <f t="shared" si="35"/>
        <v>0.57446808510638303</v>
      </c>
    </row>
    <row r="2263" spans="1:10" x14ac:dyDescent="0.3">
      <c r="A2263" s="33">
        <v>2262</v>
      </c>
      <c r="B2263" s="4">
        <v>27</v>
      </c>
      <c r="C2263" s="15">
        <v>118</v>
      </c>
      <c r="D2263" s="16">
        <v>5</v>
      </c>
      <c r="E2263" s="22">
        <v>44377</v>
      </c>
      <c r="F2263" s="19">
        <v>3</v>
      </c>
      <c r="G2263" s="18">
        <v>7.0000000000000007E-2</v>
      </c>
      <c r="H2263">
        <f>F2263*VLOOKUP(B2263,產品!$A$2:$H$61,7,FALSE)*(1-銷售總表!G2263)</f>
        <v>19530</v>
      </c>
      <c r="I2263" s="35">
        <f>H2263-F2263*VLOOKUP(銷售總表!B2263,產品!$A$2:$H$61,8,FALSE)</f>
        <v>6930</v>
      </c>
      <c r="J2263" s="20">
        <f t="shared" si="35"/>
        <v>0.35483870967741937</v>
      </c>
    </row>
    <row r="2264" spans="1:10" x14ac:dyDescent="0.3">
      <c r="A2264" s="33">
        <v>2263</v>
      </c>
      <c r="B2264" s="4">
        <v>56</v>
      </c>
      <c r="C2264" s="15">
        <v>260</v>
      </c>
      <c r="D2264" s="16">
        <v>1</v>
      </c>
      <c r="E2264" s="22">
        <v>44377</v>
      </c>
      <c r="F2264" s="19">
        <v>2</v>
      </c>
      <c r="G2264" s="18">
        <v>7.0000000000000007E-2</v>
      </c>
      <c r="H2264">
        <f>F2264*VLOOKUP(B2264,產品!$A$2:$H$61,7,FALSE)*(1-銷售總表!G2264)</f>
        <v>40920</v>
      </c>
      <c r="I2264" s="35">
        <f>H2264-F2264*VLOOKUP(銷售總表!B2264,產品!$A$2:$H$61,8,FALSE)</f>
        <v>10120.000000000004</v>
      </c>
      <c r="J2264" s="20">
        <f t="shared" si="35"/>
        <v>0.24731182795698933</v>
      </c>
    </row>
    <row r="2265" spans="1:10" x14ac:dyDescent="0.3">
      <c r="A2265" s="33">
        <v>2264</v>
      </c>
      <c r="B2265" s="4">
        <v>34</v>
      </c>
      <c r="C2265" s="15">
        <v>4</v>
      </c>
      <c r="D2265" s="16">
        <v>10</v>
      </c>
      <c r="E2265" s="22">
        <v>44377</v>
      </c>
      <c r="F2265" s="19">
        <v>6</v>
      </c>
      <c r="G2265" s="18">
        <v>0.18</v>
      </c>
      <c r="H2265">
        <f>F2265*VLOOKUP(B2265,產品!$A$2:$H$61,7,FALSE)*(1-銷售總表!G2265)</f>
        <v>39360</v>
      </c>
      <c r="I2265" s="35">
        <f>H2265-F2265*VLOOKUP(銷售總表!B2265,產品!$A$2:$H$61,8,FALSE)</f>
        <v>10560</v>
      </c>
      <c r="J2265" s="20">
        <f t="shared" si="35"/>
        <v>0.26829268292682928</v>
      </c>
    </row>
    <row r="2266" spans="1:10" x14ac:dyDescent="0.3">
      <c r="A2266" s="33">
        <v>2265</v>
      </c>
      <c r="B2266" s="4">
        <v>30</v>
      </c>
      <c r="C2266" s="15">
        <v>2</v>
      </c>
      <c r="D2266" s="16">
        <v>5</v>
      </c>
      <c r="E2266" s="22">
        <v>44377</v>
      </c>
      <c r="F2266" s="19">
        <v>9</v>
      </c>
      <c r="G2266" s="18">
        <v>0.17</v>
      </c>
      <c r="H2266">
        <f>F2266*VLOOKUP(B2266,產品!$A$2:$H$61,7,FALSE)*(1-銷售總表!G2266)</f>
        <v>48555</v>
      </c>
      <c r="I2266" s="35">
        <f>H2266-F2266*VLOOKUP(銷售總表!B2266,產品!$A$2:$H$61,8,FALSE)</f>
        <v>13455</v>
      </c>
      <c r="J2266" s="20">
        <f t="shared" si="35"/>
        <v>0.27710843373493976</v>
      </c>
    </row>
    <row r="2267" spans="1:10" x14ac:dyDescent="0.3">
      <c r="A2267" s="33">
        <v>2266</v>
      </c>
      <c r="B2267" s="4">
        <v>40</v>
      </c>
      <c r="C2267" s="15">
        <v>6</v>
      </c>
      <c r="D2267" s="16">
        <v>10</v>
      </c>
      <c r="E2267" s="22">
        <v>44377</v>
      </c>
      <c r="F2267" s="19">
        <v>3</v>
      </c>
      <c r="G2267" s="18">
        <v>0.12</v>
      </c>
      <c r="H2267">
        <f>F2267*VLOOKUP(B2267,產品!$A$2:$H$61,7,FALSE)*(1-銷售總表!G2267)</f>
        <v>52800</v>
      </c>
      <c r="I2267" s="35">
        <f>H2267-F2267*VLOOKUP(銷售總表!B2267,產品!$A$2:$H$61,8,FALSE)</f>
        <v>13800</v>
      </c>
      <c r="J2267" s="20">
        <f t="shared" si="35"/>
        <v>0.26136363636363635</v>
      </c>
    </row>
    <row r="2268" spans="1:10" x14ac:dyDescent="0.3">
      <c r="A2268" s="33">
        <v>2267</v>
      </c>
      <c r="B2268" s="4">
        <v>1</v>
      </c>
      <c r="C2268" s="15">
        <v>293</v>
      </c>
      <c r="D2268" s="16">
        <v>10</v>
      </c>
      <c r="E2268" s="22">
        <v>44377</v>
      </c>
      <c r="F2268" s="17">
        <v>50</v>
      </c>
      <c r="G2268" s="18">
        <v>0.17</v>
      </c>
      <c r="H2268">
        <f>F2268*VLOOKUP(B2268,產品!$A$2:$H$61,7,FALSE)*(1-銷售總表!G2268)</f>
        <v>41500</v>
      </c>
      <c r="I2268" s="35">
        <f>H2268-F2268*VLOOKUP(銷售總表!B2268,產品!$A$2:$H$61,8,FALSE)</f>
        <v>21500</v>
      </c>
      <c r="J2268" s="20">
        <f t="shared" si="35"/>
        <v>0.51807228915662651</v>
      </c>
    </row>
    <row r="2269" spans="1:10" x14ac:dyDescent="0.3">
      <c r="A2269" s="33">
        <v>2268</v>
      </c>
      <c r="B2269" s="4">
        <v>19</v>
      </c>
      <c r="C2269" s="15">
        <v>277</v>
      </c>
      <c r="D2269" s="16">
        <v>9</v>
      </c>
      <c r="E2269" s="22">
        <v>44377</v>
      </c>
      <c r="F2269" s="19">
        <v>30</v>
      </c>
      <c r="G2269" s="18">
        <v>7.0000000000000007E-2</v>
      </c>
      <c r="H2269">
        <f>F2269*VLOOKUP(B2269,產品!$A$2:$H$61,7,FALSE)*(1-銷售總表!G2269)</f>
        <v>50220</v>
      </c>
      <c r="I2269" s="35">
        <f>H2269-F2269*VLOOKUP(銷售總表!B2269,產品!$A$2:$H$61,8,FALSE)</f>
        <v>28620</v>
      </c>
      <c r="J2269" s="20">
        <f t="shared" si="35"/>
        <v>0.56989247311827962</v>
      </c>
    </row>
    <row r="2270" spans="1:10" x14ac:dyDescent="0.3">
      <c r="A2270" s="33">
        <v>2269</v>
      </c>
      <c r="B2270" s="4">
        <v>28</v>
      </c>
      <c r="C2270" s="15">
        <v>135</v>
      </c>
      <c r="D2270" s="16">
        <v>1</v>
      </c>
      <c r="E2270" s="22">
        <v>44377</v>
      </c>
      <c r="F2270" s="19">
        <v>12</v>
      </c>
      <c r="G2270" s="18">
        <v>0.06</v>
      </c>
      <c r="H2270">
        <f>F2270*VLOOKUP(B2270,產品!$A$2:$H$61,7,FALSE)*(1-銷售總表!G2270)</f>
        <v>84600</v>
      </c>
      <c r="I2270" s="35">
        <f>H2270-F2270*VLOOKUP(銷售總表!B2270,產品!$A$2:$H$61,8,FALSE)</f>
        <v>30600</v>
      </c>
      <c r="J2270" s="20">
        <f t="shared" si="35"/>
        <v>0.36170212765957449</v>
      </c>
    </row>
    <row r="2271" spans="1:10" x14ac:dyDescent="0.3">
      <c r="A2271" s="33">
        <v>2270</v>
      </c>
      <c r="B2271" s="4">
        <v>12</v>
      </c>
      <c r="C2271" s="15">
        <v>263</v>
      </c>
      <c r="D2271" s="16">
        <v>7</v>
      </c>
      <c r="E2271" s="22">
        <v>44377</v>
      </c>
      <c r="F2271" s="17">
        <v>70</v>
      </c>
      <c r="G2271" s="18">
        <v>0.05</v>
      </c>
      <c r="H2271">
        <f>F2271*VLOOKUP(B2271,產品!$A$2:$H$61,7,FALSE)*(1-銷售總表!G2271)</f>
        <v>66500</v>
      </c>
      <c r="I2271" s="35">
        <f>H2271-F2271*VLOOKUP(銷售總表!B2271,產品!$A$2:$H$61,8,FALSE)</f>
        <v>38500</v>
      </c>
      <c r="J2271" s="20">
        <f t="shared" si="35"/>
        <v>0.57894736842105265</v>
      </c>
    </row>
    <row r="2272" spans="1:10" x14ac:dyDescent="0.3">
      <c r="A2272" s="33">
        <v>2271</v>
      </c>
      <c r="B2272" s="4">
        <v>55</v>
      </c>
      <c r="C2272" s="15">
        <v>112</v>
      </c>
      <c r="D2272" s="16">
        <v>10</v>
      </c>
      <c r="E2272" s="22">
        <v>44377</v>
      </c>
      <c r="F2272" s="19">
        <v>9</v>
      </c>
      <c r="G2272" s="18">
        <v>7.0000000000000007E-2</v>
      </c>
      <c r="H2272">
        <f>F2272*VLOOKUP(B2272,產品!$A$2:$H$61,7,FALSE)*(1-銷售總表!G2272)</f>
        <v>167400</v>
      </c>
      <c r="I2272" s="35">
        <f>H2272-F2272*VLOOKUP(銷售總表!B2272,產品!$A$2:$H$61,8,FALSE)</f>
        <v>41400</v>
      </c>
      <c r="J2272" s="20">
        <f t="shared" si="35"/>
        <v>0.24731182795698925</v>
      </c>
    </row>
    <row r="2273" spans="1:10" x14ac:dyDescent="0.3">
      <c r="A2273" s="33">
        <v>2272</v>
      </c>
      <c r="B2273" s="4">
        <v>56</v>
      </c>
      <c r="C2273" s="15">
        <v>287</v>
      </c>
      <c r="D2273" s="16">
        <v>2</v>
      </c>
      <c r="E2273" s="22">
        <v>44377</v>
      </c>
      <c r="F2273" s="19">
        <v>13</v>
      </c>
      <c r="G2273" s="18">
        <v>0.11</v>
      </c>
      <c r="H2273">
        <f>F2273*VLOOKUP(B2273,產品!$A$2:$H$61,7,FALSE)*(1-銷售總表!G2273)</f>
        <v>254540</v>
      </c>
      <c r="I2273" s="35">
        <f>H2273-F2273*VLOOKUP(銷售總表!B2273,產品!$A$2:$H$61,8,FALSE)</f>
        <v>54340.000000000029</v>
      </c>
      <c r="J2273" s="20">
        <f t="shared" si="35"/>
        <v>0.21348314606741584</v>
      </c>
    </row>
    <row r="2274" spans="1:10" x14ac:dyDescent="0.3">
      <c r="A2274" s="33">
        <v>2273</v>
      </c>
      <c r="B2274" s="4">
        <v>2</v>
      </c>
      <c r="C2274" s="15">
        <v>278</v>
      </c>
      <c r="D2274" s="16">
        <v>4</v>
      </c>
      <c r="E2274" s="22">
        <v>44377</v>
      </c>
      <c r="F2274" s="19">
        <v>200</v>
      </c>
      <c r="G2274" s="18">
        <v>0.1</v>
      </c>
      <c r="H2274">
        <f>F2274*VLOOKUP(B2274,產品!$A$2:$H$61,7,FALSE)*(1-銷售總表!G2274)</f>
        <v>180000</v>
      </c>
      <c r="I2274" s="35">
        <f>H2274-F2274*VLOOKUP(銷售總表!B2274,產品!$A$2:$H$61,8,FALSE)</f>
        <v>100000</v>
      </c>
      <c r="J2274" s="20">
        <f t="shared" si="35"/>
        <v>0.55555555555555558</v>
      </c>
    </row>
    <row r="2275" spans="1:10" x14ac:dyDescent="0.3">
      <c r="A2275" s="33">
        <v>2274</v>
      </c>
      <c r="B2275" s="4">
        <v>19</v>
      </c>
      <c r="C2275" s="15">
        <v>125</v>
      </c>
      <c r="D2275" s="16">
        <v>5</v>
      </c>
      <c r="E2275" s="22">
        <v>44377</v>
      </c>
      <c r="F2275" s="19">
        <v>150</v>
      </c>
      <c r="G2275" s="18">
        <v>0.19</v>
      </c>
      <c r="H2275">
        <f>F2275*VLOOKUP(B2275,產品!$A$2:$H$61,7,FALSE)*(1-銷售總表!G2275)</f>
        <v>218700</v>
      </c>
      <c r="I2275" s="35">
        <f>H2275-F2275*VLOOKUP(銷售總表!B2275,產品!$A$2:$H$61,8,FALSE)</f>
        <v>110700</v>
      </c>
      <c r="J2275" s="20">
        <f t="shared" si="35"/>
        <v>0.50617283950617287</v>
      </c>
    </row>
    <row r="2276" spans="1:10" x14ac:dyDescent="0.3">
      <c r="A2276" s="33">
        <v>2275</v>
      </c>
      <c r="B2276" s="4">
        <v>26</v>
      </c>
      <c r="C2276" s="15">
        <v>118</v>
      </c>
      <c r="D2276" s="16">
        <v>3</v>
      </c>
      <c r="E2276" s="22">
        <v>44378</v>
      </c>
      <c r="F2276" s="17">
        <v>10</v>
      </c>
      <c r="G2276" s="18">
        <v>0.18</v>
      </c>
      <c r="H2276">
        <f>F2276*VLOOKUP(B2276,產品!$A$2:$H$61,7,FALSE)*(1-銷售總表!G2276)</f>
        <v>53300.000000000007</v>
      </c>
      <c r="I2276" s="35">
        <f>H2276-F2276*VLOOKUP(銷售總表!B2276,產品!$A$2:$H$61,8,FALSE)</f>
        <v>14300.000000000007</v>
      </c>
      <c r="J2276" s="20">
        <f t="shared" si="35"/>
        <v>0.2682926829268294</v>
      </c>
    </row>
    <row r="2277" spans="1:10" x14ac:dyDescent="0.3">
      <c r="A2277" s="33">
        <v>2276</v>
      </c>
      <c r="B2277" s="4">
        <v>1</v>
      </c>
      <c r="C2277" s="15">
        <v>6</v>
      </c>
      <c r="D2277" s="16">
        <v>6</v>
      </c>
      <c r="E2277" s="22">
        <v>44378</v>
      </c>
      <c r="F2277" s="19">
        <v>20</v>
      </c>
      <c r="G2277" s="18">
        <v>0.11</v>
      </c>
      <c r="H2277">
        <f>F2277*VLOOKUP(B2277,產品!$A$2:$H$61,7,FALSE)*(1-銷售總表!G2277)</f>
        <v>17800</v>
      </c>
      <c r="I2277" s="35">
        <f>H2277-F2277*VLOOKUP(銷售總表!B2277,產品!$A$2:$H$61,8,FALSE)</f>
        <v>9800</v>
      </c>
      <c r="J2277" s="20">
        <f t="shared" si="35"/>
        <v>0.550561797752809</v>
      </c>
    </row>
    <row r="2278" spans="1:10" x14ac:dyDescent="0.3">
      <c r="A2278" s="33">
        <v>2277</v>
      </c>
      <c r="B2278" s="4">
        <v>47</v>
      </c>
      <c r="C2278" s="15">
        <v>279</v>
      </c>
      <c r="D2278" s="16">
        <v>6</v>
      </c>
      <c r="E2278" s="22">
        <v>44378</v>
      </c>
      <c r="F2278" s="17">
        <v>2</v>
      </c>
      <c r="G2278" s="18">
        <v>7.0000000000000007E-2</v>
      </c>
      <c r="H2278">
        <f>F2278*VLOOKUP(B2278,產品!$A$2:$H$61,7,FALSE)*(1-銷售總表!G2278)</f>
        <v>37200</v>
      </c>
      <c r="I2278" s="35">
        <f>H2278-F2278*VLOOKUP(銷售總表!B2278,產品!$A$2:$H$61,8,FALSE)</f>
        <v>11200</v>
      </c>
      <c r="J2278" s="20">
        <f t="shared" si="35"/>
        <v>0.30107526881720431</v>
      </c>
    </row>
    <row r="2279" spans="1:10" x14ac:dyDescent="0.3">
      <c r="A2279" s="33">
        <v>2278</v>
      </c>
      <c r="B2279" s="4">
        <v>10</v>
      </c>
      <c r="C2279" s="15">
        <v>10</v>
      </c>
      <c r="D2279" s="16">
        <v>2</v>
      </c>
      <c r="E2279" s="22">
        <v>44378</v>
      </c>
      <c r="F2279" s="17">
        <v>30</v>
      </c>
      <c r="G2279" s="18">
        <v>0.15</v>
      </c>
      <c r="H2279">
        <f>F2279*VLOOKUP(B2279,產品!$A$2:$H$61,7,FALSE)*(1-銷售總表!G2279)</f>
        <v>25500</v>
      </c>
      <c r="I2279" s="35">
        <f>H2279-F2279*VLOOKUP(銷售總表!B2279,產品!$A$2:$H$61,8,FALSE)</f>
        <v>13500</v>
      </c>
      <c r="J2279" s="20">
        <f t="shared" si="35"/>
        <v>0.52941176470588236</v>
      </c>
    </row>
    <row r="2280" spans="1:10" x14ac:dyDescent="0.3">
      <c r="A2280" s="33">
        <v>2279</v>
      </c>
      <c r="B2280" s="4">
        <v>6</v>
      </c>
      <c r="C2280" s="15">
        <v>120</v>
      </c>
      <c r="D2280" s="16">
        <v>5</v>
      </c>
      <c r="E2280" s="22">
        <v>44378</v>
      </c>
      <c r="F2280" s="19">
        <v>30</v>
      </c>
      <c r="G2280" s="18">
        <v>0.12</v>
      </c>
      <c r="H2280">
        <f>F2280*VLOOKUP(B2280,產品!$A$2:$H$61,7,FALSE)*(1-銷售總表!G2280)</f>
        <v>26400</v>
      </c>
      <c r="I2280" s="35">
        <f>H2280-F2280*VLOOKUP(銷售總表!B2280,產品!$A$2:$H$61,8,FALSE)</f>
        <v>14400</v>
      </c>
      <c r="J2280" s="20">
        <f t="shared" si="35"/>
        <v>0.54545454545454541</v>
      </c>
    </row>
    <row r="2281" spans="1:10" x14ac:dyDescent="0.3">
      <c r="A2281" s="33">
        <v>2280</v>
      </c>
      <c r="B2281" s="4">
        <v>53</v>
      </c>
      <c r="C2281" s="15">
        <v>257</v>
      </c>
      <c r="D2281" s="16">
        <v>3</v>
      </c>
      <c r="E2281" s="22">
        <v>44378</v>
      </c>
      <c r="F2281" s="19">
        <v>10</v>
      </c>
      <c r="G2281" s="18">
        <v>0.16</v>
      </c>
      <c r="H2281">
        <f>F2281*VLOOKUP(B2281,產品!$A$2:$H$61,7,FALSE)*(1-銷售總表!G2281)</f>
        <v>126000</v>
      </c>
      <c r="I2281" s="35">
        <f>H2281-F2281*VLOOKUP(銷售總表!B2281,產品!$A$2:$H$61,8,FALSE)</f>
        <v>21000</v>
      </c>
      <c r="J2281" s="20">
        <f t="shared" si="35"/>
        <v>0.16666666666666666</v>
      </c>
    </row>
    <row r="2282" spans="1:10" x14ac:dyDescent="0.3">
      <c r="A2282" s="33">
        <v>2281</v>
      </c>
      <c r="B2282" s="4">
        <v>35</v>
      </c>
      <c r="C2282" s="15">
        <v>121</v>
      </c>
      <c r="D2282" s="16">
        <v>2</v>
      </c>
      <c r="E2282" s="22">
        <v>44378</v>
      </c>
      <c r="F2282" s="19">
        <v>15</v>
      </c>
      <c r="G2282" s="18">
        <v>0.14000000000000001</v>
      </c>
      <c r="H2282">
        <f>F2282*VLOOKUP(B2282,產品!$A$2:$H$61,7,FALSE)*(1-銷售總表!G2282)</f>
        <v>109650</v>
      </c>
      <c r="I2282" s="35">
        <f>H2282-F2282*VLOOKUP(銷售總表!B2282,產品!$A$2:$H$61,8,FALSE)</f>
        <v>33150</v>
      </c>
      <c r="J2282" s="20">
        <f t="shared" si="35"/>
        <v>0.30232558139534882</v>
      </c>
    </row>
    <row r="2283" spans="1:10" x14ac:dyDescent="0.3">
      <c r="A2283" s="33">
        <v>2282</v>
      </c>
      <c r="B2283" s="4">
        <v>38</v>
      </c>
      <c r="C2283" s="15">
        <v>276</v>
      </c>
      <c r="D2283" s="16">
        <v>2</v>
      </c>
      <c r="E2283" s="22">
        <v>44379</v>
      </c>
      <c r="F2283" s="19">
        <v>2</v>
      </c>
      <c r="G2283" s="18">
        <v>0.09</v>
      </c>
      <c r="H2283">
        <f>F2283*VLOOKUP(B2283,產品!$A$2:$H$61,7,FALSE)*(1-銷售總表!G2283)</f>
        <v>27300</v>
      </c>
      <c r="I2283" s="35">
        <f>H2283-F2283*VLOOKUP(銷售總表!B2283,產品!$A$2:$H$61,8,FALSE)</f>
        <v>7800</v>
      </c>
      <c r="J2283" s="20">
        <f t="shared" si="35"/>
        <v>0.2857142857142857</v>
      </c>
    </row>
    <row r="2284" spans="1:10" x14ac:dyDescent="0.3">
      <c r="A2284" s="33">
        <v>2283</v>
      </c>
      <c r="B2284" s="4">
        <v>3</v>
      </c>
      <c r="C2284" s="15">
        <v>6</v>
      </c>
      <c r="D2284" s="16">
        <v>8</v>
      </c>
      <c r="E2284" s="22">
        <v>44379</v>
      </c>
      <c r="F2284" s="19">
        <v>20</v>
      </c>
      <c r="G2284" s="18">
        <v>0.15</v>
      </c>
      <c r="H2284">
        <f>F2284*VLOOKUP(B2284,產品!$A$2:$H$61,7,FALSE)*(1-銷售總表!G2284)</f>
        <v>17000</v>
      </c>
      <c r="I2284" s="35">
        <f>H2284-F2284*VLOOKUP(銷售總表!B2284,產品!$A$2:$H$61,8,FALSE)</f>
        <v>9000</v>
      </c>
      <c r="J2284" s="20">
        <f t="shared" si="35"/>
        <v>0.52941176470588236</v>
      </c>
    </row>
    <row r="2285" spans="1:10" x14ac:dyDescent="0.3">
      <c r="A2285" s="33">
        <v>2284</v>
      </c>
      <c r="B2285" s="4">
        <v>32</v>
      </c>
      <c r="C2285" s="15">
        <v>4</v>
      </c>
      <c r="D2285" s="16">
        <v>9</v>
      </c>
      <c r="E2285" s="22">
        <v>44379</v>
      </c>
      <c r="F2285" s="19">
        <v>4</v>
      </c>
      <c r="G2285" s="18">
        <v>0.05</v>
      </c>
      <c r="H2285">
        <f>F2285*VLOOKUP(B2285,產品!$A$2:$H$61,7,FALSE)*(1-銷售總表!G2285)</f>
        <v>28500</v>
      </c>
      <c r="I2285" s="35">
        <f>H2285-F2285*VLOOKUP(銷售總表!B2285,產品!$A$2:$H$61,8,FALSE)</f>
        <v>10500</v>
      </c>
      <c r="J2285" s="20">
        <f t="shared" si="35"/>
        <v>0.36842105263157893</v>
      </c>
    </row>
    <row r="2286" spans="1:10" x14ac:dyDescent="0.3">
      <c r="A2286" s="33">
        <v>2285</v>
      </c>
      <c r="B2286" s="4">
        <v>48</v>
      </c>
      <c r="C2286" s="15">
        <v>257</v>
      </c>
      <c r="D2286" s="16">
        <v>2</v>
      </c>
      <c r="E2286" s="22">
        <v>44379</v>
      </c>
      <c r="F2286" s="19">
        <v>2</v>
      </c>
      <c r="G2286" s="18">
        <v>0.09</v>
      </c>
      <c r="H2286">
        <f>F2286*VLOOKUP(B2286,產品!$A$2:$H$61,7,FALSE)*(1-銷售總表!G2286)</f>
        <v>40040</v>
      </c>
      <c r="I2286" s="35">
        <f>H2286-F2286*VLOOKUP(銷售總表!B2286,產品!$A$2:$H$61,8,FALSE)</f>
        <v>11440</v>
      </c>
      <c r="J2286" s="20">
        <f t="shared" si="35"/>
        <v>0.2857142857142857</v>
      </c>
    </row>
    <row r="2287" spans="1:10" x14ac:dyDescent="0.3">
      <c r="A2287" s="33">
        <v>2286</v>
      </c>
      <c r="B2287" s="4">
        <v>47</v>
      </c>
      <c r="C2287" s="15">
        <v>260</v>
      </c>
      <c r="D2287" s="16">
        <v>1</v>
      </c>
      <c r="E2287" s="22">
        <v>44379</v>
      </c>
      <c r="F2287" s="17">
        <v>4</v>
      </c>
      <c r="G2287" s="18">
        <v>0.1</v>
      </c>
      <c r="H2287">
        <f>F2287*VLOOKUP(B2287,產品!$A$2:$H$61,7,FALSE)*(1-銷售總表!G2287)</f>
        <v>72000</v>
      </c>
      <c r="I2287" s="35">
        <f>H2287-F2287*VLOOKUP(銷售總表!B2287,產品!$A$2:$H$61,8,FALSE)</f>
        <v>20000</v>
      </c>
      <c r="J2287" s="20">
        <f t="shared" si="35"/>
        <v>0.27777777777777779</v>
      </c>
    </row>
    <row r="2288" spans="1:10" x14ac:dyDescent="0.3">
      <c r="A2288" s="33">
        <v>2287</v>
      </c>
      <c r="B2288" s="4">
        <v>23</v>
      </c>
      <c r="C2288" s="15">
        <v>271</v>
      </c>
      <c r="D2288" s="16">
        <v>5</v>
      </c>
      <c r="E2288" s="22">
        <v>44379</v>
      </c>
      <c r="F2288" s="19">
        <v>40</v>
      </c>
      <c r="G2288" s="18">
        <v>0.18</v>
      </c>
      <c r="H2288">
        <f>F2288*VLOOKUP(B2288,產品!$A$2:$H$61,7,FALSE)*(1-銷售總表!G2288)</f>
        <v>59040.000000000007</v>
      </c>
      <c r="I2288" s="35">
        <f>H2288-F2288*VLOOKUP(銷售總表!B2288,產品!$A$2:$H$61,8,FALSE)</f>
        <v>30240.000000000007</v>
      </c>
      <c r="J2288" s="20">
        <f t="shared" si="35"/>
        <v>0.51219512195121952</v>
      </c>
    </row>
    <row r="2289" spans="1:10" x14ac:dyDescent="0.3">
      <c r="A2289" s="33">
        <v>2288</v>
      </c>
      <c r="B2289" s="4">
        <v>56</v>
      </c>
      <c r="C2289" s="15">
        <v>4</v>
      </c>
      <c r="D2289" s="16">
        <v>8</v>
      </c>
      <c r="E2289" s="22">
        <v>44379</v>
      </c>
      <c r="F2289" s="17">
        <v>10</v>
      </c>
      <c r="G2289" s="18">
        <v>0.08</v>
      </c>
      <c r="H2289">
        <f>F2289*VLOOKUP(B2289,產品!$A$2:$H$61,7,FALSE)*(1-銷售總表!G2289)</f>
        <v>202400</v>
      </c>
      <c r="I2289" s="35">
        <f>H2289-F2289*VLOOKUP(銷售總表!B2289,產品!$A$2:$H$61,8,FALSE)</f>
        <v>48400.000000000029</v>
      </c>
      <c r="J2289" s="20">
        <f t="shared" si="35"/>
        <v>0.23913043478260884</v>
      </c>
    </row>
    <row r="2290" spans="1:10" x14ac:dyDescent="0.3">
      <c r="A2290" s="33">
        <v>2289</v>
      </c>
      <c r="B2290" s="4">
        <v>57</v>
      </c>
      <c r="C2290" s="15">
        <v>138</v>
      </c>
      <c r="D2290" s="16">
        <v>5</v>
      </c>
      <c r="E2290" s="22">
        <v>44379</v>
      </c>
      <c r="F2290" s="19">
        <v>13</v>
      </c>
      <c r="G2290" s="18">
        <v>0.08</v>
      </c>
      <c r="H2290">
        <f>F2290*VLOOKUP(B2290,產品!$A$2:$H$61,7,FALSE)*(1-銷售總表!G2290)</f>
        <v>215280</v>
      </c>
      <c r="I2290" s="35">
        <f>H2290-F2290*VLOOKUP(銷售總表!B2290,產品!$A$2:$H$61,8,FALSE)</f>
        <v>51480</v>
      </c>
      <c r="J2290" s="20">
        <f t="shared" si="35"/>
        <v>0.2391304347826087</v>
      </c>
    </row>
    <row r="2291" spans="1:10" x14ac:dyDescent="0.3">
      <c r="A2291" s="33">
        <v>2290</v>
      </c>
      <c r="B2291" s="4">
        <v>24</v>
      </c>
      <c r="C2291" s="15">
        <v>126</v>
      </c>
      <c r="D2291" s="16">
        <v>8</v>
      </c>
      <c r="E2291" s="22">
        <v>44379</v>
      </c>
      <c r="F2291" s="17">
        <v>80</v>
      </c>
      <c r="G2291" s="18">
        <v>7.0000000000000007E-2</v>
      </c>
      <c r="H2291">
        <f>F2291*VLOOKUP(B2291,產品!$A$2:$H$61,7,FALSE)*(1-銷售總表!G2291)</f>
        <v>133920</v>
      </c>
      <c r="I2291" s="35">
        <f>H2291-F2291*VLOOKUP(銷售總表!B2291,產品!$A$2:$H$61,8,FALSE)</f>
        <v>76320</v>
      </c>
      <c r="J2291" s="20">
        <f t="shared" si="35"/>
        <v>0.56989247311827962</v>
      </c>
    </row>
    <row r="2292" spans="1:10" x14ac:dyDescent="0.3">
      <c r="A2292" s="33">
        <v>2291</v>
      </c>
      <c r="B2292" s="4">
        <v>5</v>
      </c>
      <c r="C2292" s="15">
        <v>118</v>
      </c>
      <c r="D2292" s="16">
        <v>5</v>
      </c>
      <c r="E2292" s="22">
        <v>44380</v>
      </c>
      <c r="F2292" s="19">
        <v>10</v>
      </c>
      <c r="G2292" s="18">
        <v>0.12</v>
      </c>
      <c r="H2292">
        <f>F2292*VLOOKUP(B2292,產品!$A$2:$H$61,7,FALSE)*(1-銷售總表!G2292)</f>
        <v>8800</v>
      </c>
      <c r="I2292" s="35">
        <f>H2292-F2292*VLOOKUP(銷售總表!B2292,產品!$A$2:$H$61,8,FALSE)</f>
        <v>4800</v>
      </c>
      <c r="J2292" s="20">
        <f t="shared" si="35"/>
        <v>0.54545454545454541</v>
      </c>
    </row>
    <row r="2293" spans="1:10" x14ac:dyDescent="0.3">
      <c r="A2293" s="33">
        <v>2292</v>
      </c>
      <c r="B2293" s="4">
        <v>7</v>
      </c>
      <c r="C2293" s="15">
        <v>137</v>
      </c>
      <c r="D2293" s="16">
        <v>1</v>
      </c>
      <c r="E2293" s="22">
        <v>44380</v>
      </c>
      <c r="F2293" s="19">
        <v>15</v>
      </c>
      <c r="G2293" s="18">
        <v>0.15</v>
      </c>
      <c r="H2293">
        <f>F2293*VLOOKUP(B2293,產品!$A$2:$H$61,7,FALSE)*(1-銷售總表!G2293)</f>
        <v>12750</v>
      </c>
      <c r="I2293" s="35">
        <f>H2293-F2293*VLOOKUP(銷售總表!B2293,產品!$A$2:$H$61,8,FALSE)</f>
        <v>6750</v>
      </c>
      <c r="J2293" s="20">
        <f t="shared" si="35"/>
        <v>0.52941176470588236</v>
      </c>
    </row>
    <row r="2294" spans="1:10" x14ac:dyDescent="0.3">
      <c r="A2294" s="33">
        <v>2293</v>
      </c>
      <c r="B2294" s="4">
        <v>16</v>
      </c>
      <c r="C2294" s="15">
        <v>3</v>
      </c>
      <c r="D2294" s="16">
        <v>3</v>
      </c>
      <c r="E2294" s="22">
        <v>44380</v>
      </c>
      <c r="F2294" s="17">
        <v>10</v>
      </c>
      <c r="G2294" s="18">
        <v>0.12</v>
      </c>
      <c r="H2294">
        <f>F2294*VLOOKUP(B2294,產品!$A$2:$H$61,7,FALSE)*(1-銷售總表!G2294)</f>
        <v>15840</v>
      </c>
      <c r="I2294" s="35">
        <f>H2294-F2294*VLOOKUP(銷售總表!B2294,產品!$A$2:$H$61,8,FALSE)</f>
        <v>8640</v>
      </c>
      <c r="J2294" s="20">
        <f t="shared" si="35"/>
        <v>0.54545454545454541</v>
      </c>
    </row>
    <row r="2295" spans="1:10" x14ac:dyDescent="0.3">
      <c r="A2295" s="33">
        <v>2294</v>
      </c>
      <c r="B2295" s="4">
        <v>48</v>
      </c>
      <c r="C2295" s="15">
        <v>7</v>
      </c>
      <c r="D2295" s="16">
        <v>8</v>
      </c>
      <c r="E2295" s="22">
        <v>44380</v>
      </c>
      <c r="F2295" s="17">
        <v>2</v>
      </c>
      <c r="G2295" s="18">
        <v>0.12</v>
      </c>
      <c r="H2295">
        <f>F2295*VLOOKUP(B2295,產品!$A$2:$H$61,7,FALSE)*(1-銷售總表!G2295)</f>
        <v>38720</v>
      </c>
      <c r="I2295" s="35">
        <f>H2295-F2295*VLOOKUP(銷售總表!B2295,產品!$A$2:$H$61,8,FALSE)</f>
        <v>10120</v>
      </c>
      <c r="J2295" s="20">
        <f t="shared" si="35"/>
        <v>0.26136363636363635</v>
      </c>
    </row>
    <row r="2296" spans="1:10" x14ac:dyDescent="0.3">
      <c r="A2296" s="33">
        <v>2295</v>
      </c>
      <c r="B2296" s="4">
        <v>31</v>
      </c>
      <c r="C2296" s="15">
        <v>257</v>
      </c>
      <c r="D2296" s="16">
        <v>4</v>
      </c>
      <c r="E2296" s="22">
        <v>44380</v>
      </c>
      <c r="F2296" s="17">
        <v>6</v>
      </c>
      <c r="G2296" s="18">
        <v>0.08</v>
      </c>
      <c r="H2296">
        <f>F2296*VLOOKUP(B2296,產品!$A$2:$H$61,7,FALSE)*(1-銷售總表!G2296)</f>
        <v>38640</v>
      </c>
      <c r="I2296" s="35">
        <f>H2296-F2296*VLOOKUP(銷售總表!B2296,產品!$A$2:$H$61,8,FALSE)</f>
        <v>13440</v>
      </c>
      <c r="J2296" s="20">
        <f t="shared" si="35"/>
        <v>0.34782608695652173</v>
      </c>
    </row>
    <row r="2297" spans="1:10" x14ac:dyDescent="0.3">
      <c r="A2297" s="33">
        <v>2296</v>
      </c>
      <c r="B2297" s="4">
        <v>40</v>
      </c>
      <c r="C2297" s="15">
        <v>9</v>
      </c>
      <c r="D2297" s="16">
        <v>1</v>
      </c>
      <c r="E2297" s="22">
        <v>44380</v>
      </c>
      <c r="F2297" s="19">
        <v>5</v>
      </c>
      <c r="G2297" s="18">
        <v>0.2</v>
      </c>
      <c r="H2297">
        <f>F2297*VLOOKUP(B2297,產品!$A$2:$H$61,7,FALSE)*(1-銷售總表!G2297)</f>
        <v>80000</v>
      </c>
      <c r="I2297" s="35">
        <f>H2297-F2297*VLOOKUP(銷售總表!B2297,產品!$A$2:$H$61,8,FALSE)</f>
        <v>15000</v>
      </c>
      <c r="J2297" s="20">
        <f t="shared" si="35"/>
        <v>0.1875</v>
      </c>
    </row>
    <row r="2298" spans="1:10" x14ac:dyDescent="0.3">
      <c r="A2298" s="33">
        <v>2297</v>
      </c>
      <c r="B2298" s="4">
        <v>42</v>
      </c>
      <c r="C2298" s="15">
        <v>259</v>
      </c>
      <c r="D2298" s="16">
        <v>5</v>
      </c>
      <c r="E2298" s="22">
        <v>44380</v>
      </c>
      <c r="F2298" s="19">
        <v>9</v>
      </c>
      <c r="G2298" s="18">
        <v>0.2</v>
      </c>
      <c r="H2298">
        <f>F2298*VLOOKUP(B2298,產品!$A$2:$H$61,7,FALSE)*(1-銷售總表!G2298)</f>
        <v>108000</v>
      </c>
      <c r="I2298" s="35">
        <f>H2298-F2298*VLOOKUP(銷售總表!B2298,產品!$A$2:$H$61,8,FALSE)</f>
        <v>20250</v>
      </c>
      <c r="J2298" s="20">
        <f t="shared" si="35"/>
        <v>0.1875</v>
      </c>
    </row>
    <row r="2299" spans="1:10" x14ac:dyDescent="0.3">
      <c r="A2299" s="33">
        <v>2298</v>
      </c>
      <c r="B2299" s="4">
        <v>39</v>
      </c>
      <c r="C2299" s="15">
        <v>10</v>
      </c>
      <c r="D2299" s="16">
        <v>10</v>
      </c>
      <c r="E2299" s="22">
        <v>44380</v>
      </c>
      <c r="F2299" s="19">
        <v>8</v>
      </c>
      <c r="G2299" s="18">
        <v>0.17</v>
      </c>
      <c r="H2299">
        <f>F2299*VLOOKUP(B2299,產品!$A$2:$H$61,7,FALSE)*(1-銷售總表!G2299)</f>
        <v>119520</v>
      </c>
      <c r="I2299" s="35">
        <f>H2299-F2299*VLOOKUP(銷售總表!B2299,產品!$A$2:$H$61,8,FALSE)</f>
        <v>25920</v>
      </c>
      <c r="J2299" s="20">
        <f t="shared" si="35"/>
        <v>0.21686746987951808</v>
      </c>
    </row>
    <row r="2300" spans="1:10" x14ac:dyDescent="0.3">
      <c r="A2300" s="33">
        <v>2299</v>
      </c>
      <c r="B2300" s="4">
        <v>32</v>
      </c>
      <c r="C2300" s="15">
        <v>4</v>
      </c>
      <c r="D2300" s="16">
        <v>10</v>
      </c>
      <c r="E2300" s="22">
        <v>44381</v>
      </c>
      <c r="F2300" s="17">
        <v>2</v>
      </c>
      <c r="G2300" s="18">
        <v>0.14000000000000001</v>
      </c>
      <c r="H2300">
        <f>F2300*VLOOKUP(B2300,產品!$A$2:$H$61,7,FALSE)*(1-銷售總表!G2300)</f>
        <v>12900</v>
      </c>
      <c r="I2300" s="35">
        <f>H2300-F2300*VLOOKUP(銷售總表!B2300,產品!$A$2:$H$61,8,FALSE)</f>
        <v>3900</v>
      </c>
      <c r="J2300" s="20">
        <f t="shared" si="35"/>
        <v>0.30232558139534882</v>
      </c>
    </row>
    <row r="2301" spans="1:10" x14ac:dyDescent="0.3">
      <c r="A2301" s="33">
        <v>2300</v>
      </c>
      <c r="B2301" s="4">
        <v>10</v>
      </c>
      <c r="C2301" s="15">
        <v>120</v>
      </c>
      <c r="D2301" s="16">
        <v>5</v>
      </c>
      <c r="E2301" s="22">
        <v>44381</v>
      </c>
      <c r="F2301" s="19">
        <v>45</v>
      </c>
      <c r="G2301" s="18">
        <v>0.09</v>
      </c>
      <c r="H2301">
        <f>F2301*VLOOKUP(B2301,產品!$A$2:$H$61,7,FALSE)*(1-銷售總表!G2301)</f>
        <v>40950</v>
      </c>
      <c r="I2301" s="35">
        <f>H2301-F2301*VLOOKUP(銷售總表!B2301,產品!$A$2:$H$61,8,FALSE)</f>
        <v>22950</v>
      </c>
      <c r="J2301" s="20">
        <f t="shared" si="35"/>
        <v>0.56043956043956045</v>
      </c>
    </row>
    <row r="2302" spans="1:10" x14ac:dyDescent="0.3">
      <c r="A2302" s="33">
        <v>2301</v>
      </c>
      <c r="B2302" s="4">
        <v>34</v>
      </c>
      <c r="C2302" s="15">
        <v>120</v>
      </c>
      <c r="D2302" s="16">
        <v>8</v>
      </c>
      <c r="E2302" s="22">
        <v>44381</v>
      </c>
      <c r="F2302" s="17">
        <v>10</v>
      </c>
      <c r="G2302" s="18">
        <v>0.08</v>
      </c>
      <c r="H2302">
        <f>F2302*VLOOKUP(B2302,產品!$A$2:$H$61,7,FALSE)*(1-銷售總表!G2302)</f>
        <v>73600</v>
      </c>
      <c r="I2302" s="35">
        <f>H2302-F2302*VLOOKUP(銷售總表!B2302,產品!$A$2:$H$61,8,FALSE)</f>
        <v>25600</v>
      </c>
      <c r="J2302" s="20">
        <f t="shared" si="35"/>
        <v>0.34782608695652173</v>
      </c>
    </row>
    <row r="2303" spans="1:10" x14ac:dyDescent="0.3">
      <c r="A2303" s="33">
        <v>2302</v>
      </c>
      <c r="B2303" s="4">
        <v>21</v>
      </c>
      <c r="C2303" s="15">
        <v>136</v>
      </c>
      <c r="D2303" s="16">
        <v>7</v>
      </c>
      <c r="E2303" s="22">
        <v>44381</v>
      </c>
      <c r="F2303" s="19">
        <v>40</v>
      </c>
      <c r="G2303" s="18">
        <v>0.17</v>
      </c>
      <c r="H2303">
        <f>F2303*VLOOKUP(B2303,產品!$A$2:$H$61,7,FALSE)*(1-銷售總表!G2303)</f>
        <v>59760</v>
      </c>
      <c r="I2303" s="35">
        <f>H2303-F2303*VLOOKUP(銷售總表!B2303,產品!$A$2:$H$61,8,FALSE)</f>
        <v>30960</v>
      </c>
      <c r="J2303" s="20">
        <f t="shared" si="35"/>
        <v>0.51807228915662651</v>
      </c>
    </row>
    <row r="2304" spans="1:10" x14ac:dyDescent="0.3">
      <c r="A2304" s="33">
        <v>2303</v>
      </c>
      <c r="B2304" s="4">
        <v>40</v>
      </c>
      <c r="C2304" s="15">
        <v>112</v>
      </c>
      <c r="D2304" s="16">
        <v>9</v>
      </c>
      <c r="E2304" s="22">
        <v>44381</v>
      </c>
      <c r="F2304" s="17">
        <v>7</v>
      </c>
      <c r="G2304" s="18">
        <v>0.08</v>
      </c>
      <c r="H2304">
        <f>F2304*VLOOKUP(B2304,產品!$A$2:$H$61,7,FALSE)*(1-銷售總表!G2304)</f>
        <v>128800</v>
      </c>
      <c r="I2304" s="35">
        <f>H2304-F2304*VLOOKUP(銷售總表!B2304,產品!$A$2:$H$61,8,FALSE)</f>
        <v>37800</v>
      </c>
      <c r="J2304" s="20">
        <f t="shared" si="35"/>
        <v>0.29347826086956524</v>
      </c>
    </row>
    <row r="2305" spans="1:10" x14ac:dyDescent="0.3">
      <c r="A2305" s="33">
        <v>2304</v>
      </c>
      <c r="B2305" s="4">
        <v>3</v>
      </c>
      <c r="C2305" s="15">
        <v>10</v>
      </c>
      <c r="D2305" s="16">
        <v>8</v>
      </c>
      <c r="E2305" s="22">
        <v>44381</v>
      </c>
      <c r="F2305" s="17">
        <v>200</v>
      </c>
      <c r="G2305" s="18">
        <v>0.2</v>
      </c>
      <c r="H2305">
        <f>F2305*VLOOKUP(B2305,產品!$A$2:$H$61,7,FALSE)*(1-銷售總表!G2305)</f>
        <v>160000</v>
      </c>
      <c r="I2305" s="35">
        <f>H2305-F2305*VLOOKUP(銷售總表!B2305,產品!$A$2:$H$61,8,FALSE)</f>
        <v>80000</v>
      </c>
      <c r="J2305" s="20">
        <f t="shared" si="35"/>
        <v>0.5</v>
      </c>
    </row>
    <row r="2306" spans="1:10" x14ac:dyDescent="0.3">
      <c r="A2306" s="33">
        <v>2305</v>
      </c>
      <c r="B2306" s="4">
        <v>42</v>
      </c>
      <c r="C2306" s="15">
        <v>139</v>
      </c>
      <c r="D2306" s="16">
        <v>4</v>
      </c>
      <c r="E2306" s="22">
        <v>44382</v>
      </c>
      <c r="F2306" s="17">
        <v>1</v>
      </c>
      <c r="G2306" s="18">
        <v>0.05</v>
      </c>
      <c r="H2306">
        <f>F2306*VLOOKUP(B2306,產品!$A$2:$H$61,7,FALSE)*(1-銷售總表!G2306)</f>
        <v>14250</v>
      </c>
      <c r="I2306" s="35">
        <f>H2306-F2306*VLOOKUP(銷售總表!B2306,產品!$A$2:$H$61,8,FALSE)</f>
        <v>4500</v>
      </c>
      <c r="J2306" s="20">
        <f t="shared" si="35"/>
        <v>0.31578947368421051</v>
      </c>
    </row>
    <row r="2307" spans="1:10" x14ac:dyDescent="0.3">
      <c r="A2307" s="33">
        <v>2306</v>
      </c>
      <c r="B2307" s="4">
        <v>59</v>
      </c>
      <c r="C2307" s="15">
        <v>112</v>
      </c>
      <c r="D2307" s="16">
        <v>4</v>
      </c>
      <c r="E2307" s="22">
        <v>44382</v>
      </c>
      <c r="F2307" s="19">
        <v>3</v>
      </c>
      <c r="G2307" s="18">
        <v>0.19</v>
      </c>
      <c r="H2307">
        <f>F2307*VLOOKUP(B2307,產品!$A$2:$H$61,7,FALSE)*(1-銷售總表!G2307)</f>
        <v>58320.000000000007</v>
      </c>
      <c r="I2307" s="35">
        <f>H2307-F2307*VLOOKUP(銷售總表!B2307,產品!$A$2:$H$61,8,FALSE)</f>
        <v>7920.0000000000073</v>
      </c>
      <c r="J2307" s="20">
        <f t="shared" ref="J2307:J2370" si="36">I2307/H2307</f>
        <v>0.13580246913580257</v>
      </c>
    </row>
    <row r="2308" spans="1:10" x14ac:dyDescent="0.3">
      <c r="A2308" s="33">
        <v>2307</v>
      </c>
      <c r="B2308" s="4">
        <v>26</v>
      </c>
      <c r="C2308" s="15">
        <v>276</v>
      </c>
      <c r="D2308" s="16">
        <v>2</v>
      </c>
      <c r="E2308" s="22">
        <v>44382</v>
      </c>
      <c r="F2308" s="17">
        <v>7</v>
      </c>
      <c r="G2308" s="18">
        <v>0.18</v>
      </c>
      <c r="H2308">
        <f>F2308*VLOOKUP(B2308,產品!$A$2:$H$61,7,FALSE)*(1-銷售總表!G2308)</f>
        <v>37310</v>
      </c>
      <c r="I2308" s="35">
        <f>H2308-F2308*VLOOKUP(銷售總表!B2308,產品!$A$2:$H$61,8,FALSE)</f>
        <v>10010</v>
      </c>
      <c r="J2308" s="20">
        <f t="shared" si="36"/>
        <v>0.26829268292682928</v>
      </c>
    </row>
    <row r="2309" spans="1:10" x14ac:dyDescent="0.3">
      <c r="A2309" s="33">
        <v>2308</v>
      </c>
      <c r="B2309" s="4">
        <v>20</v>
      </c>
      <c r="C2309" s="15">
        <v>287</v>
      </c>
      <c r="D2309" s="16">
        <v>6</v>
      </c>
      <c r="E2309" s="22">
        <v>44382</v>
      </c>
      <c r="F2309" s="19">
        <v>50</v>
      </c>
      <c r="G2309" s="18">
        <v>0.12</v>
      </c>
      <c r="H2309">
        <f>F2309*VLOOKUP(B2309,產品!$A$2:$H$61,7,FALSE)*(1-銷售總表!G2309)</f>
        <v>79200</v>
      </c>
      <c r="I2309" s="35">
        <f>H2309-F2309*VLOOKUP(銷售總表!B2309,產品!$A$2:$H$61,8,FALSE)</f>
        <v>43200</v>
      </c>
      <c r="J2309" s="20">
        <f t="shared" si="36"/>
        <v>0.54545454545454541</v>
      </c>
    </row>
    <row r="2310" spans="1:10" x14ac:dyDescent="0.3">
      <c r="A2310" s="33">
        <v>2309</v>
      </c>
      <c r="B2310" s="4">
        <v>24</v>
      </c>
      <c r="C2310" s="15">
        <v>135</v>
      </c>
      <c r="D2310" s="16">
        <v>4</v>
      </c>
      <c r="E2310" s="22">
        <v>44382</v>
      </c>
      <c r="F2310" s="19">
        <v>60</v>
      </c>
      <c r="G2310" s="18">
        <v>0.15</v>
      </c>
      <c r="H2310">
        <f>F2310*VLOOKUP(B2310,產品!$A$2:$H$61,7,FALSE)*(1-銷售總表!G2310)</f>
        <v>91800</v>
      </c>
      <c r="I2310" s="35">
        <f>H2310-F2310*VLOOKUP(銷售總表!B2310,產品!$A$2:$H$61,8,FALSE)</f>
        <v>48600</v>
      </c>
      <c r="J2310" s="20">
        <f t="shared" si="36"/>
        <v>0.52941176470588236</v>
      </c>
    </row>
    <row r="2311" spans="1:10" x14ac:dyDescent="0.3">
      <c r="A2311" s="33">
        <v>2310</v>
      </c>
      <c r="B2311" s="4">
        <v>46</v>
      </c>
      <c r="C2311" s="15">
        <v>134</v>
      </c>
      <c r="D2311" s="16">
        <v>4</v>
      </c>
      <c r="E2311" s="22">
        <v>44382</v>
      </c>
      <c r="F2311" s="17">
        <v>10</v>
      </c>
      <c r="G2311" s="18">
        <v>0.06</v>
      </c>
      <c r="H2311">
        <f>F2311*VLOOKUP(B2311,產品!$A$2:$H$61,7,FALSE)*(1-銷售總表!G2311)</f>
        <v>159800</v>
      </c>
      <c r="I2311" s="35">
        <f>H2311-F2311*VLOOKUP(銷售總表!B2311,產品!$A$2:$H$61,8,FALSE)</f>
        <v>49300</v>
      </c>
      <c r="J2311" s="20">
        <f t="shared" si="36"/>
        <v>0.30851063829787234</v>
      </c>
    </row>
    <row r="2312" spans="1:10" x14ac:dyDescent="0.3">
      <c r="A2312" s="33">
        <v>2311</v>
      </c>
      <c r="B2312" s="4">
        <v>10</v>
      </c>
      <c r="C2312" s="15">
        <v>11</v>
      </c>
      <c r="D2312" s="16">
        <v>10</v>
      </c>
      <c r="E2312" s="22">
        <v>44383</v>
      </c>
      <c r="F2312" s="19">
        <v>20</v>
      </c>
      <c r="G2312" s="18">
        <v>0.18</v>
      </c>
      <c r="H2312">
        <f>F2312*VLOOKUP(B2312,產品!$A$2:$H$61,7,FALSE)*(1-銷售總表!G2312)</f>
        <v>16400</v>
      </c>
      <c r="I2312" s="35">
        <f>H2312-F2312*VLOOKUP(銷售總表!B2312,產品!$A$2:$H$61,8,FALSE)</f>
        <v>8400</v>
      </c>
      <c r="J2312" s="20">
        <f t="shared" si="36"/>
        <v>0.51219512195121952</v>
      </c>
    </row>
    <row r="2313" spans="1:10" x14ac:dyDescent="0.3">
      <c r="A2313" s="33">
        <v>2312</v>
      </c>
      <c r="B2313" s="4">
        <v>21</v>
      </c>
      <c r="C2313" s="15">
        <v>280</v>
      </c>
      <c r="D2313" s="16">
        <v>1</v>
      </c>
      <c r="E2313" s="22">
        <v>44383</v>
      </c>
      <c r="F2313" s="17">
        <v>10</v>
      </c>
      <c r="G2313" s="18">
        <v>0.11</v>
      </c>
      <c r="H2313">
        <f>F2313*VLOOKUP(B2313,產品!$A$2:$H$61,7,FALSE)*(1-銷售總表!G2313)</f>
        <v>16020</v>
      </c>
      <c r="I2313" s="35">
        <f>H2313-F2313*VLOOKUP(銷售總表!B2313,產品!$A$2:$H$61,8,FALSE)</f>
        <v>8820</v>
      </c>
      <c r="J2313" s="20">
        <f t="shared" si="36"/>
        <v>0.550561797752809</v>
      </c>
    </row>
    <row r="2314" spans="1:10" x14ac:dyDescent="0.3">
      <c r="A2314" s="33">
        <v>2313</v>
      </c>
      <c r="B2314" s="4">
        <v>21</v>
      </c>
      <c r="C2314" s="15">
        <v>1</v>
      </c>
      <c r="D2314" s="16">
        <v>3</v>
      </c>
      <c r="E2314" s="22">
        <v>44383</v>
      </c>
      <c r="F2314" s="19">
        <v>12</v>
      </c>
      <c r="G2314" s="18">
        <v>0.13</v>
      </c>
      <c r="H2314">
        <f>F2314*VLOOKUP(B2314,產品!$A$2:$H$61,7,FALSE)*(1-銷售總表!G2314)</f>
        <v>18792</v>
      </c>
      <c r="I2314" s="35">
        <f>H2314-F2314*VLOOKUP(銷售總表!B2314,產品!$A$2:$H$61,8,FALSE)</f>
        <v>10152</v>
      </c>
      <c r="J2314" s="20">
        <f t="shared" si="36"/>
        <v>0.54022988505747127</v>
      </c>
    </row>
    <row r="2315" spans="1:10" x14ac:dyDescent="0.3">
      <c r="A2315" s="33">
        <v>2314</v>
      </c>
      <c r="B2315" s="4">
        <v>28</v>
      </c>
      <c r="C2315" s="15">
        <v>268</v>
      </c>
      <c r="D2315" s="16">
        <v>10</v>
      </c>
      <c r="E2315" s="22">
        <v>44383</v>
      </c>
      <c r="F2315" s="19">
        <v>5</v>
      </c>
      <c r="G2315" s="18">
        <v>0.1</v>
      </c>
      <c r="H2315">
        <f>F2315*VLOOKUP(B2315,產品!$A$2:$H$61,7,FALSE)*(1-銷售總表!G2315)</f>
        <v>33750</v>
      </c>
      <c r="I2315" s="35">
        <f>H2315-F2315*VLOOKUP(銷售總表!B2315,產品!$A$2:$H$61,8,FALSE)</f>
        <v>11250</v>
      </c>
      <c r="J2315" s="20">
        <f t="shared" si="36"/>
        <v>0.33333333333333331</v>
      </c>
    </row>
    <row r="2316" spans="1:10" x14ac:dyDescent="0.3">
      <c r="A2316" s="33">
        <v>2315</v>
      </c>
      <c r="B2316" s="4">
        <v>46</v>
      </c>
      <c r="C2316" s="15">
        <v>122</v>
      </c>
      <c r="D2316" s="16">
        <v>8</v>
      </c>
      <c r="E2316" s="22">
        <v>44383</v>
      </c>
      <c r="F2316" s="19">
        <v>7</v>
      </c>
      <c r="G2316" s="18">
        <v>0.2</v>
      </c>
      <c r="H2316">
        <f>F2316*VLOOKUP(B2316,產品!$A$2:$H$61,7,FALSE)*(1-銷售總表!G2316)</f>
        <v>95200</v>
      </c>
      <c r="I2316" s="35">
        <f>H2316-F2316*VLOOKUP(銷售總表!B2316,產品!$A$2:$H$61,8,FALSE)</f>
        <v>17850</v>
      </c>
      <c r="J2316" s="20">
        <f t="shared" si="36"/>
        <v>0.1875</v>
      </c>
    </row>
    <row r="2317" spans="1:10" x14ac:dyDescent="0.3">
      <c r="A2317" s="33">
        <v>2316</v>
      </c>
      <c r="B2317" s="4">
        <v>16</v>
      </c>
      <c r="C2317" s="15">
        <v>11</v>
      </c>
      <c r="D2317" s="16">
        <v>8</v>
      </c>
      <c r="E2317" s="22">
        <v>44383</v>
      </c>
      <c r="F2317" s="17">
        <v>20</v>
      </c>
      <c r="G2317" s="18">
        <v>0.05</v>
      </c>
      <c r="H2317">
        <f>F2317*VLOOKUP(B2317,產品!$A$2:$H$61,7,FALSE)*(1-銷售總表!G2317)</f>
        <v>34200</v>
      </c>
      <c r="I2317" s="35">
        <f>H2317-F2317*VLOOKUP(銷售總表!B2317,產品!$A$2:$H$61,8,FALSE)</f>
        <v>19800</v>
      </c>
      <c r="J2317" s="20">
        <f t="shared" si="36"/>
        <v>0.57894736842105265</v>
      </c>
    </row>
    <row r="2318" spans="1:10" x14ac:dyDescent="0.3">
      <c r="A2318" s="33">
        <v>2317</v>
      </c>
      <c r="B2318" s="4">
        <v>21</v>
      </c>
      <c r="C2318" s="15">
        <v>280</v>
      </c>
      <c r="D2318" s="16">
        <v>7</v>
      </c>
      <c r="E2318" s="22">
        <v>44383</v>
      </c>
      <c r="F2318" s="19">
        <v>30</v>
      </c>
      <c r="G2318" s="18">
        <v>0.16</v>
      </c>
      <c r="H2318">
        <f>F2318*VLOOKUP(B2318,產品!$A$2:$H$61,7,FALSE)*(1-銷售總表!G2318)</f>
        <v>45360</v>
      </c>
      <c r="I2318" s="35">
        <f>H2318-F2318*VLOOKUP(銷售總表!B2318,產品!$A$2:$H$61,8,FALSE)</f>
        <v>23760</v>
      </c>
      <c r="J2318" s="20">
        <f t="shared" si="36"/>
        <v>0.52380952380952384</v>
      </c>
    </row>
    <row r="2319" spans="1:10" x14ac:dyDescent="0.3">
      <c r="A2319" s="33">
        <v>2318</v>
      </c>
      <c r="B2319" s="4">
        <v>30</v>
      </c>
      <c r="C2319" s="15">
        <v>121</v>
      </c>
      <c r="D2319" s="16">
        <v>9</v>
      </c>
      <c r="E2319" s="22">
        <v>44383</v>
      </c>
      <c r="F2319" s="17">
        <v>20</v>
      </c>
      <c r="G2319" s="18">
        <v>0.12</v>
      </c>
      <c r="H2319">
        <f>F2319*VLOOKUP(B2319,產品!$A$2:$H$61,7,FALSE)*(1-銷售總表!G2319)</f>
        <v>114400</v>
      </c>
      <c r="I2319" s="35">
        <f>H2319-F2319*VLOOKUP(銷售總表!B2319,產品!$A$2:$H$61,8,FALSE)</f>
        <v>36400</v>
      </c>
      <c r="J2319" s="20">
        <f t="shared" si="36"/>
        <v>0.31818181818181818</v>
      </c>
    </row>
    <row r="2320" spans="1:10" x14ac:dyDescent="0.3">
      <c r="A2320" s="33">
        <v>2319</v>
      </c>
      <c r="B2320" s="4">
        <v>4</v>
      </c>
      <c r="C2320" s="15">
        <v>134</v>
      </c>
      <c r="D2320" s="16">
        <v>3</v>
      </c>
      <c r="E2320" s="22">
        <v>44383</v>
      </c>
      <c r="F2320" s="17">
        <v>100</v>
      </c>
      <c r="G2320" s="18">
        <v>0.06</v>
      </c>
      <c r="H2320">
        <f>F2320*VLOOKUP(B2320,產品!$A$2:$H$61,7,FALSE)*(1-銷售總表!G2320)</f>
        <v>94000</v>
      </c>
      <c r="I2320" s="35">
        <f>H2320-F2320*VLOOKUP(銷售總表!B2320,產品!$A$2:$H$61,8,FALSE)</f>
        <v>54000</v>
      </c>
      <c r="J2320" s="20">
        <f t="shared" si="36"/>
        <v>0.57446808510638303</v>
      </c>
    </row>
    <row r="2321" spans="1:10" x14ac:dyDescent="0.3">
      <c r="A2321" s="33">
        <v>2320</v>
      </c>
      <c r="B2321" s="4">
        <v>29</v>
      </c>
      <c r="C2321" s="15">
        <v>119</v>
      </c>
      <c r="D2321" s="16">
        <v>9</v>
      </c>
      <c r="E2321" s="22">
        <v>44384</v>
      </c>
      <c r="F2321" s="17">
        <v>6</v>
      </c>
      <c r="G2321" s="18">
        <v>0.16</v>
      </c>
      <c r="H2321">
        <f>F2321*VLOOKUP(B2321,產品!$A$2:$H$61,7,FALSE)*(1-銷售總表!G2321)</f>
        <v>30240</v>
      </c>
      <c r="I2321" s="35">
        <f>H2321-F2321*VLOOKUP(銷售總表!B2321,產品!$A$2:$H$61,8,FALSE)</f>
        <v>8640</v>
      </c>
      <c r="J2321" s="20">
        <f t="shared" si="36"/>
        <v>0.2857142857142857</v>
      </c>
    </row>
    <row r="2322" spans="1:10" x14ac:dyDescent="0.3">
      <c r="A2322" s="33">
        <v>2321</v>
      </c>
      <c r="B2322" s="4">
        <v>12</v>
      </c>
      <c r="C2322" s="15">
        <v>262</v>
      </c>
      <c r="D2322" s="16">
        <v>7</v>
      </c>
      <c r="E2322" s="22">
        <v>44384</v>
      </c>
      <c r="F2322" s="19">
        <v>30</v>
      </c>
      <c r="G2322" s="18">
        <v>0.17</v>
      </c>
      <c r="H2322">
        <f>F2322*VLOOKUP(B2322,產品!$A$2:$H$61,7,FALSE)*(1-銷售總表!G2322)</f>
        <v>24900</v>
      </c>
      <c r="I2322" s="35">
        <f>H2322-F2322*VLOOKUP(銷售總表!B2322,產品!$A$2:$H$61,8,FALSE)</f>
        <v>12900</v>
      </c>
      <c r="J2322" s="20">
        <f t="shared" si="36"/>
        <v>0.51807228915662651</v>
      </c>
    </row>
    <row r="2323" spans="1:10" x14ac:dyDescent="0.3">
      <c r="A2323" s="33">
        <v>2322</v>
      </c>
      <c r="B2323" s="4">
        <v>26</v>
      </c>
      <c r="C2323" s="15">
        <v>115</v>
      </c>
      <c r="D2323" s="16">
        <v>7</v>
      </c>
      <c r="E2323" s="22">
        <v>44384</v>
      </c>
      <c r="F2323" s="19">
        <v>17</v>
      </c>
      <c r="G2323" s="18">
        <v>0.17</v>
      </c>
      <c r="H2323">
        <f>F2323*VLOOKUP(B2323,產品!$A$2:$H$61,7,FALSE)*(1-銷售總表!G2323)</f>
        <v>91715</v>
      </c>
      <c r="I2323" s="35">
        <f>H2323-F2323*VLOOKUP(銷售總表!B2323,產品!$A$2:$H$61,8,FALSE)</f>
        <v>25415</v>
      </c>
      <c r="J2323" s="20">
        <f t="shared" si="36"/>
        <v>0.27710843373493976</v>
      </c>
    </row>
    <row r="2324" spans="1:10" x14ac:dyDescent="0.3">
      <c r="A2324" s="33">
        <v>2323</v>
      </c>
      <c r="B2324" s="4">
        <v>8</v>
      </c>
      <c r="C2324" s="15">
        <v>286</v>
      </c>
      <c r="D2324" s="16">
        <v>7</v>
      </c>
      <c r="E2324" s="22">
        <v>44384</v>
      </c>
      <c r="F2324" s="17">
        <v>70</v>
      </c>
      <c r="G2324" s="18">
        <v>0.15</v>
      </c>
      <c r="H2324">
        <f>F2324*VLOOKUP(B2324,產品!$A$2:$H$61,7,FALSE)*(1-銷售總表!G2324)</f>
        <v>59500</v>
      </c>
      <c r="I2324" s="35">
        <f>H2324-F2324*VLOOKUP(銷售總表!B2324,產品!$A$2:$H$61,8,FALSE)</f>
        <v>31500</v>
      </c>
      <c r="J2324" s="20">
        <f t="shared" si="36"/>
        <v>0.52941176470588236</v>
      </c>
    </row>
    <row r="2325" spans="1:10" x14ac:dyDescent="0.3">
      <c r="A2325" s="33">
        <v>2324</v>
      </c>
      <c r="B2325" s="4">
        <v>37</v>
      </c>
      <c r="C2325" s="15">
        <v>5</v>
      </c>
      <c r="D2325" s="16">
        <v>7</v>
      </c>
      <c r="E2325" s="22">
        <v>44384</v>
      </c>
      <c r="F2325" s="17">
        <v>20</v>
      </c>
      <c r="G2325" s="18">
        <v>0.16</v>
      </c>
      <c r="H2325">
        <f>F2325*VLOOKUP(B2325,產品!$A$2:$H$61,7,FALSE)*(1-銷售總表!G2325)</f>
        <v>201600</v>
      </c>
      <c r="I2325" s="35">
        <f>H2325-F2325*VLOOKUP(銷售總表!B2325,產品!$A$2:$H$61,8,FALSE)</f>
        <v>45600</v>
      </c>
      <c r="J2325" s="20">
        <f t="shared" si="36"/>
        <v>0.22619047619047619</v>
      </c>
    </row>
    <row r="2326" spans="1:10" x14ac:dyDescent="0.3">
      <c r="A2326" s="33">
        <v>2325</v>
      </c>
      <c r="B2326" s="4">
        <v>49</v>
      </c>
      <c r="C2326" s="15">
        <v>7</v>
      </c>
      <c r="D2326" s="16">
        <v>8</v>
      </c>
      <c r="E2326" s="22">
        <v>44384</v>
      </c>
      <c r="F2326" s="19">
        <v>15</v>
      </c>
      <c r="G2326" s="18">
        <v>0.06</v>
      </c>
      <c r="H2326">
        <f>F2326*VLOOKUP(B2326,產品!$A$2:$H$61,7,FALSE)*(1-銷售總表!G2326)</f>
        <v>211500</v>
      </c>
      <c r="I2326" s="35">
        <f>H2326-F2326*VLOOKUP(銷售總表!B2326,產品!$A$2:$H$61,8,FALSE)</f>
        <v>54000</v>
      </c>
      <c r="J2326" s="20">
        <f t="shared" si="36"/>
        <v>0.25531914893617019</v>
      </c>
    </row>
    <row r="2327" spans="1:10" x14ac:dyDescent="0.3">
      <c r="A2327" s="33">
        <v>2326</v>
      </c>
      <c r="B2327" s="4">
        <v>8</v>
      </c>
      <c r="C2327" s="15">
        <v>287</v>
      </c>
      <c r="D2327" s="16">
        <v>6</v>
      </c>
      <c r="E2327" s="22">
        <v>44384</v>
      </c>
      <c r="F2327" s="19">
        <v>150</v>
      </c>
      <c r="G2327" s="18">
        <v>0.14000000000000001</v>
      </c>
      <c r="H2327">
        <f>F2327*VLOOKUP(B2327,產品!$A$2:$H$61,7,FALSE)*(1-銷售總表!G2327)</f>
        <v>129000</v>
      </c>
      <c r="I2327" s="35">
        <f>H2327-F2327*VLOOKUP(銷售總表!B2327,產品!$A$2:$H$61,8,FALSE)</f>
        <v>69000</v>
      </c>
      <c r="J2327" s="20">
        <f t="shared" si="36"/>
        <v>0.53488372093023251</v>
      </c>
    </row>
    <row r="2328" spans="1:10" x14ac:dyDescent="0.3">
      <c r="A2328" s="33">
        <v>2327</v>
      </c>
      <c r="B2328" s="4">
        <v>12</v>
      </c>
      <c r="C2328" s="15">
        <v>116</v>
      </c>
      <c r="D2328" s="16">
        <v>8</v>
      </c>
      <c r="E2328" s="22">
        <v>44385</v>
      </c>
      <c r="F2328" s="17">
        <v>14</v>
      </c>
      <c r="G2328" s="18">
        <v>0.12</v>
      </c>
      <c r="H2328">
        <f>F2328*VLOOKUP(B2328,產品!$A$2:$H$61,7,FALSE)*(1-銷售總表!G2328)</f>
        <v>12320</v>
      </c>
      <c r="I2328" s="35">
        <f>H2328-F2328*VLOOKUP(銷售總表!B2328,產品!$A$2:$H$61,8,FALSE)</f>
        <v>6720</v>
      </c>
      <c r="J2328" s="20">
        <f t="shared" si="36"/>
        <v>0.54545454545454541</v>
      </c>
    </row>
    <row r="2329" spans="1:10" x14ac:dyDescent="0.3">
      <c r="A2329" s="33">
        <v>2328</v>
      </c>
      <c r="B2329" s="4">
        <v>39</v>
      </c>
      <c r="C2329" s="15">
        <v>119</v>
      </c>
      <c r="D2329" s="16">
        <v>4</v>
      </c>
      <c r="E2329" s="22">
        <v>44385</v>
      </c>
      <c r="F2329" s="19">
        <v>3</v>
      </c>
      <c r="G2329" s="18">
        <v>0.18</v>
      </c>
      <c r="H2329">
        <f>F2329*VLOOKUP(B2329,產品!$A$2:$H$61,7,FALSE)*(1-銷售總表!G2329)</f>
        <v>44280</v>
      </c>
      <c r="I2329" s="35">
        <f>H2329-F2329*VLOOKUP(銷售總表!B2329,產品!$A$2:$H$61,8,FALSE)</f>
        <v>9180</v>
      </c>
      <c r="J2329" s="20">
        <f t="shared" si="36"/>
        <v>0.2073170731707317</v>
      </c>
    </row>
    <row r="2330" spans="1:10" x14ac:dyDescent="0.3">
      <c r="A2330" s="33">
        <v>2329</v>
      </c>
      <c r="B2330" s="4">
        <v>1</v>
      </c>
      <c r="C2330" s="15">
        <v>266</v>
      </c>
      <c r="D2330" s="16">
        <v>10</v>
      </c>
      <c r="E2330" s="22">
        <v>44385</v>
      </c>
      <c r="F2330" s="17">
        <v>20</v>
      </c>
      <c r="G2330" s="18">
        <v>0.09</v>
      </c>
      <c r="H2330">
        <f>F2330*VLOOKUP(B2330,產品!$A$2:$H$61,7,FALSE)*(1-銷售總表!G2330)</f>
        <v>18200</v>
      </c>
      <c r="I2330" s="35">
        <f>H2330-F2330*VLOOKUP(銷售總表!B2330,產品!$A$2:$H$61,8,FALSE)</f>
        <v>10200</v>
      </c>
      <c r="J2330" s="20">
        <f t="shared" si="36"/>
        <v>0.56043956043956045</v>
      </c>
    </row>
    <row r="2331" spans="1:10" x14ac:dyDescent="0.3">
      <c r="A2331" s="33">
        <v>2330</v>
      </c>
      <c r="B2331" s="4">
        <v>48</v>
      </c>
      <c r="C2331" s="15">
        <v>122</v>
      </c>
      <c r="D2331" s="16">
        <v>9</v>
      </c>
      <c r="E2331" s="22">
        <v>44385</v>
      </c>
      <c r="F2331" s="19">
        <v>3</v>
      </c>
      <c r="G2331" s="18">
        <v>0.13</v>
      </c>
      <c r="H2331">
        <f>F2331*VLOOKUP(B2331,產品!$A$2:$H$61,7,FALSE)*(1-銷售總表!G2331)</f>
        <v>57420</v>
      </c>
      <c r="I2331" s="35">
        <f>H2331-F2331*VLOOKUP(銷售總表!B2331,產品!$A$2:$H$61,8,FALSE)</f>
        <v>14520</v>
      </c>
      <c r="J2331" s="20">
        <f t="shared" si="36"/>
        <v>0.25287356321839083</v>
      </c>
    </row>
    <row r="2332" spans="1:10" x14ac:dyDescent="0.3">
      <c r="A2332" s="33">
        <v>2331</v>
      </c>
      <c r="B2332" s="4">
        <v>43</v>
      </c>
      <c r="C2332" s="15">
        <v>3</v>
      </c>
      <c r="D2332" s="16">
        <v>1</v>
      </c>
      <c r="E2332" s="22">
        <v>44385</v>
      </c>
      <c r="F2332" s="17">
        <v>4</v>
      </c>
      <c r="G2332" s="18">
        <v>7.0000000000000007E-2</v>
      </c>
      <c r="H2332">
        <f>F2332*VLOOKUP(B2332,產品!$A$2:$H$61,7,FALSE)*(1-銷售總表!G2332)</f>
        <v>66960</v>
      </c>
      <c r="I2332" s="35">
        <f>H2332-F2332*VLOOKUP(銷售總表!B2332,產品!$A$2:$H$61,8,FALSE)</f>
        <v>20160</v>
      </c>
      <c r="J2332" s="20">
        <f t="shared" si="36"/>
        <v>0.30107526881720431</v>
      </c>
    </row>
    <row r="2333" spans="1:10" x14ac:dyDescent="0.3">
      <c r="A2333" s="33">
        <v>2332</v>
      </c>
      <c r="B2333" s="4">
        <v>55</v>
      </c>
      <c r="C2333" s="15">
        <v>1</v>
      </c>
      <c r="D2333" s="16">
        <v>6</v>
      </c>
      <c r="E2333" s="22">
        <v>44385</v>
      </c>
      <c r="F2333" s="19">
        <v>5</v>
      </c>
      <c r="G2333" s="18">
        <v>0.09</v>
      </c>
      <c r="H2333">
        <f>F2333*VLOOKUP(B2333,產品!$A$2:$H$61,7,FALSE)*(1-銷售總表!G2333)</f>
        <v>91000</v>
      </c>
      <c r="I2333" s="35">
        <f>H2333-F2333*VLOOKUP(銷售總表!B2333,產品!$A$2:$H$61,8,FALSE)</f>
        <v>21000</v>
      </c>
      <c r="J2333" s="20">
        <f t="shared" si="36"/>
        <v>0.23076923076923078</v>
      </c>
    </row>
    <row r="2334" spans="1:10" x14ac:dyDescent="0.3">
      <c r="A2334" s="33">
        <v>2333</v>
      </c>
      <c r="B2334" s="4">
        <v>24</v>
      </c>
      <c r="C2334" s="15">
        <v>267</v>
      </c>
      <c r="D2334" s="16">
        <v>4</v>
      </c>
      <c r="E2334" s="22">
        <v>44385</v>
      </c>
      <c r="F2334" s="19">
        <v>50</v>
      </c>
      <c r="G2334" s="18">
        <v>0.14000000000000001</v>
      </c>
      <c r="H2334">
        <f>F2334*VLOOKUP(B2334,產品!$A$2:$H$61,7,FALSE)*(1-銷售總表!G2334)</f>
        <v>77400</v>
      </c>
      <c r="I2334" s="35">
        <f>H2334-F2334*VLOOKUP(銷售總表!B2334,產品!$A$2:$H$61,8,FALSE)</f>
        <v>41400</v>
      </c>
      <c r="J2334" s="20">
        <f t="shared" si="36"/>
        <v>0.53488372093023251</v>
      </c>
    </row>
    <row r="2335" spans="1:10" x14ac:dyDescent="0.3">
      <c r="A2335" s="33">
        <v>2334</v>
      </c>
      <c r="B2335" s="4">
        <v>43</v>
      </c>
      <c r="C2335" s="15">
        <v>124</v>
      </c>
      <c r="D2335" s="16">
        <v>5</v>
      </c>
      <c r="E2335" s="22">
        <v>44385</v>
      </c>
      <c r="F2335" s="17">
        <v>15</v>
      </c>
      <c r="G2335" s="18">
        <v>0.09</v>
      </c>
      <c r="H2335">
        <f>F2335*VLOOKUP(B2335,產品!$A$2:$H$61,7,FALSE)*(1-銷售總表!G2335)</f>
        <v>245700</v>
      </c>
      <c r="I2335" s="35">
        <f>H2335-F2335*VLOOKUP(銷售總表!B2335,產品!$A$2:$H$61,8,FALSE)</f>
        <v>70200</v>
      </c>
      <c r="J2335" s="20">
        <f t="shared" si="36"/>
        <v>0.2857142857142857</v>
      </c>
    </row>
    <row r="2336" spans="1:10" x14ac:dyDescent="0.3">
      <c r="A2336" s="33">
        <v>2335</v>
      </c>
      <c r="B2336" s="4">
        <v>22</v>
      </c>
      <c r="C2336" s="15">
        <v>4</v>
      </c>
      <c r="D2336" s="16">
        <v>6</v>
      </c>
      <c r="E2336" s="22">
        <v>44385</v>
      </c>
      <c r="F2336" s="19">
        <v>100</v>
      </c>
      <c r="G2336" s="18">
        <v>0.18</v>
      </c>
      <c r="H2336">
        <f>F2336*VLOOKUP(B2336,產品!$A$2:$H$61,7,FALSE)*(1-銷售總表!G2336)</f>
        <v>147600</v>
      </c>
      <c r="I2336" s="35">
        <f>H2336-F2336*VLOOKUP(銷售總表!B2336,產品!$A$2:$H$61,8,FALSE)</f>
        <v>75600</v>
      </c>
      <c r="J2336" s="20">
        <f t="shared" si="36"/>
        <v>0.51219512195121952</v>
      </c>
    </row>
    <row r="2337" spans="1:10" x14ac:dyDescent="0.3">
      <c r="A2337" s="33">
        <v>2336</v>
      </c>
      <c r="B2337" s="4">
        <v>29</v>
      </c>
      <c r="C2337" s="15">
        <v>8</v>
      </c>
      <c r="D2337" s="16">
        <v>10</v>
      </c>
      <c r="E2337" s="22">
        <v>44386</v>
      </c>
      <c r="F2337" s="19">
        <v>5</v>
      </c>
      <c r="G2337" s="18">
        <v>0.2</v>
      </c>
      <c r="H2337">
        <f>F2337*VLOOKUP(B2337,產品!$A$2:$H$61,7,FALSE)*(1-銷售總表!G2337)</f>
        <v>24000</v>
      </c>
      <c r="I2337" s="35">
        <f>H2337-F2337*VLOOKUP(銷售總表!B2337,產品!$A$2:$H$61,8,FALSE)</f>
        <v>6000</v>
      </c>
      <c r="J2337" s="20">
        <f t="shared" si="36"/>
        <v>0.25</v>
      </c>
    </row>
    <row r="2338" spans="1:10" x14ac:dyDescent="0.3">
      <c r="A2338" s="33">
        <v>2337</v>
      </c>
      <c r="B2338" s="4">
        <v>8</v>
      </c>
      <c r="C2338" s="15">
        <v>123</v>
      </c>
      <c r="D2338" s="16">
        <v>2</v>
      </c>
      <c r="E2338" s="22">
        <v>44386</v>
      </c>
      <c r="F2338" s="17">
        <v>13</v>
      </c>
      <c r="G2338" s="18">
        <v>0.13</v>
      </c>
      <c r="H2338">
        <f>F2338*VLOOKUP(B2338,產品!$A$2:$H$61,7,FALSE)*(1-銷售總表!G2338)</f>
        <v>11310</v>
      </c>
      <c r="I2338" s="35">
        <f>H2338-F2338*VLOOKUP(銷售總表!B2338,產品!$A$2:$H$61,8,FALSE)</f>
        <v>6110</v>
      </c>
      <c r="J2338" s="20">
        <f t="shared" si="36"/>
        <v>0.54022988505747127</v>
      </c>
    </row>
    <row r="2339" spans="1:10" x14ac:dyDescent="0.3">
      <c r="A2339" s="33">
        <v>2338</v>
      </c>
      <c r="B2339" s="4">
        <v>2</v>
      </c>
      <c r="C2339" s="15">
        <v>285</v>
      </c>
      <c r="D2339" s="16">
        <v>10</v>
      </c>
      <c r="E2339" s="22">
        <v>44386</v>
      </c>
      <c r="F2339" s="19">
        <v>20</v>
      </c>
      <c r="G2339" s="18">
        <v>0.2</v>
      </c>
      <c r="H2339">
        <f>F2339*VLOOKUP(B2339,產品!$A$2:$H$61,7,FALSE)*(1-銷售總表!G2339)</f>
        <v>16000</v>
      </c>
      <c r="I2339" s="35">
        <f>H2339-F2339*VLOOKUP(銷售總表!B2339,產品!$A$2:$H$61,8,FALSE)</f>
        <v>8000</v>
      </c>
      <c r="J2339" s="20">
        <f t="shared" si="36"/>
        <v>0.5</v>
      </c>
    </row>
    <row r="2340" spans="1:10" x14ac:dyDescent="0.3">
      <c r="A2340" s="33">
        <v>2339</v>
      </c>
      <c r="B2340" s="4">
        <v>27</v>
      </c>
      <c r="C2340" s="15">
        <v>138</v>
      </c>
      <c r="D2340" s="16">
        <v>9</v>
      </c>
      <c r="E2340" s="22">
        <v>44386</v>
      </c>
      <c r="F2340" s="17">
        <v>6</v>
      </c>
      <c r="G2340" s="18">
        <v>0.15</v>
      </c>
      <c r="H2340">
        <f>F2340*VLOOKUP(B2340,產品!$A$2:$H$61,7,FALSE)*(1-銷售總表!G2340)</f>
        <v>35700</v>
      </c>
      <c r="I2340" s="35">
        <f>H2340-F2340*VLOOKUP(銷售總表!B2340,產品!$A$2:$H$61,8,FALSE)</f>
        <v>10500</v>
      </c>
      <c r="J2340" s="20">
        <f t="shared" si="36"/>
        <v>0.29411764705882354</v>
      </c>
    </row>
    <row r="2341" spans="1:10" x14ac:dyDescent="0.3">
      <c r="A2341" s="33">
        <v>2340</v>
      </c>
      <c r="B2341" s="4">
        <v>28</v>
      </c>
      <c r="C2341" s="15">
        <v>258</v>
      </c>
      <c r="D2341" s="16">
        <v>8</v>
      </c>
      <c r="E2341" s="22">
        <v>44386</v>
      </c>
      <c r="F2341" s="19">
        <v>7</v>
      </c>
      <c r="G2341" s="18">
        <v>0.2</v>
      </c>
      <c r="H2341">
        <f>F2341*VLOOKUP(B2341,產品!$A$2:$H$61,7,FALSE)*(1-銷售總表!G2341)</f>
        <v>42000</v>
      </c>
      <c r="I2341" s="35">
        <f>H2341-F2341*VLOOKUP(銷售總表!B2341,產品!$A$2:$H$61,8,FALSE)</f>
        <v>10500</v>
      </c>
      <c r="J2341" s="20">
        <f t="shared" si="36"/>
        <v>0.25</v>
      </c>
    </row>
    <row r="2342" spans="1:10" x14ac:dyDescent="0.3">
      <c r="A2342" s="33">
        <v>2341</v>
      </c>
      <c r="B2342" s="4">
        <v>11</v>
      </c>
      <c r="C2342" s="15">
        <v>290</v>
      </c>
      <c r="D2342" s="16">
        <v>5</v>
      </c>
      <c r="E2342" s="22">
        <v>44386</v>
      </c>
      <c r="F2342" s="17">
        <v>30</v>
      </c>
      <c r="G2342" s="18">
        <v>0.15</v>
      </c>
      <c r="H2342">
        <f>F2342*VLOOKUP(B2342,產品!$A$2:$H$61,7,FALSE)*(1-銷售總表!G2342)</f>
        <v>25500</v>
      </c>
      <c r="I2342" s="35">
        <f>H2342-F2342*VLOOKUP(銷售總表!B2342,產品!$A$2:$H$61,8,FALSE)</f>
        <v>13500</v>
      </c>
      <c r="J2342" s="20">
        <f t="shared" si="36"/>
        <v>0.52941176470588236</v>
      </c>
    </row>
    <row r="2343" spans="1:10" x14ac:dyDescent="0.3">
      <c r="A2343" s="33">
        <v>2342</v>
      </c>
      <c r="B2343" s="4">
        <v>44</v>
      </c>
      <c r="C2343" s="15">
        <v>275</v>
      </c>
      <c r="D2343" s="16">
        <v>2</v>
      </c>
      <c r="E2343" s="22">
        <v>44386</v>
      </c>
      <c r="F2343" s="19">
        <v>3</v>
      </c>
      <c r="G2343" s="18">
        <v>0.09</v>
      </c>
      <c r="H2343">
        <f>F2343*VLOOKUP(B2343,產品!$A$2:$H$61,7,FALSE)*(1-銷售總表!G2343)</f>
        <v>54600</v>
      </c>
      <c r="I2343" s="35">
        <f>H2343-F2343*VLOOKUP(銷售總表!B2343,產品!$A$2:$H$61,8,FALSE)</f>
        <v>15600</v>
      </c>
      <c r="J2343" s="20">
        <f t="shared" si="36"/>
        <v>0.2857142857142857</v>
      </c>
    </row>
    <row r="2344" spans="1:10" x14ac:dyDescent="0.3">
      <c r="A2344" s="33">
        <v>2343</v>
      </c>
      <c r="B2344" s="4">
        <v>3</v>
      </c>
      <c r="C2344" s="15">
        <v>267</v>
      </c>
      <c r="D2344" s="16">
        <v>7</v>
      </c>
      <c r="E2344" s="22">
        <v>44386</v>
      </c>
      <c r="F2344" s="17">
        <v>40</v>
      </c>
      <c r="G2344" s="18">
        <v>0.11</v>
      </c>
      <c r="H2344">
        <f>F2344*VLOOKUP(B2344,產品!$A$2:$H$61,7,FALSE)*(1-銷售總表!G2344)</f>
        <v>35600</v>
      </c>
      <c r="I2344" s="35">
        <f>H2344-F2344*VLOOKUP(銷售總表!B2344,產品!$A$2:$H$61,8,FALSE)</f>
        <v>19600</v>
      </c>
      <c r="J2344" s="20">
        <f t="shared" si="36"/>
        <v>0.550561797752809</v>
      </c>
    </row>
    <row r="2345" spans="1:10" x14ac:dyDescent="0.3">
      <c r="A2345" s="33">
        <v>2344</v>
      </c>
      <c r="B2345" s="4">
        <v>17</v>
      </c>
      <c r="C2345" s="15">
        <v>121</v>
      </c>
      <c r="D2345" s="16">
        <v>7</v>
      </c>
      <c r="E2345" s="22">
        <v>44386</v>
      </c>
      <c r="F2345" s="17">
        <v>80</v>
      </c>
      <c r="G2345" s="18">
        <v>0.19</v>
      </c>
      <c r="H2345">
        <f>F2345*VLOOKUP(B2345,產品!$A$2:$H$61,7,FALSE)*(1-銷售總表!G2345)</f>
        <v>116640.00000000001</v>
      </c>
      <c r="I2345" s="35">
        <f>H2345-F2345*VLOOKUP(銷售總表!B2345,產品!$A$2:$H$61,8,FALSE)</f>
        <v>59040.000000000015</v>
      </c>
      <c r="J2345" s="20">
        <f t="shared" si="36"/>
        <v>0.50617283950617287</v>
      </c>
    </row>
    <row r="2346" spans="1:10" x14ac:dyDescent="0.3">
      <c r="A2346" s="33">
        <v>2345</v>
      </c>
      <c r="B2346" s="4">
        <v>16</v>
      </c>
      <c r="C2346" s="15">
        <v>8</v>
      </c>
      <c r="D2346" s="16">
        <v>4</v>
      </c>
      <c r="E2346" s="22">
        <v>44386</v>
      </c>
      <c r="F2346" s="19">
        <v>90</v>
      </c>
      <c r="G2346" s="18">
        <v>0.16</v>
      </c>
      <c r="H2346">
        <f>F2346*VLOOKUP(B2346,產品!$A$2:$H$61,7,FALSE)*(1-銷售總表!G2346)</f>
        <v>136080</v>
      </c>
      <c r="I2346" s="35">
        <f>H2346-F2346*VLOOKUP(銷售總表!B2346,產品!$A$2:$H$61,8,FALSE)</f>
        <v>71280</v>
      </c>
      <c r="J2346" s="20">
        <f t="shared" si="36"/>
        <v>0.52380952380952384</v>
      </c>
    </row>
    <row r="2347" spans="1:10" x14ac:dyDescent="0.3">
      <c r="A2347" s="33">
        <v>2346</v>
      </c>
      <c r="B2347" s="4">
        <v>16</v>
      </c>
      <c r="C2347" s="15">
        <v>258</v>
      </c>
      <c r="D2347" s="16">
        <v>6</v>
      </c>
      <c r="E2347" s="22">
        <v>44386</v>
      </c>
      <c r="F2347" s="19">
        <v>100</v>
      </c>
      <c r="G2347" s="18">
        <v>0.16</v>
      </c>
      <c r="H2347">
        <f>F2347*VLOOKUP(B2347,產品!$A$2:$H$61,7,FALSE)*(1-銷售總表!G2347)</f>
        <v>151200</v>
      </c>
      <c r="I2347" s="35">
        <f>H2347-F2347*VLOOKUP(銷售總表!B2347,產品!$A$2:$H$61,8,FALSE)</f>
        <v>79200</v>
      </c>
      <c r="J2347" s="20">
        <f t="shared" si="36"/>
        <v>0.52380952380952384</v>
      </c>
    </row>
    <row r="2348" spans="1:10" x14ac:dyDescent="0.3">
      <c r="A2348" s="33">
        <v>2347</v>
      </c>
      <c r="B2348" s="4">
        <v>27</v>
      </c>
      <c r="C2348" s="15">
        <v>277</v>
      </c>
      <c r="D2348" s="16">
        <v>1</v>
      </c>
      <c r="E2348" s="22">
        <v>44387</v>
      </c>
      <c r="F2348" s="17">
        <v>3</v>
      </c>
      <c r="G2348" s="18">
        <v>0.05</v>
      </c>
      <c r="H2348">
        <f>F2348*VLOOKUP(B2348,產品!$A$2:$H$61,7,FALSE)*(1-銷售總表!G2348)</f>
        <v>19950</v>
      </c>
      <c r="I2348" s="35">
        <f>H2348-F2348*VLOOKUP(銷售總表!B2348,產品!$A$2:$H$61,8,FALSE)</f>
        <v>7350</v>
      </c>
      <c r="J2348" s="20">
        <f t="shared" si="36"/>
        <v>0.36842105263157893</v>
      </c>
    </row>
    <row r="2349" spans="1:10" x14ac:dyDescent="0.3">
      <c r="A2349" s="33">
        <v>2348</v>
      </c>
      <c r="B2349" s="4">
        <v>46</v>
      </c>
      <c r="C2349" s="15">
        <v>272</v>
      </c>
      <c r="D2349" s="16">
        <v>2</v>
      </c>
      <c r="E2349" s="22">
        <v>44387</v>
      </c>
      <c r="F2349" s="19">
        <v>3</v>
      </c>
      <c r="G2349" s="18">
        <v>0.17</v>
      </c>
      <c r="H2349">
        <f>F2349*VLOOKUP(B2349,產品!$A$2:$H$61,7,FALSE)*(1-銷售總表!G2349)</f>
        <v>42330</v>
      </c>
      <c r="I2349" s="35">
        <f>H2349-F2349*VLOOKUP(銷售總表!B2349,產品!$A$2:$H$61,8,FALSE)</f>
        <v>9180</v>
      </c>
      <c r="J2349" s="20">
        <f t="shared" si="36"/>
        <v>0.21686746987951808</v>
      </c>
    </row>
    <row r="2350" spans="1:10" x14ac:dyDescent="0.3">
      <c r="A2350" s="33">
        <v>2349</v>
      </c>
      <c r="B2350" s="4">
        <v>40</v>
      </c>
      <c r="C2350" s="15">
        <v>3</v>
      </c>
      <c r="D2350" s="16">
        <v>4</v>
      </c>
      <c r="E2350" s="22">
        <v>44387</v>
      </c>
      <c r="F2350" s="19">
        <v>6</v>
      </c>
      <c r="G2350" s="18">
        <v>0.17</v>
      </c>
      <c r="H2350">
        <f>F2350*VLOOKUP(B2350,產品!$A$2:$H$61,7,FALSE)*(1-銷售總表!G2350)</f>
        <v>99600</v>
      </c>
      <c r="I2350" s="35">
        <f>H2350-F2350*VLOOKUP(銷售總表!B2350,產品!$A$2:$H$61,8,FALSE)</f>
        <v>21600</v>
      </c>
      <c r="J2350" s="20">
        <f t="shared" si="36"/>
        <v>0.21686746987951808</v>
      </c>
    </row>
    <row r="2351" spans="1:10" x14ac:dyDescent="0.3">
      <c r="A2351" s="33">
        <v>2350</v>
      </c>
      <c r="B2351" s="4">
        <v>37</v>
      </c>
      <c r="C2351" s="15">
        <v>272</v>
      </c>
      <c r="D2351" s="16">
        <v>6</v>
      </c>
      <c r="E2351" s="22">
        <v>44387</v>
      </c>
      <c r="F2351" s="19">
        <v>10</v>
      </c>
      <c r="G2351" s="18">
        <v>0.15</v>
      </c>
      <c r="H2351">
        <f>F2351*VLOOKUP(B2351,產品!$A$2:$H$61,7,FALSE)*(1-銷售總表!G2351)</f>
        <v>102000</v>
      </c>
      <c r="I2351" s="35">
        <f>H2351-F2351*VLOOKUP(銷售總表!B2351,產品!$A$2:$H$61,8,FALSE)</f>
        <v>24000</v>
      </c>
      <c r="J2351" s="20">
        <f t="shared" si="36"/>
        <v>0.23529411764705882</v>
      </c>
    </row>
    <row r="2352" spans="1:10" x14ac:dyDescent="0.3">
      <c r="A2352" s="33">
        <v>2351</v>
      </c>
      <c r="B2352" s="4">
        <v>20</v>
      </c>
      <c r="C2352" s="15">
        <v>135</v>
      </c>
      <c r="D2352" s="16">
        <v>5</v>
      </c>
      <c r="E2352" s="22">
        <v>44387</v>
      </c>
      <c r="F2352" s="17">
        <v>50</v>
      </c>
      <c r="G2352" s="18">
        <v>0.1</v>
      </c>
      <c r="H2352">
        <f>F2352*VLOOKUP(B2352,產品!$A$2:$H$61,7,FALSE)*(1-銷售總表!G2352)</f>
        <v>81000</v>
      </c>
      <c r="I2352" s="35">
        <f>H2352-F2352*VLOOKUP(銷售總表!B2352,產品!$A$2:$H$61,8,FALSE)</f>
        <v>45000</v>
      </c>
      <c r="J2352" s="20">
        <f t="shared" si="36"/>
        <v>0.55555555555555558</v>
      </c>
    </row>
    <row r="2353" spans="1:10" x14ac:dyDescent="0.3">
      <c r="A2353" s="33">
        <v>2352</v>
      </c>
      <c r="B2353" s="4">
        <v>27</v>
      </c>
      <c r="C2353" s="15">
        <v>282</v>
      </c>
      <c r="D2353" s="16">
        <v>4</v>
      </c>
      <c r="E2353" s="22">
        <v>44388</v>
      </c>
      <c r="F2353" s="17">
        <v>4</v>
      </c>
      <c r="G2353" s="18">
        <v>0.15</v>
      </c>
      <c r="H2353">
        <f>F2353*VLOOKUP(B2353,產品!$A$2:$H$61,7,FALSE)*(1-銷售總表!G2353)</f>
        <v>23800</v>
      </c>
      <c r="I2353" s="35">
        <f>H2353-F2353*VLOOKUP(銷售總表!B2353,產品!$A$2:$H$61,8,FALSE)</f>
        <v>7000</v>
      </c>
      <c r="J2353" s="20">
        <f t="shared" si="36"/>
        <v>0.29411764705882354</v>
      </c>
    </row>
    <row r="2354" spans="1:10" x14ac:dyDescent="0.3">
      <c r="A2354" s="33">
        <v>2353</v>
      </c>
      <c r="B2354" s="4">
        <v>35</v>
      </c>
      <c r="C2354" s="15">
        <v>277</v>
      </c>
      <c r="D2354" s="16">
        <v>10</v>
      </c>
      <c r="E2354" s="22">
        <v>44388</v>
      </c>
      <c r="F2354" s="19">
        <v>7</v>
      </c>
      <c r="G2354" s="18">
        <v>0.2</v>
      </c>
      <c r="H2354">
        <f>F2354*VLOOKUP(B2354,產品!$A$2:$H$61,7,FALSE)*(1-銷售總表!G2354)</f>
        <v>47600</v>
      </c>
      <c r="I2354" s="35">
        <f>H2354-F2354*VLOOKUP(銷售總表!B2354,產品!$A$2:$H$61,8,FALSE)</f>
        <v>11900</v>
      </c>
      <c r="J2354" s="20">
        <f t="shared" si="36"/>
        <v>0.25</v>
      </c>
    </row>
    <row r="2355" spans="1:10" x14ac:dyDescent="0.3">
      <c r="A2355" s="33">
        <v>2354</v>
      </c>
      <c r="B2355" s="4">
        <v>54</v>
      </c>
      <c r="C2355" s="15">
        <v>263</v>
      </c>
      <c r="D2355" s="16">
        <v>1</v>
      </c>
      <c r="E2355" s="22">
        <v>44388</v>
      </c>
      <c r="F2355" s="17">
        <v>4</v>
      </c>
      <c r="G2355" s="18">
        <v>0.13</v>
      </c>
      <c r="H2355">
        <f>F2355*VLOOKUP(B2355,產品!$A$2:$H$61,7,FALSE)*(1-銷售總表!G2355)</f>
        <v>62640</v>
      </c>
      <c r="I2355" s="35">
        <f>H2355-F2355*VLOOKUP(銷售總表!B2355,產品!$A$2:$H$61,8,FALSE)</f>
        <v>12240</v>
      </c>
      <c r="J2355" s="20">
        <f t="shared" si="36"/>
        <v>0.19540229885057472</v>
      </c>
    </row>
    <row r="2356" spans="1:10" x14ac:dyDescent="0.3">
      <c r="A2356" s="33">
        <v>2355</v>
      </c>
      <c r="B2356" s="4">
        <v>57</v>
      </c>
      <c r="C2356" s="15">
        <v>112</v>
      </c>
      <c r="D2356" s="16">
        <v>5</v>
      </c>
      <c r="E2356" s="22">
        <v>44388</v>
      </c>
      <c r="F2356" s="19">
        <v>5</v>
      </c>
      <c r="G2356" s="18">
        <v>0.16</v>
      </c>
      <c r="H2356">
        <f>F2356*VLOOKUP(B2356,產品!$A$2:$H$61,7,FALSE)*(1-銷售總表!G2356)</f>
        <v>75600</v>
      </c>
      <c r="I2356" s="35">
        <f>H2356-F2356*VLOOKUP(銷售總表!B2356,產品!$A$2:$H$61,8,FALSE)</f>
        <v>12600</v>
      </c>
      <c r="J2356" s="20">
        <f t="shared" si="36"/>
        <v>0.16666666666666666</v>
      </c>
    </row>
    <row r="2357" spans="1:10" x14ac:dyDescent="0.3">
      <c r="A2357" s="33">
        <v>2356</v>
      </c>
      <c r="B2357" s="4">
        <v>46</v>
      </c>
      <c r="C2357" s="15">
        <v>122</v>
      </c>
      <c r="D2357" s="16">
        <v>9</v>
      </c>
      <c r="E2357" s="22">
        <v>44388</v>
      </c>
      <c r="F2357" s="17">
        <v>6</v>
      </c>
      <c r="G2357" s="18">
        <v>0.09</v>
      </c>
      <c r="H2357">
        <f>F2357*VLOOKUP(B2357,產品!$A$2:$H$61,7,FALSE)*(1-銷售總表!G2357)</f>
        <v>92820</v>
      </c>
      <c r="I2357" s="35">
        <f>H2357-F2357*VLOOKUP(銷售總表!B2357,產品!$A$2:$H$61,8,FALSE)</f>
        <v>26520</v>
      </c>
      <c r="J2357" s="20">
        <f t="shared" si="36"/>
        <v>0.2857142857142857</v>
      </c>
    </row>
    <row r="2358" spans="1:10" x14ac:dyDescent="0.3">
      <c r="A2358" s="33">
        <v>2357</v>
      </c>
      <c r="B2358" s="4">
        <v>59</v>
      </c>
      <c r="C2358" s="15">
        <v>11</v>
      </c>
      <c r="D2358" s="16">
        <v>4</v>
      </c>
      <c r="E2358" s="22">
        <v>44388</v>
      </c>
      <c r="F2358" s="17">
        <v>9</v>
      </c>
      <c r="G2358" s="18">
        <v>0.16</v>
      </c>
      <c r="H2358">
        <f>F2358*VLOOKUP(B2358,產品!$A$2:$H$61,7,FALSE)*(1-銷售總表!G2358)</f>
        <v>181440</v>
      </c>
      <c r="I2358" s="35">
        <f>H2358-F2358*VLOOKUP(銷售總表!B2358,產品!$A$2:$H$61,8,FALSE)</f>
        <v>30240</v>
      </c>
      <c r="J2358" s="20">
        <f t="shared" si="36"/>
        <v>0.16666666666666666</v>
      </c>
    </row>
    <row r="2359" spans="1:10" x14ac:dyDescent="0.3">
      <c r="A2359" s="33">
        <v>2358</v>
      </c>
      <c r="B2359" s="4">
        <v>60</v>
      </c>
      <c r="C2359" s="15">
        <v>289</v>
      </c>
      <c r="D2359" s="16">
        <v>5</v>
      </c>
      <c r="E2359" s="22">
        <v>44388</v>
      </c>
      <c r="F2359" s="19">
        <v>6</v>
      </c>
      <c r="G2359" s="18">
        <v>0.06</v>
      </c>
      <c r="H2359">
        <f>F2359*VLOOKUP(B2359,產品!$A$2:$H$61,7,FALSE)*(1-銷售總表!G2359)</f>
        <v>141000</v>
      </c>
      <c r="I2359" s="35">
        <f>H2359-F2359*VLOOKUP(銷售總表!B2359,產品!$A$2:$H$61,8,FALSE)</f>
        <v>36000</v>
      </c>
      <c r="J2359" s="20">
        <f t="shared" si="36"/>
        <v>0.25531914893617019</v>
      </c>
    </row>
    <row r="2360" spans="1:10" x14ac:dyDescent="0.3">
      <c r="A2360" s="33">
        <v>2359</v>
      </c>
      <c r="B2360" s="4">
        <v>53</v>
      </c>
      <c r="C2360" s="15">
        <v>138</v>
      </c>
      <c r="D2360" s="16">
        <v>7</v>
      </c>
      <c r="E2360" s="22">
        <v>44388</v>
      </c>
      <c r="F2360" s="19">
        <v>20</v>
      </c>
      <c r="G2360" s="18">
        <v>7.0000000000000007E-2</v>
      </c>
      <c r="H2360">
        <f>F2360*VLOOKUP(B2360,產品!$A$2:$H$61,7,FALSE)*(1-銷售總表!G2360)</f>
        <v>279000</v>
      </c>
      <c r="I2360" s="35">
        <f>H2360-F2360*VLOOKUP(銷售總表!B2360,產品!$A$2:$H$61,8,FALSE)</f>
        <v>69000</v>
      </c>
      <c r="J2360" s="20">
        <f t="shared" si="36"/>
        <v>0.24731182795698925</v>
      </c>
    </row>
    <row r="2361" spans="1:10" x14ac:dyDescent="0.3">
      <c r="A2361" s="33">
        <v>2360</v>
      </c>
      <c r="B2361" s="4">
        <v>18</v>
      </c>
      <c r="C2361" s="15">
        <v>116</v>
      </c>
      <c r="D2361" s="16">
        <v>3</v>
      </c>
      <c r="E2361" s="22">
        <v>44388</v>
      </c>
      <c r="F2361" s="17">
        <v>100</v>
      </c>
      <c r="G2361" s="18">
        <v>0.11</v>
      </c>
      <c r="H2361">
        <f>F2361*VLOOKUP(B2361,產品!$A$2:$H$61,7,FALSE)*(1-銷售總表!G2361)</f>
        <v>160200</v>
      </c>
      <c r="I2361" s="35">
        <f>H2361-F2361*VLOOKUP(銷售總表!B2361,產品!$A$2:$H$61,8,FALSE)</f>
        <v>88200</v>
      </c>
      <c r="J2361" s="20">
        <f t="shared" si="36"/>
        <v>0.550561797752809</v>
      </c>
    </row>
    <row r="2362" spans="1:10" x14ac:dyDescent="0.3">
      <c r="A2362" s="33">
        <v>2361</v>
      </c>
      <c r="B2362" s="4">
        <v>6</v>
      </c>
      <c r="C2362" s="15">
        <v>9</v>
      </c>
      <c r="D2362" s="16">
        <v>1</v>
      </c>
      <c r="E2362" s="22">
        <v>44388</v>
      </c>
      <c r="F2362" s="19">
        <v>200</v>
      </c>
      <c r="G2362" s="18">
        <v>0.08</v>
      </c>
      <c r="H2362">
        <f>F2362*VLOOKUP(B2362,產品!$A$2:$H$61,7,FALSE)*(1-銷售總表!G2362)</f>
        <v>184000</v>
      </c>
      <c r="I2362" s="35">
        <f>H2362-F2362*VLOOKUP(銷售總表!B2362,產品!$A$2:$H$61,8,FALSE)</f>
        <v>104000</v>
      </c>
      <c r="J2362" s="20">
        <f t="shared" si="36"/>
        <v>0.56521739130434778</v>
      </c>
    </row>
    <row r="2363" spans="1:10" x14ac:dyDescent="0.3">
      <c r="A2363" s="33">
        <v>2362</v>
      </c>
      <c r="B2363" s="4">
        <v>52</v>
      </c>
      <c r="C2363" s="15">
        <v>4</v>
      </c>
      <c r="D2363" s="16">
        <v>5</v>
      </c>
      <c r="E2363" s="22">
        <v>44389</v>
      </c>
      <c r="F2363" s="19">
        <v>3</v>
      </c>
      <c r="G2363" s="18">
        <v>0.16</v>
      </c>
      <c r="H2363">
        <f>F2363*VLOOKUP(B2363,產品!$A$2:$H$61,7,FALSE)*(1-銷售總表!G2363)</f>
        <v>55440</v>
      </c>
      <c r="I2363" s="35">
        <f>H2363-F2363*VLOOKUP(銷售總表!B2363,產品!$A$2:$H$61,8,FALSE)</f>
        <v>9240.0000000000073</v>
      </c>
      <c r="J2363" s="20">
        <f t="shared" si="36"/>
        <v>0.1666666666666668</v>
      </c>
    </row>
    <row r="2364" spans="1:10" x14ac:dyDescent="0.3">
      <c r="A2364" s="33">
        <v>2363</v>
      </c>
      <c r="B2364" s="4">
        <v>29</v>
      </c>
      <c r="C2364" s="15">
        <v>11</v>
      </c>
      <c r="D2364" s="16">
        <v>5</v>
      </c>
      <c r="E2364" s="22">
        <v>44389</v>
      </c>
      <c r="F2364" s="19">
        <v>10</v>
      </c>
      <c r="G2364" s="18">
        <v>0.19</v>
      </c>
      <c r="H2364">
        <f>F2364*VLOOKUP(B2364,產品!$A$2:$H$61,7,FALSE)*(1-銷售總表!G2364)</f>
        <v>48600</v>
      </c>
      <c r="I2364" s="35">
        <f>H2364-F2364*VLOOKUP(銷售總表!B2364,產品!$A$2:$H$61,8,FALSE)</f>
        <v>12600</v>
      </c>
      <c r="J2364" s="20">
        <f t="shared" si="36"/>
        <v>0.25925925925925924</v>
      </c>
    </row>
    <row r="2365" spans="1:10" x14ac:dyDescent="0.3">
      <c r="A2365" s="33">
        <v>2364</v>
      </c>
      <c r="B2365" s="4">
        <v>17</v>
      </c>
      <c r="C2365" s="15">
        <v>6</v>
      </c>
      <c r="D2365" s="16">
        <v>2</v>
      </c>
      <c r="E2365" s="22">
        <v>44389</v>
      </c>
      <c r="F2365" s="19">
        <v>19</v>
      </c>
      <c r="G2365" s="18">
        <v>0.05</v>
      </c>
      <c r="H2365">
        <f>F2365*VLOOKUP(B2365,產品!$A$2:$H$61,7,FALSE)*(1-銷售總表!G2365)</f>
        <v>32490</v>
      </c>
      <c r="I2365" s="35">
        <f>H2365-F2365*VLOOKUP(銷售總表!B2365,產品!$A$2:$H$61,8,FALSE)</f>
        <v>18810</v>
      </c>
      <c r="J2365" s="20">
        <f t="shared" si="36"/>
        <v>0.57894736842105265</v>
      </c>
    </row>
    <row r="2366" spans="1:10" x14ac:dyDescent="0.3">
      <c r="A2366" s="33">
        <v>2365</v>
      </c>
      <c r="B2366" s="4">
        <v>47</v>
      </c>
      <c r="C2366" s="15">
        <v>282</v>
      </c>
      <c r="D2366" s="16">
        <v>4</v>
      </c>
      <c r="E2366" s="22">
        <v>44389</v>
      </c>
      <c r="F2366" s="17">
        <v>6</v>
      </c>
      <c r="G2366" s="18">
        <v>0.17</v>
      </c>
      <c r="H2366">
        <f>F2366*VLOOKUP(B2366,產品!$A$2:$H$61,7,FALSE)*(1-銷售總表!G2366)</f>
        <v>99600</v>
      </c>
      <c r="I2366" s="35">
        <f>H2366-F2366*VLOOKUP(銷售總表!B2366,產品!$A$2:$H$61,8,FALSE)</f>
        <v>21600</v>
      </c>
      <c r="J2366" s="20">
        <f t="shared" si="36"/>
        <v>0.21686746987951808</v>
      </c>
    </row>
    <row r="2367" spans="1:10" x14ac:dyDescent="0.3">
      <c r="A2367" s="33">
        <v>2366</v>
      </c>
      <c r="B2367" s="4">
        <v>59</v>
      </c>
      <c r="C2367" s="15">
        <v>123</v>
      </c>
      <c r="D2367" s="16">
        <v>9</v>
      </c>
      <c r="E2367" s="22">
        <v>44389</v>
      </c>
      <c r="F2367" s="19">
        <v>6</v>
      </c>
      <c r="G2367" s="18">
        <v>0.12</v>
      </c>
      <c r="H2367">
        <f>F2367*VLOOKUP(B2367,產品!$A$2:$H$61,7,FALSE)*(1-銷售總表!G2367)</f>
        <v>126720</v>
      </c>
      <c r="I2367" s="35">
        <f>H2367-F2367*VLOOKUP(銷售總表!B2367,產品!$A$2:$H$61,8,FALSE)</f>
        <v>25920</v>
      </c>
      <c r="J2367" s="20">
        <f t="shared" si="36"/>
        <v>0.20454545454545456</v>
      </c>
    </row>
    <row r="2368" spans="1:10" x14ac:dyDescent="0.3">
      <c r="A2368" s="33">
        <v>2367</v>
      </c>
      <c r="B2368" s="4">
        <v>8</v>
      </c>
      <c r="C2368" s="15">
        <v>290</v>
      </c>
      <c r="D2368" s="16">
        <v>3</v>
      </c>
      <c r="E2368" s="22">
        <v>44389</v>
      </c>
      <c r="F2368" s="19">
        <v>60</v>
      </c>
      <c r="G2368" s="18">
        <v>0.16</v>
      </c>
      <c r="H2368">
        <f>F2368*VLOOKUP(B2368,產品!$A$2:$H$61,7,FALSE)*(1-銷售總表!G2368)</f>
        <v>50400</v>
      </c>
      <c r="I2368" s="35">
        <f>H2368-F2368*VLOOKUP(銷售總表!B2368,產品!$A$2:$H$61,8,FALSE)</f>
        <v>26400</v>
      </c>
      <c r="J2368" s="20">
        <f t="shared" si="36"/>
        <v>0.52380952380952384</v>
      </c>
    </row>
    <row r="2369" spans="1:10" x14ac:dyDescent="0.3">
      <c r="A2369" s="33">
        <v>2368</v>
      </c>
      <c r="B2369" s="4">
        <v>18</v>
      </c>
      <c r="C2369" s="15">
        <v>136</v>
      </c>
      <c r="D2369" s="16">
        <v>10</v>
      </c>
      <c r="E2369" s="22">
        <v>44389</v>
      </c>
      <c r="F2369" s="17">
        <v>50</v>
      </c>
      <c r="G2369" s="18">
        <v>0.16</v>
      </c>
      <c r="H2369">
        <f>F2369*VLOOKUP(B2369,產品!$A$2:$H$61,7,FALSE)*(1-銷售總表!G2369)</f>
        <v>75600</v>
      </c>
      <c r="I2369" s="35">
        <f>H2369-F2369*VLOOKUP(銷售總表!B2369,產品!$A$2:$H$61,8,FALSE)</f>
        <v>39600</v>
      </c>
      <c r="J2369" s="20">
        <f t="shared" si="36"/>
        <v>0.52380952380952384</v>
      </c>
    </row>
    <row r="2370" spans="1:10" x14ac:dyDescent="0.3">
      <c r="A2370" s="33">
        <v>2369</v>
      </c>
      <c r="B2370" s="4">
        <v>23</v>
      </c>
      <c r="C2370" s="15">
        <v>8</v>
      </c>
      <c r="D2370" s="16">
        <v>6</v>
      </c>
      <c r="E2370" s="22">
        <v>44389</v>
      </c>
      <c r="F2370" s="17">
        <v>90</v>
      </c>
      <c r="G2370" s="18">
        <v>0.16</v>
      </c>
      <c r="H2370">
        <f>F2370*VLOOKUP(B2370,產品!$A$2:$H$61,7,FALSE)*(1-銷售總表!G2370)</f>
        <v>136080</v>
      </c>
      <c r="I2370" s="35">
        <f>H2370-F2370*VLOOKUP(銷售總表!B2370,產品!$A$2:$H$61,8,FALSE)</f>
        <v>71280</v>
      </c>
      <c r="J2370" s="20">
        <f t="shared" si="36"/>
        <v>0.52380952380952384</v>
      </c>
    </row>
    <row r="2371" spans="1:10" x14ac:dyDescent="0.3">
      <c r="A2371" s="33">
        <v>2370</v>
      </c>
      <c r="B2371" s="4">
        <v>41</v>
      </c>
      <c r="C2371" s="15">
        <v>125</v>
      </c>
      <c r="D2371" s="16">
        <v>6</v>
      </c>
      <c r="E2371" s="22">
        <v>44390</v>
      </c>
      <c r="F2371" s="19">
        <v>5</v>
      </c>
      <c r="G2371" s="18">
        <v>0.15</v>
      </c>
      <c r="H2371">
        <f>F2371*VLOOKUP(B2371,產品!$A$2:$H$61,7,FALSE)*(1-銷售總表!G2371)</f>
        <v>51000</v>
      </c>
      <c r="I2371" s="35">
        <f>H2371-F2371*VLOOKUP(銷售總表!B2371,產品!$A$2:$H$61,8,FALSE)</f>
        <v>12000</v>
      </c>
      <c r="J2371" s="20">
        <f t="shared" ref="J2371:J2434" si="37">I2371/H2371</f>
        <v>0.23529411764705882</v>
      </c>
    </row>
    <row r="2372" spans="1:10" x14ac:dyDescent="0.3">
      <c r="A2372" s="33">
        <v>2371</v>
      </c>
      <c r="B2372" s="4">
        <v>45</v>
      </c>
      <c r="C2372" s="15">
        <v>8</v>
      </c>
      <c r="D2372" s="16">
        <v>3</v>
      </c>
      <c r="E2372" s="22">
        <v>44390</v>
      </c>
      <c r="F2372" s="19">
        <v>6</v>
      </c>
      <c r="G2372" s="18">
        <v>0.11</v>
      </c>
      <c r="H2372">
        <f>F2372*VLOOKUP(B2372,產品!$A$2:$H$61,7,FALSE)*(1-銷售總表!G2372)</f>
        <v>74760</v>
      </c>
      <c r="I2372" s="35">
        <f>H2372-F2372*VLOOKUP(銷售總表!B2372,產品!$A$2:$H$61,8,FALSE)</f>
        <v>20160</v>
      </c>
      <c r="J2372" s="20">
        <f t="shared" si="37"/>
        <v>0.2696629213483146</v>
      </c>
    </row>
    <row r="2373" spans="1:10" x14ac:dyDescent="0.3">
      <c r="A2373" s="33">
        <v>2372</v>
      </c>
      <c r="B2373" s="4">
        <v>18</v>
      </c>
      <c r="C2373" s="15">
        <v>11</v>
      </c>
      <c r="D2373" s="16">
        <v>7</v>
      </c>
      <c r="E2373" s="22">
        <v>44391</v>
      </c>
      <c r="F2373" s="17">
        <v>10</v>
      </c>
      <c r="G2373" s="18">
        <v>0.19</v>
      </c>
      <c r="H2373">
        <f>F2373*VLOOKUP(B2373,產品!$A$2:$H$61,7,FALSE)*(1-銷售總表!G2373)</f>
        <v>14580.000000000002</v>
      </c>
      <c r="I2373" s="35">
        <f>H2373-F2373*VLOOKUP(銷售總表!B2373,產品!$A$2:$H$61,8,FALSE)</f>
        <v>7380.0000000000018</v>
      </c>
      <c r="J2373" s="20">
        <f t="shared" si="37"/>
        <v>0.50617283950617287</v>
      </c>
    </row>
    <row r="2374" spans="1:10" x14ac:dyDescent="0.3">
      <c r="A2374" s="33">
        <v>2373</v>
      </c>
      <c r="B2374" s="4">
        <v>44</v>
      </c>
      <c r="C2374" s="15">
        <v>286</v>
      </c>
      <c r="D2374" s="16">
        <v>6</v>
      </c>
      <c r="E2374" s="22">
        <v>44391</v>
      </c>
      <c r="F2374" s="19">
        <v>4</v>
      </c>
      <c r="G2374" s="18">
        <v>7.0000000000000007E-2</v>
      </c>
      <c r="H2374">
        <f>F2374*VLOOKUP(B2374,產品!$A$2:$H$61,7,FALSE)*(1-銷售總表!G2374)</f>
        <v>74400</v>
      </c>
      <c r="I2374" s="35">
        <f>H2374-F2374*VLOOKUP(銷售總表!B2374,產品!$A$2:$H$61,8,FALSE)</f>
        <v>22400</v>
      </c>
      <c r="J2374" s="20">
        <f t="shared" si="37"/>
        <v>0.30107526881720431</v>
      </c>
    </row>
    <row r="2375" spans="1:10" x14ac:dyDescent="0.3">
      <c r="A2375" s="33">
        <v>2374</v>
      </c>
      <c r="B2375" s="4">
        <v>30</v>
      </c>
      <c r="C2375" s="15">
        <v>117</v>
      </c>
      <c r="D2375" s="16">
        <v>4</v>
      </c>
      <c r="E2375" s="22">
        <v>44391</v>
      </c>
      <c r="F2375" s="17">
        <v>15</v>
      </c>
      <c r="G2375" s="18">
        <v>7.0000000000000007E-2</v>
      </c>
      <c r="H2375">
        <f>F2375*VLOOKUP(B2375,產品!$A$2:$H$61,7,FALSE)*(1-銷售總表!G2375)</f>
        <v>90675</v>
      </c>
      <c r="I2375" s="35">
        <f>H2375-F2375*VLOOKUP(銷售總表!B2375,產品!$A$2:$H$61,8,FALSE)</f>
        <v>32175</v>
      </c>
      <c r="J2375" s="20">
        <f t="shared" si="37"/>
        <v>0.35483870967741937</v>
      </c>
    </row>
    <row r="2376" spans="1:10" x14ac:dyDescent="0.3">
      <c r="A2376" s="33">
        <v>2375</v>
      </c>
      <c r="B2376" s="4">
        <v>31</v>
      </c>
      <c r="C2376" s="15">
        <v>114</v>
      </c>
      <c r="D2376" s="16">
        <v>3</v>
      </c>
      <c r="E2376" s="22">
        <v>44392</v>
      </c>
      <c r="F2376" s="19">
        <v>10</v>
      </c>
      <c r="G2376" s="18">
        <v>0.13</v>
      </c>
      <c r="H2376">
        <f>F2376*VLOOKUP(B2376,產品!$A$2:$H$61,7,FALSE)*(1-銷售總表!G2376)</f>
        <v>60900</v>
      </c>
      <c r="I2376" s="35">
        <f>H2376-F2376*VLOOKUP(銷售總表!B2376,產品!$A$2:$H$61,8,FALSE)</f>
        <v>18900</v>
      </c>
      <c r="J2376" s="20">
        <f t="shared" si="37"/>
        <v>0.31034482758620691</v>
      </c>
    </row>
    <row r="2377" spans="1:10" x14ac:dyDescent="0.3">
      <c r="A2377" s="33">
        <v>2376</v>
      </c>
      <c r="B2377" s="4">
        <v>37</v>
      </c>
      <c r="C2377" s="15">
        <v>12</v>
      </c>
      <c r="D2377" s="16">
        <v>7</v>
      </c>
      <c r="E2377" s="22">
        <v>44392</v>
      </c>
      <c r="F2377" s="17">
        <v>3</v>
      </c>
      <c r="G2377" s="18">
        <v>0.18</v>
      </c>
      <c r="H2377">
        <f>F2377*VLOOKUP(B2377,產品!$A$2:$H$61,7,FALSE)*(1-銷售總表!G2377)</f>
        <v>29520.000000000004</v>
      </c>
      <c r="I2377" s="35">
        <f>H2377-F2377*VLOOKUP(銷售總表!B2377,產品!$A$2:$H$61,8,FALSE)</f>
        <v>6120.0000000000036</v>
      </c>
      <c r="J2377" s="20">
        <f t="shared" si="37"/>
        <v>0.20731707317073181</v>
      </c>
    </row>
    <row r="2378" spans="1:10" x14ac:dyDescent="0.3">
      <c r="A2378" s="33">
        <v>2377</v>
      </c>
      <c r="B2378" s="4">
        <v>26</v>
      </c>
      <c r="C2378" s="15">
        <v>275</v>
      </c>
      <c r="D2378" s="16">
        <v>5</v>
      </c>
      <c r="E2378" s="22">
        <v>44392</v>
      </c>
      <c r="F2378" s="17">
        <v>15</v>
      </c>
      <c r="G2378" s="18">
        <v>0.05</v>
      </c>
      <c r="H2378">
        <f>F2378*VLOOKUP(B2378,產品!$A$2:$H$61,7,FALSE)*(1-銷售總表!G2378)</f>
        <v>92625</v>
      </c>
      <c r="I2378" s="35">
        <f>H2378-F2378*VLOOKUP(銷售總表!B2378,產品!$A$2:$H$61,8,FALSE)</f>
        <v>34125</v>
      </c>
      <c r="J2378" s="20">
        <f t="shared" si="37"/>
        <v>0.36842105263157893</v>
      </c>
    </row>
    <row r="2379" spans="1:10" x14ac:dyDescent="0.3">
      <c r="A2379" s="33">
        <v>2378</v>
      </c>
      <c r="B2379" s="4">
        <v>40</v>
      </c>
      <c r="C2379" s="15">
        <v>5</v>
      </c>
      <c r="D2379" s="16">
        <v>8</v>
      </c>
      <c r="E2379" s="22">
        <v>44392</v>
      </c>
      <c r="F2379" s="19">
        <v>9</v>
      </c>
      <c r="G2379" s="18">
        <v>0.16</v>
      </c>
      <c r="H2379">
        <f>F2379*VLOOKUP(B2379,產品!$A$2:$H$61,7,FALSE)*(1-銷售總表!G2379)</f>
        <v>151200</v>
      </c>
      <c r="I2379" s="35">
        <f>H2379-F2379*VLOOKUP(銷售總表!B2379,產品!$A$2:$H$61,8,FALSE)</f>
        <v>34200</v>
      </c>
      <c r="J2379" s="20">
        <f t="shared" si="37"/>
        <v>0.22619047619047619</v>
      </c>
    </row>
    <row r="2380" spans="1:10" x14ac:dyDescent="0.3">
      <c r="A2380" s="33">
        <v>2379</v>
      </c>
      <c r="B2380" s="4">
        <v>53</v>
      </c>
      <c r="C2380" s="15">
        <v>119</v>
      </c>
      <c r="D2380" s="16">
        <v>2</v>
      </c>
      <c r="E2380" s="22">
        <v>44392</v>
      </c>
      <c r="F2380" s="19">
        <v>15</v>
      </c>
      <c r="G2380" s="18">
        <v>0.14000000000000001</v>
      </c>
      <c r="H2380">
        <f>F2380*VLOOKUP(B2380,產品!$A$2:$H$61,7,FALSE)*(1-銷售總表!G2380)</f>
        <v>193500</v>
      </c>
      <c r="I2380" s="35">
        <f>H2380-F2380*VLOOKUP(銷售總表!B2380,產品!$A$2:$H$61,8,FALSE)</f>
        <v>36000</v>
      </c>
      <c r="J2380" s="20">
        <f t="shared" si="37"/>
        <v>0.18604651162790697</v>
      </c>
    </row>
    <row r="2381" spans="1:10" x14ac:dyDescent="0.3">
      <c r="A2381" s="33">
        <v>2380</v>
      </c>
      <c r="B2381" s="4">
        <v>47</v>
      </c>
      <c r="C2381" s="15">
        <v>7</v>
      </c>
      <c r="D2381" s="16">
        <v>7</v>
      </c>
      <c r="E2381" s="22">
        <v>44392</v>
      </c>
      <c r="F2381" s="19">
        <v>12</v>
      </c>
      <c r="G2381" s="18">
        <v>0.19</v>
      </c>
      <c r="H2381">
        <f>F2381*VLOOKUP(B2381,產品!$A$2:$H$61,7,FALSE)*(1-銷售總表!G2381)</f>
        <v>194400</v>
      </c>
      <c r="I2381" s="35">
        <f>H2381-F2381*VLOOKUP(銷售總表!B2381,產品!$A$2:$H$61,8,FALSE)</f>
        <v>38400</v>
      </c>
      <c r="J2381" s="20">
        <f t="shared" si="37"/>
        <v>0.19753086419753085</v>
      </c>
    </row>
    <row r="2382" spans="1:10" x14ac:dyDescent="0.3">
      <c r="A2382" s="33">
        <v>2381</v>
      </c>
      <c r="B2382" s="4">
        <v>29</v>
      </c>
      <c r="C2382" s="15">
        <v>259</v>
      </c>
      <c r="D2382" s="16">
        <v>3</v>
      </c>
      <c r="E2382" s="22">
        <v>44392</v>
      </c>
      <c r="F2382" s="19">
        <v>25</v>
      </c>
      <c r="G2382" s="18">
        <v>7.0000000000000007E-2</v>
      </c>
      <c r="H2382">
        <f>F2382*VLOOKUP(B2382,產品!$A$2:$H$61,7,FALSE)*(1-銷售總表!G2382)</f>
        <v>139500</v>
      </c>
      <c r="I2382" s="35">
        <f>H2382-F2382*VLOOKUP(銷售總表!B2382,產品!$A$2:$H$61,8,FALSE)</f>
        <v>49500</v>
      </c>
      <c r="J2382" s="20">
        <f t="shared" si="37"/>
        <v>0.35483870967741937</v>
      </c>
    </row>
    <row r="2383" spans="1:10" x14ac:dyDescent="0.3">
      <c r="A2383" s="33">
        <v>2382</v>
      </c>
      <c r="B2383" s="4">
        <v>34</v>
      </c>
      <c r="C2383" s="15">
        <v>112</v>
      </c>
      <c r="D2383" s="16">
        <v>2</v>
      </c>
      <c r="E2383" s="22">
        <v>44392</v>
      </c>
      <c r="F2383" s="17">
        <v>20</v>
      </c>
      <c r="G2383" s="18">
        <v>0.09</v>
      </c>
      <c r="H2383">
        <f>F2383*VLOOKUP(B2383,產品!$A$2:$H$61,7,FALSE)*(1-銷售總表!G2383)</f>
        <v>145600</v>
      </c>
      <c r="I2383" s="35">
        <f>H2383-F2383*VLOOKUP(銷售總表!B2383,產品!$A$2:$H$61,8,FALSE)</f>
        <v>49600</v>
      </c>
      <c r="J2383" s="20">
        <f t="shared" si="37"/>
        <v>0.34065934065934067</v>
      </c>
    </row>
    <row r="2384" spans="1:10" x14ac:dyDescent="0.3">
      <c r="A2384" s="33">
        <v>2383</v>
      </c>
      <c r="B2384" s="4">
        <v>49</v>
      </c>
      <c r="C2384" s="15">
        <v>289</v>
      </c>
      <c r="D2384" s="16">
        <v>10</v>
      </c>
      <c r="E2384" s="22">
        <v>44393</v>
      </c>
      <c r="F2384" s="19">
        <v>3</v>
      </c>
      <c r="G2384" s="18">
        <v>0.19</v>
      </c>
      <c r="H2384">
        <f>F2384*VLOOKUP(B2384,產品!$A$2:$H$61,7,FALSE)*(1-銷售總表!G2384)</f>
        <v>36450</v>
      </c>
      <c r="I2384" s="35">
        <f>H2384-F2384*VLOOKUP(銷售總表!B2384,產品!$A$2:$H$61,8,FALSE)</f>
        <v>4950</v>
      </c>
      <c r="J2384" s="20">
        <f t="shared" si="37"/>
        <v>0.13580246913580246</v>
      </c>
    </row>
    <row r="2385" spans="1:10" x14ac:dyDescent="0.3">
      <c r="A2385" s="33">
        <v>2384</v>
      </c>
      <c r="B2385" s="4">
        <v>12</v>
      </c>
      <c r="C2385" s="15">
        <v>1</v>
      </c>
      <c r="D2385" s="16">
        <v>2</v>
      </c>
      <c r="E2385" s="22">
        <v>44393</v>
      </c>
      <c r="F2385" s="19">
        <v>20</v>
      </c>
      <c r="G2385" s="18">
        <v>0.14000000000000001</v>
      </c>
      <c r="H2385">
        <f>F2385*VLOOKUP(B2385,產品!$A$2:$H$61,7,FALSE)*(1-銷售總表!G2385)</f>
        <v>17200</v>
      </c>
      <c r="I2385" s="35">
        <f>H2385-F2385*VLOOKUP(銷售總表!B2385,產品!$A$2:$H$61,8,FALSE)</f>
        <v>9200</v>
      </c>
      <c r="J2385" s="20">
        <f t="shared" si="37"/>
        <v>0.53488372093023251</v>
      </c>
    </row>
    <row r="2386" spans="1:10" x14ac:dyDescent="0.3">
      <c r="A2386" s="33">
        <v>2385</v>
      </c>
      <c r="B2386" s="4">
        <v>18</v>
      </c>
      <c r="C2386" s="15">
        <v>6</v>
      </c>
      <c r="D2386" s="16">
        <v>9</v>
      </c>
      <c r="E2386" s="22">
        <v>44393</v>
      </c>
      <c r="F2386" s="17">
        <v>10</v>
      </c>
      <c r="G2386" s="18">
        <v>0.05</v>
      </c>
      <c r="H2386">
        <f>F2386*VLOOKUP(B2386,產品!$A$2:$H$61,7,FALSE)*(1-銷售總表!G2386)</f>
        <v>17100</v>
      </c>
      <c r="I2386" s="35">
        <f>H2386-F2386*VLOOKUP(銷售總表!B2386,產品!$A$2:$H$61,8,FALSE)</f>
        <v>9900</v>
      </c>
      <c r="J2386" s="20">
        <f t="shared" si="37"/>
        <v>0.57894736842105265</v>
      </c>
    </row>
    <row r="2387" spans="1:10" x14ac:dyDescent="0.3">
      <c r="A2387" s="33">
        <v>2386</v>
      </c>
      <c r="B2387" s="4">
        <v>15</v>
      </c>
      <c r="C2387" s="15">
        <v>257</v>
      </c>
      <c r="D2387" s="16">
        <v>7</v>
      </c>
      <c r="E2387" s="22">
        <v>44393</v>
      </c>
      <c r="F2387" s="19">
        <v>40</v>
      </c>
      <c r="G2387" s="18">
        <v>0.19</v>
      </c>
      <c r="H2387">
        <f>F2387*VLOOKUP(B2387,產品!$A$2:$H$61,7,FALSE)*(1-銷售總表!G2387)</f>
        <v>58320.000000000007</v>
      </c>
      <c r="I2387" s="35">
        <f>H2387-F2387*VLOOKUP(銷售總表!B2387,產品!$A$2:$H$61,8,FALSE)</f>
        <v>29520.000000000007</v>
      </c>
      <c r="J2387" s="20">
        <f t="shared" si="37"/>
        <v>0.50617283950617287</v>
      </c>
    </row>
    <row r="2388" spans="1:10" x14ac:dyDescent="0.3">
      <c r="A2388" s="33">
        <v>2387</v>
      </c>
      <c r="B2388" s="4">
        <v>39</v>
      </c>
      <c r="C2388" s="15">
        <v>265</v>
      </c>
      <c r="D2388" s="16">
        <v>10</v>
      </c>
      <c r="E2388" s="22">
        <v>44393</v>
      </c>
      <c r="F2388" s="19">
        <v>10</v>
      </c>
      <c r="G2388" s="18">
        <v>0.16</v>
      </c>
      <c r="H2388">
        <f>F2388*VLOOKUP(B2388,產品!$A$2:$H$61,7,FALSE)*(1-銷售總表!G2388)</f>
        <v>151200</v>
      </c>
      <c r="I2388" s="35">
        <f>H2388-F2388*VLOOKUP(銷售總表!B2388,產品!$A$2:$H$61,8,FALSE)</f>
        <v>34200</v>
      </c>
      <c r="J2388" s="20">
        <f t="shared" si="37"/>
        <v>0.22619047619047619</v>
      </c>
    </row>
    <row r="2389" spans="1:10" x14ac:dyDescent="0.3">
      <c r="A2389" s="33">
        <v>2388</v>
      </c>
      <c r="B2389" s="4">
        <v>22</v>
      </c>
      <c r="C2389" s="15">
        <v>276</v>
      </c>
      <c r="D2389" s="16">
        <v>9</v>
      </c>
      <c r="E2389" s="22">
        <v>44393</v>
      </c>
      <c r="F2389" s="17">
        <v>125</v>
      </c>
      <c r="G2389" s="18">
        <v>7.0000000000000007E-2</v>
      </c>
      <c r="H2389">
        <f>F2389*VLOOKUP(B2389,產品!$A$2:$H$61,7,FALSE)*(1-銷售總表!G2389)</f>
        <v>209250</v>
      </c>
      <c r="I2389" s="35">
        <f>H2389-F2389*VLOOKUP(銷售總表!B2389,產品!$A$2:$H$61,8,FALSE)</f>
        <v>119250</v>
      </c>
      <c r="J2389" s="20">
        <f t="shared" si="37"/>
        <v>0.56989247311827962</v>
      </c>
    </row>
    <row r="2390" spans="1:10" x14ac:dyDescent="0.3">
      <c r="A2390" s="33">
        <v>2389</v>
      </c>
      <c r="B2390" s="4">
        <v>29</v>
      </c>
      <c r="C2390" s="15">
        <v>258</v>
      </c>
      <c r="D2390" s="16">
        <v>4</v>
      </c>
      <c r="E2390" s="22">
        <v>44394</v>
      </c>
      <c r="F2390" s="19">
        <v>5</v>
      </c>
      <c r="G2390" s="18">
        <v>0.15</v>
      </c>
      <c r="H2390">
        <f>F2390*VLOOKUP(B2390,產品!$A$2:$H$61,7,FALSE)*(1-銷售總表!G2390)</f>
        <v>25500</v>
      </c>
      <c r="I2390" s="35">
        <f>H2390-F2390*VLOOKUP(銷售總表!B2390,產品!$A$2:$H$61,8,FALSE)</f>
        <v>7500</v>
      </c>
      <c r="J2390" s="20">
        <f t="shared" si="37"/>
        <v>0.29411764705882354</v>
      </c>
    </row>
    <row r="2391" spans="1:10" x14ac:dyDescent="0.3">
      <c r="A2391" s="33">
        <v>2390</v>
      </c>
      <c r="B2391" s="4">
        <v>50</v>
      </c>
      <c r="C2391" s="15">
        <v>7</v>
      </c>
      <c r="D2391" s="16">
        <v>1</v>
      </c>
      <c r="E2391" s="22">
        <v>44394</v>
      </c>
      <c r="F2391" s="17">
        <v>2</v>
      </c>
      <c r="G2391" s="18">
        <v>0.09</v>
      </c>
      <c r="H2391">
        <f>F2391*VLOOKUP(B2391,產品!$A$2:$H$61,7,FALSE)*(1-銷售總表!G2391)</f>
        <v>32760</v>
      </c>
      <c r="I2391" s="35">
        <f>H2391-F2391*VLOOKUP(銷售總表!B2391,產品!$A$2:$H$61,8,FALSE)</f>
        <v>7560</v>
      </c>
      <c r="J2391" s="20">
        <f t="shared" si="37"/>
        <v>0.23076923076923078</v>
      </c>
    </row>
    <row r="2392" spans="1:10" x14ac:dyDescent="0.3">
      <c r="A2392" s="33">
        <v>2391</v>
      </c>
      <c r="B2392" s="4">
        <v>24</v>
      </c>
      <c r="C2392" s="15">
        <v>276</v>
      </c>
      <c r="D2392" s="16">
        <v>5</v>
      </c>
      <c r="E2392" s="22">
        <v>44394</v>
      </c>
      <c r="F2392" s="17">
        <v>10</v>
      </c>
      <c r="G2392" s="18">
        <v>0.17</v>
      </c>
      <c r="H2392">
        <f>F2392*VLOOKUP(B2392,產品!$A$2:$H$61,7,FALSE)*(1-銷售總表!G2392)</f>
        <v>14940</v>
      </c>
      <c r="I2392" s="35">
        <f>H2392-F2392*VLOOKUP(銷售總表!B2392,產品!$A$2:$H$61,8,FALSE)</f>
        <v>7740</v>
      </c>
      <c r="J2392" s="20">
        <f t="shared" si="37"/>
        <v>0.51807228915662651</v>
      </c>
    </row>
    <row r="2393" spans="1:10" x14ac:dyDescent="0.3">
      <c r="A2393" s="33">
        <v>2392</v>
      </c>
      <c r="B2393" s="4">
        <v>48</v>
      </c>
      <c r="C2393" s="15">
        <v>257</v>
      </c>
      <c r="D2393" s="16">
        <v>3</v>
      </c>
      <c r="E2393" s="22">
        <v>44394</v>
      </c>
      <c r="F2393" s="19">
        <v>3</v>
      </c>
      <c r="G2393" s="18">
        <v>0.06</v>
      </c>
      <c r="H2393">
        <f>F2393*VLOOKUP(B2393,產品!$A$2:$H$61,7,FALSE)*(1-銷售總表!G2393)</f>
        <v>62040</v>
      </c>
      <c r="I2393" s="35">
        <f>H2393-F2393*VLOOKUP(銷售總表!B2393,產品!$A$2:$H$61,8,FALSE)</f>
        <v>19140</v>
      </c>
      <c r="J2393" s="20">
        <f t="shared" si="37"/>
        <v>0.30851063829787234</v>
      </c>
    </row>
    <row r="2394" spans="1:10" x14ac:dyDescent="0.3">
      <c r="A2394" s="33">
        <v>2393</v>
      </c>
      <c r="B2394" s="4">
        <v>3</v>
      </c>
      <c r="C2394" s="15">
        <v>291</v>
      </c>
      <c r="D2394" s="16">
        <v>5</v>
      </c>
      <c r="E2394" s="22">
        <v>44394</v>
      </c>
      <c r="F2394" s="19">
        <v>90</v>
      </c>
      <c r="G2394" s="18">
        <v>0.14000000000000001</v>
      </c>
      <c r="H2394">
        <f>F2394*VLOOKUP(B2394,產品!$A$2:$H$61,7,FALSE)*(1-銷售總表!G2394)</f>
        <v>77400</v>
      </c>
      <c r="I2394" s="35">
        <f>H2394-F2394*VLOOKUP(銷售總表!B2394,產品!$A$2:$H$61,8,FALSE)</f>
        <v>41400</v>
      </c>
      <c r="J2394" s="20">
        <f t="shared" si="37"/>
        <v>0.53488372093023251</v>
      </c>
    </row>
    <row r="2395" spans="1:10" x14ac:dyDescent="0.3">
      <c r="A2395" s="33">
        <v>2394</v>
      </c>
      <c r="B2395" s="4">
        <v>7</v>
      </c>
      <c r="C2395" s="15">
        <v>136</v>
      </c>
      <c r="D2395" s="16">
        <v>3</v>
      </c>
      <c r="E2395" s="22">
        <v>44394</v>
      </c>
      <c r="F2395" s="17">
        <v>100</v>
      </c>
      <c r="G2395" s="18">
        <v>0.09</v>
      </c>
      <c r="H2395">
        <f>F2395*VLOOKUP(B2395,產品!$A$2:$H$61,7,FALSE)*(1-銷售總表!G2395)</f>
        <v>91000</v>
      </c>
      <c r="I2395" s="35">
        <f>H2395-F2395*VLOOKUP(銷售總表!B2395,產品!$A$2:$H$61,8,FALSE)</f>
        <v>51000</v>
      </c>
      <c r="J2395" s="20">
        <f t="shared" si="37"/>
        <v>0.56043956043956045</v>
      </c>
    </row>
    <row r="2396" spans="1:10" x14ac:dyDescent="0.3">
      <c r="A2396" s="33">
        <v>2395</v>
      </c>
      <c r="B2396" s="4">
        <v>21</v>
      </c>
      <c r="C2396" s="15">
        <v>257</v>
      </c>
      <c r="D2396" s="16">
        <v>5</v>
      </c>
      <c r="E2396" s="22">
        <v>44394</v>
      </c>
      <c r="F2396" s="19">
        <v>60</v>
      </c>
      <c r="G2396" s="18">
        <v>0.06</v>
      </c>
      <c r="H2396">
        <f>F2396*VLOOKUP(B2396,產品!$A$2:$H$61,7,FALSE)*(1-銷售總表!G2396)</f>
        <v>101520</v>
      </c>
      <c r="I2396" s="35">
        <f>H2396-F2396*VLOOKUP(銷售總表!B2396,產品!$A$2:$H$61,8,FALSE)</f>
        <v>58320</v>
      </c>
      <c r="J2396" s="20">
        <f t="shared" si="37"/>
        <v>0.57446808510638303</v>
      </c>
    </row>
    <row r="2397" spans="1:10" x14ac:dyDescent="0.3">
      <c r="A2397" s="33">
        <v>2396</v>
      </c>
      <c r="B2397" s="4">
        <v>48</v>
      </c>
      <c r="C2397" s="15">
        <v>124</v>
      </c>
      <c r="D2397" s="16">
        <v>9</v>
      </c>
      <c r="E2397" s="22">
        <v>44394</v>
      </c>
      <c r="F2397" s="19">
        <v>10</v>
      </c>
      <c r="G2397" s="18">
        <v>0.06</v>
      </c>
      <c r="H2397">
        <f>F2397*VLOOKUP(B2397,產品!$A$2:$H$61,7,FALSE)*(1-銷售總表!G2397)</f>
        <v>206800</v>
      </c>
      <c r="I2397" s="35">
        <f>H2397-F2397*VLOOKUP(銷售總表!B2397,產品!$A$2:$H$61,8,FALSE)</f>
        <v>63800</v>
      </c>
      <c r="J2397" s="20">
        <f t="shared" si="37"/>
        <v>0.30851063829787234</v>
      </c>
    </row>
    <row r="2398" spans="1:10" x14ac:dyDescent="0.3">
      <c r="A2398" s="33">
        <v>2397</v>
      </c>
      <c r="B2398" s="4">
        <v>43</v>
      </c>
      <c r="C2398" s="15">
        <v>122</v>
      </c>
      <c r="D2398" s="16">
        <v>9</v>
      </c>
      <c r="E2398" s="22">
        <v>44394</v>
      </c>
      <c r="F2398" s="19">
        <v>15</v>
      </c>
      <c r="G2398" s="18">
        <v>0.05</v>
      </c>
      <c r="H2398">
        <f>F2398*VLOOKUP(B2398,產品!$A$2:$H$61,7,FALSE)*(1-銷售總表!G2398)</f>
        <v>256500</v>
      </c>
      <c r="I2398" s="35">
        <f>H2398-F2398*VLOOKUP(銷售總表!B2398,產品!$A$2:$H$61,8,FALSE)</f>
        <v>81000</v>
      </c>
      <c r="J2398" s="20">
        <f t="shared" si="37"/>
        <v>0.31578947368421051</v>
      </c>
    </row>
    <row r="2399" spans="1:10" x14ac:dyDescent="0.3">
      <c r="A2399" s="33">
        <v>2398</v>
      </c>
      <c r="B2399" s="4">
        <v>3</v>
      </c>
      <c r="C2399" s="15">
        <v>120</v>
      </c>
      <c r="D2399" s="16">
        <v>5</v>
      </c>
      <c r="E2399" s="22">
        <v>44394</v>
      </c>
      <c r="F2399" s="19">
        <v>250</v>
      </c>
      <c r="G2399" s="18">
        <v>0.08</v>
      </c>
      <c r="H2399">
        <f>F2399*VLOOKUP(B2399,產品!$A$2:$H$61,7,FALSE)*(1-銷售總表!G2399)</f>
        <v>230000</v>
      </c>
      <c r="I2399" s="35">
        <f>H2399-F2399*VLOOKUP(銷售總表!B2399,產品!$A$2:$H$61,8,FALSE)</f>
        <v>130000</v>
      </c>
      <c r="J2399" s="20">
        <f t="shared" si="37"/>
        <v>0.56521739130434778</v>
      </c>
    </row>
    <row r="2400" spans="1:10" x14ac:dyDescent="0.3">
      <c r="A2400" s="33">
        <v>2399</v>
      </c>
      <c r="B2400" s="4">
        <v>26</v>
      </c>
      <c r="C2400" s="15">
        <v>9</v>
      </c>
      <c r="D2400" s="16">
        <v>1</v>
      </c>
      <c r="E2400" s="22">
        <v>44395</v>
      </c>
      <c r="F2400" s="19">
        <v>3</v>
      </c>
      <c r="G2400" s="18">
        <v>0.17</v>
      </c>
      <c r="H2400">
        <f>F2400*VLOOKUP(B2400,產品!$A$2:$H$61,7,FALSE)*(1-銷售總表!G2400)</f>
        <v>16185</v>
      </c>
      <c r="I2400" s="35">
        <f>H2400-F2400*VLOOKUP(銷售總表!B2400,產品!$A$2:$H$61,8,FALSE)</f>
        <v>4485</v>
      </c>
      <c r="J2400" s="20">
        <f t="shared" si="37"/>
        <v>0.27710843373493976</v>
      </c>
    </row>
    <row r="2401" spans="1:10" x14ac:dyDescent="0.3">
      <c r="A2401" s="33">
        <v>2400</v>
      </c>
      <c r="B2401" s="4">
        <v>44</v>
      </c>
      <c r="C2401" s="15">
        <v>262</v>
      </c>
      <c r="D2401" s="16">
        <v>9</v>
      </c>
      <c r="E2401" s="22">
        <v>44395</v>
      </c>
      <c r="F2401" s="17">
        <v>1</v>
      </c>
      <c r="G2401" s="18">
        <v>0.09</v>
      </c>
      <c r="H2401">
        <f>F2401*VLOOKUP(B2401,產品!$A$2:$H$61,7,FALSE)*(1-銷售總表!G2401)</f>
        <v>18200</v>
      </c>
      <c r="I2401" s="35">
        <f>H2401-F2401*VLOOKUP(銷售總表!B2401,產品!$A$2:$H$61,8,FALSE)</f>
        <v>5200</v>
      </c>
      <c r="J2401" s="20">
        <f t="shared" si="37"/>
        <v>0.2857142857142857</v>
      </c>
    </row>
    <row r="2402" spans="1:10" x14ac:dyDescent="0.3">
      <c r="A2402" s="33">
        <v>2401</v>
      </c>
      <c r="B2402" s="4">
        <v>32</v>
      </c>
      <c r="C2402" s="15">
        <v>293</v>
      </c>
      <c r="D2402" s="16">
        <v>6</v>
      </c>
      <c r="E2402" s="22">
        <v>44395</v>
      </c>
      <c r="F2402" s="17">
        <v>4</v>
      </c>
      <c r="G2402" s="18">
        <v>0.19</v>
      </c>
      <c r="H2402">
        <f>F2402*VLOOKUP(B2402,產品!$A$2:$H$61,7,FALSE)*(1-銷售總表!G2402)</f>
        <v>24300</v>
      </c>
      <c r="I2402" s="35">
        <f>H2402-F2402*VLOOKUP(銷售總表!B2402,產品!$A$2:$H$61,8,FALSE)</f>
        <v>6300</v>
      </c>
      <c r="J2402" s="20">
        <f t="shared" si="37"/>
        <v>0.25925925925925924</v>
      </c>
    </row>
    <row r="2403" spans="1:10" x14ac:dyDescent="0.3">
      <c r="A2403" s="33">
        <v>2402</v>
      </c>
      <c r="B2403" s="4">
        <v>60</v>
      </c>
      <c r="C2403" s="15">
        <v>276</v>
      </c>
      <c r="D2403" s="16">
        <v>9</v>
      </c>
      <c r="E2403" s="22">
        <v>44395</v>
      </c>
      <c r="F2403" s="19">
        <v>3</v>
      </c>
      <c r="G2403" s="18">
        <v>0.13</v>
      </c>
      <c r="H2403">
        <f>F2403*VLOOKUP(B2403,產品!$A$2:$H$61,7,FALSE)*(1-銷售總表!G2403)</f>
        <v>65250</v>
      </c>
      <c r="I2403" s="35">
        <f>H2403-F2403*VLOOKUP(銷售總表!B2403,產品!$A$2:$H$61,8,FALSE)</f>
        <v>12750</v>
      </c>
      <c r="J2403" s="20">
        <f t="shared" si="37"/>
        <v>0.19540229885057472</v>
      </c>
    </row>
    <row r="2404" spans="1:10" x14ac:dyDescent="0.3">
      <c r="A2404" s="33">
        <v>2403</v>
      </c>
      <c r="B2404" s="4">
        <v>20</v>
      </c>
      <c r="C2404" s="15">
        <v>269</v>
      </c>
      <c r="D2404" s="16">
        <v>5</v>
      </c>
      <c r="E2404" s="22">
        <v>44395</v>
      </c>
      <c r="F2404" s="17">
        <v>40</v>
      </c>
      <c r="G2404" s="18">
        <v>0.06</v>
      </c>
      <c r="H2404">
        <f>F2404*VLOOKUP(B2404,產品!$A$2:$H$61,7,FALSE)*(1-銷售總表!G2404)</f>
        <v>67680</v>
      </c>
      <c r="I2404" s="35">
        <f>H2404-F2404*VLOOKUP(銷售總表!B2404,產品!$A$2:$H$61,8,FALSE)</f>
        <v>38880</v>
      </c>
      <c r="J2404" s="20">
        <f t="shared" si="37"/>
        <v>0.57446808510638303</v>
      </c>
    </row>
    <row r="2405" spans="1:10" x14ac:dyDescent="0.3">
      <c r="A2405" s="33">
        <v>2404</v>
      </c>
      <c r="B2405" s="4">
        <v>19</v>
      </c>
      <c r="C2405" s="15">
        <v>112</v>
      </c>
      <c r="D2405" s="16">
        <v>10</v>
      </c>
      <c r="E2405" s="22">
        <v>44395</v>
      </c>
      <c r="F2405" s="19">
        <v>70</v>
      </c>
      <c r="G2405" s="18">
        <v>0.08</v>
      </c>
      <c r="H2405">
        <f>F2405*VLOOKUP(B2405,產品!$A$2:$H$61,7,FALSE)*(1-銷售總表!G2405)</f>
        <v>115920</v>
      </c>
      <c r="I2405" s="35">
        <f>H2405-F2405*VLOOKUP(銷售總表!B2405,產品!$A$2:$H$61,8,FALSE)</f>
        <v>65520</v>
      </c>
      <c r="J2405" s="20">
        <f t="shared" si="37"/>
        <v>0.56521739130434778</v>
      </c>
    </row>
    <row r="2406" spans="1:10" x14ac:dyDescent="0.3">
      <c r="A2406" s="33">
        <v>2405</v>
      </c>
      <c r="B2406" s="4">
        <v>28</v>
      </c>
      <c r="C2406" s="15">
        <v>121</v>
      </c>
      <c r="D2406" s="16">
        <v>4</v>
      </c>
      <c r="E2406" s="22">
        <v>44396</v>
      </c>
      <c r="F2406" s="19">
        <v>6</v>
      </c>
      <c r="G2406" s="18">
        <v>0.06</v>
      </c>
      <c r="H2406">
        <f>F2406*VLOOKUP(B2406,產品!$A$2:$H$61,7,FALSE)*(1-銷售總表!G2406)</f>
        <v>42300</v>
      </c>
      <c r="I2406" s="35">
        <f>H2406-F2406*VLOOKUP(銷售總表!B2406,產品!$A$2:$H$61,8,FALSE)</f>
        <v>15300</v>
      </c>
      <c r="J2406" s="20">
        <f t="shared" si="37"/>
        <v>0.36170212765957449</v>
      </c>
    </row>
    <row r="2407" spans="1:10" x14ac:dyDescent="0.3">
      <c r="A2407" s="33">
        <v>2406</v>
      </c>
      <c r="B2407" s="4">
        <v>33</v>
      </c>
      <c r="C2407" s="15">
        <v>293</v>
      </c>
      <c r="D2407" s="16">
        <v>4</v>
      </c>
      <c r="E2407" s="22">
        <v>44396</v>
      </c>
      <c r="F2407" s="19">
        <v>7</v>
      </c>
      <c r="G2407" s="18">
        <v>7.0000000000000007E-2</v>
      </c>
      <c r="H2407">
        <f>F2407*VLOOKUP(B2407,產品!$A$2:$H$61,7,FALSE)*(1-銷售總表!G2407)</f>
        <v>48825</v>
      </c>
      <c r="I2407" s="35">
        <f>H2407-F2407*VLOOKUP(銷售總表!B2407,產品!$A$2:$H$61,8,FALSE)</f>
        <v>17325</v>
      </c>
      <c r="J2407" s="20">
        <f t="shared" si="37"/>
        <v>0.35483870967741937</v>
      </c>
    </row>
    <row r="2408" spans="1:10" x14ac:dyDescent="0.3">
      <c r="A2408" s="33">
        <v>2407</v>
      </c>
      <c r="B2408" s="4">
        <v>9</v>
      </c>
      <c r="C2408" s="15">
        <v>136</v>
      </c>
      <c r="D2408" s="16">
        <v>9</v>
      </c>
      <c r="E2408" s="22">
        <v>44396</v>
      </c>
      <c r="F2408" s="17">
        <v>40</v>
      </c>
      <c r="G2408" s="18">
        <v>0.15</v>
      </c>
      <c r="H2408">
        <f>F2408*VLOOKUP(B2408,產品!$A$2:$H$61,7,FALSE)*(1-銷售總表!G2408)</f>
        <v>34000</v>
      </c>
      <c r="I2408" s="35">
        <f>H2408-F2408*VLOOKUP(銷售總表!B2408,產品!$A$2:$H$61,8,FALSE)</f>
        <v>18000</v>
      </c>
      <c r="J2408" s="20">
        <f t="shared" si="37"/>
        <v>0.52941176470588236</v>
      </c>
    </row>
    <row r="2409" spans="1:10" x14ac:dyDescent="0.3">
      <c r="A2409" s="33">
        <v>2408</v>
      </c>
      <c r="B2409" s="4">
        <v>25</v>
      </c>
      <c r="C2409" s="15">
        <v>5</v>
      </c>
      <c r="D2409" s="16">
        <v>7</v>
      </c>
      <c r="E2409" s="22">
        <v>44396</v>
      </c>
      <c r="F2409" s="17">
        <v>11</v>
      </c>
      <c r="G2409" s="18">
        <v>0.08</v>
      </c>
      <c r="H2409">
        <f>F2409*VLOOKUP(B2409,產品!$A$2:$H$61,7,FALSE)*(1-銷售總表!G2409)</f>
        <v>60720</v>
      </c>
      <c r="I2409" s="35">
        <f>H2409-F2409*VLOOKUP(銷售總表!B2409,產品!$A$2:$H$61,8,FALSE)</f>
        <v>21120</v>
      </c>
      <c r="J2409" s="20">
        <f t="shared" si="37"/>
        <v>0.34782608695652173</v>
      </c>
    </row>
    <row r="2410" spans="1:10" x14ac:dyDescent="0.3">
      <c r="A2410" s="33">
        <v>2409</v>
      </c>
      <c r="B2410" s="4">
        <v>3</v>
      </c>
      <c r="C2410" s="15">
        <v>12</v>
      </c>
      <c r="D2410" s="16">
        <v>5</v>
      </c>
      <c r="E2410" s="22">
        <v>44396</v>
      </c>
      <c r="F2410" s="19">
        <v>60</v>
      </c>
      <c r="G2410" s="18">
        <v>0.1</v>
      </c>
      <c r="H2410">
        <f>F2410*VLOOKUP(B2410,產品!$A$2:$H$61,7,FALSE)*(1-銷售總表!G2410)</f>
        <v>54000</v>
      </c>
      <c r="I2410" s="35">
        <f>H2410-F2410*VLOOKUP(銷售總表!B2410,產品!$A$2:$H$61,8,FALSE)</f>
        <v>30000</v>
      </c>
      <c r="J2410" s="20">
        <f t="shared" si="37"/>
        <v>0.55555555555555558</v>
      </c>
    </row>
    <row r="2411" spans="1:10" x14ac:dyDescent="0.3">
      <c r="A2411" s="33">
        <v>2410</v>
      </c>
      <c r="B2411" s="4">
        <v>33</v>
      </c>
      <c r="C2411" s="15">
        <v>263</v>
      </c>
      <c r="D2411" s="16">
        <v>8</v>
      </c>
      <c r="E2411" s="22">
        <v>44396</v>
      </c>
      <c r="F2411" s="19">
        <v>15</v>
      </c>
      <c r="G2411" s="18">
        <v>0.13</v>
      </c>
      <c r="H2411">
        <f>F2411*VLOOKUP(B2411,產品!$A$2:$H$61,7,FALSE)*(1-銷售總表!G2411)</f>
        <v>97875</v>
      </c>
      <c r="I2411" s="35">
        <f>H2411-F2411*VLOOKUP(銷售總表!B2411,產品!$A$2:$H$61,8,FALSE)</f>
        <v>30375</v>
      </c>
      <c r="J2411" s="20">
        <f t="shared" si="37"/>
        <v>0.31034482758620691</v>
      </c>
    </row>
    <row r="2412" spans="1:10" x14ac:dyDescent="0.3">
      <c r="A2412" s="33">
        <v>2411</v>
      </c>
      <c r="B2412" s="4">
        <v>2</v>
      </c>
      <c r="C2412" s="15">
        <v>291</v>
      </c>
      <c r="D2412" s="16">
        <v>8</v>
      </c>
      <c r="E2412" s="22">
        <v>44396</v>
      </c>
      <c r="F2412" s="19">
        <v>80</v>
      </c>
      <c r="G2412" s="18">
        <v>0.11</v>
      </c>
      <c r="H2412">
        <f>F2412*VLOOKUP(B2412,產品!$A$2:$H$61,7,FALSE)*(1-銷售總表!G2412)</f>
        <v>71200</v>
      </c>
      <c r="I2412" s="35">
        <f>H2412-F2412*VLOOKUP(銷售總表!B2412,產品!$A$2:$H$61,8,FALSE)</f>
        <v>39200</v>
      </c>
      <c r="J2412" s="20">
        <f t="shared" si="37"/>
        <v>0.550561797752809</v>
      </c>
    </row>
    <row r="2413" spans="1:10" x14ac:dyDescent="0.3">
      <c r="A2413" s="33">
        <v>2412</v>
      </c>
      <c r="B2413" s="4">
        <v>18</v>
      </c>
      <c r="C2413" s="15">
        <v>275</v>
      </c>
      <c r="D2413" s="16">
        <v>9</v>
      </c>
      <c r="E2413" s="22">
        <v>44396</v>
      </c>
      <c r="F2413" s="19">
        <v>200</v>
      </c>
      <c r="G2413" s="18">
        <v>0.2</v>
      </c>
      <c r="H2413">
        <f>F2413*VLOOKUP(B2413,產品!$A$2:$H$61,7,FALSE)*(1-銷售總表!G2413)</f>
        <v>288000</v>
      </c>
      <c r="I2413" s="35">
        <f>H2413-F2413*VLOOKUP(銷售總表!B2413,產品!$A$2:$H$61,8,FALSE)</f>
        <v>144000</v>
      </c>
      <c r="J2413" s="20">
        <f t="shared" si="37"/>
        <v>0.5</v>
      </c>
    </row>
    <row r="2414" spans="1:10" x14ac:dyDescent="0.3">
      <c r="A2414" s="33">
        <v>2413</v>
      </c>
      <c r="B2414" s="4">
        <v>5</v>
      </c>
      <c r="C2414" s="15">
        <v>276</v>
      </c>
      <c r="D2414" s="16">
        <v>10</v>
      </c>
      <c r="E2414" s="22">
        <v>44397</v>
      </c>
      <c r="F2414" s="19">
        <v>19</v>
      </c>
      <c r="G2414" s="18">
        <v>0.05</v>
      </c>
      <c r="H2414">
        <f>F2414*VLOOKUP(B2414,產品!$A$2:$H$61,7,FALSE)*(1-銷售總表!G2414)</f>
        <v>18050</v>
      </c>
      <c r="I2414" s="35">
        <f>H2414-F2414*VLOOKUP(銷售總表!B2414,產品!$A$2:$H$61,8,FALSE)</f>
        <v>10450</v>
      </c>
      <c r="J2414" s="20">
        <f t="shared" si="37"/>
        <v>0.57894736842105265</v>
      </c>
    </row>
    <row r="2415" spans="1:10" x14ac:dyDescent="0.3">
      <c r="A2415" s="33">
        <v>2414</v>
      </c>
      <c r="B2415" s="4">
        <v>9</v>
      </c>
      <c r="C2415" s="15">
        <v>263</v>
      </c>
      <c r="D2415" s="16">
        <v>10</v>
      </c>
      <c r="E2415" s="22">
        <v>44397</v>
      </c>
      <c r="F2415" s="19">
        <v>40</v>
      </c>
      <c r="G2415" s="18">
        <v>0.15</v>
      </c>
      <c r="H2415">
        <f>F2415*VLOOKUP(B2415,產品!$A$2:$H$61,7,FALSE)*(1-銷售總表!G2415)</f>
        <v>34000</v>
      </c>
      <c r="I2415" s="35">
        <f>H2415-F2415*VLOOKUP(銷售總表!B2415,產品!$A$2:$H$61,8,FALSE)</f>
        <v>18000</v>
      </c>
      <c r="J2415" s="20">
        <f t="shared" si="37"/>
        <v>0.52941176470588236</v>
      </c>
    </row>
    <row r="2416" spans="1:10" x14ac:dyDescent="0.3">
      <c r="A2416" s="33">
        <v>2415</v>
      </c>
      <c r="B2416" s="4">
        <v>45</v>
      </c>
      <c r="C2416" s="15">
        <v>120</v>
      </c>
      <c r="D2416" s="16">
        <v>10</v>
      </c>
      <c r="E2416" s="22">
        <v>44397</v>
      </c>
      <c r="F2416" s="19">
        <v>7</v>
      </c>
      <c r="G2416" s="18">
        <v>0.14000000000000001</v>
      </c>
      <c r="H2416">
        <f>F2416*VLOOKUP(B2416,產品!$A$2:$H$61,7,FALSE)*(1-銷售總表!G2416)</f>
        <v>84280</v>
      </c>
      <c r="I2416" s="35">
        <f>H2416-F2416*VLOOKUP(銷售總表!B2416,產品!$A$2:$H$61,8,FALSE)</f>
        <v>20580</v>
      </c>
      <c r="J2416" s="20">
        <f t="shared" si="37"/>
        <v>0.2441860465116279</v>
      </c>
    </row>
    <row r="2417" spans="1:10" x14ac:dyDescent="0.3">
      <c r="A2417" s="33">
        <v>2416</v>
      </c>
      <c r="B2417" s="4">
        <v>5</v>
      </c>
      <c r="C2417" s="15">
        <v>282</v>
      </c>
      <c r="D2417" s="16">
        <v>10</v>
      </c>
      <c r="E2417" s="22">
        <v>44397</v>
      </c>
      <c r="F2417" s="19">
        <v>50</v>
      </c>
      <c r="G2417" s="18">
        <v>0.14000000000000001</v>
      </c>
      <c r="H2417">
        <f>F2417*VLOOKUP(B2417,產品!$A$2:$H$61,7,FALSE)*(1-銷售總表!G2417)</f>
        <v>43000</v>
      </c>
      <c r="I2417" s="35">
        <f>H2417-F2417*VLOOKUP(銷售總表!B2417,產品!$A$2:$H$61,8,FALSE)</f>
        <v>23000</v>
      </c>
      <c r="J2417" s="20">
        <f t="shared" si="37"/>
        <v>0.53488372093023251</v>
      </c>
    </row>
    <row r="2418" spans="1:10" x14ac:dyDescent="0.3">
      <c r="A2418" s="33">
        <v>2417</v>
      </c>
      <c r="B2418" s="4">
        <v>60</v>
      </c>
      <c r="C2418" s="15">
        <v>136</v>
      </c>
      <c r="D2418" s="16">
        <v>2</v>
      </c>
      <c r="E2418" s="22">
        <v>44397</v>
      </c>
      <c r="F2418" s="19">
        <v>4</v>
      </c>
      <c r="G2418" s="18">
        <v>7.0000000000000007E-2</v>
      </c>
      <c r="H2418">
        <f>F2418*VLOOKUP(B2418,產品!$A$2:$H$61,7,FALSE)*(1-銷售總表!G2418)</f>
        <v>93000</v>
      </c>
      <c r="I2418" s="35">
        <f>H2418-F2418*VLOOKUP(銷售總表!B2418,產品!$A$2:$H$61,8,FALSE)</f>
        <v>23000</v>
      </c>
      <c r="J2418" s="20">
        <f t="shared" si="37"/>
        <v>0.24731182795698925</v>
      </c>
    </row>
    <row r="2419" spans="1:10" x14ac:dyDescent="0.3">
      <c r="A2419" s="33">
        <v>2418</v>
      </c>
      <c r="B2419" s="4">
        <v>8</v>
      </c>
      <c r="C2419" s="15">
        <v>268</v>
      </c>
      <c r="D2419" s="16">
        <v>2</v>
      </c>
      <c r="E2419" s="22">
        <v>44398</v>
      </c>
      <c r="F2419" s="17">
        <v>15</v>
      </c>
      <c r="G2419" s="18">
        <v>0.13</v>
      </c>
      <c r="H2419">
        <f>F2419*VLOOKUP(B2419,產品!$A$2:$H$61,7,FALSE)*(1-銷售總表!G2419)</f>
        <v>13050</v>
      </c>
      <c r="I2419" s="35">
        <f>H2419-F2419*VLOOKUP(銷售總表!B2419,產品!$A$2:$H$61,8,FALSE)</f>
        <v>7050</v>
      </c>
      <c r="J2419" s="20">
        <f t="shared" si="37"/>
        <v>0.54022988505747127</v>
      </c>
    </row>
    <row r="2420" spans="1:10" x14ac:dyDescent="0.3">
      <c r="A2420" s="33">
        <v>2419</v>
      </c>
      <c r="B2420" s="4">
        <v>10</v>
      </c>
      <c r="C2420" s="15">
        <v>6</v>
      </c>
      <c r="D2420" s="16">
        <v>6</v>
      </c>
      <c r="E2420" s="22">
        <v>44398</v>
      </c>
      <c r="F2420" s="19">
        <v>15</v>
      </c>
      <c r="G2420" s="18">
        <v>0.08</v>
      </c>
      <c r="H2420">
        <f>F2420*VLOOKUP(B2420,產品!$A$2:$H$61,7,FALSE)*(1-銷售總表!G2420)</f>
        <v>13800</v>
      </c>
      <c r="I2420" s="35">
        <f>H2420-F2420*VLOOKUP(銷售總表!B2420,產品!$A$2:$H$61,8,FALSE)</f>
        <v>7800</v>
      </c>
      <c r="J2420" s="20">
        <f t="shared" si="37"/>
        <v>0.56521739130434778</v>
      </c>
    </row>
    <row r="2421" spans="1:10" x14ac:dyDescent="0.3">
      <c r="A2421" s="33">
        <v>2420</v>
      </c>
      <c r="B2421" s="4">
        <v>57</v>
      </c>
      <c r="C2421" s="15">
        <v>122</v>
      </c>
      <c r="D2421" s="16">
        <v>1</v>
      </c>
      <c r="E2421" s="22">
        <v>44398</v>
      </c>
      <c r="F2421" s="17">
        <v>3</v>
      </c>
      <c r="G2421" s="18">
        <v>0.14000000000000001</v>
      </c>
      <c r="H2421">
        <f>F2421*VLOOKUP(B2421,產品!$A$2:$H$61,7,FALSE)*(1-銷售總表!G2421)</f>
        <v>46440</v>
      </c>
      <c r="I2421" s="35">
        <f>H2421-F2421*VLOOKUP(銷售總表!B2421,產品!$A$2:$H$61,8,FALSE)</f>
        <v>8640</v>
      </c>
      <c r="J2421" s="20">
        <f t="shared" si="37"/>
        <v>0.18604651162790697</v>
      </c>
    </row>
    <row r="2422" spans="1:10" x14ac:dyDescent="0.3">
      <c r="A2422" s="33">
        <v>2421</v>
      </c>
      <c r="B2422" s="4">
        <v>49</v>
      </c>
      <c r="C2422" s="15">
        <v>10</v>
      </c>
      <c r="D2422" s="16">
        <v>2</v>
      </c>
      <c r="E2422" s="22">
        <v>44398</v>
      </c>
      <c r="F2422" s="19">
        <v>4</v>
      </c>
      <c r="G2422" s="18">
        <v>0.14000000000000001</v>
      </c>
      <c r="H2422">
        <f>F2422*VLOOKUP(B2422,產品!$A$2:$H$61,7,FALSE)*(1-銷售總表!G2422)</f>
        <v>51600</v>
      </c>
      <c r="I2422" s="35">
        <f>H2422-F2422*VLOOKUP(銷售總表!B2422,產品!$A$2:$H$61,8,FALSE)</f>
        <v>9600</v>
      </c>
      <c r="J2422" s="20">
        <f t="shared" si="37"/>
        <v>0.18604651162790697</v>
      </c>
    </row>
    <row r="2423" spans="1:10" x14ac:dyDescent="0.3">
      <c r="A2423" s="33">
        <v>2422</v>
      </c>
      <c r="B2423" s="4">
        <v>28</v>
      </c>
      <c r="C2423" s="15">
        <v>266</v>
      </c>
      <c r="D2423" s="16">
        <v>1</v>
      </c>
      <c r="E2423" s="22">
        <v>44398</v>
      </c>
      <c r="F2423" s="19">
        <v>4</v>
      </c>
      <c r="G2423" s="18">
        <v>0.06</v>
      </c>
      <c r="H2423">
        <f>F2423*VLOOKUP(B2423,產品!$A$2:$H$61,7,FALSE)*(1-銷售總表!G2423)</f>
        <v>28200</v>
      </c>
      <c r="I2423" s="35">
        <f>H2423-F2423*VLOOKUP(銷售總表!B2423,產品!$A$2:$H$61,8,FALSE)</f>
        <v>10200</v>
      </c>
      <c r="J2423" s="20">
        <f t="shared" si="37"/>
        <v>0.36170212765957449</v>
      </c>
    </row>
    <row r="2424" spans="1:10" x14ac:dyDescent="0.3">
      <c r="A2424" s="33">
        <v>2423</v>
      </c>
      <c r="B2424" s="4">
        <v>56</v>
      </c>
      <c r="C2424" s="15">
        <v>138</v>
      </c>
      <c r="D2424" s="16">
        <v>5</v>
      </c>
      <c r="E2424" s="22">
        <v>44398</v>
      </c>
      <c r="F2424" s="17">
        <v>2</v>
      </c>
      <c r="G2424" s="18">
        <v>0.05</v>
      </c>
      <c r="H2424">
        <f>F2424*VLOOKUP(B2424,產品!$A$2:$H$61,7,FALSE)*(1-銷售總表!G2424)</f>
        <v>41800</v>
      </c>
      <c r="I2424" s="35">
        <f>H2424-F2424*VLOOKUP(銷售總表!B2424,產品!$A$2:$H$61,8,FALSE)</f>
        <v>11000.000000000004</v>
      </c>
      <c r="J2424" s="20">
        <f t="shared" si="37"/>
        <v>0.2631578947368422</v>
      </c>
    </row>
    <row r="2425" spans="1:10" x14ac:dyDescent="0.3">
      <c r="A2425" s="33">
        <v>2424</v>
      </c>
      <c r="B2425" s="4">
        <v>37</v>
      </c>
      <c r="C2425" s="15">
        <v>291</v>
      </c>
      <c r="D2425" s="16">
        <v>9</v>
      </c>
      <c r="E2425" s="22">
        <v>44398</v>
      </c>
      <c r="F2425" s="17">
        <v>6</v>
      </c>
      <c r="G2425" s="18">
        <v>0.17</v>
      </c>
      <c r="H2425">
        <f>F2425*VLOOKUP(B2425,產品!$A$2:$H$61,7,FALSE)*(1-銷售總表!G2425)</f>
        <v>59760</v>
      </c>
      <c r="I2425" s="35">
        <f>H2425-F2425*VLOOKUP(銷售總表!B2425,產品!$A$2:$H$61,8,FALSE)</f>
        <v>12960</v>
      </c>
      <c r="J2425" s="20">
        <f t="shared" si="37"/>
        <v>0.21686746987951808</v>
      </c>
    </row>
    <row r="2426" spans="1:10" x14ac:dyDescent="0.3">
      <c r="A2426" s="33">
        <v>2425</v>
      </c>
      <c r="B2426" s="4">
        <v>22</v>
      </c>
      <c r="C2426" s="15">
        <v>6</v>
      </c>
      <c r="D2426" s="16">
        <v>9</v>
      </c>
      <c r="E2426" s="22">
        <v>44398</v>
      </c>
      <c r="F2426" s="17">
        <v>20</v>
      </c>
      <c r="G2426" s="18">
        <v>0.1</v>
      </c>
      <c r="H2426">
        <f>F2426*VLOOKUP(B2426,產品!$A$2:$H$61,7,FALSE)*(1-銷售總表!G2426)</f>
        <v>32400</v>
      </c>
      <c r="I2426" s="35">
        <f>H2426-F2426*VLOOKUP(銷售總表!B2426,產品!$A$2:$H$61,8,FALSE)</f>
        <v>18000</v>
      </c>
      <c r="J2426" s="20">
        <f t="shared" si="37"/>
        <v>0.55555555555555558</v>
      </c>
    </row>
    <row r="2427" spans="1:10" x14ac:dyDescent="0.3">
      <c r="A2427" s="33">
        <v>2426</v>
      </c>
      <c r="B2427" s="4">
        <v>35</v>
      </c>
      <c r="C2427" s="15">
        <v>264</v>
      </c>
      <c r="D2427" s="16">
        <v>5</v>
      </c>
      <c r="E2427" s="22">
        <v>44398</v>
      </c>
      <c r="F2427" s="19">
        <v>9</v>
      </c>
      <c r="G2427" s="18">
        <v>0.12</v>
      </c>
      <c r="H2427">
        <f>F2427*VLOOKUP(B2427,產品!$A$2:$H$61,7,FALSE)*(1-銷售總表!G2427)</f>
        <v>67320</v>
      </c>
      <c r="I2427" s="35">
        <f>H2427-F2427*VLOOKUP(銷售總表!B2427,產品!$A$2:$H$61,8,FALSE)</f>
        <v>21420</v>
      </c>
      <c r="J2427" s="20">
        <f t="shared" si="37"/>
        <v>0.31818181818181818</v>
      </c>
    </row>
    <row r="2428" spans="1:10" x14ac:dyDescent="0.3">
      <c r="A2428" s="33">
        <v>2427</v>
      </c>
      <c r="B2428" s="4">
        <v>16</v>
      </c>
      <c r="C2428" s="15">
        <v>119</v>
      </c>
      <c r="D2428" s="16">
        <v>9</v>
      </c>
      <c r="E2428" s="22">
        <v>44398</v>
      </c>
      <c r="F2428" s="19">
        <v>100</v>
      </c>
      <c r="G2428" s="18">
        <v>0.1</v>
      </c>
      <c r="H2428">
        <f>F2428*VLOOKUP(B2428,產品!$A$2:$H$61,7,FALSE)*(1-銷售總表!G2428)</f>
        <v>162000</v>
      </c>
      <c r="I2428" s="35">
        <f>H2428-F2428*VLOOKUP(銷售總表!B2428,產品!$A$2:$H$61,8,FALSE)</f>
        <v>90000</v>
      </c>
      <c r="J2428" s="20">
        <f t="shared" si="37"/>
        <v>0.55555555555555558</v>
      </c>
    </row>
    <row r="2429" spans="1:10" x14ac:dyDescent="0.3">
      <c r="A2429" s="33">
        <v>2428</v>
      </c>
      <c r="B2429" s="4">
        <v>34</v>
      </c>
      <c r="C2429" s="15">
        <v>12</v>
      </c>
      <c r="D2429" s="16">
        <v>1</v>
      </c>
      <c r="E2429" s="22">
        <v>44399</v>
      </c>
      <c r="F2429" s="19">
        <v>2</v>
      </c>
      <c r="G2429" s="18">
        <v>0.14000000000000001</v>
      </c>
      <c r="H2429">
        <f>F2429*VLOOKUP(B2429,產品!$A$2:$H$61,7,FALSE)*(1-銷售總表!G2429)</f>
        <v>13760</v>
      </c>
      <c r="I2429" s="35">
        <f>H2429-F2429*VLOOKUP(銷售總表!B2429,產品!$A$2:$H$61,8,FALSE)</f>
        <v>4160</v>
      </c>
      <c r="J2429" s="20">
        <f t="shared" si="37"/>
        <v>0.30232558139534882</v>
      </c>
    </row>
    <row r="2430" spans="1:10" x14ac:dyDescent="0.3">
      <c r="A2430" s="33">
        <v>2429</v>
      </c>
      <c r="B2430" s="4">
        <v>26</v>
      </c>
      <c r="C2430" s="15">
        <v>11</v>
      </c>
      <c r="D2430" s="16">
        <v>9</v>
      </c>
      <c r="E2430" s="22">
        <v>44399</v>
      </c>
      <c r="F2430" s="19">
        <v>3</v>
      </c>
      <c r="G2430" s="18">
        <v>0.16</v>
      </c>
      <c r="H2430">
        <f>F2430*VLOOKUP(B2430,產品!$A$2:$H$61,7,FALSE)*(1-銷售總表!G2430)</f>
        <v>16380</v>
      </c>
      <c r="I2430" s="35">
        <f>H2430-F2430*VLOOKUP(銷售總表!B2430,產品!$A$2:$H$61,8,FALSE)</f>
        <v>4680</v>
      </c>
      <c r="J2430" s="20">
        <f t="shared" si="37"/>
        <v>0.2857142857142857</v>
      </c>
    </row>
    <row r="2431" spans="1:10" x14ac:dyDescent="0.3">
      <c r="A2431" s="33">
        <v>2430</v>
      </c>
      <c r="B2431" s="4">
        <v>29</v>
      </c>
      <c r="C2431" s="15">
        <v>116</v>
      </c>
      <c r="D2431" s="16">
        <v>5</v>
      </c>
      <c r="E2431" s="22">
        <v>44399</v>
      </c>
      <c r="F2431" s="19">
        <v>3</v>
      </c>
      <c r="G2431" s="18">
        <v>0.12</v>
      </c>
      <c r="H2431">
        <f>F2431*VLOOKUP(B2431,產品!$A$2:$H$61,7,FALSE)*(1-銷售總表!G2431)</f>
        <v>15840</v>
      </c>
      <c r="I2431" s="35">
        <f>H2431-F2431*VLOOKUP(銷售總表!B2431,產品!$A$2:$H$61,8,FALSE)</f>
        <v>5040</v>
      </c>
      <c r="J2431" s="20">
        <f t="shared" si="37"/>
        <v>0.31818181818181818</v>
      </c>
    </row>
    <row r="2432" spans="1:10" x14ac:dyDescent="0.3">
      <c r="A2432" s="33">
        <v>2431</v>
      </c>
      <c r="B2432" s="4">
        <v>35</v>
      </c>
      <c r="C2432" s="15">
        <v>6</v>
      </c>
      <c r="D2432" s="16">
        <v>10</v>
      </c>
      <c r="E2432" s="22">
        <v>44399</v>
      </c>
      <c r="F2432" s="17">
        <v>3</v>
      </c>
      <c r="G2432" s="18">
        <v>0.2</v>
      </c>
      <c r="H2432">
        <f>F2432*VLOOKUP(B2432,產品!$A$2:$H$61,7,FALSE)*(1-銷售總表!G2432)</f>
        <v>20400</v>
      </c>
      <c r="I2432" s="35">
        <f>H2432-F2432*VLOOKUP(銷售總表!B2432,產品!$A$2:$H$61,8,FALSE)</f>
        <v>5100</v>
      </c>
      <c r="J2432" s="20">
        <f t="shared" si="37"/>
        <v>0.25</v>
      </c>
    </row>
    <row r="2433" spans="1:10" x14ac:dyDescent="0.3">
      <c r="A2433" s="33">
        <v>2432</v>
      </c>
      <c r="B2433" s="4">
        <v>52</v>
      </c>
      <c r="C2433" s="15">
        <v>283</v>
      </c>
      <c r="D2433" s="16">
        <v>9</v>
      </c>
      <c r="E2433" s="22">
        <v>44399</v>
      </c>
      <c r="F2433" s="19">
        <v>3</v>
      </c>
      <c r="G2433" s="18">
        <v>0.18</v>
      </c>
      <c r="H2433">
        <f>F2433*VLOOKUP(B2433,產品!$A$2:$H$61,7,FALSE)*(1-銷售總表!G2433)</f>
        <v>54120.000000000007</v>
      </c>
      <c r="I2433" s="35">
        <f>H2433-F2433*VLOOKUP(銷售總表!B2433,產品!$A$2:$H$61,8,FALSE)</f>
        <v>7920.0000000000146</v>
      </c>
      <c r="J2433" s="20">
        <f t="shared" si="37"/>
        <v>0.14634146341463439</v>
      </c>
    </row>
    <row r="2434" spans="1:10" x14ac:dyDescent="0.3">
      <c r="A2434" s="33">
        <v>2433</v>
      </c>
      <c r="B2434" s="4">
        <v>46</v>
      </c>
      <c r="C2434" s="15">
        <v>262</v>
      </c>
      <c r="D2434" s="16">
        <v>1</v>
      </c>
      <c r="E2434" s="22">
        <v>44399</v>
      </c>
      <c r="F2434" s="17">
        <v>4</v>
      </c>
      <c r="G2434" s="18">
        <v>0.16</v>
      </c>
      <c r="H2434">
        <f>F2434*VLOOKUP(B2434,產品!$A$2:$H$61,7,FALSE)*(1-銷售總表!G2434)</f>
        <v>57120</v>
      </c>
      <c r="I2434" s="35">
        <f>H2434-F2434*VLOOKUP(銷售總表!B2434,產品!$A$2:$H$61,8,FALSE)</f>
        <v>12920</v>
      </c>
      <c r="J2434" s="20">
        <f t="shared" si="37"/>
        <v>0.22619047619047619</v>
      </c>
    </row>
    <row r="2435" spans="1:10" x14ac:dyDescent="0.3">
      <c r="A2435" s="33">
        <v>2434</v>
      </c>
      <c r="B2435" s="4">
        <v>19</v>
      </c>
      <c r="C2435" s="15">
        <v>11</v>
      </c>
      <c r="D2435" s="16">
        <v>9</v>
      </c>
      <c r="E2435" s="22">
        <v>44399</v>
      </c>
      <c r="F2435" s="17">
        <v>15</v>
      </c>
      <c r="G2435" s="18">
        <v>0.08</v>
      </c>
      <c r="H2435">
        <f>F2435*VLOOKUP(B2435,產品!$A$2:$H$61,7,FALSE)*(1-銷售總表!G2435)</f>
        <v>24840</v>
      </c>
      <c r="I2435" s="35">
        <f>H2435-F2435*VLOOKUP(銷售總表!B2435,產品!$A$2:$H$61,8,FALSE)</f>
        <v>14040</v>
      </c>
      <c r="J2435" s="20">
        <f t="shared" ref="J2435:J2498" si="38">I2435/H2435</f>
        <v>0.56521739130434778</v>
      </c>
    </row>
    <row r="2436" spans="1:10" x14ac:dyDescent="0.3">
      <c r="A2436" s="33">
        <v>2435</v>
      </c>
      <c r="B2436" s="4">
        <v>5</v>
      </c>
      <c r="C2436" s="15">
        <v>265</v>
      </c>
      <c r="D2436" s="16">
        <v>1</v>
      </c>
      <c r="E2436" s="22">
        <v>44399</v>
      </c>
      <c r="F2436" s="17">
        <v>60</v>
      </c>
      <c r="G2436" s="18">
        <v>0.1</v>
      </c>
      <c r="H2436">
        <f>F2436*VLOOKUP(B2436,產品!$A$2:$H$61,7,FALSE)*(1-銷售總表!G2436)</f>
        <v>54000</v>
      </c>
      <c r="I2436" s="35">
        <f>H2436-F2436*VLOOKUP(銷售總表!B2436,產品!$A$2:$H$61,8,FALSE)</f>
        <v>30000</v>
      </c>
      <c r="J2436" s="20">
        <f t="shared" si="38"/>
        <v>0.55555555555555558</v>
      </c>
    </row>
    <row r="2437" spans="1:10" x14ac:dyDescent="0.3">
      <c r="A2437" s="33">
        <v>2436</v>
      </c>
      <c r="B2437" s="4">
        <v>8</v>
      </c>
      <c r="C2437" s="15">
        <v>10</v>
      </c>
      <c r="D2437" s="16">
        <v>10</v>
      </c>
      <c r="E2437" s="22">
        <v>44399</v>
      </c>
      <c r="F2437" s="19">
        <v>135</v>
      </c>
      <c r="G2437" s="18">
        <v>0.15</v>
      </c>
      <c r="H2437">
        <f>F2437*VLOOKUP(B2437,產品!$A$2:$H$61,7,FALSE)*(1-銷售總表!G2437)</f>
        <v>114750</v>
      </c>
      <c r="I2437" s="35">
        <f>H2437-F2437*VLOOKUP(銷售總表!B2437,產品!$A$2:$H$61,8,FALSE)</f>
        <v>60750</v>
      </c>
      <c r="J2437" s="20">
        <f t="shared" si="38"/>
        <v>0.52941176470588236</v>
      </c>
    </row>
    <row r="2438" spans="1:10" x14ac:dyDescent="0.3">
      <c r="A2438" s="33">
        <v>2437</v>
      </c>
      <c r="B2438" s="4">
        <v>27</v>
      </c>
      <c r="C2438" s="15">
        <v>118</v>
      </c>
      <c r="D2438" s="16">
        <v>3</v>
      </c>
      <c r="E2438" s="22">
        <v>44400</v>
      </c>
      <c r="F2438" s="19">
        <v>2</v>
      </c>
      <c r="G2438" s="18">
        <v>0.12</v>
      </c>
      <c r="H2438">
        <f>F2438*VLOOKUP(B2438,產品!$A$2:$H$61,7,FALSE)*(1-銷售總表!G2438)</f>
        <v>12320</v>
      </c>
      <c r="I2438" s="35">
        <f>H2438-F2438*VLOOKUP(銷售總表!B2438,產品!$A$2:$H$61,8,FALSE)</f>
        <v>3920</v>
      </c>
      <c r="J2438" s="20">
        <f t="shared" si="38"/>
        <v>0.31818181818181818</v>
      </c>
    </row>
    <row r="2439" spans="1:10" x14ac:dyDescent="0.3">
      <c r="A2439" s="33">
        <v>2438</v>
      </c>
      <c r="B2439" s="4">
        <v>46</v>
      </c>
      <c r="C2439" s="15">
        <v>115</v>
      </c>
      <c r="D2439" s="16">
        <v>5</v>
      </c>
      <c r="E2439" s="22">
        <v>44400</v>
      </c>
      <c r="F2439" s="19">
        <v>3</v>
      </c>
      <c r="G2439" s="18">
        <v>0.1</v>
      </c>
      <c r="H2439">
        <f>F2439*VLOOKUP(B2439,產品!$A$2:$H$61,7,FALSE)*(1-銷售總表!G2439)</f>
        <v>45900</v>
      </c>
      <c r="I2439" s="35">
        <f>H2439-F2439*VLOOKUP(銷售總表!B2439,產品!$A$2:$H$61,8,FALSE)</f>
        <v>12750</v>
      </c>
      <c r="J2439" s="20">
        <f t="shared" si="38"/>
        <v>0.27777777777777779</v>
      </c>
    </row>
    <row r="2440" spans="1:10" x14ac:dyDescent="0.3">
      <c r="A2440" s="33">
        <v>2439</v>
      </c>
      <c r="B2440" s="4">
        <v>23</v>
      </c>
      <c r="C2440" s="15">
        <v>7</v>
      </c>
      <c r="D2440" s="16">
        <v>4</v>
      </c>
      <c r="E2440" s="22">
        <v>44400</v>
      </c>
      <c r="F2440" s="19">
        <v>17</v>
      </c>
      <c r="G2440" s="18">
        <v>0.11</v>
      </c>
      <c r="H2440">
        <f>F2440*VLOOKUP(B2440,產品!$A$2:$H$61,7,FALSE)*(1-銷售總表!G2440)</f>
        <v>27234</v>
      </c>
      <c r="I2440" s="35">
        <f>H2440-F2440*VLOOKUP(銷售總表!B2440,產品!$A$2:$H$61,8,FALSE)</f>
        <v>14994</v>
      </c>
      <c r="J2440" s="20">
        <f t="shared" si="38"/>
        <v>0.550561797752809</v>
      </c>
    </row>
    <row r="2441" spans="1:10" x14ac:dyDescent="0.3">
      <c r="A2441" s="33">
        <v>2440</v>
      </c>
      <c r="B2441" s="4">
        <v>12</v>
      </c>
      <c r="C2441" s="15">
        <v>288</v>
      </c>
      <c r="D2441" s="16">
        <v>4</v>
      </c>
      <c r="E2441" s="22">
        <v>44400</v>
      </c>
      <c r="F2441" s="19">
        <v>40</v>
      </c>
      <c r="G2441" s="18">
        <v>0.11</v>
      </c>
      <c r="H2441">
        <f>F2441*VLOOKUP(B2441,產品!$A$2:$H$61,7,FALSE)*(1-銷售總表!G2441)</f>
        <v>35600</v>
      </c>
      <c r="I2441" s="35">
        <f>H2441-F2441*VLOOKUP(銷售總表!B2441,產品!$A$2:$H$61,8,FALSE)</f>
        <v>19600</v>
      </c>
      <c r="J2441" s="20">
        <f t="shared" si="38"/>
        <v>0.550561797752809</v>
      </c>
    </row>
    <row r="2442" spans="1:10" x14ac:dyDescent="0.3">
      <c r="A2442" s="33">
        <v>2441</v>
      </c>
      <c r="B2442" s="4">
        <v>41</v>
      </c>
      <c r="C2442" s="15">
        <v>264</v>
      </c>
      <c r="D2442" s="16">
        <v>3</v>
      </c>
      <c r="E2442" s="22">
        <v>44400</v>
      </c>
      <c r="F2442" s="19">
        <v>11</v>
      </c>
      <c r="G2442" s="18">
        <v>0.19</v>
      </c>
      <c r="H2442">
        <f>F2442*VLOOKUP(B2442,產品!$A$2:$H$61,7,FALSE)*(1-銷售總表!G2442)</f>
        <v>106920</v>
      </c>
      <c r="I2442" s="35">
        <f>H2442-F2442*VLOOKUP(銷售總表!B2442,產品!$A$2:$H$61,8,FALSE)</f>
        <v>21120</v>
      </c>
      <c r="J2442" s="20">
        <f t="shared" si="38"/>
        <v>0.19753086419753085</v>
      </c>
    </row>
    <row r="2443" spans="1:10" x14ac:dyDescent="0.3">
      <c r="A2443" s="33">
        <v>2442</v>
      </c>
      <c r="B2443" s="4">
        <v>18</v>
      </c>
      <c r="C2443" s="15">
        <v>112</v>
      </c>
      <c r="D2443" s="16">
        <v>1</v>
      </c>
      <c r="E2443" s="22">
        <v>44400</v>
      </c>
      <c r="F2443" s="17">
        <v>40</v>
      </c>
      <c r="G2443" s="18">
        <v>0.18</v>
      </c>
      <c r="H2443">
        <f>F2443*VLOOKUP(B2443,產品!$A$2:$H$61,7,FALSE)*(1-銷售總表!G2443)</f>
        <v>59040.000000000007</v>
      </c>
      <c r="I2443" s="35">
        <f>H2443-F2443*VLOOKUP(銷售總表!B2443,產品!$A$2:$H$61,8,FALSE)</f>
        <v>30240.000000000007</v>
      </c>
      <c r="J2443" s="20">
        <f t="shared" si="38"/>
        <v>0.51219512195121952</v>
      </c>
    </row>
    <row r="2444" spans="1:10" x14ac:dyDescent="0.3">
      <c r="A2444" s="33">
        <v>2443</v>
      </c>
      <c r="B2444" s="4">
        <v>5</v>
      </c>
      <c r="C2444" s="15">
        <v>126</v>
      </c>
      <c r="D2444" s="16">
        <v>9</v>
      </c>
      <c r="E2444" s="22">
        <v>44400</v>
      </c>
      <c r="F2444" s="19">
        <v>90</v>
      </c>
      <c r="G2444" s="18">
        <v>0.09</v>
      </c>
      <c r="H2444">
        <f>F2444*VLOOKUP(B2444,產品!$A$2:$H$61,7,FALSE)*(1-銷售總表!G2444)</f>
        <v>81900</v>
      </c>
      <c r="I2444" s="35">
        <f>H2444-F2444*VLOOKUP(銷售總表!B2444,產品!$A$2:$H$61,8,FALSE)</f>
        <v>45900</v>
      </c>
      <c r="J2444" s="20">
        <f t="shared" si="38"/>
        <v>0.56043956043956045</v>
      </c>
    </row>
    <row r="2445" spans="1:10" x14ac:dyDescent="0.3">
      <c r="A2445" s="33">
        <v>2444</v>
      </c>
      <c r="B2445" s="4">
        <v>13</v>
      </c>
      <c r="C2445" s="15">
        <v>257</v>
      </c>
      <c r="D2445" s="16">
        <v>7</v>
      </c>
      <c r="E2445" s="22">
        <v>44400</v>
      </c>
      <c r="F2445" s="19">
        <v>90</v>
      </c>
      <c r="G2445" s="18">
        <v>0.05</v>
      </c>
      <c r="H2445">
        <f>F2445*VLOOKUP(B2445,產品!$A$2:$H$61,7,FALSE)*(1-銷售總表!G2445)</f>
        <v>153900</v>
      </c>
      <c r="I2445" s="35">
        <f>H2445-F2445*VLOOKUP(銷售總表!B2445,產品!$A$2:$H$61,8,FALSE)</f>
        <v>89100</v>
      </c>
      <c r="J2445" s="20">
        <f t="shared" si="38"/>
        <v>0.57894736842105265</v>
      </c>
    </row>
    <row r="2446" spans="1:10" x14ac:dyDescent="0.3">
      <c r="A2446" s="33">
        <v>2445</v>
      </c>
      <c r="B2446" s="4">
        <v>22</v>
      </c>
      <c r="C2446" s="15">
        <v>138</v>
      </c>
      <c r="D2446" s="16">
        <v>2</v>
      </c>
      <c r="E2446" s="22">
        <v>44400</v>
      </c>
      <c r="F2446" s="19">
        <v>100</v>
      </c>
      <c r="G2446" s="18">
        <v>0.05</v>
      </c>
      <c r="H2446">
        <f>F2446*VLOOKUP(B2446,產品!$A$2:$H$61,7,FALSE)*(1-銷售總表!G2446)</f>
        <v>171000</v>
      </c>
      <c r="I2446" s="35">
        <f>H2446-F2446*VLOOKUP(銷售總表!B2446,產品!$A$2:$H$61,8,FALSE)</f>
        <v>99000</v>
      </c>
      <c r="J2446" s="20">
        <f t="shared" si="38"/>
        <v>0.57894736842105265</v>
      </c>
    </row>
    <row r="2447" spans="1:10" x14ac:dyDescent="0.3">
      <c r="A2447" s="33">
        <v>2446</v>
      </c>
      <c r="B2447" s="4">
        <v>25</v>
      </c>
      <c r="C2447" s="15">
        <v>263</v>
      </c>
      <c r="D2447" s="16">
        <v>10</v>
      </c>
      <c r="E2447" s="22">
        <v>44401</v>
      </c>
      <c r="F2447" s="17">
        <v>10</v>
      </c>
      <c r="G2447" s="18">
        <v>0.13</v>
      </c>
      <c r="H2447">
        <f>F2447*VLOOKUP(B2447,產品!$A$2:$H$61,7,FALSE)*(1-銷售總表!G2447)</f>
        <v>52200</v>
      </c>
      <c r="I2447" s="35">
        <f>H2447-F2447*VLOOKUP(銷售總表!B2447,產品!$A$2:$H$61,8,FALSE)</f>
        <v>16200</v>
      </c>
      <c r="J2447" s="20">
        <f t="shared" si="38"/>
        <v>0.31034482758620691</v>
      </c>
    </row>
    <row r="2448" spans="1:10" x14ac:dyDescent="0.3">
      <c r="A2448" s="33">
        <v>2447</v>
      </c>
      <c r="B2448" s="4">
        <v>30</v>
      </c>
      <c r="C2448" s="15">
        <v>126</v>
      </c>
      <c r="D2448" s="16">
        <v>1</v>
      </c>
      <c r="E2448" s="22">
        <v>44401</v>
      </c>
      <c r="F2448" s="19">
        <v>4</v>
      </c>
      <c r="G2448" s="18">
        <v>7.0000000000000007E-2</v>
      </c>
      <c r="H2448">
        <f>F2448*VLOOKUP(B2448,產品!$A$2:$H$61,7,FALSE)*(1-銷售總表!G2448)</f>
        <v>24180</v>
      </c>
      <c r="I2448" s="35">
        <f>H2448-F2448*VLOOKUP(銷售總表!B2448,產品!$A$2:$H$61,8,FALSE)</f>
        <v>8580</v>
      </c>
      <c r="J2448" s="20">
        <f t="shared" si="38"/>
        <v>0.35483870967741937</v>
      </c>
    </row>
    <row r="2449" spans="1:10" x14ac:dyDescent="0.3">
      <c r="A2449" s="33">
        <v>2448</v>
      </c>
      <c r="B2449" s="4">
        <v>49</v>
      </c>
      <c r="C2449" s="15">
        <v>134</v>
      </c>
      <c r="D2449" s="16">
        <v>4</v>
      </c>
      <c r="E2449" s="22">
        <v>44401</v>
      </c>
      <c r="F2449" s="17">
        <v>3</v>
      </c>
      <c r="G2449" s="18">
        <v>0.05</v>
      </c>
      <c r="H2449">
        <f>F2449*VLOOKUP(B2449,產品!$A$2:$H$61,7,FALSE)*(1-銷售總表!G2449)</f>
        <v>42750</v>
      </c>
      <c r="I2449" s="35">
        <f>H2449-F2449*VLOOKUP(銷售總表!B2449,產品!$A$2:$H$61,8,FALSE)</f>
        <v>11250</v>
      </c>
      <c r="J2449" s="20">
        <f t="shared" si="38"/>
        <v>0.26315789473684209</v>
      </c>
    </row>
    <row r="2450" spans="1:10" x14ac:dyDescent="0.3">
      <c r="A2450" s="33">
        <v>2449</v>
      </c>
      <c r="B2450" s="4">
        <v>54</v>
      </c>
      <c r="C2450" s="15">
        <v>291</v>
      </c>
      <c r="D2450" s="16">
        <v>3</v>
      </c>
      <c r="E2450" s="22">
        <v>44401</v>
      </c>
      <c r="F2450" s="17">
        <v>5</v>
      </c>
      <c r="G2450" s="18">
        <v>0.09</v>
      </c>
      <c r="H2450">
        <f>F2450*VLOOKUP(B2450,產品!$A$2:$H$61,7,FALSE)*(1-銷售總表!G2450)</f>
        <v>81900</v>
      </c>
      <c r="I2450" s="35">
        <f>H2450-F2450*VLOOKUP(銷售總表!B2450,產品!$A$2:$H$61,8,FALSE)</f>
        <v>18900</v>
      </c>
      <c r="J2450" s="20">
        <f t="shared" si="38"/>
        <v>0.23076923076923078</v>
      </c>
    </row>
    <row r="2451" spans="1:10" x14ac:dyDescent="0.3">
      <c r="A2451" s="33">
        <v>2450</v>
      </c>
      <c r="B2451" s="4">
        <v>17</v>
      </c>
      <c r="C2451" s="15">
        <v>7</v>
      </c>
      <c r="D2451" s="16">
        <v>9</v>
      </c>
      <c r="E2451" s="22">
        <v>44401</v>
      </c>
      <c r="F2451" s="19">
        <v>30</v>
      </c>
      <c r="G2451" s="18">
        <v>0.08</v>
      </c>
      <c r="H2451">
        <f>F2451*VLOOKUP(B2451,產品!$A$2:$H$61,7,FALSE)*(1-銷售總表!G2451)</f>
        <v>49680</v>
      </c>
      <c r="I2451" s="35">
        <f>H2451-F2451*VLOOKUP(銷售總表!B2451,產品!$A$2:$H$61,8,FALSE)</f>
        <v>28080</v>
      </c>
      <c r="J2451" s="20">
        <f t="shared" si="38"/>
        <v>0.56521739130434778</v>
      </c>
    </row>
    <row r="2452" spans="1:10" x14ac:dyDescent="0.3">
      <c r="A2452" s="33">
        <v>2451</v>
      </c>
      <c r="B2452" s="4">
        <v>12</v>
      </c>
      <c r="C2452" s="15">
        <v>292</v>
      </c>
      <c r="D2452" s="16">
        <v>1</v>
      </c>
      <c r="E2452" s="22">
        <v>44401</v>
      </c>
      <c r="F2452" s="19">
        <v>90</v>
      </c>
      <c r="G2452" s="18">
        <v>0.17</v>
      </c>
      <c r="H2452">
        <f>F2452*VLOOKUP(B2452,產品!$A$2:$H$61,7,FALSE)*(1-銷售總表!G2452)</f>
        <v>74700</v>
      </c>
      <c r="I2452" s="35">
        <f>H2452-F2452*VLOOKUP(銷售總表!B2452,產品!$A$2:$H$61,8,FALSE)</f>
        <v>38700</v>
      </c>
      <c r="J2452" s="20">
        <f t="shared" si="38"/>
        <v>0.51807228915662651</v>
      </c>
    </row>
    <row r="2453" spans="1:10" x14ac:dyDescent="0.3">
      <c r="A2453" s="33">
        <v>2452</v>
      </c>
      <c r="B2453" s="4">
        <v>2</v>
      </c>
      <c r="C2453" s="15">
        <v>264</v>
      </c>
      <c r="D2453" s="16">
        <v>7</v>
      </c>
      <c r="E2453" s="22">
        <v>44401</v>
      </c>
      <c r="F2453" s="17">
        <v>80</v>
      </c>
      <c r="G2453" s="18">
        <v>7.0000000000000007E-2</v>
      </c>
      <c r="H2453">
        <f>F2453*VLOOKUP(B2453,產品!$A$2:$H$61,7,FALSE)*(1-銷售總表!G2453)</f>
        <v>74400</v>
      </c>
      <c r="I2453" s="35">
        <f>H2453-F2453*VLOOKUP(銷售總表!B2453,產品!$A$2:$H$61,8,FALSE)</f>
        <v>42400</v>
      </c>
      <c r="J2453" s="20">
        <f t="shared" si="38"/>
        <v>0.56989247311827962</v>
      </c>
    </row>
    <row r="2454" spans="1:10" x14ac:dyDescent="0.3">
      <c r="A2454" s="33">
        <v>2453</v>
      </c>
      <c r="B2454" s="4">
        <v>27</v>
      </c>
      <c r="C2454" s="15">
        <v>258</v>
      </c>
      <c r="D2454" s="16">
        <v>3</v>
      </c>
      <c r="E2454" s="22">
        <v>44401</v>
      </c>
      <c r="F2454" s="17">
        <v>25</v>
      </c>
      <c r="G2454" s="18">
        <v>0.06</v>
      </c>
      <c r="H2454">
        <f>F2454*VLOOKUP(B2454,產品!$A$2:$H$61,7,FALSE)*(1-銷售總表!G2454)</f>
        <v>164500</v>
      </c>
      <c r="I2454" s="35">
        <f>H2454-F2454*VLOOKUP(銷售總表!B2454,產品!$A$2:$H$61,8,FALSE)</f>
        <v>59500</v>
      </c>
      <c r="J2454" s="20">
        <f t="shared" si="38"/>
        <v>0.36170212765957449</v>
      </c>
    </row>
    <row r="2455" spans="1:10" x14ac:dyDescent="0.3">
      <c r="A2455" s="33">
        <v>2454</v>
      </c>
      <c r="B2455" s="4">
        <v>25</v>
      </c>
      <c r="C2455" s="15">
        <v>262</v>
      </c>
      <c r="D2455" s="16">
        <v>3</v>
      </c>
      <c r="E2455" s="22">
        <v>44402</v>
      </c>
      <c r="F2455" s="19">
        <v>5</v>
      </c>
      <c r="G2455" s="18">
        <v>0.17</v>
      </c>
      <c r="H2455">
        <f>F2455*VLOOKUP(B2455,產品!$A$2:$H$61,7,FALSE)*(1-銷售總表!G2455)</f>
        <v>24900</v>
      </c>
      <c r="I2455" s="35">
        <f>H2455-F2455*VLOOKUP(銷售總表!B2455,產品!$A$2:$H$61,8,FALSE)</f>
        <v>6900</v>
      </c>
      <c r="J2455" s="20">
        <f t="shared" si="38"/>
        <v>0.27710843373493976</v>
      </c>
    </row>
    <row r="2456" spans="1:10" x14ac:dyDescent="0.3">
      <c r="A2456" s="33">
        <v>2455</v>
      </c>
      <c r="B2456" s="4">
        <v>19</v>
      </c>
      <c r="C2456" s="15">
        <v>272</v>
      </c>
      <c r="D2456" s="16">
        <v>3</v>
      </c>
      <c r="E2456" s="22">
        <v>44402</v>
      </c>
      <c r="F2456" s="17">
        <v>20</v>
      </c>
      <c r="G2456" s="18">
        <v>0.19</v>
      </c>
      <c r="H2456">
        <f>F2456*VLOOKUP(B2456,產品!$A$2:$H$61,7,FALSE)*(1-銷售總表!G2456)</f>
        <v>29160.000000000004</v>
      </c>
      <c r="I2456" s="35">
        <f>H2456-F2456*VLOOKUP(銷售總表!B2456,產品!$A$2:$H$61,8,FALSE)</f>
        <v>14760.000000000004</v>
      </c>
      <c r="J2456" s="20">
        <f t="shared" si="38"/>
        <v>0.50617283950617287</v>
      </c>
    </row>
    <row r="2457" spans="1:10" x14ac:dyDescent="0.3">
      <c r="A2457" s="33">
        <v>2456</v>
      </c>
      <c r="B2457" s="4">
        <v>15</v>
      </c>
      <c r="C2457" s="15">
        <v>139</v>
      </c>
      <c r="D2457" s="16">
        <v>3</v>
      </c>
      <c r="E2457" s="22">
        <v>44402</v>
      </c>
      <c r="F2457" s="19">
        <v>20</v>
      </c>
      <c r="G2457" s="18">
        <v>0.15</v>
      </c>
      <c r="H2457">
        <f>F2457*VLOOKUP(B2457,產品!$A$2:$H$61,7,FALSE)*(1-銷售總表!G2457)</f>
        <v>30600</v>
      </c>
      <c r="I2457" s="35">
        <f>H2457-F2457*VLOOKUP(銷售總表!B2457,產品!$A$2:$H$61,8,FALSE)</f>
        <v>16200</v>
      </c>
      <c r="J2457" s="20">
        <f t="shared" si="38"/>
        <v>0.52941176470588236</v>
      </c>
    </row>
    <row r="2458" spans="1:10" x14ac:dyDescent="0.3">
      <c r="A2458" s="33">
        <v>2457</v>
      </c>
      <c r="B2458" s="4">
        <v>58</v>
      </c>
      <c r="C2458" s="15">
        <v>283</v>
      </c>
      <c r="D2458" s="16">
        <v>4</v>
      </c>
      <c r="E2458" s="22">
        <v>44402</v>
      </c>
      <c r="F2458" s="17">
        <v>4</v>
      </c>
      <c r="G2458" s="18">
        <v>0.06</v>
      </c>
      <c r="H2458">
        <f>F2458*VLOOKUP(B2458,產品!$A$2:$H$61,7,FALSE)*(1-銷售總表!G2458)</f>
        <v>78960</v>
      </c>
      <c r="I2458" s="35">
        <f>H2458-F2458*VLOOKUP(銷售總表!B2458,產品!$A$2:$H$61,8,FALSE)</f>
        <v>20160.000000000007</v>
      </c>
      <c r="J2458" s="20">
        <f t="shared" si="38"/>
        <v>0.2553191489361703</v>
      </c>
    </row>
    <row r="2459" spans="1:10" x14ac:dyDescent="0.3">
      <c r="A2459" s="33">
        <v>2458</v>
      </c>
      <c r="B2459" s="4">
        <v>9</v>
      </c>
      <c r="C2459" s="15">
        <v>257</v>
      </c>
      <c r="D2459" s="16">
        <v>10</v>
      </c>
      <c r="E2459" s="22">
        <v>44402</v>
      </c>
      <c r="F2459" s="19">
        <v>100</v>
      </c>
      <c r="G2459" s="18">
        <v>7.0000000000000007E-2</v>
      </c>
      <c r="H2459">
        <f>F2459*VLOOKUP(B2459,產品!$A$2:$H$61,7,FALSE)*(1-銷售總表!G2459)</f>
        <v>93000</v>
      </c>
      <c r="I2459" s="35">
        <f>H2459-F2459*VLOOKUP(銷售總表!B2459,產品!$A$2:$H$61,8,FALSE)</f>
        <v>53000</v>
      </c>
      <c r="J2459" s="20">
        <f t="shared" si="38"/>
        <v>0.56989247311827962</v>
      </c>
    </row>
    <row r="2460" spans="1:10" x14ac:dyDescent="0.3">
      <c r="A2460" s="33">
        <v>2459</v>
      </c>
      <c r="B2460" s="4">
        <v>48</v>
      </c>
      <c r="C2460" s="15">
        <v>283</v>
      </c>
      <c r="D2460" s="16">
        <v>10</v>
      </c>
      <c r="E2460" s="22">
        <v>44402</v>
      </c>
      <c r="F2460" s="19">
        <v>13</v>
      </c>
      <c r="G2460" s="18">
        <v>0.12</v>
      </c>
      <c r="H2460">
        <f>F2460*VLOOKUP(B2460,產品!$A$2:$H$61,7,FALSE)*(1-銷售總表!G2460)</f>
        <v>251680</v>
      </c>
      <c r="I2460" s="35">
        <f>H2460-F2460*VLOOKUP(銷售總表!B2460,產品!$A$2:$H$61,8,FALSE)</f>
        <v>65780</v>
      </c>
      <c r="J2460" s="20">
        <f t="shared" si="38"/>
        <v>0.26136363636363635</v>
      </c>
    </row>
    <row r="2461" spans="1:10" x14ac:dyDescent="0.3">
      <c r="A2461" s="33">
        <v>2460</v>
      </c>
      <c r="B2461" s="4">
        <v>44</v>
      </c>
      <c r="C2461" s="15">
        <v>274</v>
      </c>
      <c r="D2461" s="16">
        <v>1</v>
      </c>
      <c r="E2461" s="22">
        <v>44402</v>
      </c>
      <c r="F2461" s="19">
        <v>15</v>
      </c>
      <c r="G2461" s="18">
        <v>0.08</v>
      </c>
      <c r="H2461">
        <f>F2461*VLOOKUP(B2461,產品!$A$2:$H$61,7,FALSE)*(1-銷售總表!G2461)</f>
        <v>276000</v>
      </c>
      <c r="I2461" s="35">
        <f>H2461-F2461*VLOOKUP(銷售總表!B2461,產品!$A$2:$H$61,8,FALSE)</f>
        <v>81000</v>
      </c>
      <c r="J2461" s="20">
        <f t="shared" si="38"/>
        <v>0.29347826086956524</v>
      </c>
    </row>
    <row r="2462" spans="1:10" x14ac:dyDescent="0.3">
      <c r="A2462" s="33">
        <v>2461</v>
      </c>
      <c r="B2462" s="4">
        <v>30</v>
      </c>
      <c r="C2462" s="15">
        <v>278</v>
      </c>
      <c r="D2462" s="16">
        <v>10</v>
      </c>
      <c r="E2462" s="22">
        <v>44403</v>
      </c>
      <c r="F2462" s="17">
        <v>10</v>
      </c>
      <c r="G2462" s="18">
        <v>0.17</v>
      </c>
      <c r="H2462">
        <f>F2462*VLOOKUP(B2462,產品!$A$2:$H$61,7,FALSE)*(1-銷售總表!G2462)</f>
        <v>53950</v>
      </c>
      <c r="I2462" s="35">
        <f>H2462-F2462*VLOOKUP(銷售總表!B2462,產品!$A$2:$H$61,8,FALSE)</f>
        <v>14950</v>
      </c>
      <c r="J2462" s="20">
        <f t="shared" si="38"/>
        <v>0.27710843373493976</v>
      </c>
    </row>
    <row r="2463" spans="1:10" x14ac:dyDescent="0.3">
      <c r="A2463" s="33">
        <v>2462</v>
      </c>
      <c r="B2463" s="4">
        <v>35</v>
      </c>
      <c r="C2463" s="15">
        <v>7</v>
      </c>
      <c r="D2463" s="16">
        <v>9</v>
      </c>
      <c r="E2463" s="22">
        <v>44403</v>
      </c>
      <c r="F2463" s="19">
        <v>2</v>
      </c>
      <c r="G2463" s="18">
        <v>0.05</v>
      </c>
      <c r="H2463">
        <f>F2463*VLOOKUP(B2463,產品!$A$2:$H$61,7,FALSE)*(1-銷售總表!G2463)</f>
        <v>16150</v>
      </c>
      <c r="I2463" s="35">
        <f>H2463-F2463*VLOOKUP(銷售總表!B2463,產品!$A$2:$H$61,8,FALSE)</f>
        <v>5950</v>
      </c>
      <c r="J2463" s="20">
        <f t="shared" si="38"/>
        <v>0.36842105263157893</v>
      </c>
    </row>
    <row r="2464" spans="1:10" x14ac:dyDescent="0.3">
      <c r="A2464" s="33">
        <v>2463</v>
      </c>
      <c r="B2464" s="4">
        <v>30</v>
      </c>
      <c r="C2464" s="15">
        <v>285</v>
      </c>
      <c r="D2464" s="16">
        <v>9</v>
      </c>
      <c r="E2464" s="22">
        <v>44403</v>
      </c>
      <c r="F2464" s="19">
        <v>6</v>
      </c>
      <c r="G2464" s="18">
        <v>0.15</v>
      </c>
      <c r="H2464">
        <f>F2464*VLOOKUP(B2464,產品!$A$2:$H$61,7,FALSE)*(1-銷售總表!G2464)</f>
        <v>33150</v>
      </c>
      <c r="I2464" s="35">
        <f>H2464-F2464*VLOOKUP(銷售總表!B2464,產品!$A$2:$H$61,8,FALSE)</f>
        <v>9750</v>
      </c>
      <c r="J2464" s="20">
        <f t="shared" si="38"/>
        <v>0.29411764705882354</v>
      </c>
    </row>
    <row r="2465" spans="1:10" x14ac:dyDescent="0.3">
      <c r="A2465" s="33">
        <v>2464</v>
      </c>
      <c r="B2465" s="4">
        <v>59</v>
      </c>
      <c r="C2465" s="15">
        <v>292</v>
      </c>
      <c r="D2465" s="16">
        <v>8</v>
      </c>
      <c r="E2465" s="22">
        <v>44403</v>
      </c>
      <c r="F2465" s="17">
        <v>5</v>
      </c>
      <c r="G2465" s="18">
        <v>0.09</v>
      </c>
      <c r="H2465">
        <f>F2465*VLOOKUP(B2465,產品!$A$2:$H$61,7,FALSE)*(1-銷售總表!G2465)</f>
        <v>109200</v>
      </c>
      <c r="I2465" s="35">
        <f>H2465-F2465*VLOOKUP(銷售總表!B2465,產品!$A$2:$H$61,8,FALSE)</f>
        <v>25200</v>
      </c>
      <c r="J2465" s="20">
        <f t="shared" si="38"/>
        <v>0.23076923076923078</v>
      </c>
    </row>
    <row r="2466" spans="1:10" x14ac:dyDescent="0.3">
      <c r="A2466" s="33">
        <v>2465</v>
      </c>
      <c r="B2466" s="4">
        <v>44</v>
      </c>
      <c r="C2466" s="15">
        <v>137</v>
      </c>
      <c r="D2466" s="16">
        <v>2</v>
      </c>
      <c r="E2466" s="22">
        <v>44403</v>
      </c>
      <c r="F2466" s="19">
        <v>3</v>
      </c>
      <c r="G2466" s="18">
        <v>0.06</v>
      </c>
      <c r="H2466">
        <f>F2466*VLOOKUP(B2466,產品!$A$2:$H$61,7,FALSE)*(1-銷售總表!G2466)</f>
        <v>56400</v>
      </c>
      <c r="I2466" s="35">
        <f>H2466-F2466*VLOOKUP(銷售總表!B2466,產品!$A$2:$H$61,8,FALSE)</f>
        <v>17400</v>
      </c>
      <c r="J2466" s="20">
        <f t="shared" si="38"/>
        <v>0.30851063829787234</v>
      </c>
    </row>
    <row r="2467" spans="1:10" x14ac:dyDescent="0.3">
      <c r="A2467" s="33">
        <v>2466</v>
      </c>
      <c r="B2467" s="4">
        <v>48</v>
      </c>
      <c r="C2467" s="15">
        <v>262</v>
      </c>
      <c r="D2467" s="16">
        <v>7</v>
      </c>
      <c r="E2467" s="22">
        <v>44403</v>
      </c>
      <c r="F2467" s="19">
        <v>7</v>
      </c>
      <c r="G2467" s="18">
        <v>0.17</v>
      </c>
      <c r="H2467">
        <f>F2467*VLOOKUP(B2467,產品!$A$2:$H$61,7,FALSE)*(1-銷售總表!G2467)</f>
        <v>127820</v>
      </c>
      <c r="I2467" s="35">
        <f>H2467-F2467*VLOOKUP(銷售總表!B2467,產品!$A$2:$H$61,8,FALSE)</f>
        <v>27720</v>
      </c>
      <c r="J2467" s="20">
        <f t="shared" si="38"/>
        <v>0.21686746987951808</v>
      </c>
    </row>
    <row r="2468" spans="1:10" x14ac:dyDescent="0.3">
      <c r="A2468" s="33">
        <v>2467</v>
      </c>
      <c r="B2468" s="4">
        <v>33</v>
      </c>
      <c r="C2468" s="15">
        <v>112</v>
      </c>
      <c r="D2468" s="16">
        <v>1</v>
      </c>
      <c r="E2468" s="22">
        <v>44404</v>
      </c>
      <c r="F2468" s="19">
        <v>3</v>
      </c>
      <c r="G2468" s="18">
        <v>0.14000000000000001</v>
      </c>
      <c r="H2468">
        <f>F2468*VLOOKUP(B2468,產品!$A$2:$H$61,7,FALSE)*(1-銷售總表!G2468)</f>
        <v>19350</v>
      </c>
      <c r="I2468" s="35">
        <f>H2468-F2468*VLOOKUP(銷售總表!B2468,產品!$A$2:$H$61,8,FALSE)</f>
        <v>5850</v>
      </c>
      <c r="J2468" s="20">
        <f t="shared" si="38"/>
        <v>0.30232558139534882</v>
      </c>
    </row>
    <row r="2469" spans="1:10" x14ac:dyDescent="0.3">
      <c r="A2469" s="33">
        <v>2468</v>
      </c>
      <c r="B2469" s="4">
        <v>30</v>
      </c>
      <c r="C2469" s="15">
        <v>7</v>
      </c>
      <c r="D2469" s="16">
        <v>1</v>
      </c>
      <c r="E2469" s="22">
        <v>44404</v>
      </c>
      <c r="F2469" s="19">
        <v>8</v>
      </c>
      <c r="G2469" s="18">
        <v>0.2</v>
      </c>
      <c r="H2469">
        <f>F2469*VLOOKUP(B2469,產品!$A$2:$H$61,7,FALSE)*(1-銷售總表!G2469)</f>
        <v>41600</v>
      </c>
      <c r="I2469" s="35">
        <f>H2469-F2469*VLOOKUP(銷售總表!B2469,產品!$A$2:$H$61,8,FALSE)</f>
        <v>10400</v>
      </c>
      <c r="J2469" s="20">
        <f t="shared" si="38"/>
        <v>0.25</v>
      </c>
    </row>
    <row r="2470" spans="1:10" x14ac:dyDescent="0.3">
      <c r="A2470" s="33">
        <v>2469</v>
      </c>
      <c r="B2470" s="4">
        <v>54</v>
      </c>
      <c r="C2470" s="15">
        <v>135</v>
      </c>
      <c r="D2470" s="16">
        <v>1</v>
      </c>
      <c r="E2470" s="22">
        <v>44404</v>
      </c>
      <c r="F2470" s="19">
        <v>3</v>
      </c>
      <c r="G2470" s="18">
        <v>0.1</v>
      </c>
      <c r="H2470">
        <f>F2470*VLOOKUP(B2470,產品!$A$2:$H$61,7,FALSE)*(1-銷售總表!G2470)</f>
        <v>48600</v>
      </c>
      <c r="I2470" s="35">
        <f>H2470-F2470*VLOOKUP(銷售總表!B2470,產品!$A$2:$H$61,8,FALSE)</f>
        <v>10800</v>
      </c>
      <c r="J2470" s="20">
        <f t="shared" si="38"/>
        <v>0.22222222222222221</v>
      </c>
    </row>
    <row r="2471" spans="1:10" x14ac:dyDescent="0.3">
      <c r="A2471" s="33">
        <v>2470</v>
      </c>
      <c r="B2471" s="4">
        <v>36</v>
      </c>
      <c r="C2471" s="15">
        <v>284</v>
      </c>
      <c r="D2471" s="16">
        <v>7</v>
      </c>
      <c r="E2471" s="22">
        <v>44404</v>
      </c>
      <c r="F2471" s="19">
        <v>6</v>
      </c>
      <c r="G2471" s="18">
        <v>0.11</v>
      </c>
      <c r="H2471">
        <f>F2471*VLOOKUP(B2471,產品!$A$2:$H$61,7,FALSE)*(1-銷售總表!G2471)</f>
        <v>48060</v>
      </c>
      <c r="I2471" s="35">
        <f>H2471-F2471*VLOOKUP(銷售總表!B2471,產品!$A$2:$H$61,8,FALSE)</f>
        <v>15660</v>
      </c>
      <c r="J2471" s="20">
        <f t="shared" si="38"/>
        <v>0.3258426966292135</v>
      </c>
    </row>
    <row r="2472" spans="1:10" x14ac:dyDescent="0.3">
      <c r="A2472" s="33">
        <v>2471</v>
      </c>
      <c r="B2472" s="4">
        <v>57</v>
      </c>
      <c r="C2472" s="15">
        <v>289</v>
      </c>
      <c r="D2472" s="16">
        <v>2</v>
      </c>
      <c r="E2472" s="22">
        <v>44404</v>
      </c>
      <c r="F2472" s="19">
        <v>5</v>
      </c>
      <c r="G2472" s="18">
        <v>0.11</v>
      </c>
      <c r="H2472">
        <f>F2472*VLOOKUP(B2472,產品!$A$2:$H$61,7,FALSE)*(1-銷售總表!G2472)</f>
        <v>80100</v>
      </c>
      <c r="I2472" s="35">
        <f>H2472-F2472*VLOOKUP(銷售總表!B2472,產品!$A$2:$H$61,8,FALSE)</f>
        <v>17100</v>
      </c>
      <c r="J2472" s="20">
        <f t="shared" si="38"/>
        <v>0.21348314606741572</v>
      </c>
    </row>
    <row r="2473" spans="1:10" x14ac:dyDescent="0.3">
      <c r="A2473" s="33">
        <v>2472</v>
      </c>
      <c r="B2473" s="4">
        <v>4</v>
      </c>
      <c r="C2473" s="15">
        <v>263</v>
      </c>
      <c r="D2473" s="16">
        <v>9</v>
      </c>
      <c r="E2473" s="22">
        <v>44404</v>
      </c>
      <c r="F2473" s="19">
        <v>50</v>
      </c>
      <c r="G2473" s="18">
        <v>0.06</v>
      </c>
      <c r="H2473">
        <f>F2473*VLOOKUP(B2473,產品!$A$2:$H$61,7,FALSE)*(1-銷售總表!G2473)</f>
        <v>47000</v>
      </c>
      <c r="I2473" s="35">
        <f>H2473-F2473*VLOOKUP(銷售總表!B2473,產品!$A$2:$H$61,8,FALSE)</f>
        <v>27000</v>
      </c>
      <c r="J2473" s="20">
        <f t="shared" si="38"/>
        <v>0.57446808510638303</v>
      </c>
    </row>
    <row r="2474" spans="1:10" x14ac:dyDescent="0.3">
      <c r="A2474" s="33">
        <v>2473</v>
      </c>
      <c r="B2474" s="4">
        <v>60</v>
      </c>
      <c r="C2474" s="15">
        <v>272</v>
      </c>
      <c r="D2474" s="16">
        <v>7</v>
      </c>
      <c r="E2474" s="22">
        <v>44404</v>
      </c>
      <c r="F2474" s="19">
        <v>10</v>
      </c>
      <c r="G2474" s="18">
        <v>0.17</v>
      </c>
      <c r="H2474">
        <f>F2474*VLOOKUP(B2474,產品!$A$2:$H$61,7,FALSE)*(1-銷售總表!G2474)</f>
        <v>207500</v>
      </c>
      <c r="I2474" s="35">
        <f>H2474-F2474*VLOOKUP(銷售總表!B2474,產品!$A$2:$H$61,8,FALSE)</f>
        <v>32500</v>
      </c>
      <c r="J2474" s="20">
        <f t="shared" si="38"/>
        <v>0.15662650602409639</v>
      </c>
    </row>
    <row r="2475" spans="1:10" x14ac:dyDescent="0.3">
      <c r="A2475" s="33">
        <v>2474</v>
      </c>
      <c r="B2475" s="4">
        <v>25</v>
      </c>
      <c r="C2475" s="15">
        <v>122</v>
      </c>
      <c r="D2475" s="16">
        <v>7</v>
      </c>
      <c r="E2475" s="22">
        <v>44405</v>
      </c>
      <c r="F2475" s="19">
        <v>10</v>
      </c>
      <c r="G2475" s="18">
        <v>0.12</v>
      </c>
      <c r="H2475">
        <f>F2475*VLOOKUP(B2475,產品!$A$2:$H$61,7,FALSE)*(1-銷售總表!G2475)</f>
        <v>52800</v>
      </c>
      <c r="I2475" s="35">
        <f>H2475-F2475*VLOOKUP(銷售總表!B2475,產品!$A$2:$H$61,8,FALSE)</f>
        <v>16800</v>
      </c>
      <c r="J2475" s="20">
        <f t="shared" si="38"/>
        <v>0.31818181818181818</v>
      </c>
    </row>
    <row r="2476" spans="1:10" x14ac:dyDescent="0.3">
      <c r="A2476" s="33">
        <v>2475</v>
      </c>
      <c r="B2476" s="4">
        <v>21</v>
      </c>
      <c r="C2476" s="15">
        <v>284</v>
      </c>
      <c r="D2476" s="16">
        <v>7</v>
      </c>
      <c r="E2476" s="22">
        <v>44405</v>
      </c>
      <c r="F2476" s="17">
        <v>15</v>
      </c>
      <c r="G2476" s="18">
        <v>0.12</v>
      </c>
      <c r="H2476">
        <f>F2476*VLOOKUP(B2476,產品!$A$2:$H$61,7,FALSE)*(1-銷售總表!G2476)</f>
        <v>23760</v>
      </c>
      <c r="I2476" s="35">
        <f>H2476-F2476*VLOOKUP(銷售總表!B2476,產品!$A$2:$H$61,8,FALSE)</f>
        <v>12960</v>
      </c>
      <c r="J2476" s="20">
        <f t="shared" si="38"/>
        <v>0.54545454545454541</v>
      </c>
    </row>
    <row r="2477" spans="1:10" x14ac:dyDescent="0.3">
      <c r="A2477" s="33">
        <v>2476</v>
      </c>
      <c r="B2477" s="4">
        <v>51</v>
      </c>
      <c r="C2477" s="15">
        <v>123</v>
      </c>
      <c r="D2477" s="16">
        <v>5</v>
      </c>
      <c r="E2477" s="22">
        <v>44405</v>
      </c>
      <c r="F2477" s="19">
        <v>5</v>
      </c>
      <c r="G2477" s="18">
        <v>0.14000000000000001</v>
      </c>
      <c r="H2477">
        <f>F2477*VLOOKUP(B2477,產品!$A$2:$H$61,7,FALSE)*(1-銷售總表!G2477)</f>
        <v>86000</v>
      </c>
      <c r="I2477" s="35">
        <f>H2477-F2477*VLOOKUP(銷售總表!B2477,產品!$A$2:$H$61,8,FALSE)</f>
        <v>16000</v>
      </c>
      <c r="J2477" s="20">
        <f t="shared" si="38"/>
        <v>0.18604651162790697</v>
      </c>
    </row>
    <row r="2478" spans="1:10" x14ac:dyDescent="0.3">
      <c r="A2478" s="33">
        <v>2477</v>
      </c>
      <c r="B2478" s="4">
        <v>56</v>
      </c>
      <c r="C2478" s="15">
        <v>118</v>
      </c>
      <c r="D2478" s="16">
        <v>7</v>
      </c>
      <c r="E2478" s="22">
        <v>44405</v>
      </c>
      <c r="F2478" s="19">
        <v>7</v>
      </c>
      <c r="G2478" s="18">
        <v>0.14000000000000001</v>
      </c>
      <c r="H2478">
        <f>F2478*VLOOKUP(B2478,產品!$A$2:$H$61,7,FALSE)*(1-銷售總表!G2478)</f>
        <v>132440</v>
      </c>
      <c r="I2478" s="35">
        <f>H2478-F2478*VLOOKUP(銷售總表!B2478,產品!$A$2:$H$61,8,FALSE)</f>
        <v>24640.000000000015</v>
      </c>
      <c r="J2478" s="20">
        <f t="shared" si="38"/>
        <v>0.18604651162790709</v>
      </c>
    </row>
    <row r="2479" spans="1:10" x14ac:dyDescent="0.3">
      <c r="A2479" s="33">
        <v>2478</v>
      </c>
      <c r="B2479" s="4">
        <v>15</v>
      </c>
      <c r="C2479" s="15">
        <v>264</v>
      </c>
      <c r="D2479" s="16">
        <v>9</v>
      </c>
      <c r="E2479" s="22">
        <v>44406</v>
      </c>
      <c r="F2479" s="19">
        <v>16</v>
      </c>
      <c r="G2479" s="18">
        <v>0.16</v>
      </c>
      <c r="H2479">
        <f>F2479*VLOOKUP(B2479,產品!$A$2:$H$61,7,FALSE)*(1-銷售總表!G2479)</f>
        <v>24192</v>
      </c>
      <c r="I2479" s="35">
        <f>H2479-F2479*VLOOKUP(銷售總表!B2479,產品!$A$2:$H$61,8,FALSE)</f>
        <v>12672</v>
      </c>
      <c r="J2479" s="20">
        <f t="shared" si="38"/>
        <v>0.52380952380952384</v>
      </c>
    </row>
    <row r="2480" spans="1:10" x14ac:dyDescent="0.3">
      <c r="A2480" s="33">
        <v>2479</v>
      </c>
      <c r="B2480" s="4">
        <v>55</v>
      </c>
      <c r="C2480" s="15">
        <v>285</v>
      </c>
      <c r="D2480" s="16">
        <v>6</v>
      </c>
      <c r="E2480" s="22">
        <v>44406</v>
      </c>
      <c r="F2480" s="17">
        <v>9</v>
      </c>
      <c r="G2480" s="18">
        <v>0.16</v>
      </c>
      <c r="H2480">
        <f>F2480*VLOOKUP(B2480,產品!$A$2:$H$61,7,FALSE)*(1-銷售總表!G2480)</f>
        <v>151200</v>
      </c>
      <c r="I2480" s="35">
        <f>H2480-F2480*VLOOKUP(銷售總表!B2480,產品!$A$2:$H$61,8,FALSE)</f>
        <v>25200</v>
      </c>
      <c r="J2480" s="20">
        <f t="shared" si="38"/>
        <v>0.16666666666666666</v>
      </c>
    </row>
    <row r="2481" spans="1:10" x14ac:dyDescent="0.3">
      <c r="A2481" s="33">
        <v>2480</v>
      </c>
      <c r="B2481" s="4">
        <v>56</v>
      </c>
      <c r="C2481" s="15">
        <v>4</v>
      </c>
      <c r="D2481" s="16">
        <v>1</v>
      </c>
      <c r="E2481" s="22">
        <v>44406</v>
      </c>
      <c r="F2481" s="17">
        <v>10</v>
      </c>
      <c r="G2481" s="18">
        <v>0.17</v>
      </c>
      <c r="H2481">
        <f>F2481*VLOOKUP(B2481,產品!$A$2:$H$61,7,FALSE)*(1-銷售總表!G2481)</f>
        <v>182600</v>
      </c>
      <c r="I2481" s="35">
        <f>H2481-F2481*VLOOKUP(銷售總表!B2481,產品!$A$2:$H$61,8,FALSE)</f>
        <v>28600.000000000029</v>
      </c>
      <c r="J2481" s="20">
        <f t="shared" si="38"/>
        <v>0.15662650602409656</v>
      </c>
    </row>
    <row r="2482" spans="1:10" x14ac:dyDescent="0.3">
      <c r="A2482" s="33">
        <v>2481</v>
      </c>
      <c r="B2482" s="4">
        <v>1</v>
      </c>
      <c r="C2482" s="15">
        <v>261</v>
      </c>
      <c r="D2482" s="16">
        <v>10</v>
      </c>
      <c r="E2482" s="22">
        <v>44406</v>
      </c>
      <c r="F2482" s="19">
        <v>75</v>
      </c>
      <c r="G2482" s="18">
        <v>0.15</v>
      </c>
      <c r="H2482">
        <f>F2482*VLOOKUP(B2482,產品!$A$2:$H$61,7,FALSE)*(1-銷售總表!G2482)</f>
        <v>63750</v>
      </c>
      <c r="I2482" s="35">
        <f>H2482-F2482*VLOOKUP(銷售總表!B2482,產品!$A$2:$H$61,8,FALSE)</f>
        <v>33750</v>
      </c>
      <c r="J2482" s="20">
        <f t="shared" si="38"/>
        <v>0.52941176470588236</v>
      </c>
    </row>
    <row r="2483" spans="1:10" x14ac:dyDescent="0.3">
      <c r="A2483" s="33">
        <v>2482</v>
      </c>
      <c r="B2483" s="4">
        <v>41</v>
      </c>
      <c r="C2483" s="15">
        <v>259</v>
      </c>
      <c r="D2483" s="16">
        <v>10</v>
      </c>
      <c r="E2483" s="22">
        <v>44406</v>
      </c>
      <c r="F2483" s="19">
        <v>25</v>
      </c>
      <c r="G2483" s="18">
        <v>0.15</v>
      </c>
      <c r="H2483">
        <f>F2483*VLOOKUP(B2483,產品!$A$2:$H$61,7,FALSE)*(1-銷售總表!G2483)</f>
        <v>255000</v>
      </c>
      <c r="I2483" s="35">
        <f>H2483-F2483*VLOOKUP(銷售總表!B2483,產品!$A$2:$H$61,8,FALSE)</f>
        <v>60000</v>
      </c>
      <c r="J2483" s="20">
        <f t="shared" si="38"/>
        <v>0.23529411764705882</v>
      </c>
    </row>
    <row r="2484" spans="1:10" x14ac:dyDescent="0.3">
      <c r="A2484" s="33">
        <v>2483</v>
      </c>
      <c r="B2484" s="4">
        <v>41</v>
      </c>
      <c r="C2484" s="15">
        <v>116</v>
      </c>
      <c r="D2484" s="16">
        <v>6</v>
      </c>
      <c r="E2484" s="22">
        <v>44407</v>
      </c>
      <c r="F2484" s="17">
        <v>2</v>
      </c>
      <c r="G2484" s="18">
        <v>0.06</v>
      </c>
      <c r="H2484">
        <f>F2484*VLOOKUP(B2484,產品!$A$2:$H$61,7,FALSE)*(1-銷售總表!G2484)</f>
        <v>22560</v>
      </c>
      <c r="I2484" s="35">
        <f>H2484-F2484*VLOOKUP(銷售總表!B2484,產品!$A$2:$H$61,8,FALSE)</f>
        <v>6960</v>
      </c>
      <c r="J2484" s="20">
        <f t="shared" si="38"/>
        <v>0.30851063829787234</v>
      </c>
    </row>
    <row r="2485" spans="1:10" x14ac:dyDescent="0.3">
      <c r="A2485" s="33">
        <v>2484</v>
      </c>
      <c r="B2485" s="4">
        <v>5</v>
      </c>
      <c r="C2485" s="15">
        <v>268</v>
      </c>
      <c r="D2485" s="16">
        <v>6</v>
      </c>
      <c r="E2485" s="22">
        <v>44407</v>
      </c>
      <c r="F2485" s="19">
        <v>20</v>
      </c>
      <c r="G2485" s="18">
        <v>7.0000000000000007E-2</v>
      </c>
      <c r="H2485">
        <f>F2485*VLOOKUP(B2485,產品!$A$2:$H$61,7,FALSE)*(1-銷售總表!G2485)</f>
        <v>18600</v>
      </c>
      <c r="I2485" s="35">
        <f>H2485-F2485*VLOOKUP(銷售總表!B2485,產品!$A$2:$H$61,8,FALSE)</f>
        <v>10600</v>
      </c>
      <c r="J2485" s="20">
        <f t="shared" si="38"/>
        <v>0.56989247311827962</v>
      </c>
    </row>
    <row r="2486" spans="1:10" x14ac:dyDescent="0.3">
      <c r="A2486" s="33">
        <v>2485</v>
      </c>
      <c r="B2486" s="4">
        <v>20</v>
      </c>
      <c r="C2486" s="15">
        <v>136</v>
      </c>
      <c r="D2486" s="16">
        <v>4</v>
      </c>
      <c r="E2486" s="22">
        <v>44407</v>
      </c>
      <c r="F2486" s="19">
        <v>40</v>
      </c>
      <c r="G2486" s="18">
        <v>0.17</v>
      </c>
      <c r="H2486">
        <f>F2486*VLOOKUP(B2486,產品!$A$2:$H$61,7,FALSE)*(1-銷售總表!G2486)</f>
        <v>59760</v>
      </c>
      <c r="I2486" s="35">
        <f>H2486-F2486*VLOOKUP(銷售總表!B2486,產品!$A$2:$H$61,8,FALSE)</f>
        <v>30960</v>
      </c>
      <c r="J2486" s="20">
        <f t="shared" si="38"/>
        <v>0.51807228915662651</v>
      </c>
    </row>
    <row r="2487" spans="1:10" x14ac:dyDescent="0.3">
      <c r="A2487" s="33">
        <v>2486</v>
      </c>
      <c r="B2487" s="4">
        <v>10</v>
      </c>
      <c r="C2487" s="15">
        <v>117</v>
      </c>
      <c r="D2487" s="16">
        <v>5</v>
      </c>
      <c r="E2487" s="22">
        <v>44407</v>
      </c>
      <c r="F2487" s="19">
        <v>150</v>
      </c>
      <c r="G2487" s="18">
        <v>0.08</v>
      </c>
      <c r="H2487">
        <f>F2487*VLOOKUP(B2487,產品!$A$2:$H$61,7,FALSE)*(1-銷售總表!G2487)</f>
        <v>138000</v>
      </c>
      <c r="I2487" s="35">
        <f>H2487-F2487*VLOOKUP(銷售總表!B2487,產品!$A$2:$H$61,8,FALSE)</f>
        <v>78000</v>
      </c>
      <c r="J2487" s="20">
        <f t="shared" si="38"/>
        <v>0.56521739130434778</v>
      </c>
    </row>
    <row r="2488" spans="1:10" x14ac:dyDescent="0.3">
      <c r="A2488" s="33">
        <v>2487</v>
      </c>
      <c r="B2488" s="4">
        <v>29</v>
      </c>
      <c r="C2488" s="15">
        <v>290</v>
      </c>
      <c r="D2488" s="16">
        <v>3</v>
      </c>
      <c r="E2488" s="22">
        <v>44408</v>
      </c>
      <c r="F2488" s="19">
        <v>4</v>
      </c>
      <c r="G2488" s="18">
        <v>0.08</v>
      </c>
      <c r="H2488">
        <f>F2488*VLOOKUP(B2488,產品!$A$2:$H$61,7,FALSE)*(1-銷售總表!G2488)</f>
        <v>22080</v>
      </c>
      <c r="I2488" s="35">
        <f>H2488-F2488*VLOOKUP(銷售總表!B2488,產品!$A$2:$H$61,8,FALSE)</f>
        <v>7680</v>
      </c>
      <c r="J2488" s="20">
        <f t="shared" si="38"/>
        <v>0.34782608695652173</v>
      </c>
    </row>
    <row r="2489" spans="1:10" x14ac:dyDescent="0.3">
      <c r="A2489" s="33">
        <v>2488</v>
      </c>
      <c r="B2489" s="4">
        <v>42</v>
      </c>
      <c r="C2489" s="15">
        <v>123</v>
      </c>
      <c r="D2489" s="16">
        <v>8</v>
      </c>
      <c r="E2489" s="22">
        <v>44408</v>
      </c>
      <c r="F2489" s="17">
        <v>10</v>
      </c>
      <c r="G2489" s="18">
        <v>0.12</v>
      </c>
      <c r="H2489">
        <f>F2489*VLOOKUP(B2489,產品!$A$2:$H$61,7,FALSE)*(1-銷售總表!G2489)</f>
        <v>132000</v>
      </c>
      <c r="I2489" s="35">
        <f>H2489-F2489*VLOOKUP(銷售總表!B2489,產品!$A$2:$H$61,8,FALSE)</f>
        <v>34500</v>
      </c>
      <c r="J2489" s="20">
        <f t="shared" si="38"/>
        <v>0.26136363636363635</v>
      </c>
    </row>
    <row r="2490" spans="1:10" x14ac:dyDescent="0.3">
      <c r="A2490" s="33">
        <v>2489</v>
      </c>
      <c r="B2490" s="4">
        <v>21</v>
      </c>
      <c r="C2490" s="15">
        <v>274</v>
      </c>
      <c r="D2490" s="16">
        <v>3</v>
      </c>
      <c r="E2490" s="22">
        <v>44408</v>
      </c>
      <c r="F2490" s="19">
        <v>70</v>
      </c>
      <c r="G2490" s="18">
        <v>0.12</v>
      </c>
      <c r="H2490">
        <f>F2490*VLOOKUP(B2490,產品!$A$2:$H$61,7,FALSE)*(1-銷售總表!G2490)</f>
        <v>110880</v>
      </c>
      <c r="I2490" s="35">
        <f>H2490-F2490*VLOOKUP(銷售總表!B2490,產品!$A$2:$H$61,8,FALSE)</f>
        <v>60480</v>
      </c>
      <c r="J2490" s="20">
        <f t="shared" si="38"/>
        <v>0.54545454545454541</v>
      </c>
    </row>
    <row r="2491" spans="1:10" x14ac:dyDescent="0.3">
      <c r="A2491" s="33">
        <v>2490</v>
      </c>
      <c r="B2491" s="4">
        <v>37</v>
      </c>
      <c r="C2491" s="15">
        <v>289</v>
      </c>
      <c r="D2491" s="16">
        <v>7</v>
      </c>
      <c r="E2491" s="22">
        <v>44409</v>
      </c>
      <c r="F2491" s="17">
        <v>10</v>
      </c>
      <c r="G2491" s="18">
        <v>0.16</v>
      </c>
      <c r="H2491">
        <f>F2491*VLOOKUP(B2491,產品!$A$2:$H$61,7,FALSE)*(1-銷售總表!G2491)</f>
        <v>100800</v>
      </c>
      <c r="I2491" s="35">
        <f>H2491-F2491*VLOOKUP(銷售總表!B2491,產品!$A$2:$H$61,8,FALSE)</f>
        <v>22800</v>
      </c>
      <c r="J2491" s="20">
        <f t="shared" si="38"/>
        <v>0.22619047619047619</v>
      </c>
    </row>
    <row r="2492" spans="1:10" x14ac:dyDescent="0.3">
      <c r="A2492" s="33">
        <v>2491</v>
      </c>
      <c r="B2492" s="4">
        <v>20</v>
      </c>
      <c r="C2492" s="15">
        <v>4</v>
      </c>
      <c r="D2492" s="16">
        <v>4</v>
      </c>
      <c r="E2492" s="22">
        <v>44409</v>
      </c>
      <c r="F2492" s="19">
        <v>8</v>
      </c>
      <c r="G2492" s="18">
        <v>7.0000000000000007E-2</v>
      </c>
      <c r="H2492">
        <f>F2492*VLOOKUP(B2492,產品!$A$2:$H$61,7,FALSE)*(1-銷售總表!G2492)</f>
        <v>13392</v>
      </c>
      <c r="I2492" s="35">
        <f>H2492-F2492*VLOOKUP(銷售總表!B2492,產品!$A$2:$H$61,8,FALSE)</f>
        <v>7632</v>
      </c>
      <c r="J2492" s="20">
        <f t="shared" si="38"/>
        <v>0.56989247311827962</v>
      </c>
    </row>
    <row r="2493" spans="1:10" x14ac:dyDescent="0.3">
      <c r="A2493" s="33">
        <v>2492</v>
      </c>
      <c r="B2493" s="4">
        <v>45</v>
      </c>
      <c r="C2493" s="15">
        <v>270</v>
      </c>
      <c r="D2493" s="16">
        <v>1</v>
      </c>
      <c r="E2493" s="22">
        <v>44409</v>
      </c>
      <c r="F2493" s="19">
        <v>3</v>
      </c>
      <c r="G2493" s="18">
        <v>0.16</v>
      </c>
      <c r="H2493">
        <f>F2493*VLOOKUP(B2493,產品!$A$2:$H$61,7,FALSE)*(1-銷售總表!G2493)</f>
        <v>35280</v>
      </c>
      <c r="I2493" s="35">
        <f>H2493-F2493*VLOOKUP(銷售總表!B2493,產品!$A$2:$H$61,8,FALSE)</f>
        <v>7980</v>
      </c>
      <c r="J2493" s="20">
        <f t="shared" si="38"/>
        <v>0.22619047619047619</v>
      </c>
    </row>
    <row r="2494" spans="1:10" x14ac:dyDescent="0.3">
      <c r="A2494" s="33">
        <v>2493</v>
      </c>
      <c r="B2494" s="4">
        <v>46</v>
      </c>
      <c r="C2494" s="15">
        <v>262</v>
      </c>
      <c r="D2494" s="16">
        <v>10</v>
      </c>
      <c r="E2494" s="22">
        <v>44409</v>
      </c>
      <c r="F2494" s="17">
        <v>2</v>
      </c>
      <c r="G2494" s="18">
        <v>0.06</v>
      </c>
      <c r="H2494">
        <f>F2494*VLOOKUP(B2494,產品!$A$2:$H$61,7,FALSE)*(1-銷售總表!G2494)</f>
        <v>31960</v>
      </c>
      <c r="I2494" s="35">
        <f>H2494-F2494*VLOOKUP(銷售總表!B2494,產品!$A$2:$H$61,8,FALSE)</f>
        <v>9860</v>
      </c>
      <c r="J2494" s="20">
        <f t="shared" si="38"/>
        <v>0.30851063829787234</v>
      </c>
    </row>
    <row r="2495" spans="1:10" x14ac:dyDescent="0.3">
      <c r="A2495" s="33">
        <v>2494</v>
      </c>
      <c r="B2495" s="4">
        <v>3</v>
      </c>
      <c r="C2495" s="15">
        <v>8</v>
      </c>
      <c r="D2495" s="16">
        <v>9</v>
      </c>
      <c r="E2495" s="22">
        <v>44409</v>
      </c>
      <c r="F2495" s="19">
        <v>30</v>
      </c>
      <c r="G2495" s="18">
        <v>0.15</v>
      </c>
      <c r="H2495">
        <f>F2495*VLOOKUP(B2495,產品!$A$2:$H$61,7,FALSE)*(1-銷售總表!G2495)</f>
        <v>25500</v>
      </c>
      <c r="I2495" s="35">
        <f>H2495-F2495*VLOOKUP(銷售總表!B2495,產品!$A$2:$H$61,8,FALSE)</f>
        <v>13500</v>
      </c>
      <c r="J2495" s="20">
        <f t="shared" si="38"/>
        <v>0.52941176470588236</v>
      </c>
    </row>
    <row r="2496" spans="1:10" x14ac:dyDescent="0.3">
      <c r="A2496" s="33">
        <v>2495</v>
      </c>
      <c r="B2496" s="4">
        <v>11</v>
      </c>
      <c r="C2496" s="15">
        <v>112</v>
      </c>
      <c r="D2496" s="16">
        <v>6</v>
      </c>
      <c r="E2496" s="22">
        <v>44409</v>
      </c>
      <c r="F2496" s="17">
        <v>40</v>
      </c>
      <c r="G2496" s="18">
        <v>0.18</v>
      </c>
      <c r="H2496">
        <f>F2496*VLOOKUP(B2496,產品!$A$2:$H$61,7,FALSE)*(1-銷售總表!G2496)</f>
        <v>32800</v>
      </c>
      <c r="I2496" s="35">
        <f>H2496-F2496*VLOOKUP(銷售總表!B2496,產品!$A$2:$H$61,8,FALSE)</f>
        <v>16800</v>
      </c>
      <c r="J2496" s="20">
        <f t="shared" si="38"/>
        <v>0.51219512195121952</v>
      </c>
    </row>
    <row r="2497" spans="1:10" x14ac:dyDescent="0.3">
      <c r="A2497" s="33">
        <v>2496</v>
      </c>
      <c r="B2497" s="4">
        <v>3</v>
      </c>
      <c r="C2497" s="15">
        <v>135</v>
      </c>
      <c r="D2497" s="16">
        <v>7</v>
      </c>
      <c r="E2497" s="22">
        <v>44409</v>
      </c>
      <c r="F2497" s="19">
        <v>40</v>
      </c>
      <c r="G2497" s="18">
        <v>0.08</v>
      </c>
      <c r="H2497">
        <f>F2497*VLOOKUP(B2497,產品!$A$2:$H$61,7,FALSE)*(1-銷售總表!G2497)</f>
        <v>36800</v>
      </c>
      <c r="I2497" s="35">
        <f>H2497-F2497*VLOOKUP(銷售總表!B2497,產品!$A$2:$H$61,8,FALSE)</f>
        <v>20800</v>
      </c>
      <c r="J2497" s="20">
        <f t="shared" si="38"/>
        <v>0.56521739130434778</v>
      </c>
    </row>
    <row r="2498" spans="1:10" x14ac:dyDescent="0.3">
      <c r="A2498" s="33">
        <v>2497</v>
      </c>
      <c r="B2498" s="4">
        <v>16</v>
      </c>
      <c r="C2498" s="15">
        <v>257</v>
      </c>
      <c r="D2498" s="16">
        <v>1</v>
      </c>
      <c r="E2498" s="22">
        <v>44409</v>
      </c>
      <c r="F2498" s="17">
        <v>50</v>
      </c>
      <c r="G2498" s="18">
        <v>0.17</v>
      </c>
      <c r="H2498">
        <f>F2498*VLOOKUP(B2498,產品!$A$2:$H$61,7,FALSE)*(1-銷售總表!G2498)</f>
        <v>74700</v>
      </c>
      <c r="I2498" s="35">
        <f>H2498-F2498*VLOOKUP(銷售總表!B2498,產品!$A$2:$H$61,8,FALSE)</f>
        <v>38700</v>
      </c>
      <c r="J2498" s="20">
        <f t="shared" si="38"/>
        <v>0.51807228915662651</v>
      </c>
    </row>
    <row r="2499" spans="1:10" x14ac:dyDescent="0.3">
      <c r="A2499" s="33">
        <v>2498</v>
      </c>
      <c r="B2499" s="4">
        <v>59</v>
      </c>
      <c r="C2499" s="15">
        <v>291</v>
      </c>
      <c r="D2499" s="16">
        <v>4</v>
      </c>
      <c r="E2499" s="22">
        <v>44410</v>
      </c>
      <c r="F2499" s="17">
        <v>10</v>
      </c>
      <c r="G2499" s="18">
        <v>0.16</v>
      </c>
      <c r="H2499">
        <f>F2499*VLOOKUP(B2499,產品!$A$2:$H$61,7,FALSE)*(1-銷售總表!G2499)</f>
        <v>201600</v>
      </c>
      <c r="I2499" s="35">
        <f>H2499-F2499*VLOOKUP(銷售總表!B2499,產品!$A$2:$H$61,8,FALSE)</f>
        <v>33600</v>
      </c>
      <c r="J2499" s="20">
        <f t="shared" ref="J2499:J2562" si="39">I2499/H2499</f>
        <v>0.16666666666666666</v>
      </c>
    </row>
    <row r="2500" spans="1:10" x14ac:dyDescent="0.3">
      <c r="A2500" s="33">
        <v>2499</v>
      </c>
      <c r="B2500" s="4">
        <v>29</v>
      </c>
      <c r="C2500" s="15">
        <v>138</v>
      </c>
      <c r="D2500" s="16">
        <v>9</v>
      </c>
      <c r="E2500" s="22">
        <v>44410</v>
      </c>
      <c r="F2500" s="17">
        <v>2</v>
      </c>
      <c r="G2500" s="18">
        <v>7.0000000000000007E-2</v>
      </c>
      <c r="H2500">
        <f>F2500*VLOOKUP(B2500,產品!$A$2:$H$61,7,FALSE)*(1-銷售總表!G2500)</f>
        <v>11160</v>
      </c>
      <c r="I2500" s="35">
        <f>H2500-F2500*VLOOKUP(銷售總表!B2500,產品!$A$2:$H$61,8,FALSE)</f>
        <v>3960</v>
      </c>
      <c r="J2500" s="20">
        <f t="shared" si="39"/>
        <v>0.35483870967741937</v>
      </c>
    </row>
    <row r="2501" spans="1:10" x14ac:dyDescent="0.3">
      <c r="A2501" s="33">
        <v>2500</v>
      </c>
      <c r="B2501" s="4">
        <v>45</v>
      </c>
      <c r="C2501" s="15">
        <v>121</v>
      </c>
      <c r="D2501" s="16">
        <v>8</v>
      </c>
      <c r="E2501" s="22">
        <v>44410</v>
      </c>
      <c r="F2501" s="19">
        <v>2</v>
      </c>
      <c r="G2501" s="18">
        <v>0.16</v>
      </c>
      <c r="H2501">
        <f>F2501*VLOOKUP(B2501,產品!$A$2:$H$61,7,FALSE)*(1-銷售總表!G2501)</f>
        <v>23520</v>
      </c>
      <c r="I2501" s="35">
        <f>H2501-F2501*VLOOKUP(銷售總表!B2501,產品!$A$2:$H$61,8,FALSE)</f>
        <v>5320</v>
      </c>
      <c r="J2501" s="20">
        <f t="shared" si="39"/>
        <v>0.22619047619047619</v>
      </c>
    </row>
    <row r="2502" spans="1:10" x14ac:dyDescent="0.3">
      <c r="A2502" s="33">
        <v>2501</v>
      </c>
      <c r="B2502" s="4">
        <v>55</v>
      </c>
      <c r="C2502" s="15">
        <v>4</v>
      </c>
      <c r="D2502" s="16">
        <v>9</v>
      </c>
      <c r="E2502" s="22">
        <v>44410</v>
      </c>
      <c r="F2502" s="19">
        <v>5</v>
      </c>
      <c r="G2502" s="18">
        <v>0.19</v>
      </c>
      <c r="H2502">
        <f>F2502*VLOOKUP(B2502,產品!$A$2:$H$61,7,FALSE)*(1-銷售總表!G2502)</f>
        <v>81000</v>
      </c>
      <c r="I2502" s="35">
        <f>H2502-F2502*VLOOKUP(銷售總表!B2502,產品!$A$2:$H$61,8,FALSE)</f>
        <v>11000</v>
      </c>
      <c r="J2502" s="20">
        <f t="shared" si="39"/>
        <v>0.13580246913580246</v>
      </c>
    </row>
    <row r="2503" spans="1:10" x14ac:dyDescent="0.3">
      <c r="A2503" s="33">
        <v>2502</v>
      </c>
      <c r="B2503" s="4">
        <v>30</v>
      </c>
      <c r="C2503" s="15">
        <v>284</v>
      </c>
      <c r="D2503" s="16">
        <v>2</v>
      </c>
      <c r="E2503" s="22">
        <v>44410</v>
      </c>
      <c r="F2503" s="19">
        <v>8</v>
      </c>
      <c r="G2503" s="18">
        <v>0.14000000000000001</v>
      </c>
      <c r="H2503">
        <f>F2503*VLOOKUP(B2503,產品!$A$2:$H$61,7,FALSE)*(1-銷售總表!G2503)</f>
        <v>44720</v>
      </c>
      <c r="I2503" s="35">
        <f>H2503-F2503*VLOOKUP(銷售總表!B2503,產品!$A$2:$H$61,8,FALSE)</f>
        <v>13520</v>
      </c>
      <c r="J2503" s="20">
        <f t="shared" si="39"/>
        <v>0.30232558139534882</v>
      </c>
    </row>
    <row r="2504" spans="1:10" x14ac:dyDescent="0.3">
      <c r="A2504" s="33">
        <v>2503</v>
      </c>
      <c r="B2504" s="4">
        <v>15</v>
      </c>
      <c r="C2504" s="15">
        <v>272</v>
      </c>
      <c r="D2504" s="16">
        <v>3</v>
      </c>
      <c r="E2504" s="22">
        <v>44410</v>
      </c>
      <c r="F2504" s="17">
        <v>30</v>
      </c>
      <c r="G2504" s="18">
        <v>0.2</v>
      </c>
      <c r="H2504">
        <f>F2504*VLOOKUP(B2504,產品!$A$2:$H$61,7,FALSE)*(1-銷售總表!G2504)</f>
        <v>43200</v>
      </c>
      <c r="I2504" s="35">
        <f>H2504-F2504*VLOOKUP(銷售總表!B2504,產品!$A$2:$H$61,8,FALSE)</f>
        <v>21600</v>
      </c>
      <c r="J2504" s="20">
        <f t="shared" si="39"/>
        <v>0.5</v>
      </c>
    </row>
    <row r="2505" spans="1:10" x14ac:dyDescent="0.3">
      <c r="A2505" s="33">
        <v>2504</v>
      </c>
      <c r="B2505" s="4">
        <v>6</v>
      </c>
      <c r="C2505" s="15">
        <v>117</v>
      </c>
      <c r="D2505" s="16">
        <v>8</v>
      </c>
      <c r="E2505" s="22">
        <v>44410</v>
      </c>
      <c r="F2505" s="19">
        <v>45</v>
      </c>
      <c r="G2505" s="18">
        <v>0.11</v>
      </c>
      <c r="H2505">
        <f>F2505*VLOOKUP(B2505,產品!$A$2:$H$61,7,FALSE)*(1-銷售總表!G2505)</f>
        <v>40050</v>
      </c>
      <c r="I2505" s="35">
        <f>H2505-F2505*VLOOKUP(銷售總表!B2505,產品!$A$2:$H$61,8,FALSE)</f>
        <v>22050</v>
      </c>
      <c r="J2505" s="20">
        <f t="shared" si="39"/>
        <v>0.550561797752809</v>
      </c>
    </row>
    <row r="2506" spans="1:10" x14ac:dyDescent="0.3">
      <c r="A2506" s="33">
        <v>2505</v>
      </c>
      <c r="B2506" s="4">
        <v>27</v>
      </c>
      <c r="C2506" s="15">
        <v>123</v>
      </c>
      <c r="D2506" s="16">
        <v>6</v>
      </c>
      <c r="E2506" s="22">
        <v>44411</v>
      </c>
      <c r="F2506" s="17">
        <v>10</v>
      </c>
      <c r="G2506" s="18">
        <v>0.14000000000000001</v>
      </c>
      <c r="H2506">
        <f>F2506*VLOOKUP(B2506,產品!$A$2:$H$61,7,FALSE)*(1-銷售總表!G2506)</f>
        <v>60200</v>
      </c>
      <c r="I2506" s="35">
        <f>H2506-F2506*VLOOKUP(銷售總表!B2506,產品!$A$2:$H$61,8,FALSE)</f>
        <v>18200</v>
      </c>
      <c r="J2506" s="20">
        <f t="shared" si="39"/>
        <v>0.30232558139534882</v>
      </c>
    </row>
    <row r="2507" spans="1:10" x14ac:dyDescent="0.3">
      <c r="A2507" s="33">
        <v>2506</v>
      </c>
      <c r="B2507" s="4">
        <v>53</v>
      </c>
      <c r="C2507" s="15">
        <v>113</v>
      </c>
      <c r="D2507" s="16">
        <v>8</v>
      </c>
      <c r="E2507" s="22">
        <v>44411</v>
      </c>
      <c r="F2507" s="17">
        <v>2</v>
      </c>
      <c r="G2507" s="18">
        <v>0.15</v>
      </c>
      <c r="H2507">
        <f>F2507*VLOOKUP(B2507,產品!$A$2:$H$61,7,FALSE)*(1-銷售總表!G2507)</f>
        <v>25500</v>
      </c>
      <c r="I2507" s="35">
        <f>H2507-F2507*VLOOKUP(銷售總表!B2507,產品!$A$2:$H$61,8,FALSE)</f>
        <v>4500</v>
      </c>
      <c r="J2507" s="20">
        <f t="shared" si="39"/>
        <v>0.17647058823529413</v>
      </c>
    </row>
    <row r="2508" spans="1:10" x14ac:dyDescent="0.3">
      <c r="A2508" s="33">
        <v>2507</v>
      </c>
      <c r="B2508" s="4">
        <v>8</v>
      </c>
      <c r="C2508" s="15">
        <v>2</v>
      </c>
      <c r="D2508" s="16">
        <v>10</v>
      </c>
      <c r="E2508" s="22">
        <v>44411</v>
      </c>
      <c r="F2508" s="19">
        <v>10</v>
      </c>
      <c r="G2508" s="18">
        <v>0.15</v>
      </c>
      <c r="H2508">
        <f>F2508*VLOOKUP(B2508,產品!$A$2:$H$61,7,FALSE)*(1-銷售總表!G2508)</f>
        <v>8500</v>
      </c>
      <c r="I2508" s="35">
        <f>H2508-F2508*VLOOKUP(銷售總表!B2508,產品!$A$2:$H$61,8,FALSE)</f>
        <v>4500</v>
      </c>
      <c r="J2508" s="20">
        <f t="shared" si="39"/>
        <v>0.52941176470588236</v>
      </c>
    </row>
    <row r="2509" spans="1:10" x14ac:dyDescent="0.3">
      <c r="A2509" s="33">
        <v>2508</v>
      </c>
      <c r="B2509" s="4">
        <v>59</v>
      </c>
      <c r="C2509" s="15">
        <v>283</v>
      </c>
      <c r="D2509" s="16">
        <v>10</v>
      </c>
      <c r="E2509" s="22">
        <v>44411</v>
      </c>
      <c r="F2509" s="17">
        <v>4</v>
      </c>
      <c r="G2509" s="18">
        <v>0.14000000000000001</v>
      </c>
      <c r="H2509">
        <f>F2509*VLOOKUP(B2509,產品!$A$2:$H$61,7,FALSE)*(1-銷售總表!G2509)</f>
        <v>82560</v>
      </c>
      <c r="I2509" s="35">
        <f>H2509-F2509*VLOOKUP(銷售總表!B2509,產品!$A$2:$H$61,8,FALSE)</f>
        <v>15360</v>
      </c>
      <c r="J2509" s="20">
        <f t="shared" si="39"/>
        <v>0.18604651162790697</v>
      </c>
    </row>
    <row r="2510" spans="1:10" x14ac:dyDescent="0.3">
      <c r="A2510" s="33">
        <v>2509</v>
      </c>
      <c r="B2510" s="4">
        <v>35</v>
      </c>
      <c r="C2510" s="15">
        <v>280</v>
      </c>
      <c r="D2510" s="16">
        <v>4</v>
      </c>
      <c r="E2510" s="22">
        <v>44411</v>
      </c>
      <c r="F2510" s="19">
        <v>6</v>
      </c>
      <c r="G2510" s="18">
        <v>0.09</v>
      </c>
      <c r="H2510">
        <f>F2510*VLOOKUP(B2510,產品!$A$2:$H$61,7,FALSE)*(1-銷售總表!G2510)</f>
        <v>46410</v>
      </c>
      <c r="I2510" s="35">
        <f>H2510-F2510*VLOOKUP(銷售總表!B2510,產品!$A$2:$H$61,8,FALSE)</f>
        <v>15810</v>
      </c>
      <c r="J2510" s="20">
        <f t="shared" si="39"/>
        <v>0.34065934065934067</v>
      </c>
    </row>
    <row r="2511" spans="1:10" x14ac:dyDescent="0.3">
      <c r="A2511" s="33">
        <v>2510</v>
      </c>
      <c r="B2511" s="4">
        <v>14</v>
      </c>
      <c r="C2511" s="15">
        <v>291</v>
      </c>
      <c r="D2511" s="16">
        <v>9</v>
      </c>
      <c r="E2511" s="22">
        <v>44411</v>
      </c>
      <c r="F2511" s="17">
        <v>20</v>
      </c>
      <c r="G2511" s="18">
        <v>7.0000000000000007E-2</v>
      </c>
      <c r="H2511">
        <f>F2511*VLOOKUP(B2511,產品!$A$2:$H$61,7,FALSE)*(1-銷售總表!G2511)</f>
        <v>33480</v>
      </c>
      <c r="I2511" s="35">
        <f>H2511-F2511*VLOOKUP(銷售總表!B2511,產品!$A$2:$H$61,8,FALSE)</f>
        <v>19080</v>
      </c>
      <c r="J2511" s="20">
        <f t="shared" si="39"/>
        <v>0.56989247311827962</v>
      </c>
    </row>
    <row r="2512" spans="1:10" x14ac:dyDescent="0.3">
      <c r="A2512" s="33">
        <v>2511</v>
      </c>
      <c r="B2512" s="4">
        <v>1</v>
      </c>
      <c r="C2512" s="15">
        <v>118</v>
      </c>
      <c r="D2512" s="16">
        <v>7</v>
      </c>
      <c r="E2512" s="22">
        <v>44411</v>
      </c>
      <c r="F2512" s="17">
        <v>40</v>
      </c>
      <c r="G2512" s="18">
        <v>7.0000000000000007E-2</v>
      </c>
      <c r="H2512">
        <f>F2512*VLOOKUP(B2512,產品!$A$2:$H$61,7,FALSE)*(1-銷售總表!G2512)</f>
        <v>37200</v>
      </c>
      <c r="I2512" s="35">
        <f>H2512-F2512*VLOOKUP(銷售總表!B2512,產品!$A$2:$H$61,8,FALSE)</f>
        <v>21200</v>
      </c>
      <c r="J2512" s="20">
        <f t="shared" si="39"/>
        <v>0.56989247311827962</v>
      </c>
    </row>
    <row r="2513" spans="1:10" x14ac:dyDescent="0.3">
      <c r="A2513" s="33">
        <v>2512</v>
      </c>
      <c r="B2513" s="4">
        <v>43</v>
      </c>
      <c r="C2513" s="15">
        <v>262</v>
      </c>
      <c r="D2513" s="16">
        <v>6</v>
      </c>
      <c r="E2513" s="22">
        <v>44411</v>
      </c>
      <c r="F2513" s="17">
        <v>9</v>
      </c>
      <c r="G2513" s="18">
        <v>0.2</v>
      </c>
      <c r="H2513">
        <f>F2513*VLOOKUP(B2513,產品!$A$2:$H$61,7,FALSE)*(1-銷售總表!G2513)</f>
        <v>129600</v>
      </c>
      <c r="I2513" s="35">
        <f>H2513-F2513*VLOOKUP(銷售總表!B2513,產品!$A$2:$H$61,8,FALSE)</f>
        <v>24300</v>
      </c>
      <c r="J2513" s="20">
        <f t="shared" si="39"/>
        <v>0.1875</v>
      </c>
    </row>
    <row r="2514" spans="1:10" x14ac:dyDescent="0.3">
      <c r="A2514" s="33">
        <v>2513</v>
      </c>
      <c r="B2514" s="4">
        <v>52</v>
      </c>
      <c r="C2514" s="15">
        <v>12</v>
      </c>
      <c r="D2514" s="16">
        <v>1</v>
      </c>
      <c r="E2514" s="22">
        <v>44412</v>
      </c>
      <c r="F2514" s="17">
        <v>2</v>
      </c>
      <c r="G2514" s="18">
        <v>0.19</v>
      </c>
      <c r="H2514">
        <f>F2514*VLOOKUP(B2514,產品!$A$2:$H$61,7,FALSE)*(1-銷售總表!G2514)</f>
        <v>35640</v>
      </c>
      <c r="I2514" s="35">
        <f>H2514-F2514*VLOOKUP(銷售總表!B2514,產品!$A$2:$H$61,8,FALSE)</f>
        <v>4840.0000000000036</v>
      </c>
      <c r="J2514" s="20">
        <f t="shared" si="39"/>
        <v>0.13580246913580257</v>
      </c>
    </row>
    <row r="2515" spans="1:10" x14ac:dyDescent="0.3">
      <c r="A2515" s="33">
        <v>2514</v>
      </c>
      <c r="B2515" s="4">
        <v>11</v>
      </c>
      <c r="C2515" s="15">
        <v>265</v>
      </c>
      <c r="D2515" s="16">
        <v>10</v>
      </c>
      <c r="E2515" s="22">
        <v>44412</v>
      </c>
      <c r="F2515" s="19">
        <v>15</v>
      </c>
      <c r="G2515" s="18">
        <v>0.16</v>
      </c>
      <c r="H2515">
        <f>F2515*VLOOKUP(B2515,產品!$A$2:$H$61,7,FALSE)*(1-銷售總表!G2515)</f>
        <v>12600</v>
      </c>
      <c r="I2515" s="35">
        <f>H2515-F2515*VLOOKUP(銷售總表!B2515,產品!$A$2:$H$61,8,FALSE)</f>
        <v>6600</v>
      </c>
      <c r="J2515" s="20">
        <f t="shared" si="39"/>
        <v>0.52380952380952384</v>
      </c>
    </row>
    <row r="2516" spans="1:10" x14ac:dyDescent="0.3">
      <c r="A2516" s="33">
        <v>2515</v>
      </c>
      <c r="B2516" s="4">
        <v>1</v>
      </c>
      <c r="C2516" s="15">
        <v>272</v>
      </c>
      <c r="D2516" s="16">
        <v>6</v>
      </c>
      <c r="E2516" s="22">
        <v>44412</v>
      </c>
      <c r="F2516" s="17">
        <v>20</v>
      </c>
      <c r="G2516" s="18">
        <v>0.16</v>
      </c>
      <c r="H2516">
        <f>F2516*VLOOKUP(B2516,產品!$A$2:$H$61,7,FALSE)*(1-銷售總表!G2516)</f>
        <v>16800</v>
      </c>
      <c r="I2516" s="35">
        <f>H2516-F2516*VLOOKUP(銷售總表!B2516,產品!$A$2:$H$61,8,FALSE)</f>
        <v>8800</v>
      </c>
      <c r="J2516" s="20">
        <f t="shared" si="39"/>
        <v>0.52380952380952384</v>
      </c>
    </row>
    <row r="2517" spans="1:10" x14ac:dyDescent="0.3">
      <c r="A2517" s="33">
        <v>2516</v>
      </c>
      <c r="B2517" s="4">
        <v>30</v>
      </c>
      <c r="C2517" s="15">
        <v>124</v>
      </c>
      <c r="D2517" s="16">
        <v>7</v>
      </c>
      <c r="E2517" s="22">
        <v>44412</v>
      </c>
      <c r="F2517" s="17">
        <v>7</v>
      </c>
      <c r="G2517" s="18">
        <v>0.19</v>
      </c>
      <c r="H2517">
        <f>F2517*VLOOKUP(B2517,產品!$A$2:$H$61,7,FALSE)*(1-銷售總表!G2517)</f>
        <v>36855</v>
      </c>
      <c r="I2517" s="35">
        <f>H2517-F2517*VLOOKUP(銷售總表!B2517,產品!$A$2:$H$61,8,FALSE)</f>
        <v>9555</v>
      </c>
      <c r="J2517" s="20">
        <f t="shared" si="39"/>
        <v>0.25925925925925924</v>
      </c>
    </row>
    <row r="2518" spans="1:10" x14ac:dyDescent="0.3">
      <c r="A2518" s="33">
        <v>2517</v>
      </c>
      <c r="B2518" s="4">
        <v>2</v>
      </c>
      <c r="C2518" s="15">
        <v>278</v>
      </c>
      <c r="D2518" s="16">
        <v>1</v>
      </c>
      <c r="E2518" s="22">
        <v>44412</v>
      </c>
      <c r="F2518" s="19">
        <v>20</v>
      </c>
      <c r="G2518" s="18">
        <v>0.09</v>
      </c>
      <c r="H2518">
        <f>F2518*VLOOKUP(B2518,產品!$A$2:$H$61,7,FALSE)*(1-銷售總表!G2518)</f>
        <v>18200</v>
      </c>
      <c r="I2518" s="35">
        <f>H2518-F2518*VLOOKUP(銷售總表!B2518,產品!$A$2:$H$61,8,FALSE)</f>
        <v>10200</v>
      </c>
      <c r="J2518" s="20">
        <f t="shared" si="39"/>
        <v>0.56043956043956045</v>
      </c>
    </row>
    <row r="2519" spans="1:10" x14ac:dyDescent="0.3">
      <c r="A2519" s="33">
        <v>2518</v>
      </c>
      <c r="B2519" s="4">
        <v>5</v>
      </c>
      <c r="C2519" s="15">
        <v>116</v>
      </c>
      <c r="D2519" s="16">
        <v>9</v>
      </c>
      <c r="E2519" s="22">
        <v>44412</v>
      </c>
      <c r="F2519" s="17">
        <v>20</v>
      </c>
      <c r="G2519" s="18">
        <v>0.06</v>
      </c>
      <c r="H2519">
        <f>F2519*VLOOKUP(B2519,產品!$A$2:$H$61,7,FALSE)*(1-銷售總表!G2519)</f>
        <v>18800</v>
      </c>
      <c r="I2519" s="35">
        <f>H2519-F2519*VLOOKUP(銷售總表!B2519,產品!$A$2:$H$61,8,FALSE)</f>
        <v>10800</v>
      </c>
      <c r="J2519" s="20">
        <f t="shared" si="39"/>
        <v>0.57446808510638303</v>
      </c>
    </row>
    <row r="2520" spans="1:10" x14ac:dyDescent="0.3">
      <c r="A2520" s="33">
        <v>2519</v>
      </c>
      <c r="B2520" s="4">
        <v>37</v>
      </c>
      <c r="C2520" s="15">
        <v>122</v>
      </c>
      <c r="D2520" s="16">
        <v>4</v>
      </c>
      <c r="E2520" s="22">
        <v>44412</v>
      </c>
      <c r="F2520" s="17">
        <v>6</v>
      </c>
      <c r="G2520" s="18">
        <v>0.12</v>
      </c>
      <c r="H2520">
        <f>F2520*VLOOKUP(B2520,產品!$A$2:$H$61,7,FALSE)*(1-銷售總表!G2520)</f>
        <v>63360</v>
      </c>
      <c r="I2520" s="35">
        <f>H2520-F2520*VLOOKUP(銷售總表!B2520,產品!$A$2:$H$61,8,FALSE)</f>
        <v>16560</v>
      </c>
      <c r="J2520" s="20">
        <f t="shared" si="39"/>
        <v>0.26136363636363635</v>
      </c>
    </row>
    <row r="2521" spans="1:10" x14ac:dyDescent="0.3">
      <c r="A2521" s="33">
        <v>2520</v>
      </c>
      <c r="B2521" s="4">
        <v>22</v>
      </c>
      <c r="C2521" s="15">
        <v>284</v>
      </c>
      <c r="D2521" s="16">
        <v>3</v>
      </c>
      <c r="E2521" s="22">
        <v>44412</v>
      </c>
      <c r="F2521" s="17">
        <v>20</v>
      </c>
      <c r="G2521" s="18">
        <v>0.06</v>
      </c>
      <c r="H2521">
        <f>F2521*VLOOKUP(B2521,產品!$A$2:$H$61,7,FALSE)*(1-銷售總表!G2521)</f>
        <v>33840</v>
      </c>
      <c r="I2521" s="35">
        <f>H2521-F2521*VLOOKUP(銷售總表!B2521,產品!$A$2:$H$61,8,FALSE)</f>
        <v>19440</v>
      </c>
      <c r="J2521" s="20">
        <f t="shared" si="39"/>
        <v>0.57446808510638303</v>
      </c>
    </row>
    <row r="2522" spans="1:10" x14ac:dyDescent="0.3">
      <c r="A2522" s="33">
        <v>2521</v>
      </c>
      <c r="B2522" s="4">
        <v>5</v>
      </c>
      <c r="C2522" s="15">
        <v>4</v>
      </c>
      <c r="D2522" s="16">
        <v>4</v>
      </c>
      <c r="E2522" s="22">
        <v>44412</v>
      </c>
      <c r="F2522" s="17">
        <v>80</v>
      </c>
      <c r="G2522" s="18">
        <v>0.05</v>
      </c>
      <c r="H2522">
        <f>F2522*VLOOKUP(B2522,產品!$A$2:$H$61,7,FALSE)*(1-銷售總表!G2522)</f>
        <v>76000</v>
      </c>
      <c r="I2522" s="35">
        <f>H2522-F2522*VLOOKUP(銷售總表!B2522,產品!$A$2:$H$61,8,FALSE)</f>
        <v>44000</v>
      </c>
      <c r="J2522" s="20">
        <f t="shared" si="39"/>
        <v>0.57894736842105265</v>
      </c>
    </row>
    <row r="2523" spans="1:10" x14ac:dyDescent="0.3">
      <c r="A2523" s="33">
        <v>2522</v>
      </c>
      <c r="B2523" s="4">
        <v>20</v>
      </c>
      <c r="C2523" s="15">
        <v>284</v>
      </c>
      <c r="D2523" s="16">
        <v>7</v>
      </c>
      <c r="E2523" s="22">
        <v>44413</v>
      </c>
      <c r="F2523" s="17">
        <v>10</v>
      </c>
      <c r="G2523" s="18">
        <v>0.19</v>
      </c>
      <c r="H2523">
        <f>F2523*VLOOKUP(B2523,產品!$A$2:$H$61,7,FALSE)*(1-銷售總表!G2523)</f>
        <v>14580.000000000002</v>
      </c>
      <c r="I2523" s="35">
        <f>H2523-F2523*VLOOKUP(銷售總表!B2523,產品!$A$2:$H$61,8,FALSE)</f>
        <v>7380.0000000000018</v>
      </c>
      <c r="J2523" s="20">
        <f t="shared" si="39"/>
        <v>0.50617283950617287</v>
      </c>
    </row>
    <row r="2524" spans="1:10" x14ac:dyDescent="0.3">
      <c r="A2524" s="33">
        <v>2523</v>
      </c>
      <c r="B2524" s="4">
        <v>47</v>
      </c>
      <c r="C2524" s="15">
        <v>138</v>
      </c>
      <c r="D2524" s="16">
        <v>1</v>
      </c>
      <c r="E2524" s="22">
        <v>44413</v>
      </c>
      <c r="F2524" s="17">
        <v>2</v>
      </c>
      <c r="G2524" s="18">
        <v>0.12</v>
      </c>
      <c r="H2524">
        <f>F2524*VLOOKUP(B2524,產品!$A$2:$H$61,7,FALSE)*(1-銷售總表!G2524)</f>
        <v>35200</v>
      </c>
      <c r="I2524" s="35">
        <f>H2524-F2524*VLOOKUP(銷售總表!B2524,產品!$A$2:$H$61,8,FALSE)</f>
        <v>9200</v>
      </c>
      <c r="J2524" s="20">
        <f t="shared" si="39"/>
        <v>0.26136363636363635</v>
      </c>
    </row>
    <row r="2525" spans="1:10" x14ac:dyDescent="0.3">
      <c r="A2525" s="33">
        <v>2524</v>
      </c>
      <c r="B2525" s="4">
        <v>39</v>
      </c>
      <c r="C2525" s="15">
        <v>277</v>
      </c>
      <c r="D2525" s="16">
        <v>4</v>
      </c>
      <c r="E2525" s="22">
        <v>44413</v>
      </c>
      <c r="F2525" s="19">
        <v>3</v>
      </c>
      <c r="G2525" s="18">
        <v>0.08</v>
      </c>
      <c r="H2525">
        <f>F2525*VLOOKUP(B2525,產品!$A$2:$H$61,7,FALSE)*(1-銷售總表!G2525)</f>
        <v>49680</v>
      </c>
      <c r="I2525" s="35">
        <f>H2525-F2525*VLOOKUP(銷售總表!B2525,產品!$A$2:$H$61,8,FALSE)</f>
        <v>14580</v>
      </c>
      <c r="J2525" s="20">
        <f t="shared" si="39"/>
        <v>0.29347826086956524</v>
      </c>
    </row>
    <row r="2526" spans="1:10" x14ac:dyDescent="0.3">
      <c r="A2526" s="33">
        <v>2525</v>
      </c>
      <c r="B2526" s="4">
        <v>16</v>
      </c>
      <c r="C2526" s="15">
        <v>126</v>
      </c>
      <c r="D2526" s="16">
        <v>9</v>
      </c>
      <c r="E2526" s="22">
        <v>44413</v>
      </c>
      <c r="F2526" s="19">
        <v>20</v>
      </c>
      <c r="G2526" s="18">
        <v>0.09</v>
      </c>
      <c r="H2526">
        <f>F2526*VLOOKUP(B2526,產品!$A$2:$H$61,7,FALSE)*(1-銷售總表!G2526)</f>
        <v>32760</v>
      </c>
      <c r="I2526" s="35">
        <f>H2526-F2526*VLOOKUP(銷售總表!B2526,產品!$A$2:$H$61,8,FALSE)</f>
        <v>18360</v>
      </c>
      <c r="J2526" s="20">
        <f t="shared" si="39"/>
        <v>0.56043956043956045</v>
      </c>
    </row>
    <row r="2527" spans="1:10" x14ac:dyDescent="0.3">
      <c r="A2527" s="33">
        <v>2526</v>
      </c>
      <c r="B2527" s="4">
        <v>39</v>
      </c>
      <c r="C2527" s="15">
        <v>121</v>
      </c>
      <c r="D2527" s="16">
        <v>4</v>
      </c>
      <c r="E2527" s="22">
        <v>44413</v>
      </c>
      <c r="F2527" s="19">
        <v>5</v>
      </c>
      <c r="G2527" s="18">
        <v>0.11</v>
      </c>
      <c r="H2527">
        <f>F2527*VLOOKUP(B2527,產品!$A$2:$H$61,7,FALSE)*(1-銷售總表!G2527)</f>
        <v>80100</v>
      </c>
      <c r="I2527" s="35">
        <f>H2527-F2527*VLOOKUP(銷售總表!B2527,產品!$A$2:$H$61,8,FALSE)</f>
        <v>21600</v>
      </c>
      <c r="J2527" s="20">
        <f t="shared" si="39"/>
        <v>0.2696629213483146</v>
      </c>
    </row>
    <row r="2528" spans="1:10" x14ac:dyDescent="0.3">
      <c r="A2528" s="33">
        <v>2527</v>
      </c>
      <c r="B2528" s="4">
        <v>45</v>
      </c>
      <c r="C2528" s="15">
        <v>271</v>
      </c>
      <c r="D2528" s="16">
        <v>5</v>
      </c>
      <c r="E2528" s="22">
        <v>44413</v>
      </c>
      <c r="F2528" s="19">
        <v>7</v>
      </c>
      <c r="G2528" s="18">
        <v>0.11</v>
      </c>
      <c r="H2528">
        <f>F2528*VLOOKUP(B2528,產品!$A$2:$H$61,7,FALSE)*(1-銷售總表!G2528)</f>
        <v>87220</v>
      </c>
      <c r="I2528" s="35">
        <f>H2528-F2528*VLOOKUP(銷售總表!B2528,產品!$A$2:$H$61,8,FALSE)</f>
        <v>23520</v>
      </c>
      <c r="J2528" s="20">
        <f t="shared" si="39"/>
        <v>0.2696629213483146</v>
      </c>
    </row>
    <row r="2529" spans="1:10" x14ac:dyDescent="0.3">
      <c r="A2529" s="33">
        <v>2528</v>
      </c>
      <c r="B2529" s="4">
        <v>12</v>
      </c>
      <c r="C2529" s="15">
        <v>136</v>
      </c>
      <c r="D2529" s="16">
        <v>2</v>
      </c>
      <c r="E2529" s="22">
        <v>44413</v>
      </c>
      <c r="F2529" s="19">
        <v>60</v>
      </c>
      <c r="G2529" s="18">
        <v>0.05</v>
      </c>
      <c r="H2529">
        <f>F2529*VLOOKUP(B2529,產品!$A$2:$H$61,7,FALSE)*(1-銷售總表!G2529)</f>
        <v>57000</v>
      </c>
      <c r="I2529" s="35">
        <f>H2529-F2529*VLOOKUP(銷售總表!B2529,產品!$A$2:$H$61,8,FALSE)</f>
        <v>33000</v>
      </c>
      <c r="J2529" s="20">
        <f t="shared" si="39"/>
        <v>0.57894736842105265</v>
      </c>
    </row>
    <row r="2530" spans="1:10" x14ac:dyDescent="0.3">
      <c r="A2530" s="33">
        <v>2529</v>
      </c>
      <c r="B2530" s="4">
        <v>6</v>
      </c>
      <c r="C2530" s="15">
        <v>281</v>
      </c>
      <c r="D2530" s="16">
        <v>2</v>
      </c>
      <c r="E2530" s="22">
        <v>44414</v>
      </c>
      <c r="F2530" s="17">
        <v>10</v>
      </c>
      <c r="G2530" s="18">
        <v>0.09</v>
      </c>
      <c r="H2530">
        <f>F2530*VLOOKUP(B2530,產品!$A$2:$H$61,7,FALSE)*(1-銷售總表!G2530)</f>
        <v>9100</v>
      </c>
      <c r="I2530" s="35">
        <f>H2530-F2530*VLOOKUP(銷售總表!B2530,產品!$A$2:$H$61,8,FALSE)</f>
        <v>5100</v>
      </c>
      <c r="J2530" s="20">
        <f t="shared" si="39"/>
        <v>0.56043956043956045</v>
      </c>
    </row>
    <row r="2531" spans="1:10" x14ac:dyDescent="0.3">
      <c r="A2531" s="33">
        <v>2530</v>
      </c>
      <c r="B2531" s="4">
        <v>33</v>
      </c>
      <c r="C2531" s="15">
        <v>294</v>
      </c>
      <c r="D2531" s="16">
        <v>8</v>
      </c>
      <c r="E2531" s="22">
        <v>44414</v>
      </c>
      <c r="F2531" s="19">
        <v>3</v>
      </c>
      <c r="G2531" s="18">
        <v>0.11</v>
      </c>
      <c r="H2531">
        <f>F2531*VLOOKUP(B2531,產品!$A$2:$H$61,7,FALSE)*(1-銷售總表!G2531)</f>
        <v>20025</v>
      </c>
      <c r="I2531" s="35">
        <f>H2531-F2531*VLOOKUP(銷售總表!B2531,產品!$A$2:$H$61,8,FALSE)</f>
        <v>6525</v>
      </c>
      <c r="J2531" s="20">
        <f t="shared" si="39"/>
        <v>0.3258426966292135</v>
      </c>
    </row>
    <row r="2532" spans="1:10" x14ac:dyDescent="0.3">
      <c r="A2532" s="33">
        <v>2531</v>
      </c>
      <c r="B2532" s="4">
        <v>11</v>
      </c>
      <c r="C2532" s="15">
        <v>7</v>
      </c>
      <c r="D2532" s="16">
        <v>1</v>
      </c>
      <c r="E2532" s="22">
        <v>44414</v>
      </c>
      <c r="F2532" s="19">
        <v>20</v>
      </c>
      <c r="G2532" s="18">
        <v>0.11</v>
      </c>
      <c r="H2532">
        <f>F2532*VLOOKUP(B2532,產品!$A$2:$H$61,7,FALSE)*(1-銷售總表!G2532)</f>
        <v>17800</v>
      </c>
      <c r="I2532" s="35">
        <f>H2532-F2532*VLOOKUP(銷售總表!B2532,產品!$A$2:$H$61,8,FALSE)</f>
        <v>9800</v>
      </c>
      <c r="J2532" s="20">
        <f t="shared" si="39"/>
        <v>0.550561797752809</v>
      </c>
    </row>
    <row r="2533" spans="1:10" x14ac:dyDescent="0.3">
      <c r="A2533" s="33">
        <v>2532</v>
      </c>
      <c r="B2533" s="4">
        <v>16</v>
      </c>
      <c r="C2533" s="15">
        <v>263</v>
      </c>
      <c r="D2533" s="16">
        <v>7</v>
      </c>
      <c r="E2533" s="22">
        <v>44414</v>
      </c>
      <c r="F2533" s="17">
        <v>12</v>
      </c>
      <c r="G2533" s="18">
        <v>0.12</v>
      </c>
      <c r="H2533">
        <f>F2533*VLOOKUP(B2533,產品!$A$2:$H$61,7,FALSE)*(1-銷售總表!G2533)</f>
        <v>19008</v>
      </c>
      <c r="I2533" s="35">
        <f>H2533-F2533*VLOOKUP(銷售總表!B2533,產品!$A$2:$H$61,8,FALSE)</f>
        <v>10368</v>
      </c>
      <c r="J2533" s="20">
        <f t="shared" si="39"/>
        <v>0.54545454545454541</v>
      </c>
    </row>
    <row r="2534" spans="1:10" x14ac:dyDescent="0.3">
      <c r="A2534" s="33">
        <v>2533</v>
      </c>
      <c r="B2534" s="4">
        <v>47</v>
      </c>
      <c r="C2534" s="15">
        <v>126</v>
      </c>
      <c r="D2534" s="16">
        <v>4</v>
      </c>
      <c r="E2534" s="22">
        <v>44414</v>
      </c>
      <c r="F2534" s="19">
        <v>4</v>
      </c>
      <c r="G2534" s="18">
        <v>0.17</v>
      </c>
      <c r="H2534">
        <f>F2534*VLOOKUP(B2534,產品!$A$2:$H$61,7,FALSE)*(1-銷售總表!G2534)</f>
        <v>66400</v>
      </c>
      <c r="I2534" s="35">
        <f>H2534-F2534*VLOOKUP(銷售總表!B2534,產品!$A$2:$H$61,8,FALSE)</f>
        <v>14400</v>
      </c>
      <c r="J2534" s="20">
        <f t="shared" si="39"/>
        <v>0.21686746987951808</v>
      </c>
    </row>
    <row r="2535" spans="1:10" x14ac:dyDescent="0.3">
      <c r="A2535" s="33">
        <v>2534</v>
      </c>
      <c r="B2535" s="4">
        <v>54</v>
      </c>
      <c r="C2535" s="15">
        <v>1</v>
      </c>
      <c r="D2535" s="16">
        <v>1</v>
      </c>
      <c r="E2535" s="22">
        <v>44414</v>
      </c>
      <c r="F2535" s="19">
        <v>5</v>
      </c>
      <c r="G2535" s="18">
        <v>0.08</v>
      </c>
      <c r="H2535">
        <f>F2535*VLOOKUP(B2535,產品!$A$2:$H$61,7,FALSE)*(1-銷售總表!G2535)</f>
        <v>82800</v>
      </c>
      <c r="I2535" s="35">
        <f>H2535-F2535*VLOOKUP(銷售總表!B2535,產品!$A$2:$H$61,8,FALSE)</f>
        <v>19800</v>
      </c>
      <c r="J2535" s="20">
        <f t="shared" si="39"/>
        <v>0.2391304347826087</v>
      </c>
    </row>
    <row r="2536" spans="1:10" x14ac:dyDescent="0.3">
      <c r="A2536" s="33">
        <v>2535</v>
      </c>
      <c r="B2536" s="4">
        <v>6</v>
      </c>
      <c r="C2536" s="15">
        <v>257</v>
      </c>
      <c r="D2536" s="16">
        <v>10</v>
      </c>
      <c r="E2536" s="22">
        <v>44414</v>
      </c>
      <c r="F2536" s="19">
        <v>70</v>
      </c>
      <c r="G2536" s="18">
        <v>0.11</v>
      </c>
      <c r="H2536">
        <f>F2536*VLOOKUP(B2536,產品!$A$2:$H$61,7,FALSE)*(1-銷售總表!G2536)</f>
        <v>62300</v>
      </c>
      <c r="I2536" s="35">
        <f>H2536-F2536*VLOOKUP(銷售總表!B2536,產品!$A$2:$H$61,8,FALSE)</f>
        <v>34300</v>
      </c>
      <c r="J2536" s="20">
        <f t="shared" si="39"/>
        <v>0.550561797752809</v>
      </c>
    </row>
    <row r="2537" spans="1:10" x14ac:dyDescent="0.3">
      <c r="A2537" s="33">
        <v>2536</v>
      </c>
      <c r="B2537" s="4">
        <v>49</v>
      </c>
      <c r="C2537" s="15">
        <v>12</v>
      </c>
      <c r="D2537" s="16">
        <v>9</v>
      </c>
      <c r="E2537" s="22">
        <v>44414</v>
      </c>
      <c r="F2537" s="19">
        <v>15</v>
      </c>
      <c r="G2537" s="18">
        <v>0.13</v>
      </c>
      <c r="H2537">
        <f>F2537*VLOOKUP(B2537,產品!$A$2:$H$61,7,FALSE)*(1-銷售總表!G2537)</f>
        <v>195750</v>
      </c>
      <c r="I2537" s="35">
        <f>H2537-F2537*VLOOKUP(銷售總表!B2537,產品!$A$2:$H$61,8,FALSE)</f>
        <v>38250</v>
      </c>
      <c r="J2537" s="20">
        <f t="shared" si="39"/>
        <v>0.19540229885057472</v>
      </c>
    </row>
    <row r="2538" spans="1:10" x14ac:dyDescent="0.3">
      <c r="A2538" s="33">
        <v>2537</v>
      </c>
      <c r="B2538" s="4">
        <v>5</v>
      </c>
      <c r="C2538" s="15">
        <v>284</v>
      </c>
      <c r="D2538" s="16">
        <v>6</v>
      </c>
      <c r="E2538" s="22">
        <v>44414</v>
      </c>
      <c r="F2538" s="19">
        <v>90</v>
      </c>
      <c r="G2538" s="18">
        <v>0.15</v>
      </c>
      <c r="H2538">
        <f>F2538*VLOOKUP(B2538,產品!$A$2:$H$61,7,FALSE)*(1-銷售總表!G2538)</f>
        <v>76500</v>
      </c>
      <c r="I2538" s="35">
        <f>H2538-F2538*VLOOKUP(銷售總表!B2538,產品!$A$2:$H$61,8,FALSE)</f>
        <v>40500</v>
      </c>
      <c r="J2538" s="20">
        <f t="shared" si="39"/>
        <v>0.52941176470588236</v>
      </c>
    </row>
    <row r="2539" spans="1:10" x14ac:dyDescent="0.3">
      <c r="A2539" s="33">
        <v>2538</v>
      </c>
      <c r="B2539" s="4">
        <v>39</v>
      </c>
      <c r="C2539" s="15">
        <v>261</v>
      </c>
      <c r="D2539" s="16">
        <v>9</v>
      </c>
      <c r="E2539" s="22">
        <v>44414</v>
      </c>
      <c r="F2539" s="19">
        <v>13</v>
      </c>
      <c r="G2539" s="18">
        <v>0.17</v>
      </c>
      <c r="H2539">
        <f>F2539*VLOOKUP(B2539,產品!$A$2:$H$61,7,FALSE)*(1-銷售總表!G2539)</f>
        <v>194220</v>
      </c>
      <c r="I2539" s="35">
        <f>H2539-F2539*VLOOKUP(銷售總表!B2539,產品!$A$2:$H$61,8,FALSE)</f>
        <v>42120</v>
      </c>
      <c r="J2539" s="20">
        <f t="shared" si="39"/>
        <v>0.21686746987951808</v>
      </c>
    </row>
    <row r="2540" spans="1:10" x14ac:dyDescent="0.3">
      <c r="A2540" s="33">
        <v>2539</v>
      </c>
      <c r="B2540" s="4">
        <v>24</v>
      </c>
      <c r="C2540" s="15">
        <v>3</v>
      </c>
      <c r="D2540" s="16">
        <v>7</v>
      </c>
      <c r="E2540" s="22">
        <v>44414</v>
      </c>
      <c r="F2540" s="17">
        <v>80</v>
      </c>
      <c r="G2540" s="18">
        <v>0.18</v>
      </c>
      <c r="H2540">
        <f>F2540*VLOOKUP(B2540,產品!$A$2:$H$61,7,FALSE)*(1-銷售總表!G2540)</f>
        <v>118080.00000000001</v>
      </c>
      <c r="I2540" s="35">
        <f>H2540-F2540*VLOOKUP(銷售總表!B2540,產品!$A$2:$H$61,8,FALSE)</f>
        <v>60480.000000000015</v>
      </c>
      <c r="J2540" s="20">
        <f t="shared" si="39"/>
        <v>0.51219512195121952</v>
      </c>
    </row>
    <row r="2541" spans="1:10" x14ac:dyDescent="0.3">
      <c r="A2541" s="33">
        <v>2540</v>
      </c>
      <c r="B2541" s="4">
        <v>29</v>
      </c>
      <c r="C2541" s="15">
        <v>288</v>
      </c>
      <c r="D2541" s="16">
        <v>5</v>
      </c>
      <c r="E2541" s="22">
        <v>44415</v>
      </c>
      <c r="F2541" s="19">
        <v>10</v>
      </c>
      <c r="G2541" s="18">
        <v>0.2</v>
      </c>
      <c r="H2541">
        <f>F2541*VLOOKUP(B2541,產品!$A$2:$H$61,7,FALSE)*(1-銷售總表!G2541)</f>
        <v>48000</v>
      </c>
      <c r="I2541" s="35">
        <f>H2541-F2541*VLOOKUP(銷售總表!B2541,產品!$A$2:$H$61,8,FALSE)</f>
        <v>12000</v>
      </c>
      <c r="J2541" s="20">
        <f t="shared" si="39"/>
        <v>0.25</v>
      </c>
    </row>
    <row r="2542" spans="1:10" x14ac:dyDescent="0.3">
      <c r="A2542" s="33">
        <v>2541</v>
      </c>
      <c r="B2542" s="4">
        <v>56</v>
      </c>
      <c r="C2542" s="15">
        <v>282</v>
      </c>
      <c r="D2542" s="16">
        <v>10</v>
      </c>
      <c r="E2542" s="22">
        <v>44415</v>
      </c>
      <c r="F2542" s="17">
        <v>4</v>
      </c>
      <c r="G2542" s="18">
        <v>0.14000000000000001</v>
      </c>
      <c r="H2542">
        <f>F2542*VLOOKUP(B2542,產品!$A$2:$H$61,7,FALSE)*(1-銷售總表!G2542)</f>
        <v>75680</v>
      </c>
      <c r="I2542" s="35">
        <f>H2542-F2542*VLOOKUP(銷售總表!B2542,產品!$A$2:$H$61,8,FALSE)</f>
        <v>14080.000000000007</v>
      </c>
      <c r="J2542" s="20">
        <f t="shared" si="39"/>
        <v>0.18604651162790709</v>
      </c>
    </row>
    <row r="2543" spans="1:10" x14ac:dyDescent="0.3">
      <c r="A2543" s="33">
        <v>2542</v>
      </c>
      <c r="B2543" s="4">
        <v>16</v>
      </c>
      <c r="C2543" s="15">
        <v>9</v>
      </c>
      <c r="D2543" s="16">
        <v>7</v>
      </c>
      <c r="E2543" s="22">
        <v>44415</v>
      </c>
      <c r="F2543" s="17">
        <v>30</v>
      </c>
      <c r="G2543" s="18">
        <v>0.14000000000000001</v>
      </c>
      <c r="H2543">
        <f>F2543*VLOOKUP(B2543,產品!$A$2:$H$61,7,FALSE)*(1-銷售總表!G2543)</f>
        <v>46440</v>
      </c>
      <c r="I2543" s="35">
        <f>H2543-F2543*VLOOKUP(銷售總表!B2543,產品!$A$2:$H$61,8,FALSE)</f>
        <v>24840</v>
      </c>
      <c r="J2543" s="20">
        <f t="shared" si="39"/>
        <v>0.53488372093023251</v>
      </c>
    </row>
    <row r="2544" spans="1:10" x14ac:dyDescent="0.3">
      <c r="A2544" s="33">
        <v>2543</v>
      </c>
      <c r="B2544" s="4">
        <v>37</v>
      </c>
      <c r="C2544" s="15">
        <v>263</v>
      </c>
      <c r="D2544" s="16">
        <v>9</v>
      </c>
      <c r="E2544" s="22">
        <v>44415</v>
      </c>
      <c r="F2544" s="19">
        <v>18</v>
      </c>
      <c r="G2544" s="18">
        <v>0.06</v>
      </c>
      <c r="H2544">
        <f>F2544*VLOOKUP(B2544,產品!$A$2:$H$61,7,FALSE)*(1-銷售總表!G2544)</f>
        <v>203040</v>
      </c>
      <c r="I2544" s="35">
        <f>H2544-F2544*VLOOKUP(銷售總表!B2544,產品!$A$2:$H$61,8,FALSE)</f>
        <v>62640</v>
      </c>
      <c r="J2544" s="20">
        <f t="shared" si="39"/>
        <v>0.30851063829787234</v>
      </c>
    </row>
    <row r="2545" spans="1:10" x14ac:dyDescent="0.3">
      <c r="A2545" s="33">
        <v>2544</v>
      </c>
      <c r="B2545" s="4">
        <v>54</v>
      </c>
      <c r="C2545" s="15">
        <v>259</v>
      </c>
      <c r="D2545" s="16">
        <v>1</v>
      </c>
      <c r="E2545" s="22">
        <v>44416</v>
      </c>
      <c r="F2545" s="17">
        <v>10</v>
      </c>
      <c r="G2545" s="18">
        <v>0.18</v>
      </c>
      <c r="H2545">
        <f>F2545*VLOOKUP(B2545,產品!$A$2:$H$61,7,FALSE)*(1-銷售總表!G2545)</f>
        <v>147600</v>
      </c>
      <c r="I2545" s="35">
        <f>H2545-F2545*VLOOKUP(銷售總表!B2545,產品!$A$2:$H$61,8,FALSE)</f>
        <v>21600</v>
      </c>
      <c r="J2545" s="20">
        <f t="shared" si="39"/>
        <v>0.14634146341463414</v>
      </c>
    </row>
    <row r="2546" spans="1:10" x14ac:dyDescent="0.3">
      <c r="A2546" s="33">
        <v>2545</v>
      </c>
      <c r="B2546" s="4">
        <v>37</v>
      </c>
      <c r="C2546" s="15">
        <v>265</v>
      </c>
      <c r="D2546" s="16">
        <v>6</v>
      </c>
      <c r="E2546" s="22">
        <v>44416</v>
      </c>
      <c r="F2546" s="19">
        <v>2</v>
      </c>
      <c r="G2546" s="18">
        <v>0.11</v>
      </c>
      <c r="H2546">
        <f>F2546*VLOOKUP(B2546,產品!$A$2:$H$61,7,FALSE)*(1-銷售總表!G2546)</f>
        <v>21360</v>
      </c>
      <c r="I2546" s="35">
        <f>H2546-F2546*VLOOKUP(銷售總表!B2546,產品!$A$2:$H$61,8,FALSE)</f>
        <v>5760</v>
      </c>
      <c r="J2546" s="20">
        <f t="shared" si="39"/>
        <v>0.2696629213483146</v>
      </c>
    </row>
    <row r="2547" spans="1:10" x14ac:dyDescent="0.3">
      <c r="A2547" s="33">
        <v>2546</v>
      </c>
      <c r="B2547" s="4">
        <v>15</v>
      </c>
      <c r="C2547" s="15">
        <v>2</v>
      </c>
      <c r="D2547" s="16">
        <v>7</v>
      </c>
      <c r="E2547" s="22">
        <v>44416</v>
      </c>
      <c r="F2547" s="19">
        <v>12</v>
      </c>
      <c r="G2547" s="18">
        <v>0.19</v>
      </c>
      <c r="H2547">
        <f>F2547*VLOOKUP(B2547,產品!$A$2:$H$61,7,FALSE)*(1-銷售總表!G2547)</f>
        <v>17496</v>
      </c>
      <c r="I2547" s="35">
        <f>H2547-F2547*VLOOKUP(銷售總表!B2547,產品!$A$2:$H$61,8,FALSE)</f>
        <v>8856</v>
      </c>
      <c r="J2547" s="20">
        <f t="shared" si="39"/>
        <v>0.50617283950617287</v>
      </c>
    </row>
    <row r="2548" spans="1:10" x14ac:dyDescent="0.3">
      <c r="A2548" s="33">
        <v>2547</v>
      </c>
      <c r="B2548" s="4">
        <v>2</v>
      </c>
      <c r="C2548" s="15">
        <v>267</v>
      </c>
      <c r="D2548" s="16">
        <v>6</v>
      </c>
      <c r="E2548" s="22">
        <v>44416</v>
      </c>
      <c r="F2548" s="19">
        <v>60</v>
      </c>
      <c r="G2548" s="18">
        <v>0.19</v>
      </c>
      <c r="H2548">
        <f>F2548*VLOOKUP(B2548,產品!$A$2:$H$61,7,FALSE)*(1-銷售總表!G2548)</f>
        <v>48600</v>
      </c>
      <c r="I2548" s="35">
        <f>H2548-F2548*VLOOKUP(銷售總表!B2548,產品!$A$2:$H$61,8,FALSE)</f>
        <v>24600</v>
      </c>
      <c r="J2548" s="20">
        <f t="shared" si="39"/>
        <v>0.50617283950617287</v>
      </c>
    </row>
    <row r="2549" spans="1:10" x14ac:dyDescent="0.3">
      <c r="A2549" s="33">
        <v>2548</v>
      </c>
      <c r="B2549" s="4">
        <v>36</v>
      </c>
      <c r="C2549" s="15">
        <v>10</v>
      </c>
      <c r="D2549" s="16">
        <v>4</v>
      </c>
      <c r="E2549" s="22">
        <v>44416</v>
      </c>
      <c r="F2549" s="19">
        <v>25</v>
      </c>
      <c r="G2549" s="18">
        <v>0.09</v>
      </c>
      <c r="H2549">
        <f>F2549*VLOOKUP(B2549,產品!$A$2:$H$61,7,FALSE)*(1-銷售總表!G2549)</f>
        <v>204750</v>
      </c>
      <c r="I2549" s="35">
        <f>H2549-F2549*VLOOKUP(銷售總表!B2549,產品!$A$2:$H$61,8,FALSE)</f>
        <v>69750</v>
      </c>
      <c r="J2549" s="20">
        <f t="shared" si="39"/>
        <v>0.34065934065934067</v>
      </c>
    </row>
    <row r="2550" spans="1:10" x14ac:dyDescent="0.3">
      <c r="A2550" s="33">
        <v>2549</v>
      </c>
      <c r="B2550" s="4">
        <v>49</v>
      </c>
      <c r="C2550" s="15">
        <v>261</v>
      </c>
      <c r="D2550" s="16">
        <v>5</v>
      </c>
      <c r="E2550" s="22">
        <v>44417</v>
      </c>
      <c r="F2550" s="17">
        <v>2</v>
      </c>
      <c r="G2550" s="18">
        <v>0.17</v>
      </c>
      <c r="H2550">
        <f>F2550*VLOOKUP(B2550,產品!$A$2:$H$61,7,FALSE)*(1-銷售總表!G2550)</f>
        <v>24900</v>
      </c>
      <c r="I2550" s="35">
        <f>H2550-F2550*VLOOKUP(銷售總表!B2550,產品!$A$2:$H$61,8,FALSE)</f>
        <v>3900</v>
      </c>
      <c r="J2550" s="20">
        <f t="shared" si="39"/>
        <v>0.15662650602409639</v>
      </c>
    </row>
    <row r="2551" spans="1:10" x14ac:dyDescent="0.3">
      <c r="A2551" s="33">
        <v>2550</v>
      </c>
      <c r="B2551" s="4">
        <v>1</v>
      </c>
      <c r="C2551" s="15">
        <v>122</v>
      </c>
      <c r="D2551" s="16">
        <v>6</v>
      </c>
      <c r="E2551" s="22">
        <v>44417</v>
      </c>
      <c r="F2551" s="17">
        <v>20</v>
      </c>
      <c r="G2551" s="18">
        <v>0.08</v>
      </c>
      <c r="H2551">
        <f>F2551*VLOOKUP(B2551,產品!$A$2:$H$61,7,FALSE)*(1-銷售總表!G2551)</f>
        <v>18400</v>
      </c>
      <c r="I2551" s="35">
        <f>H2551-F2551*VLOOKUP(銷售總表!B2551,產品!$A$2:$H$61,8,FALSE)</f>
        <v>10400</v>
      </c>
      <c r="J2551" s="20">
        <f t="shared" si="39"/>
        <v>0.56521739130434778</v>
      </c>
    </row>
    <row r="2552" spans="1:10" x14ac:dyDescent="0.3">
      <c r="A2552" s="33">
        <v>2551</v>
      </c>
      <c r="B2552" s="4">
        <v>1</v>
      </c>
      <c r="C2552" s="15">
        <v>2</v>
      </c>
      <c r="D2552" s="16">
        <v>6</v>
      </c>
      <c r="E2552" s="22">
        <v>44417</v>
      </c>
      <c r="F2552" s="19">
        <v>50</v>
      </c>
      <c r="G2552" s="18">
        <v>0.08</v>
      </c>
      <c r="H2552">
        <f>F2552*VLOOKUP(B2552,產品!$A$2:$H$61,7,FALSE)*(1-銷售總表!G2552)</f>
        <v>46000</v>
      </c>
      <c r="I2552" s="35">
        <f>H2552-F2552*VLOOKUP(銷售總表!B2552,產品!$A$2:$H$61,8,FALSE)</f>
        <v>26000</v>
      </c>
      <c r="J2552" s="20">
        <f t="shared" si="39"/>
        <v>0.56521739130434778</v>
      </c>
    </row>
    <row r="2553" spans="1:10" x14ac:dyDescent="0.3">
      <c r="A2553" s="33">
        <v>2552</v>
      </c>
      <c r="B2553" s="4">
        <v>8</v>
      </c>
      <c r="C2553" s="15">
        <v>112</v>
      </c>
      <c r="D2553" s="16">
        <v>6</v>
      </c>
      <c r="E2553" s="22">
        <v>44417</v>
      </c>
      <c r="F2553" s="19">
        <v>50</v>
      </c>
      <c r="G2553" s="18">
        <v>7.0000000000000007E-2</v>
      </c>
      <c r="H2553">
        <f>F2553*VLOOKUP(B2553,產品!$A$2:$H$61,7,FALSE)*(1-銷售總表!G2553)</f>
        <v>46500</v>
      </c>
      <c r="I2553" s="35">
        <f>H2553-F2553*VLOOKUP(銷售總表!B2553,產品!$A$2:$H$61,8,FALSE)</f>
        <v>26500</v>
      </c>
      <c r="J2553" s="20">
        <f t="shared" si="39"/>
        <v>0.56989247311827962</v>
      </c>
    </row>
    <row r="2554" spans="1:10" x14ac:dyDescent="0.3">
      <c r="A2554" s="33">
        <v>2553</v>
      </c>
      <c r="B2554" s="4">
        <v>10</v>
      </c>
      <c r="C2554" s="15">
        <v>117</v>
      </c>
      <c r="D2554" s="16">
        <v>4</v>
      </c>
      <c r="E2554" s="22">
        <v>44417</v>
      </c>
      <c r="F2554" s="19">
        <v>200</v>
      </c>
      <c r="G2554" s="18">
        <v>0.1</v>
      </c>
      <c r="H2554">
        <f>F2554*VLOOKUP(B2554,產品!$A$2:$H$61,7,FALSE)*(1-銷售總表!G2554)</f>
        <v>180000</v>
      </c>
      <c r="I2554" s="35">
        <f>H2554-F2554*VLOOKUP(銷售總表!B2554,產品!$A$2:$H$61,8,FALSE)</f>
        <v>100000</v>
      </c>
      <c r="J2554" s="20">
        <f t="shared" si="39"/>
        <v>0.55555555555555558</v>
      </c>
    </row>
    <row r="2555" spans="1:10" x14ac:dyDescent="0.3">
      <c r="A2555" s="33">
        <v>2554</v>
      </c>
      <c r="B2555" s="4">
        <v>45</v>
      </c>
      <c r="C2555" s="15">
        <v>12</v>
      </c>
      <c r="D2555" s="16">
        <v>9</v>
      </c>
      <c r="E2555" s="22">
        <v>44418</v>
      </c>
      <c r="F2555" s="19">
        <v>10</v>
      </c>
      <c r="G2555" s="18">
        <v>0.18</v>
      </c>
      <c r="H2555">
        <f>F2555*VLOOKUP(B2555,產品!$A$2:$H$61,7,FALSE)*(1-銷售總表!G2555)</f>
        <v>114800.00000000001</v>
      </c>
      <c r="I2555" s="35">
        <f>H2555-F2555*VLOOKUP(銷售總表!B2555,產品!$A$2:$H$61,8,FALSE)</f>
        <v>23800.000000000015</v>
      </c>
      <c r="J2555" s="20">
        <f t="shared" si="39"/>
        <v>0.20731707317073181</v>
      </c>
    </row>
    <row r="2556" spans="1:10" x14ac:dyDescent="0.3">
      <c r="A2556" s="33">
        <v>2555</v>
      </c>
      <c r="B2556" s="4">
        <v>60</v>
      </c>
      <c r="C2556" s="15">
        <v>291</v>
      </c>
      <c r="D2556" s="16">
        <v>7</v>
      </c>
      <c r="E2556" s="22">
        <v>44418</v>
      </c>
      <c r="F2556" s="19">
        <v>2</v>
      </c>
      <c r="G2556" s="18">
        <v>0.16</v>
      </c>
      <c r="H2556">
        <f>F2556*VLOOKUP(B2556,產品!$A$2:$H$61,7,FALSE)*(1-銷售總表!G2556)</f>
        <v>42000</v>
      </c>
      <c r="I2556" s="35">
        <f>H2556-F2556*VLOOKUP(銷售總表!B2556,產品!$A$2:$H$61,8,FALSE)</f>
        <v>7000</v>
      </c>
      <c r="J2556" s="20">
        <f t="shared" si="39"/>
        <v>0.16666666666666666</v>
      </c>
    </row>
    <row r="2557" spans="1:10" x14ac:dyDescent="0.3">
      <c r="A2557" s="33">
        <v>2556</v>
      </c>
      <c r="B2557" s="4">
        <v>45</v>
      </c>
      <c r="C2557" s="15">
        <v>293</v>
      </c>
      <c r="D2557" s="16">
        <v>9</v>
      </c>
      <c r="E2557" s="22">
        <v>44418</v>
      </c>
      <c r="F2557" s="19">
        <v>4</v>
      </c>
      <c r="G2557" s="18">
        <v>0.2</v>
      </c>
      <c r="H2557">
        <f>F2557*VLOOKUP(B2557,產品!$A$2:$H$61,7,FALSE)*(1-銷售總表!G2557)</f>
        <v>44800</v>
      </c>
      <c r="I2557" s="35">
        <f>H2557-F2557*VLOOKUP(銷售總表!B2557,產品!$A$2:$H$61,8,FALSE)</f>
        <v>8400</v>
      </c>
      <c r="J2557" s="20">
        <f t="shared" si="39"/>
        <v>0.1875</v>
      </c>
    </row>
    <row r="2558" spans="1:10" x14ac:dyDescent="0.3">
      <c r="A2558" s="33">
        <v>2557</v>
      </c>
      <c r="B2558" s="4">
        <v>42</v>
      </c>
      <c r="C2558" s="15">
        <v>266</v>
      </c>
      <c r="D2558" s="16">
        <v>4</v>
      </c>
      <c r="E2558" s="22">
        <v>44418</v>
      </c>
      <c r="F2558" s="19">
        <v>4</v>
      </c>
      <c r="G2558" s="18">
        <v>0.2</v>
      </c>
      <c r="H2558">
        <f>F2558*VLOOKUP(B2558,產品!$A$2:$H$61,7,FALSE)*(1-銷售總表!G2558)</f>
        <v>48000</v>
      </c>
      <c r="I2558" s="35">
        <f>H2558-F2558*VLOOKUP(銷售總表!B2558,產品!$A$2:$H$61,8,FALSE)</f>
        <v>9000</v>
      </c>
      <c r="J2558" s="20">
        <f t="shared" si="39"/>
        <v>0.1875</v>
      </c>
    </row>
    <row r="2559" spans="1:10" x14ac:dyDescent="0.3">
      <c r="A2559" s="33">
        <v>2558</v>
      </c>
      <c r="B2559" s="4">
        <v>46</v>
      </c>
      <c r="C2559" s="15">
        <v>124</v>
      </c>
      <c r="D2559" s="16">
        <v>1</v>
      </c>
      <c r="E2559" s="22">
        <v>44418</v>
      </c>
      <c r="F2559" s="19">
        <v>3</v>
      </c>
      <c r="G2559" s="18">
        <v>0.09</v>
      </c>
      <c r="H2559">
        <f>F2559*VLOOKUP(B2559,產品!$A$2:$H$61,7,FALSE)*(1-銷售總表!G2559)</f>
        <v>46410</v>
      </c>
      <c r="I2559" s="35">
        <f>H2559-F2559*VLOOKUP(銷售總表!B2559,產品!$A$2:$H$61,8,FALSE)</f>
        <v>13260</v>
      </c>
      <c r="J2559" s="20">
        <f t="shared" si="39"/>
        <v>0.2857142857142857</v>
      </c>
    </row>
    <row r="2560" spans="1:10" x14ac:dyDescent="0.3">
      <c r="A2560" s="33">
        <v>2559</v>
      </c>
      <c r="B2560" s="4">
        <v>32</v>
      </c>
      <c r="C2560" s="15">
        <v>282</v>
      </c>
      <c r="D2560" s="16">
        <v>3</v>
      </c>
      <c r="E2560" s="22">
        <v>44419</v>
      </c>
      <c r="F2560" s="19">
        <v>4</v>
      </c>
      <c r="G2560" s="18">
        <v>7.0000000000000007E-2</v>
      </c>
      <c r="H2560">
        <f>F2560*VLOOKUP(B2560,產品!$A$2:$H$61,7,FALSE)*(1-銷售總表!G2560)</f>
        <v>27899.999999999996</v>
      </c>
      <c r="I2560" s="35">
        <f>H2560-F2560*VLOOKUP(銷售總表!B2560,產品!$A$2:$H$61,8,FALSE)</f>
        <v>9899.9999999999964</v>
      </c>
      <c r="J2560" s="20">
        <f t="shared" si="39"/>
        <v>0.35483870967741926</v>
      </c>
    </row>
    <row r="2561" spans="1:10" x14ac:dyDescent="0.3">
      <c r="A2561" s="33">
        <v>2560</v>
      </c>
      <c r="B2561" s="4">
        <v>40</v>
      </c>
      <c r="C2561" s="15">
        <v>268</v>
      </c>
      <c r="D2561" s="16">
        <v>5</v>
      </c>
      <c r="E2561" s="22">
        <v>44419</v>
      </c>
      <c r="F2561" s="19">
        <v>3</v>
      </c>
      <c r="G2561" s="18">
        <v>0.16</v>
      </c>
      <c r="H2561">
        <f>F2561*VLOOKUP(B2561,產品!$A$2:$H$61,7,FALSE)*(1-銷售總表!G2561)</f>
        <v>50400</v>
      </c>
      <c r="I2561" s="35">
        <f>H2561-F2561*VLOOKUP(銷售總表!B2561,產品!$A$2:$H$61,8,FALSE)</f>
        <v>11400</v>
      </c>
      <c r="J2561" s="20">
        <f t="shared" si="39"/>
        <v>0.22619047619047619</v>
      </c>
    </row>
    <row r="2562" spans="1:10" x14ac:dyDescent="0.3">
      <c r="A2562" s="33">
        <v>2561</v>
      </c>
      <c r="B2562" s="4">
        <v>2</v>
      </c>
      <c r="C2562" s="15">
        <v>265</v>
      </c>
      <c r="D2562" s="16">
        <v>5</v>
      </c>
      <c r="E2562" s="22">
        <v>44419</v>
      </c>
      <c r="F2562" s="19">
        <v>40</v>
      </c>
      <c r="G2562" s="18">
        <v>0.1</v>
      </c>
      <c r="H2562">
        <f>F2562*VLOOKUP(B2562,產品!$A$2:$H$61,7,FALSE)*(1-銷售總表!G2562)</f>
        <v>36000</v>
      </c>
      <c r="I2562" s="35">
        <f>H2562-F2562*VLOOKUP(銷售總表!B2562,產品!$A$2:$H$61,8,FALSE)</f>
        <v>20000</v>
      </c>
      <c r="J2562" s="20">
        <f t="shared" si="39"/>
        <v>0.55555555555555558</v>
      </c>
    </row>
    <row r="2563" spans="1:10" x14ac:dyDescent="0.3">
      <c r="A2563" s="33">
        <v>2562</v>
      </c>
      <c r="B2563" s="4">
        <v>50</v>
      </c>
      <c r="C2563" s="15">
        <v>8</v>
      </c>
      <c r="D2563" s="16">
        <v>4</v>
      </c>
      <c r="E2563" s="22">
        <v>44420</v>
      </c>
      <c r="F2563" s="19">
        <v>10</v>
      </c>
      <c r="G2563" s="18">
        <v>0.2</v>
      </c>
      <c r="H2563">
        <f>F2563*VLOOKUP(B2563,產品!$A$2:$H$61,7,FALSE)*(1-銷售總表!G2563)</f>
        <v>144000</v>
      </c>
      <c r="I2563" s="35">
        <f>H2563-F2563*VLOOKUP(銷售總表!B2563,產品!$A$2:$H$61,8,FALSE)</f>
        <v>18000</v>
      </c>
      <c r="J2563" s="20">
        <f t="shared" ref="J2563:J2626" si="40">I2563/H2563</f>
        <v>0.125</v>
      </c>
    </row>
    <row r="2564" spans="1:10" x14ac:dyDescent="0.3">
      <c r="A2564" s="33">
        <v>2563</v>
      </c>
      <c r="B2564" s="4">
        <v>11</v>
      </c>
      <c r="C2564" s="15">
        <v>11</v>
      </c>
      <c r="D2564" s="16">
        <v>3</v>
      </c>
      <c r="E2564" s="22">
        <v>44420</v>
      </c>
      <c r="F2564" s="19">
        <v>30</v>
      </c>
      <c r="G2564" s="18">
        <v>0.18</v>
      </c>
      <c r="H2564">
        <f>F2564*VLOOKUP(B2564,產品!$A$2:$H$61,7,FALSE)*(1-銷售總表!G2564)</f>
        <v>24600.000000000004</v>
      </c>
      <c r="I2564" s="35">
        <f>H2564-F2564*VLOOKUP(銷售總表!B2564,產品!$A$2:$H$61,8,FALSE)</f>
        <v>12600.000000000004</v>
      </c>
      <c r="J2564" s="20">
        <f t="shared" si="40"/>
        <v>0.51219512195121963</v>
      </c>
    </row>
    <row r="2565" spans="1:10" x14ac:dyDescent="0.3">
      <c r="A2565" s="33">
        <v>2564</v>
      </c>
      <c r="B2565" s="4">
        <v>6</v>
      </c>
      <c r="C2565" s="15">
        <v>271</v>
      </c>
      <c r="D2565" s="16">
        <v>1</v>
      </c>
      <c r="E2565" s="22">
        <v>44420</v>
      </c>
      <c r="F2565" s="19">
        <v>70</v>
      </c>
      <c r="G2565" s="18">
        <v>0.14000000000000001</v>
      </c>
      <c r="H2565">
        <f>F2565*VLOOKUP(B2565,產品!$A$2:$H$61,7,FALSE)*(1-銷售總表!G2565)</f>
        <v>60200</v>
      </c>
      <c r="I2565" s="35">
        <f>H2565-F2565*VLOOKUP(銷售總表!B2565,產品!$A$2:$H$61,8,FALSE)</f>
        <v>32200</v>
      </c>
      <c r="J2565" s="20">
        <f t="shared" si="40"/>
        <v>0.53488372093023251</v>
      </c>
    </row>
    <row r="2566" spans="1:10" x14ac:dyDescent="0.3">
      <c r="A2566" s="33">
        <v>2565</v>
      </c>
      <c r="B2566" s="4">
        <v>55</v>
      </c>
      <c r="C2566" s="15">
        <v>113</v>
      </c>
      <c r="D2566" s="16">
        <v>1</v>
      </c>
      <c r="E2566" s="22">
        <v>44420</v>
      </c>
      <c r="F2566" s="17">
        <v>10</v>
      </c>
      <c r="G2566" s="18">
        <v>0.09</v>
      </c>
      <c r="H2566">
        <f>F2566*VLOOKUP(B2566,產品!$A$2:$H$61,7,FALSE)*(1-銷售總表!G2566)</f>
        <v>182000</v>
      </c>
      <c r="I2566" s="35">
        <f>H2566-F2566*VLOOKUP(銷售總表!B2566,產品!$A$2:$H$61,8,FALSE)</f>
        <v>42000</v>
      </c>
      <c r="J2566" s="20">
        <f t="shared" si="40"/>
        <v>0.23076923076923078</v>
      </c>
    </row>
    <row r="2567" spans="1:10" x14ac:dyDescent="0.3">
      <c r="A2567" s="33">
        <v>2566</v>
      </c>
      <c r="B2567" s="4">
        <v>21</v>
      </c>
      <c r="C2567" s="15">
        <v>286</v>
      </c>
      <c r="D2567" s="16">
        <v>2</v>
      </c>
      <c r="E2567" s="22">
        <v>44420</v>
      </c>
      <c r="F2567" s="17">
        <v>60</v>
      </c>
      <c r="G2567" s="18">
        <v>0.2</v>
      </c>
      <c r="H2567">
        <f>F2567*VLOOKUP(B2567,產品!$A$2:$H$61,7,FALSE)*(1-銷售總表!G2567)</f>
        <v>86400</v>
      </c>
      <c r="I2567" s="35">
        <f>H2567-F2567*VLOOKUP(銷售總表!B2567,產品!$A$2:$H$61,8,FALSE)</f>
        <v>43200</v>
      </c>
      <c r="J2567" s="20">
        <f t="shared" si="40"/>
        <v>0.5</v>
      </c>
    </row>
    <row r="2568" spans="1:10" x14ac:dyDescent="0.3">
      <c r="A2568" s="33">
        <v>2567</v>
      </c>
      <c r="B2568" s="4">
        <v>56</v>
      </c>
      <c r="C2568" s="15">
        <v>122</v>
      </c>
      <c r="D2568" s="16">
        <v>8</v>
      </c>
      <c r="E2568" s="22">
        <v>44420</v>
      </c>
      <c r="F2568" s="19">
        <v>10</v>
      </c>
      <c r="G2568" s="18">
        <v>0.05</v>
      </c>
      <c r="H2568">
        <f>F2568*VLOOKUP(B2568,產品!$A$2:$H$61,7,FALSE)*(1-銷售總表!G2568)</f>
        <v>209000</v>
      </c>
      <c r="I2568" s="35">
        <f>H2568-F2568*VLOOKUP(銷售總表!B2568,產品!$A$2:$H$61,8,FALSE)</f>
        <v>55000.000000000029</v>
      </c>
      <c r="J2568" s="20">
        <f t="shared" si="40"/>
        <v>0.26315789473684226</v>
      </c>
    </row>
    <row r="2569" spans="1:10" x14ac:dyDescent="0.3">
      <c r="A2569" s="33">
        <v>2568</v>
      </c>
      <c r="B2569" s="4">
        <v>13</v>
      </c>
      <c r="C2569" s="15">
        <v>112</v>
      </c>
      <c r="D2569" s="16">
        <v>8</v>
      </c>
      <c r="E2569" s="22">
        <v>44420</v>
      </c>
      <c r="F2569" s="17">
        <v>100</v>
      </c>
      <c r="G2569" s="18">
        <v>0.14000000000000001</v>
      </c>
      <c r="H2569">
        <f>F2569*VLOOKUP(B2569,產品!$A$2:$H$61,7,FALSE)*(1-銷售總表!G2569)</f>
        <v>154800</v>
      </c>
      <c r="I2569" s="35">
        <f>H2569-F2569*VLOOKUP(銷售總表!B2569,產品!$A$2:$H$61,8,FALSE)</f>
        <v>82800</v>
      </c>
      <c r="J2569" s="20">
        <f t="shared" si="40"/>
        <v>0.53488372093023251</v>
      </c>
    </row>
    <row r="2570" spans="1:10" x14ac:dyDescent="0.3">
      <c r="A2570" s="33">
        <v>2569</v>
      </c>
      <c r="B2570" s="4">
        <v>47</v>
      </c>
      <c r="C2570" s="15">
        <v>7</v>
      </c>
      <c r="D2570" s="16">
        <v>3</v>
      </c>
      <c r="E2570" s="22">
        <v>44420</v>
      </c>
      <c r="F2570" s="17">
        <v>15</v>
      </c>
      <c r="G2570" s="18">
        <v>0.06</v>
      </c>
      <c r="H2570">
        <f>F2570*VLOOKUP(B2570,產品!$A$2:$H$61,7,FALSE)*(1-銷售總表!G2570)</f>
        <v>282000</v>
      </c>
      <c r="I2570" s="35">
        <f>H2570-F2570*VLOOKUP(銷售總表!B2570,產品!$A$2:$H$61,8,FALSE)</f>
        <v>87000</v>
      </c>
      <c r="J2570" s="20">
        <f t="shared" si="40"/>
        <v>0.30851063829787234</v>
      </c>
    </row>
    <row r="2571" spans="1:10" x14ac:dyDescent="0.3">
      <c r="A2571" s="33">
        <v>2570</v>
      </c>
      <c r="B2571" s="4">
        <v>49</v>
      </c>
      <c r="C2571" s="15">
        <v>284</v>
      </c>
      <c r="D2571" s="16">
        <v>7</v>
      </c>
      <c r="E2571" s="22">
        <v>44421</v>
      </c>
      <c r="F2571" s="19">
        <v>10</v>
      </c>
      <c r="G2571" s="18">
        <v>0.18</v>
      </c>
      <c r="H2571">
        <f>F2571*VLOOKUP(B2571,產品!$A$2:$H$61,7,FALSE)*(1-銷售總表!G2571)</f>
        <v>123000.00000000001</v>
      </c>
      <c r="I2571" s="35">
        <f>H2571-F2571*VLOOKUP(銷售總表!B2571,產品!$A$2:$H$61,8,FALSE)</f>
        <v>18000.000000000015</v>
      </c>
      <c r="J2571" s="20">
        <f t="shared" si="40"/>
        <v>0.14634146341463425</v>
      </c>
    </row>
    <row r="2572" spans="1:10" x14ac:dyDescent="0.3">
      <c r="A2572" s="33">
        <v>2571</v>
      </c>
      <c r="B2572" s="4">
        <v>57</v>
      </c>
      <c r="C2572" s="15">
        <v>125</v>
      </c>
      <c r="D2572" s="16">
        <v>6</v>
      </c>
      <c r="E2572" s="22">
        <v>44421</v>
      </c>
      <c r="F2572" s="19">
        <v>3</v>
      </c>
      <c r="G2572" s="18">
        <v>0.18</v>
      </c>
      <c r="H2572">
        <f>F2572*VLOOKUP(B2572,產品!$A$2:$H$61,7,FALSE)*(1-銷售總表!G2572)</f>
        <v>44280</v>
      </c>
      <c r="I2572" s="35">
        <f>H2572-F2572*VLOOKUP(銷售總表!B2572,產品!$A$2:$H$61,8,FALSE)</f>
        <v>6480</v>
      </c>
      <c r="J2572" s="20">
        <f t="shared" si="40"/>
        <v>0.14634146341463414</v>
      </c>
    </row>
    <row r="2573" spans="1:10" x14ac:dyDescent="0.3">
      <c r="A2573" s="33">
        <v>2572</v>
      </c>
      <c r="B2573" s="4">
        <v>40</v>
      </c>
      <c r="C2573" s="15">
        <v>266</v>
      </c>
      <c r="D2573" s="16">
        <v>8</v>
      </c>
      <c r="E2573" s="22">
        <v>44421</v>
      </c>
      <c r="F2573" s="17">
        <v>2</v>
      </c>
      <c r="G2573" s="18">
        <v>0.16</v>
      </c>
      <c r="H2573">
        <f>F2573*VLOOKUP(B2573,產品!$A$2:$H$61,7,FALSE)*(1-銷售總表!G2573)</f>
        <v>33600</v>
      </c>
      <c r="I2573" s="35">
        <f>H2573-F2573*VLOOKUP(銷售總表!B2573,產品!$A$2:$H$61,8,FALSE)</f>
        <v>7600</v>
      </c>
      <c r="J2573" s="20">
        <f t="shared" si="40"/>
        <v>0.22619047619047619</v>
      </c>
    </row>
    <row r="2574" spans="1:10" x14ac:dyDescent="0.3">
      <c r="A2574" s="33">
        <v>2573</v>
      </c>
      <c r="B2574" s="4">
        <v>38</v>
      </c>
      <c r="C2574" s="15">
        <v>6</v>
      </c>
      <c r="D2574" s="16">
        <v>5</v>
      </c>
      <c r="E2574" s="22">
        <v>44421</v>
      </c>
      <c r="F2574" s="19">
        <v>3</v>
      </c>
      <c r="G2574" s="18">
        <v>7.0000000000000007E-2</v>
      </c>
      <c r="H2574">
        <f>F2574*VLOOKUP(B2574,產品!$A$2:$H$61,7,FALSE)*(1-銷售總表!G2574)</f>
        <v>41850</v>
      </c>
      <c r="I2574" s="35">
        <f>H2574-F2574*VLOOKUP(銷售總表!B2574,產品!$A$2:$H$61,8,FALSE)</f>
        <v>12600</v>
      </c>
      <c r="J2574" s="20">
        <f t="shared" si="40"/>
        <v>0.30107526881720431</v>
      </c>
    </row>
    <row r="2575" spans="1:10" x14ac:dyDescent="0.3">
      <c r="A2575" s="33">
        <v>2574</v>
      </c>
      <c r="B2575" s="4">
        <v>32</v>
      </c>
      <c r="C2575" s="15">
        <v>112</v>
      </c>
      <c r="D2575" s="16">
        <v>9</v>
      </c>
      <c r="E2575" s="22">
        <v>44421</v>
      </c>
      <c r="F2575" s="17">
        <v>6</v>
      </c>
      <c r="G2575" s="18">
        <v>0.1</v>
      </c>
      <c r="H2575">
        <f>F2575*VLOOKUP(B2575,產品!$A$2:$H$61,7,FALSE)*(1-銷售總表!G2575)</f>
        <v>40500</v>
      </c>
      <c r="I2575" s="35">
        <f>H2575-F2575*VLOOKUP(銷售總表!B2575,產品!$A$2:$H$61,8,FALSE)</f>
        <v>13500</v>
      </c>
      <c r="J2575" s="20">
        <f t="shared" si="40"/>
        <v>0.33333333333333331</v>
      </c>
    </row>
    <row r="2576" spans="1:10" x14ac:dyDescent="0.3">
      <c r="A2576" s="33">
        <v>2575</v>
      </c>
      <c r="B2576" s="4">
        <v>36</v>
      </c>
      <c r="C2576" s="15">
        <v>284</v>
      </c>
      <c r="D2576" s="16">
        <v>7</v>
      </c>
      <c r="E2576" s="22">
        <v>44421</v>
      </c>
      <c r="F2576" s="19">
        <v>9</v>
      </c>
      <c r="G2576" s="18">
        <v>0.16</v>
      </c>
      <c r="H2576">
        <f>F2576*VLOOKUP(B2576,產品!$A$2:$H$61,7,FALSE)*(1-銷售總表!G2576)</f>
        <v>68040</v>
      </c>
      <c r="I2576" s="35">
        <f>H2576-F2576*VLOOKUP(銷售總表!B2576,產品!$A$2:$H$61,8,FALSE)</f>
        <v>19440</v>
      </c>
      <c r="J2576" s="20">
        <f t="shared" si="40"/>
        <v>0.2857142857142857</v>
      </c>
    </row>
    <row r="2577" spans="1:10" x14ac:dyDescent="0.3">
      <c r="A2577" s="33">
        <v>2576</v>
      </c>
      <c r="B2577" s="4">
        <v>47</v>
      </c>
      <c r="C2577" s="15">
        <v>257</v>
      </c>
      <c r="D2577" s="16">
        <v>10</v>
      </c>
      <c r="E2577" s="22">
        <v>44421</v>
      </c>
      <c r="F2577" s="17">
        <v>4</v>
      </c>
      <c r="G2577" s="18">
        <v>0.1</v>
      </c>
      <c r="H2577">
        <f>F2577*VLOOKUP(B2577,產品!$A$2:$H$61,7,FALSE)*(1-銷售總表!G2577)</f>
        <v>72000</v>
      </c>
      <c r="I2577" s="35">
        <f>H2577-F2577*VLOOKUP(銷售總表!B2577,產品!$A$2:$H$61,8,FALSE)</f>
        <v>20000</v>
      </c>
      <c r="J2577" s="20">
        <f t="shared" si="40"/>
        <v>0.27777777777777779</v>
      </c>
    </row>
    <row r="2578" spans="1:10" x14ac:dyDescent="0.3">
      <c r="A2578" s="33">
        <v>2577</v>
      </c>
      <c r="B2578" s="4">
        <v>54</v>
      </c>
      <c r="C2578" s="15">
        <v>277</v>
      </c>
      <c r="D2578" s="16">
        <v>9</v>
      </c>
      <c r="E2578" s="22">
        <v>44421</v>
      </c>
      <c r="F2578" s="19">
        <v>9</v>
      </c>
      <c r="G2578" s="18">
        <v>0.17</v>
      </c>
      <c r="H2578">
        <f>F2578*VLOOKUP(B2578,產品!$A$2:$H$61,7,FALSE)*(1-銷售總表!G2578)</f>
        <v>134460</v>
      </c>
      <c r="I2578" s="35">
        <f>H2578-F2578*VLOOKUP(銷售總表!B2578,產品!$A$2:$H$61,8,FALSE)</f>
        <v>21060</v>
      </c>
      <c r="J2578" s="20">
        <f t="shared" si="40"/>
        <v>0.15662650602409639</v>
      </c>
    </row>
    <row r="2579" spans="1:10" x14ac:dyDescent="0.3">
      <c r="A2579" s="33">
        <v>2578</v>
      </c>
      <c r="B2579" s="4">
        <v>47</v>
      </c>
      <c r="C2579" s="15">
        <v>1</v>
      </c>
      <c r="D2579" s="16">
        <v>3</v>
      </c>
      <c r="E2579" s="22">
        <v>44421</v>
      </c>
      <c r="F2579" s="19">
        <v>7</v>
      </c>
      <c r="G2579" s="18">
        <v>0.09</v>
      </c>
      <c r="H2579">
        <f>F2579*VLOOKUP(B2579,產品!$A$2:$H$61,7,FALSE)*(1-銷售總表!G2579)</f>
        <v>127400</v>
      </c>
      <c r="I2579" s="35">
        <f>H2579-F2579*VLOOKUP(銷售總表!B2579,產品!$A$2:$H$61,8,FALSE)</f>
        <v>36400</v>
      </c>
      <c r="J2579" s="20">
        <f t="shared" si="40"/>
        <v>0.2857142857142857</v>
      </c>
    </row>
    <row r="2580" spans="1:10" x14ac:dyDescent="0.3">
      <c r="A2580" s="33">
        <v>2579</v>
      </c>
      <c r="B2580" s="4">
        <v>49</v>
      </c>
      <c r="C2580" s="15">
        <v>281</v>
      </c>
      <c r="D2580" s="16">
        <v>9</v>
      </c>
      <c r="E2580" s="22">
        <v>44422</v>
      </c>
      <c r="F2580" s="19">
        <v>4</v>
      </c>
      <c r="G2580" s="18">
        <v>0.18</v>
      </c>
      <c r="H2580">
        <f>F2580*VLOOKUP(B2580,產品!$A$2:$H$61,7,FALSE)*(1-銷售總表!G2580)</f>
        <v>49200.000000000007</v>
      </c>
      <c r="I2580" s="35">
        <f>H2580-F2580*VLOOKUP(銷售總表!B2580,產品!$A$2:$H$61,8,FALSE)</f>
        <v>7200.0000000000073</v>
      </c>
      <c r="J2580" s="20">
        <f t="shared" si="40"/>
        <v>0.14634146341463428</v>
      </c>
    </row>
    <row r="2581" spans="1:10" x14ac:dyDescent="0.3">
      <c r="A2581" s="33">
        <v>2580</v>
      </c>
      <c r="B2581" s="4">
        <v>48</v>
      </c>
      <c r="C2581" s="15">
        <v>6</v>
      </c>
      <c r="D2581" s="16">
        <v>5</v>
      </c>
      <c r="E2581" s="22">
        <v>44422</v>
      </c>
      <c r="F2581" s="19">
        <v>6</v>
      </c>
      <c r="G2581" s="18">
        <v>0.11</v>
      </c>
      <c r="H2581">
        <f>F2581*VLOOKUP(B2581,產品!$A$2:$H$61,7,FALSE)*(1-銷售總表!G2581)</f>
        <v>117480</v>
      </c>
      <c r="I2581" s="35">
        <f>H2581-F2581*VLOOKUP(銷售總表!B2581,產品!$A$2:$H$61,8,FALSE)</f>
        <v>31680</v>
      </c>
      <c r="J2581" s="20">
        <f t="shared" si="40"/>
        <v>0.2696629213483146</v>
      </c>
    </row>
    <row r="2582" spans="1:10" x14ac:dyDescent="0.3">
      <c r="A2582" s="33">
        <v>2581</v>
      </c>
      <c r="B2582" s="4">
        <v>1</v>
      </c>
      <c r="C2582" s="15">
        <v>114</v>
      </c>
      <c r="D2582" s="16">
        <v>2</v>
      </c>
      <c r="E2582" s="22">
        <v>44422</v>
      </c>
      <c r="F2582" s="19">
        <v>80</v>
      </c>
      <c r="G2582" s="18">
        <v>0.13</v>
      </c>
      <c r="H2582">
        <f>F2582*VLOOKUP(B2582,產品!$A$2:$H$61,7,FALSE)*(1-銷售總表!G2582)</f>
        <v>69600</v>
      </c>
      <c r="I2582" s="35">
        <f>H2582-F2582*VLOOKUP(銷售總表!B2582,產品!$A$2:$H$61,8,FALSE)</f>
        <v>37600</v>
      </c>
      <c r="J2582" s="20">
        <f t="shared" si="40"/>
        <v>0.54022988505747127</v>
      </c>
    </row>
    <row r="2583" spans="1:10" x14ac:dyDescent="0.3">
      <c r="A2583" s="33">
        <v>2582</v>
      </c>
      <c r="B2583" s="4">
        <v>46</v>
      </c>
      <c r="C2583" s="15">
        <v>268</v>
      </c>
      <c r="D2583" s="16">
        <v>10</v>
      </c>
      <c r="E2583" s="22">
        <v>44422</v>
      </c>
      <c r="F2583" s="19">
        <v>10</v>
      </c>
      <c r="G2583" s="18">
        <v>0.1</v>
      </c>
      <c r="H2583">
        <f>F2583*VLOOKUP(B2583,產品!$A$2:$H$61,7,FALSE)*(1-銷售總表!G2583)</f>
        <v>153000</v>
      </c>
      <c r="I2583" s="35">
        <f>H2583-F2583*VLOOKUP(銷售總表!B2583,產品!$A$2:$H$61,8,FALSE)</f>
        <v>42500</v>
      </c>
      <c r="J2583" s="20">
        <f t="shared" si="40"/>
        <v>0.27777777777777779</v>
      </c>
    </row>
    <row r="2584" spans="1:10" x14ac:dyDescent="0.3">
      <c r="A2584" s="33">
        <v>2583</v>
      </c>
      <c r="B2584" s="4">
        <v>7</v>
      </c>
      <c r="C2584" s="15">
        <v>262</v>
      </c>
      <c r="D2584" s="16">
        <v>10</v>
      </c>
      <c r="E2584" s="22">
        <v>44423</v>
      </c>
      <c r="F2584" s="19">
        <v>13</v>
      </c>
      <c r="G2584" s="18">
        <v>0.13</v>
      </c>
      <c r="H2584">
        <f>F2584*VLOOKUP(B2584,產品!$A$2:$H$61,7,FALSE)*(1-銷售總表!G2584)</f>
        <v>11310</v>
      </c>
      <c r="I2584" s="35">
        <f>H2584-F2584*VLOOKUP(銷售總表!B2584,產品!$A$2:$H$61,8,FALSE)</f>
        <v>6110</v>
      </c>
      <c r="J2584" s="20">
        <f t="shared" si="40"/>
        <v>0.54022988505747127</v>
      </c>
    </row>
    <row r="2585" spans="1:10" x14ac:dyDescent="0.3">
      <c r="A2585" s="33">
        <v>2584</v>
      </c>
      <c r="B2585" s="4">
        <v>58</v>
      </c>
      <c r="C2585" s="15">
        <v>138</v>
      </c>
      <c r="D2585" s="16">
        <v>10</v>
      </c>
      <c r="E2585" s="22">
        <v>44423</v>
      </c>
      <c r="F2585" s="19">
        <v>3</v>
      </c>
      <c r="G2585" s="18">
        <v>0.09</v>
      </c>
      <c r="H2585">
        <f>F2585*VLOOKUP(B2585,產品!$A$2:$H$61,7,FALSE)*(1-銷售總表!G2585)</f>
        <v>57330</v>
      </c>
      <c r="I2585" s="35">
        <f>H2585-F2585*VLOOKUP(銷售總表!B2585,產品!$A$2:$H$61,8,FALSE)</f>
        <v>13230.000000000007</v>
      </c>
      <c r="J2585" s="20">
        <f t="shared" si="40"/>
        <v>0.23076923076923089</v>
      </c>
    </row>
    <row r="2586" spans="1:10" x14ac:dyDescent="0.3">
      <c r="A2586" s="33">
        <v>2585</v>
      </c>
      <c r="B2586" s="4">
        <v>17</v>
      </c>
      <c r="C2586" s="15">
        <v>5</v>
      </c>
      <c r="D2586" s="16">
        <v>4</v>
      </c>
      <c r="E2586" s="22">
        <v>44423</v>
      </c>
      <c r="F2586" s="19">
        <v>30</v>
      </c>
      <c r="G2586" s="18">
        <v>0.2</v>
      </c>
      <c r="H2586">
        <f>F2586*VLOOKUP(B2586,產品!$A$2:$H$61,7,FALSE)*(1-銷售總表!G2586)</f>
        <v>43200</v>
      </c>
      <c r="I2586" s="35">
        <f>H2586-F2586*VLOOKUP(銷售總表!B2586,產品!$A$2:$H$61,8,FALSE)</f>
        <v>21600</v>
      </c>
      <c r="J2586" s="20">
        <f t="shared" si="40"/>
        <v>0.5</v>
      </c>
    </row>
    <row r="2587" spans="1:10" x14ac:dyDescent="0.3">
      <c r="A2587" s="33">
        <v>2586</v>
      </c>
      <c r="B2587" s="4">
        <v>57</v>
      </c>
      <c r="C2587" s="15">
        <v>12</v>
      </c>
      <c r="D2587" s="16">
        <v>3</v>
      </c>
      <c r="E2587" s="22">
        <v>44423</v>
      </c>
      <c r="F2587" s="19">
        <v>15</v>
      </c>
      <c r="G2587" s="18">
        <v>0.19</v>
      </c>
      <c r="H2587">
        <f>F2587*VLOOKUP(B2587,產品!$A$2:$H$61,7,FALSE)*(1-銷售總表!G2587)</f>
        <v>218700</v>
      </c>
      <c r="I2587" s="35">
        <f>H2587-F2587*VLOOKUP(銷售總表!B2587,產品!$A$2:$H$61,8,FALSE)</f>
        <v>29700</v>
      </c>
      <c r="J2587" s="20">
        <f t="shared" si="40"/>
        <v>0.13580246913580246</v>
      </c>
    </row>
    <row r="2588" spans="1:10" x14ac:dyDescent="0.3">
      <c r="A2588" s="33">
        <v>2587</v>
      </c>
      <c r="B2588" s="4">
        <v>2</v>
      </c>
      <c r="C2588" s="15">
        <v>7</v>
      </c>
      <c r="D2588" s="16">
        <v>5</v>
      </c>
      <c r="E2588" s="22">
        <v>44423</v>
      </c>
      <c r="F2588" s="17">
        <v>80</v>
      </c>
      <c r="G2588" s="18">
        <v>0.14000000000000001</v>
      </c>
      <c r="H2588">
        <f>F2588*VLOOKUP(B2588,產品!$A$2:$H$61,7,FALSE)*(1-銷售總表!G2588)</f>
        <v>68800</v>
      </c>
      <c r="I2588" s="35">
        <f>H2588-F2588*VLOOKUP(銷售總表!B2588,產品!$A$2:$H$61,8,FALSE)</f>
        <v>36800</v>
      </c>
      <c r="J2588" s="20">
        <f t="shared" si="40"/>
        <v>0.53488372093023251</v>
      </c>
    </row>
    <row r="2589" spans="1:10" x14ac:dyDescent="0.3">
      <c r="A2589" s="33">
        <v>2588</v>
      </c>
      <c r="B2589" s="4">
        <v>52</v>
      </c>
      <c r="C2589" s="15">
        <v>117</v>
      </c>
      <c r="D2589" s="16">
        <v>8</v>
      </c>
      <c r="E2589" s="22">
        <v>44423</v>
      </c>
      <c r="F2589" s="17">
        <v>14</v>
      </c>
      <c r="G2589" s="18">
        <v>0.18</v>
      </c>
      <c r="H2589">
        <f>F2589*VLOOKUP(B2589,產品!$A$2:$H$61,7,FALSE)*(1-銷售總表!G2589)</f>
        <v>252560.00000000003</v>
      </c>
      <c r="I2589" s="35">
        <f>H2589-F2589*VLOOKUP(銷售總表!B2589,產品!$A$2:$H$61,8,FALSE)</f>
        <v>36960.000000000058</v>
      </c>
      <c r="J2589" s="20">
        <f t="shared" si="40"/>
        <v>0.14634146341463436</v>
      </c>
    </row>
    <row r="2590" spans="1:10" x14ac:dyDescent="0.3">
      <c r="A2590" s="33">
        <v>2589</v>
      </c>
      <c r="B2590" s="4">
        <v>50</v>
      </c>
      <c r="C2590" s="15">
        <v>135</v>
      </c>
      <c r="D2590" s="16">
        <v>10</v>
      </c>
      <c r="E2590" s="22">
        <v>44423</v>
      </c>
      <c r="F2590" s="17">
        <v>15</v>
      </c>
      <c r="G2590" s="18">
        <v>0.16</v>
      </c>
      <c r="H2590">
        <f>F2590*VLOOKUP(B2590,產品!$A$2:$H$61,7,FALSE)*(1-銷售總表!G2590)</f>
        <v>226800</v>
      </c>
      <c r="I2590" s="35">
        <f>H2590-F2590*VLOOKUP(銷售總表!B2590,產品!$A$2:$H$61,8,FALSE)</f>
        <v>37800</v>
      </c>
      <c r="J2590" s="20">
        <f t="shared" si="40"/>
        <v>0.16666666666666666</v>
      </c>
    </row>
    <row r="2591" spans="1:10" x14ac:dyDescent="0.3">
      <c r="A2591" s="33">
        <v>2590</v>
      </c>
      <c r="B2591" s="4">
        <v>20</v>
      </c>
      <c r="C2591" s="15">
        <v>291</v>
      </c>
      <c r="D2591" s="16">
        <v>10</v>
      </c>
      <c r="E2591" s="22">
        <v>44423</v>
      </c>
      <c r="F2591" s="17">
        <v>45</v>
      </c>
      <c r="G2591" s="18">
        <v>0.11</v>
      </c>
      <c r="H2591">
        <f>F2591*VLOOKUP(B2591,產品!$A$2:$H$61,7,FALSE)*(1-銷售總表!G2591)</f>
        <v>72090</v>
      </c>
      <c r="I2591" s="35">
        <f>H2591-F2591*VLOOKUP(銷售總表!B2591,產品!$A$2:$H$61,8,FALSE)</f>
        <v>39690</v>
      </c>
      <c r="J2591" s="20">
        <f t="shared" si="40"/>
        <v>0.550561797752809</v>
      </c>
    </row>
    <row r="2592" spans="1:10" x14ac:dyDescent="0.3">
      <c r="A2592" s="33">
        <v>2591</v>
      </c>
      <c r="B2592" s="4">
        <v>47</v>
      </c>
      <c r="C2592" s="15">
        <v>4</v>
      </c>
      <c r="D2592" s="16">
        <v>4</v>
      </c>
      <c r="E2592" s="22">
        <v>44423</v>
      </c>
      <c r="F2592" s="17">
        <v>8</v>
      </c>
      <c r="G2592" s="18">
        <v>0.09</v>
      </c>
      <c r="H2592">
        <f>F2592*VLOOKUP(B2592,產品!$A$2:$H$61,7,FALSE)*(1-銷售總表!G2592)</f>
        <v>145600</v>
      </c>
      <c r="I2592" s="35">
        <f>H2592-F2592*VLOOKUP(銷售總表!B2592,產品!$A$2:$H$61,8,FALSE)</f>
        <v>41600</v>
      </c>
      <c r="J2592" s="20">
        <f t="shared" si="40"/>
        <v>0.2857142857142857</v>
      </c>
    </row>
    <row r="2593" spans="1:10" x14ac:dyDescent="0.3">
      <c r="A2593" s="33">
        <v>2592</v>
      </c>
      <c r="B2593" s="4">
        <v>46</v>
      </c>
      <c r="C2593" s="15">
        <v>7</v>
      </c>
      <c r="D2593" s="16">
        <v>3</v>
      </c>
      <c r="E2593" s="22">
        <v>44424</v>
      </c>
      <c r="F2593" s="17">
        <v>2</v>
      </c>
      <c r="G2593" s="18">
        <v>0.05</v>
      </c>
      <c r="H2593">
        <f>F2593*VLOOKUP(B2593,產品!$A$2:$H$61,7,FALSE)*(1-銷售總表!G2593)</f>
        <v>32300</v>
      </c>
      <c r="I2593" s="35">
        <f>H2593-F2593*VLOOKUP(銷售總表!B2593,產品!$A$2:$H$61,8,FALSE)</f>
        <v>10200</v>
      </c>
      <c r="J2593" s="20">
        <f t="shared" si="40"/>
        <v>0.31578947368421051</v>
      </c>
    </row>
    <row r="2594" spans="1:10" x14ac:dyDescent="0.3">
      <c r="A2594" s="33">
        <v>2593</v>
      </c>
      <c r="B2594" s="4">
        <v>55</v>
      </c>
      <c r="C2594" s="15">
        <v>273</v>
      </c>
      <c r="D2594" s="16">
        <v>10</v>
      </c>
      <c r="E2594" s="22">
        <v>44424</v>
      </c>
      <c r="F2594" s="17">
        <v>6</v>
      </c>
      <c r="G2594" s="18">
        <v>0.13</v>
      </c>
      <c r="H2594">
        <f>F2594*VLOOKUP(B2594,產品!$A$2:$H$61,7,FALSE)*(1-銷售總表!G2594)</f>
        <v>104400</v>
      </c>
      <c r="I2594" s="35">
        <f>H2594-F2594*VLOOKUP(銷售總表!B2594,產品!$A$2:$H$61,8,FALSE)</f>
        <v>20400</v>
      </c>
      <c r="J2594" s="20">
        <f t="shared" si="40"/>
        <v>0.19540229885057472</v>
      </c>
    </row>
    <row r="2595" spans="1:10" x14ac:dyDescent="0.3">
      <c r="A2595" s="33">
        <v>2594</v>
      </c>
      <c r="B2595" s="4">
        <v>47</v>
      </c>
      <c r="C2595" s="15">
        <v>7</v>
      </c>
      <c r="D2595" s="16">
        <v>6</v>
      </c>
      <c r="E2595" s="22">
        <v>44424</v>
      </c>
      <c r="F2595" s="19">
        <v>10</v>
      </c>
      <c r="G2595" s="18">
        <v>0.17</v>
      </c>
      <c r="H2595">
        <f>F2595*VLOOKUP(B2595,產品!$A$2:$H$61,7,FALSE)*(1-銷售總表!G2595)</f>
        <v>166000</v>
      </c>
      <c r="I2595" s="35">
        <f>H2595-F2595*VLOOKUP(銷售總表!B2595,產品!$A$2:$H$61,8,FALSE)</f>
        <v>36000</v>
      </c>
      <c r="J2595" s="20">
        <f t="shared" si="40"/>
        <v>0.21686746987951808</v>
      </c>
    </row>
    <row r="2596" spans="1:10" x14ac:dyDescent="0.3">
      <c r="A2596" s="33">
        <v>2595</v>
      </c>
      <c r="B2596" s="4">
        <v>15</v>
      </c>
      <c r="C2596" s="15">
        <v>138</v>
      </c>
      <c r="D2596" s="16">
        <v>6</v>
      </c>
      <c r="E2596" s="22">
        <v>44424</v>
      </c>
      <c r="F2596" s="19">
        <v>100</v>
      </c>
      <c r="G2596" s="18">
        <v>0.09</v>
      </c>
      <c r="H2596">
        <f>F2596*VLOOKUP(B2596,產品!$A$2:$H$61,7,FALSE)*(1-銷售總表!G2596)</f>
        <v>163800</v>
      </c>
      <c r="I2596" s="35">
        <f>H2596-F2596*VLOOKUP(銷售總表!B2596,產品!$A$2:$H$61,8,FALSE)</f>
        <v>91800</v>
      </c>
      <c r="J2596" s="20">
        <f t="shared" si="40"/>
        <v>0.56043956043956045</v>
      </c>
    </row>
    <row r="2597" spans="1:10" x14ac:dyDescent="0.3">
      <c r="A2597" s="33">
        <v>2596</v>
      </c>
      <c r="B2597" s="4">
        <v>30</v>
      </c>
      <c r="C2597" s="15">
        <v>11</v>
      </c>
      <c r="D2597" s="16">
        <v>7</v>
      </c>
      <c r="E2597" s="22">
        <v>44425</v>
      </c>
      <c r="F2597" s="17">
        <v>10</v>
      </c>
      <c r="G2597" s="18">
        <v>0.13</v>
      </c>
      <c r="H2597">
        <f>F2597*VLOOKUP(B2597,產品!$A$2:$H$61,7,FALSE)*(1-銷售總表!G2597)</f>
        <v>56550</v>
      </c>
      <c r="I2597" s="35">
        <f>H2597-F2597*VLOOKUP(銷售總表!B2597,產品!$A$2:$H$61,8,FALSE)</f>
        <v>17550</v>
      </c>
      <c r="J2597" s="20">
        <f t="shared" si="40"/>
        <v>0.31034482758620691</v>
      </c>
    </row>
    <row r="2598" spans="1:10" x14ac:dyDescent="0.3">
      <c r="A2598" s="33">
        <v>2597</v>
      </c>
      <c r="B2598" s="4">
        <v>29</v>
      </c>
      <c r="C2598" s="15">
        <v>7</v>
      </c>
      <c r="D2598" s="16">
        <v>8</v>
      </c>
      <c r="E2598" s="22">
        <v>44425</v>
      </c>
      <c r="F2598" s="19">
        <v>3</v>
      </c>
      <c r="G2598" s="18">
        <v>0.15</v>
      </c>
      <c r="H2598">
        <f>F2598*VLOOKUP(B2598,產品!$A$2:$H$61,7,FALSE)*(1-銷售總表!G2598)</f>
        <v>15300</v>
      </c>
      <c r="I2598" s="35">
        <f>H2598-F2598*VLOOKUP(銷售總表!B2598,產品!$A$2:$H$61,8,FALSE)</f>
        <v>4500</v>
      </c>
      <c r="J2598" s="20">
        <f t="shared" si="40"/>
        <v>0.29411764705882354</v>
      </c>
    </row>
    <row r="2599" spans="1:10" x14ac:dyDescent="0.3">
      <c r="A2599" s="33">
        <v>2598</v>
      </c>
      <c r="B2599" s="4">
        <v>60</v>
      </c>
      <c r="C2599" s="15">
        <v>126</v>
      </c>
      <c r="D2599" s="16">
        <v>1</v>
      </c>
      <c r="E2599" s="22">
        <v>44425</v>
      </c>
      <c r="F2599" s="17">
        <v>1</v>
      </c>
      <c r="G2599" s="18">
        <v>0.11</v>
      </c>
      <c r="H2599">
        <f>F2599*VLOOKUP(B2599,產品!$A$2:$H$61,7,FALSE)*(1-銷售總表!G2599)</f>
        <v>22250</v>
      </c>
      <c r="I2599" s="35">
        <f>H2599-F2599*VLOOKUP(銷售總表!B2599,產品!$A$2:$H$61,8,FALSE)</f>
        <v>4750</v>
      </c>
      <c r="J2599" s="20">
        <f t="shared" si="40"/>
        <v>0.21348314606741572</v>
      </c>
    </row>
    <row r="2600" spans="1:10" x14ac:dyDescent="0.3">
      <c r="A2600" s="33">
        <v>2599</v>
      </c>
      <c r="B2600" s="4">
        <v>35</v>
      </c>
      <c r="C2600" s="15">
        <v>140</v>
      </c>
      <c r="D2600" s="16">
        <v>6</v>
      </c>
      <c r="E2600" s="22">
        <v>44425</v>
      </c>
      <c r="F2600" s="19">
        <v>3</v>
      </c>
      <c r="G2600" s="18">
        <v>0.19</v>
      </c>
      <c r="H2600">
        <f>F2600*VLOOKUP(B2600,產品!$A$2:$H$61,7,FALSE)*(1-銷售總表!G2600)</f>
        <v>20655</v>
      </c>
      <c r="I2600" s="35">
        <f>H2600-F2600*VLOOKUP(銷售總表!B2600,產品!$A$2:$H$61,8,FALSE)</f>
        <v>5355</v>
      </c>
      <c r="J2600" s="20">
        <f t="shared" si="40"/>
        <v>0.25925925925925924</v>
      </c>
    </row>
    <row r="2601" spans="1:10" x14ac:dyDescent="0.3">
      <c r="A2601" s="33">
        <v>2600</v>
      </c>
      <c r="B2601" s="4">
        <v>37</v>
      </c>
      <c r="C2601" s="15">
        <v>136</v>
      </c>
      <c r="D2601" s="16">
        <v>1</v>
      </c>
      <c r="E2601" s="22">
        <v>44425</v>
      </c>
      <c r="F2601" s="19">
        <v>7</v>
      </c>
      <c r="G2601" s="18">
        <v>0.16</v>
      </c>
      <c r="H2601">
        <f>F2601*VLOOKUP(B2601,產品!$A$2:$H$61,7,FALSE)*(1-銷售總表!G2601)</f>
        <v>70560</v>
      </c>
      <c r="I2601" s="35">
        <f>H2601-F2601*VLOOKUP(銷售總表!B2601,產品!$A$2:$H$61,8,FALSE)</f>
        <v>15960</v>
      </c>
      <c r="J2601" s="20">
        <f t="shared" si="40"/>
        <v>0.22619047619047619</v>
      </c>
    </row>
    <row r="2602" spans="1:10" x14ac:dyDescent="0.3">
      <c r="A2602" s="33">
        <v>2601</v>
      </c>
      <c r="B2602" s="4">
        <v>54</v>
      </c>
      <c r="C2602" s="15">
        <v>5</v>
      </c>
      <c r="D2602" s="16">
        <v>7</v>
      </c>
      <c r="E2602" s="22">
        <v>44425</v>
      </c>
      <c r="F2602" s="17">
        <v>10</v>
      </c>
      <c r="G2602" s="18">
        <v>0.18</v>
      </c>
      <c r="H2602">
        <f>F2602*VLOOKUP(B2602,產品!$A$2:$H$61,7,FALSE)*(1-銷售總表!G2602)</f>
        <v>147600</v>
      </c>
      <c r="I2602" s="35">
        <f>H2602-F2602*VLOOKUP(銷售總表!B2602,產品!$A$2:$H$61,8,FALSE)</f>
        <v>21600</v>
      </c>
      <c r="J2602" s="20">
        <f t="shared" si="40"/>
        <v>0.14634146341463414</v>
      </c>
    </row>
    <row r="2603" spans="1:10" x14ac:dyDescent="0.3">
      <c r="A2603" s="33">
        <v>2602</v>
      </c>
      <c r="B2603" s="4">
        <v>59</v>
      </c>
      <c r="C2603" s="15">
        <v>262</v>
      </c>
      <c r="D2603" s="16">
        <v>7</v>
      </c>
      <c r="E2603" s="22">
        <v>44425</v>
      </c>
      <c r="F2603" s="17">
        <v>6</v>
      </c>
      <c r="G2603" s="18">
        <v>0.09</v>
      </c>
      <c r="H2603">
        <f>F2603*VLOOKUP(B2603,產品!$A$2:$H$61,7,FALSE)*(1-銷售總表!G2603)</f>
        <v>131040</v>
      </c>
      <c r="I2603" s="35">
        <f>H2603-F2603*VLOOKUP(銷售總表!B2603,產品!$A$2:$H$61,8,FALSE)</f>
        <v>30240</v>
      </c>
      <c r="J2603" s="20">
        <f t="shared" si="40"/>
        <v>0.23076923076923078</v>
      </c>
    </row>
    <row r="2604" spans="1:10" x14ac:dyDescent="0.3">
      <c r="A2604" s="33">
        <v>2603</v>
      </c>
      <c r="B2604" s="4">
        <v>47</v>
      </c>
      <c r="C2604" s="15">
        <v>134</v>
      </c>
      <c r="D2604" s="16">
        <v>5</v>
      </c>
      <c r="E2604" s="22">
        <v>44425</v>
      </c>
      <c r="F2604" s="19">
        <v>13</v>
      </c>
      <c r="G2604" s="18">
        <v>0.12</v>
      </c>
      <c r="H2604">
        <f>F2604*VLOOKUP(B2604,產品!$A$2:$H$61,7,FALSE)*(1-銷售總表!G2604)</f>
        <v>228800</v>
      </c>
      <c r="I2604" s="35">
        <f>H2604-F2604*VLOOKUP(銷售總表!B2604,產品!$A$2:$H$61,8,FALSE)</f>
        <v>59800</v>
      </c>
      <c r="J2604" s="20">
        <f t="shared" si="40"/>
        <v>0.26136363636363635</v>
      </c>
    </row>
    <row r="2605" spans="1:10" x14ac:dyDescent="0.3">
      <c r="A2605" s="33">
        <v>2604</v>
      </c>
      <c r="B2605" s="4">
        <v>27</v>
      </c>
      <c r="C2605" s="15">
        <v>258</v>
      </c>
      <c r="D2605" s="16">
        <v>5</v>
      </c>
      <c r="E2605" s="22">
        <v>44425</v>
      </c>
      <c r="F2605" s="19">
        <v>40</v>
      </c>
      <c r="G2605" s="18">
        <v>0.06</v>
      </c>
      <c r="H2605">
        <f>F2605*VLOOKUP(B2605,產品!$A$2:$H$61,7,FALSE)*(1-銷售總表!G2605)</f>
        <v>263200</v>
      </c>
      <c r="I2605" s="35">
        <f>H2605-F2605*VLOOKUP(銷售總表!B2605,產品!$A$2:$H$61,8,FALSE)</f>
        <v>95200</v>
      </c>
      <c r="J2605" s="20">
        <f t="shared" si="40"/>
        <v>0.36170212765957449</v>
      </c>
    </row>
    <row r="2606" spans="1:10" x14ac:dyDescent="0.3">
      <c r="A2606" s="33">
        <v>2605</v>
      </c>
      <c r="B2606" s="4">
        <v>18</v>
      </c>
      <c r="C2606" s="15">
        <v>118</v>
      </c>
      <c r="D2606" s="16">
        <v>1</v>
      </c>
      <c r="E2606" s="22">
        <v>44425</v>
      </c>
      <c r="F2606" s="19">
        <v>150</v>
      </c>
      <c r="G2606" s="18">
        <v>0.14000000000000001</v>
      </c>
      <c r="H2606">
        <f>F2606*VLOOKUP(B2606,產品!$A$2:$H$61,7,FALSE)*(1-銷售總表!G2606)</f>
        <v>232200</v>
      </c>
      <c r="I2606" s="35">
        <f>H2606-F2606*VLOOKUP(銷售總表!B2606,產品!$A$2:$H$61,8,FALSE)</f>
        <v>124200</v>
      </c>
      <c r="J2606" s="20">
        <f t="shared" si="40"/>
        <v>0.53488372093023251</v>
      </c>
    </row>
    <row r="2607" spans="1:10" x14ac:dyDescent="0.3">
      <c r="A2607" s="33">
        <v>2606</v>
      </c>
      <c r="B2607" s="4">
        <v>59</v>
      </c>
      <c r="C2607" s="15">
        <v>262</v>
      </c>
      <c r="D2607" s="16">
        <v>2</v>
      </c>
      <c r="E2607" s="22">
        <v>44426</v>
      </c>
      <c r="F2607" s="19">
        <v>3</v>
      </c>
      <c r="G2607" s="18">
        <v>0.17</v>
      </c>
      <c r="H2607">
        <f>F2607*VLOOKUP(B2607,產品!$A$2:$H$61,7,FALSE)*(1-銷售總表!G2607)</f>
        <v>59760</v>
      </c>
      <c r="I2607" s="35">
        <f>H2607-F2607*VLOOKUP(銷售總表!B2607,產品!$A$2:$H$61,8,FALSE)</f>
        <v>9360</v>
      </c>
      <c r="J2607" s="20">
        <f t="shared" si="40"/>
        <v>0.15662650602409639</v>
      </c>
    </row>
    <row r="2608" spans="1:10" x14ac:dyDescent="0.3">
      <c r="A2608" s="33">
        <v>2607</v>
      </c>
      <c r="B2608" s="4">
        <v>7</v>
      </c>
      <c r="C2608" s="15">
        <v>140</v>
      </c>
      <c r="D2608" s="16">
        <v>3</v>
      </c>
      <c r="E2608" s="22">
        <v>44426</v>
      </c>
      <c r="F2608" s="17">
        <v>30</v>
      </c>
      <c r="G2608" s="18">
        <v>0.16</v>
      </c>
      <c r="H2608">
        <f>F2608*VLOOKUP(B2608,產品!$A$2:$H$61,7,FALSE)*(1-銷售總表!G2608)</f>
        <v>25200</v>
      </c>
      <c r="I2608" s="35">
        <f>H2608-F2608*VLOOKUP(銷售總表!B2608,產品!$A$2:$H$61,8,FALSE)</f>
        <v>13200</v>
      </c>
      <c r="J2608" s="20">
        <f t="shared" si="40"/>
        <v>0.52380952380952384</v>
      </c>
    </row>
    <row r="2609" spans="1:10" x14ac:dyDescent="0.3">
      <c r="A2609" s="33">
        <v>2608</v>
      </c>
      <c r="B2609" s="4">
        <v>56</v>
      </c>
      <c r="C2609" s="15">
        <v>140</v>
      </c>
      <c r="D2609" s="16">
        <v>9</v>
      </c>
      <c r="E2609" s="22">
        <v>44426</v>
      </c>
      <c r="F2609" s="17">
        <v>4</v>
      </c>
      <c r="G2609" s="18">
        <v>0.14000000000000001</v>
      </c>
      <c r="H2609">
        <f>F2609*VLOOKUP(B2609,產品!$A$2:$H$61,7,FALSE)*(1-銷售總表!G2609)</f>
        <v>75680</v>
      </c>
      <c r="I2609" s="35">
        <f>H2609-F2609*VLOOKUP(銷售總表!B2609,產品!$A$2:$H$61,8,FALSE)</f>
        <v>14080.000000000007</v>
      </c>
      <c r="J2609" s="20">
        <f t="shared" si="40"/>
        <v>0.18604651162790709</v>
      </c>
    </row>
    <row r="2610" spans="1:10" x14ac:dyDescent="0.3">
      <c r="A2610" s="33">
        <v>2609</v>
      </c>
      <c r="B2610" s="4">
        <v>39</v>
      </c>
      <c r="C2610" s="15">
        <v>291</v>
      </c>
      <c r="D2610" s="16">
        <v>5</v>
      </c>
      <c r="E2610" s="22">
        <v>44426</v>
      </c>
      <c r="F2610" s="19">
        <v>6</v>
      </c>
      <c r="G2610" s="18">
        <v>0.18</v>
      </c>
      <c r="H2610">
        <f>F2610*VLOOKUP(B2610,產品!$A$2:$H$61,7,FALSE)*(1-銷售總表!G2610)</f>
        <v>88560</v>
      </c>
      <c r="I2610" s="35">
        <f>H2610-F2610*VLOOKUP(銷售總表!B2610,產品!$A$2:$H$61,8,FALSE)</f>
        <v>18360</v>
      </c>
      <c r="J2610" s="20">
        <f t="shared" si="40"/>
        <v>0.2073170731707317</v>
      </c>
    </row>
    <row r="2611" spans="1:10" x14ac:dyDescent="0.3">
      <c r="A2611" s="33">
        <v>2610</v>
      </c>
      <c r="B2611" s="4">
        <v>44</v>
      </c>
      <c r="C2611" s="15">
        <v>113</v>
      </c>
      <c r="D2611" s="16">
        <v>6</v>
      </c>
      <c r="E2611" s="22">
        <v>44426</v>
      </c>
      <c r="F2611" s="19">
        <v>10</v>
      </c>
      <c r="G2611" s="18">
        <v>0.15</v>
      </c>
      <c r="H2611">
        <f>F2611*VLOOKUP(B2611,產品!$A$2:$H$61,7,FALSE)*(1-銷售總表!G2611)</f>
        <v>170000</v>
      </c>
      <c r="I2611" s="35">
        <f>H2611-F2611*VLOOKUP(銷售總表!B2611,產品!$A$2:$H$61,8,FALSE)</f>
        <v>40000</v>
      </c>
      <c r="J2611" s="20">
        <f t="shared" si="40"/>
        <v>0.23529411764705882</v>
      </c>
    </row>
    <row r="2612" spans="1:10" x14ac:dyDescent="0.3">
      <c r="A2612" s="33">
        <v>2611</v>
      </c>
      <c r="B2612" s="4">
        <v>60</v>
      </c>
      <c r="C2612" s="15">
        <v>272</v>
      </c>
      <c r="D2612" s="16">
        <v>10</v>
      </c>
      <c r="E2612" s="22">
        <v>44427</v>
      </c>
      <c r="F2612" s="19">
        <v>3</v>
      </c>
      <c r="G2612" s="18">
        <v>0.13</v>
      </c>
      <c r="H2612">
        <f>F2612*VLOOKUP(B2612,產品!$A$2:$H$61,7,FALSE)*(1-銷售總表!G2612)</f>
        <v>65250</v>
      </c>
      <c r="I2612" s="35">
        <f>H2612-F2612*VLOOKUP(銷售總表!B2612,產品!$A$2:$H$61,8,FALSE)</f>
        <v>12750</v>
      </c>
      <c r="J2612" s="20">
        <f t="shared" si="40"/>
        <v>0.19540229885057472</v>
      </c>
    </row>
    <row r="2613" spans="1:10" x14ac:dyDescent="0.3">
      <c r="A2613" s="33">
        <v>2612</v>
      </c>
      <c r="B2613" s="4">
        <v>8</v>
      </c>
      <c r="C2613" s="15">
        <v>112</v>
      </c>
      <c r="D2613" s="16">
        <v>2</v>
      </c>
      <c r="E2613" s="22">
        <v>44427</v>
      </c>
      <c r="F2613" s="19">
        <v>50</v>
      </c>
      <c r="G2613" s="18">
        <v>0.17</v>
      </c>
      <c r="H2613">
        <f>F2613*VLOOKUP(B2613,產品!$A$2:$H$61,7,FALSE)*(1-銷售總表!G2613)</f>
        <v>41500</v>
      </c>
      <c r="I2613" s="35">
        <f>H2613-F2613*VLOOKUP(銷售總表!B2613,產品!$A$2:$H$61,8,FALSE)</f>
        <v>21500</v>
      </c>
      <c r="J2613" s="20">
        <f t="shared" si="40"/>
        <v>0.51807228915662651</v>
      </c>
    </row>
    <row r="2614" spans="1:10" x14ac:dyDescent="0.3">
      <c r="A2614" s="33">
        <v>2613</v>
      </c>
      <c r="B2614" s="4">
        <v>18</v>
      </c>
      <c r="C2614" s="15">
        <v>138</v>
      </c>
      <c r="D2614" s="16">
        <v>3</v>
      </c>
      <c r="E2614" s="22">
        <v>44427</v>
      </c>
      <c r="F2614" s="19">
        <v>30</v>
      </c>
      <c r="G2614" s="18">
        <v>0.15</v>
      </c>
      <c r="H2614">
        <f>F2614*VLOOKUP(B2614,產品!$A$2:$H$61,7,FALSE)*(1-銷售總表!G2614)</f>
        <v>45900</v>
      </c>
      <c r="I2614" s="35">
        <f>H2614-F2614*VLOOKUP(銷售總表!B2614,產品!$A$2:$H$61,8,FALSE)</f>
        <v>24300</v>
      </c>
      <c r="J2614" s="20">
        <f t="shared" si="40"/>
        <v>0.52941176470588236</v>
      </c>
    </row>
    <row r="2615" spans="1:10" x14ac:dyDescent="0.3">
      <c r="A2615" s="33">
        <v>2614</v>
      </c>
      <c r="B2615" s="4">
        <v>40</v>
      </c>
      <c r="C2615" s="15">
        <v>112</v>
      </c>
      <c r="D2615" s="16">
        <v>5</v>
      </c>
      <c r="E2615" s="22">
        <v>44427</v>
      </c>
      <c r="F2615" s="19">
        <v>7</v>
      </c>
      <c r="G2615" s="18">
        <v>0.14000000000000001</v>
      </c>
      <c r="H2615">
        <f>F2615*VLOOKUP(B2615,產品!$A$2:$H$61,7,FALSE)*(1-銷售總表!G2615)</f>
        <v>120400</v>
      </c>
      <c r="I2615" s="35">
        <f>H2615-F2615*VLOOKUP(銷售總表!B2615,產品!$A$2:$H$61,8,FALSE)</f>
        <v>29400</v>
      </c>
      <c r="J2615" s="20">
        <f t="shared" si="40"/>
        <v>0.2441860465116279</v>
      </c>
    </row>
    <row r="2616" spans="1:10" x14ac:dyDescent="0.3">
      <c r="A2616" s="33">
        <v>2615</v>
      </c>
      <c r="B2616" s="4">
        <v>14</v>
      </c>
      <c r="C2616" s="15">
        <v>10</v>
      </c>
      <c r="D2616" s="16">
        <v>1</v>
      </c>
      <c r="E2616" s="22">
        <v>44427</v>
      </c>
      <c r="F2616" s="17">
        <v>75</v>
      </c>
      <c r="G2616" s="18">
        <v>0.2</v>
      </c>
      <c r="H2616">
        <f>F2616*VLOOKUP(B2616,產品!$A$2:$H$61,7,FALSE)*(1-銷售總表!G2616)</f>
        <v>108000</v>
      </c>
      <c r="I2616" s="35">
        <f>H2616-F2616*VLOOKUP(銷售總表!B2616,產品!$A$2:$H$61,8,FALSE)</f>
        <v>54000</v>
      </c>
      <c r="J2616" s="20">
        <f t="shared" si="40"/>
        <v>0.5</v>
      </c>
    </row>
    <row r="2617" spans="1:10" x14ac:dyDescent="0.3">
      <c r="A2617" s="33">
        <v>2616</v>
      </c>
      <c r="B2617" s="4">
        <v>21</v>
      </c>
      <c r="C2617" s="15">
        <v>9</v>
      </c>
      <c r="D2617" s="16">
        <v>2</v>
      </c>
      <c r="E2617" s="22">
        <v>44427</v>
      </c>
      <c r="F2617" s="19">
        <v>200</v>
      </c>
      <c r="G2617" s="18">
        <v>0.18</v>
      </c>
      <c r="H2617">
        <f>F2617*VLOOKUP(B2617,產品!$A$2:$H$61,7,FALSE)*(1-銷售總表!G2617)</f>
        <v>295200</v>
      </c>
      <c r="I2617" s="35">
        <f>H2617-F2617*VLOOKUP(銷售總表!B2617,產品!$A$2:$H$61,8,FALSE)</f>
        <v>151200</v>
      </c>
      <c r="J2617" s="20">
        <f t="shared" si="40"/>
        <v>0.51219512195121952</v>
      </c>
    </row>
    <row r="2618" spans="1:10" x14ac:dyDescent="0.3">
      <c r="A2618" s="33">
        <v>2617</v>
      </c>
      <c r="B2618" s="4">
        <v>41</v>
      </c>
      <c r="C2618" s="15">
        <v>138</v>
      </c>
      <c r="D2618" s="16">
        <v>7</v>
      </c>
      <c r="E2618" s="22">
        <v>44428</v>
      </c>
      <c r="F2618" s="17">
        <v>2</v>
      </c>
      <c r="G2618" s="18">
        <v>0.05</v>
      </c>
      <c r="H2618">
        <f>F2618*VLOOKUP(B2618,產品!$A$2:$H$61,7,FALSE)*(1-銷售總表!G2618)</f>
        <v>22800</v>
      </c>
      <c r="I2618" s="35">
        <f>H2618-F2618*VLOOKUP(銷售總表!B2618,產品!$A$2:$H$61,8,FALSE)</f>
        <v>7200</v>
      </c>
      <c r="J2618" s="20">
        <f t="shared" si="40"/>
        <v>0.31578947368421051</v>
      </c>
    </row>
    <row r="2619" spans="1:10" x14ac:dyDescent="0.3">
      <c r="A2619" s="33">
        <v>2618</v>
      </c>
      <c r="B2619" s="4">
        <v>54</v>
      </c>
      <c r="C2619" s="15">
        <v>123</v>
      </c>
      <c r="D2619" s="16">
        <v>7</v>
      </c>
      <c r="E2619" s="22">
        <v>44428</v>
      </c>
      <c r="F2619" s="17">
        <v>2</v>
      </c>
      <c r="G2619" s="18">
        <v>0.08</v>
      </c>
      <c r="H2619">
        <f>F2619*VLOOKUP(B2619,產品!$A$2:$H$61,7,FALSE)*(1-銷售總表!G2619)</f>
        <v>33120</v>
      </c>
      <c r="I2619" s="35">
        <f>H2619-F2619*VLOOKUP(銷售總表!B2619,產品!$A$2:$H$61,8,FALSE)</f>
        <v>7920</v>
      </c>
      <c r="J2619" s="20">
        <f t="shared" si="40"/>
        <v>0.2391304347826087</v>
      </c>
    </row>
    <row r="2620" spans="1:10" x14ac:dyDescent="0.3">
      <c r="A2620" s="33">
        <v>2619</v>
      </c>
      <c r="B2620" s="4">
        <v>32</v>
      </c>
      <c r="C2620" s="15">
        <v>136</v>
      </c>
      <c r="D2620" s="16">
        <v>9</v>
      </c>
      <c r="E2620" s="22">
        <v>44428</v>
      </c>
      <c r="F2620" s="19">
        <v>9</v>
      </c>
      <c r="G2620" s="18">
        <v>0.11</v>
      </c>
      <c r="H2620">
        <f>F2620*VLOOKUP(B2620,產品!$A$2:$H$61,7,FALSE)*(1-銷售總表!G2620)</f>
        <v>60075</v>
      </c>
      <c r="I2620" s="35">
        <f>H2620-F2620*VLOOKUP(銷售總表!B2620,產品!$A$2:$H$61,8,FALSE)</f>
        <v>19575</v>
      </c>
      <c r="J2620" s="20">
        <f t="shared" si="40"/>
        <v>0.3258426966292135</v>
      </c>
    </row>
    <row r="2621" spans="1:10" x14ac:dyDescent="0.3">
      <c r="A2621" s="33">
        <v>2620</v>
      </c>
      <c r="B2621" s="4">
        <v>44</v>
      </c>
      <c r="C2621" s="15">
        <v>1</v>
      </c>
      <c r="D2621" s="16">
        <v>8</v>
      </c>
      <c r="E2621" s="22">
        <v>44428</v>
      </c>
      <c r="F2621" s="19">
        <v>9</v>
      </c>
      <c r="G2621" s="18">
        <v>0.06</v>
      </c>
      <c r="H2621">
        <f>F2621*VLOOKUP(B2621,產品!$A$2:$H$61,7,FALSE)*(1-銷售總表!G2621)</f>
        <v>169200</v>
      </c>
      <c r="I2621" s="35">
        <f>H2621-F2621*VLOOKUP(銷售總表!B2621,產品!$A$2:$H$61,8,FALSE)</f>
        <v>52200</v>
      </c>
      <c r="J2621" s="20">
        <f t="shared" si="40"/>
        <v>0.30851063829787234</v>
      </c>
    </row>
    <row r="2622" spans="1:10" x14ac:dyDescent="0.3">
      <c r="A2622" s="33">
        <v>2621</v>
      </c>
      <c r="B2622" s="4">
        <v>32</v>
      </c>
      <c r="C2622" s="15">
        <v>121</v>
      </c>
      <c r="D2622" s="16">
        <v>8</v>
      </c>
      <c r="E2622" s="22">
        <v>44429</v>
      </c>
      <c r="F2622" s="17">
        <v>2</v>
      </c>
      <c r="G2622" s="18">
        <v>0.14000000000000001</v>
      </c>
      <c r="H2622">
        <f>F2622*VLOOKUP(B2622,產品!$A$2:$H$61,7,FALSE)*(1-銷售總表!G2622)</f>
        <v>12900</v>
      </c>
      <c r="I2622" s="35">
        <f>H2622-F2622*VLOOKUP(銷售總表!B2622,產品!$A$2:$H$61,8,FALSE)</f>
        <v>3900</v>
      </c>
      <c r="J2622" s="20">
        <f t="shared" si="40"/>
        <v>0.30232558139534882</v>
      </c>
    </row>
    <row r="2623" spans="1:10" x14ac:dyDescent="0.3">
      <c r="A2623" s="33">
        <v>2622</v>
      </c>
      <c r="B2623" s="4">
        <v>45</v>
      </c>
      <c r="C2623" s="15">
        <v>270</v>
      </c>
      <c r="D2623" s="16">
        <v>3</v>
      </c>
      <c r="E2623" s="22">
        <v>44429</v>
      </c>
      <c r="F2623" s="19">
        <v>2</v>
      </c>
      <c r="G2623" s="18">
        <v>0.1</v>
      </c>
      <c r="H2623">
        <f>F2623*VLOOKUP(B2623,產品!$A$2:$H$61,7,FALSE)*(1-銷售總表!G2623)</f>
        <v>25200</v>
      </c>
      <c r="I2623" s="35">
        <f>H2623-F2623*VLOOKUP(銷售總表!B2623,產品!$A$2:$H$61,8,FALSE)</f>
        <v>7000</v>
      </c>
      <c r="J2623" s="20">
        <f t="shared" si="40"/>
        <v>0.27777777777777779</v>
      </c>
    </row>
    <row r="2624" spans="1:10" x14ac:dyDescent="0.3">
      <c r="A2624" s="33">
        <v>2623</v>
      </c>
      <c r="B2624" s="4">
        <v>35</v>
      </c>
      <c r="C2624" s="15">
        <v>124</v>
      </c>
      <c r="D2624" s="16">
        <v>8</v>
      </c>
      <c r="E2624" s="22">
        <v>44429</v>
      </c>
      <c r="F2624" s="19">
        <v>4</v>
      </c>
      <c r="G2624" s="18">
        <v>0.08</v>
      </c>
      <c r="H2624">
        <f>F2624*VLOOKUP(B2624,產品!$A$2:$H$61,7,FALSE)*(1-銷售總表!G2624)</f>
        <v>31280</v>
      </c>
      <c r="I2624" s="35">
        <f>H2624-F2624*VLOOKUP(銷售總表!B2624,產品!$A$2:$H$61,8,FALSE)</f>
        <v>10880</v>
      </c>
      <c r="J2624" s="20">
        <f t="shared" si="40"/>
        <v>0.34782608695652173</v>
      </c>
    </row>
    <row r="2625" spans="1:10" x14ac:dyDescent="0.3">
      <c r="A2625" s="33">
        <v>2624</v>
      </c>
      <c r="B2625" s="4">
        <v>11</v>
      </c>
      <c r="C2625" s="15">
        <v>284</v>
      </c>
      <c r="D2625" s="16">
        <v>3</v>
      </c>
      <c r="E2625" s="22">
        <v>44429</v>
      </c>
      <c r="F2625" s="19">
        <v>20</v>
      </c>
      <c r="G2625" s="18">
        <v>0.05</v>
      </c>
      <c r="H2625">
        <f>F2625*VLOOKUP(B2625,產品!$A$2:$H$61,7,FALSE)*(1-銷售總表!G2625)</f>
        <v>19000</v>
      </c>
      <c r="I2625" s="35">
        <f>H2625-F2625*VLOOKUP(銷售總表!B2625,產品!$A$2:$H$61,8,FALSE)</f>
        <v>11000</v>
      </c>
      <c r="J2625" s="20">
        <f t="shared" si="40"/>
        <v>0.57894736842105265</v>
      </c>
    </row>
    <row r="2626" spans="1:10" x14ac:dyDescent="0.3">
      <c r="A2626" s="33">
        <v>2625</v>
      </c>
      <c r="B2626" s="4">
        <v>26</v>
      </c>
      <c r="C2626" s="15">
        <v>276</v>
      </c>
      <c r="D2626" s="16">
        <v>8</v>
      </c>
      <c r="E2626" s="22">
        <v>44429</v>
      </c>
      <c r="F2626" s="17">
        <v>7</v>
      </c>
      <c r="G2626" s="18">
        <v>0.06</v>
      </c>
      <c r="H2626">
        <f>F2626*VLOOKUP(B2626,產品!$A$2:$H$61,7,FALSE)*(1-銷售總表!G2626)</f>
        <v>42770</v>
      </c>
      <c r="I2626" s="35">
        <f>H2626-F2626*VLOOKUP(銷售總表!B2626,產品!$A$2:$H$61,8,FALSE)</f>
        <v>15470</v>
      </c>
      <c r="J2626" s="20">
        <f t="shared" si="40"/>
        <v>0.36170212765957449</v>
      </c>
    </row>
    <row r="2627" spans="1:10" x14ac:dyDescent="0.3">
      <c r="A2627" s="33">
        <v>2626</v>
      </c>
      <c r="B2627" s="4">
        <v>25</v>
      </c>
      <c r="C2627" s="15">
        <v>113</v>
      </c>
      <c r="D2627" s="16">
        <v>4</v>
      </c>
      <c r="E2627" s="22">
        <v>44430</v>
      </c>
      <c r="F2627" s="19">
        <v>3</v>
      </c>
      <c r="G2627" s="18">
        <v>0.14000000000000001</v>
      </c>
      <c r="H2627">
        <f>F2627*VLOOKUP(B2627,產品!$A$2:$H$61,7,FALSE)*(1-銷售總表!G2627)</f>
        <v>15480</v>
      </c>
      <c r="I2627" s="35">
        <f>H2627-F2627*VLOOKUP(銷售總表!B2627,產品!$A$2:$H$61,8,FALSE)</f>
        <v>4680</v>
      </c>
      <c r="J2627" s="20">
        <f t="shared" ref="J2627:J2690" si="41">I2627/H2627</f>
        <v>0.30232558139534882</v>
      </c>
    </row>
    <row r="2628" spans="1:10" x14ac:dyDescent="0.3">
      <c r="A2628" s="33">
        <v>2627</v>
      </c>
      <c r="B2628" s="4">
        <v>26</v>
      </c>
      <c r="C2628" s="15">
        <v>259</v>
      </c>
      <c r="D2628" s="16">
        <v>9</v>
      </c>
      <c r="E2628" s="22">
        <v>44430</v>
      </c>
      <c r="F2628" s="19">
        <v>3</v>
      </c>
      <c r="G2628" s="18">
        <v>0.14000000000000001</v>
      </c>
      <c r="H2628">
        <f>F2628*VLOOKUP(B2628,產品!$A$2:$H$61,7,FALSE)*(1-銷售總表!G2628)</f>
        <v>16770</v>
      </c>
      <c r="I2628" s="35">
        <f>H2628-F2628*VLOOKUP(銷售總表!B2628,產品!$A$2:$H$61,8,FALSE)</f>
        <v>5070</v>
      </c>
      <c r="J2628" s="20">
        <f t="shared" si="41"/>
        <v>0.30232558139534882</v>
      </c>
    </row>
    <row r="2629" spans="1:10" x14ac:dyDescent="0.3">
      <c r="A2629" s="33">
        <v>2628</v>
      </c>
      <c r="B2629" s="4">
        <v>58</v>
      </c>
      <c r="C2629" s="15">
        <v>9</v>
      </c>
      <c r="D2629" s="16">
        <v>3</v>
      </c>
      <c r="E2629" s="22">
        <v>44430</v>
      </c>
      <c r="F2629" s="17">
        <v>2</v>
      </c>
      <c r="G2629" s="18">
        <v>0.14000000000000001</v>
      </c>
      <c r="H2629">
        <f>F2629*VLOOKUP(B2629,產品!$A$2:$H$61,7,FALSE)*(1-銷售總表!G2629)</f>
        <v>36120</v>
      </c>
      <c r="I2629" s="35">
        <f>H2629-F2629*VLOOKUP(銷售總表!B2629,產品!$A$2:$H$61,8,FALSE)</f>
        <v>6720.0000000000036</v>
      </c>
      <c r="J2629" s="20">
        <f t="shared" si="41"/>
        <v>0.18604651162790709</v>
      </c>
    </row>
    <row r="2630" spans="1:10" x14ac:dyDescent="0.3">
      <c r="A2630" s="33">
        <v>2629</v>
      </c>
      <c r="B2630" s="4">
        <v>7</v>
      </c>
      <c r="C2630" s="15">
        <v>112</v>
      </c>
      <c r="D2630" s="16">
        <v>1</v>
      </c>
      <c r="E2630" s="22">
        <v>44430</v>
      </c>
      <c r="F2630" s="17">
        <v>20</v>
      </c>
      <c r="G2630" s="18">
        <v>0.17</v>
      </c>
      <c r="H2630">
        <f>F2630*VLOOKUP(B2630,產品!$A$2:$H$61,7,FALSE)*(1-銷售總表!G2630)</f>
        <v>16600</v>
      </c>
      <c r="I2630" s="35">
        <f>H2630-F2630*VLOOKUP(銷售總表!B2630,產品!$A$2:$H$61,8,FALSE)</f>
        <v>8600</v>
      </c>
      <c r="J2630" s="20">
        <f t="shared" si="41"/>
        <v>0.51807228915662651</v>
      </c>
    </row>
    <row r="2631" spans="1:10" x14ac:dyDescent="0.3">
      <c r="A2631" s="33">
        <v>2630</v>
      </c>
      <c r="B2631" s="4">
        <v>21</v>
      </c>
      <c r="C2631" s="15">
        <v>290</v>
      </c>
      <c r="D2631" s="16">
        <v>9</v>
      </c>
      <c r="E2631" s="22">
        <v>44430</v>
      </c>
      <c r="F2631" s="17">
        <v>125</v>
      </c>
      <c r="G2631" s="18">
        <v>0.06</v>
      </c>
      <c r="H2631">
        <f>F2631*VLOOKUP(B2631,產品!$A$2:$H$61,7,FALSE)*(1-銷售總表!G2631)</f>
        <v>211500</v>
      </c>
      <c r="I2631" s="35">
        <f>H2631-F2631*VLOOKUP(銷售總表!B2631,產品!$A$2:$H$61,8,FALSE)</f>
        <v>121500</v>
      </c>
      <c r="J2631" s="20">
        <f t="shared" si="41"/>
        <v>0.57446808510638303</v>
      </c>
    </row>
    <row r="2632" spans="1:10" x14ac:dyDescent="0.3">
      <c r="A2632" s="33">
        <v>2631</v>
      </c>
      <c r="B2632" s="4">
        <v>32</v>
      </c>
      <c r="C2632" s="15">
        <v>285</v>
      </c>
      <c r="D2632" s="16">
        <v>6</v>
      </c>
      <c r="E2632" s="22">
        <v>44431</v>
      </c>
      <c r="F2632" s="17">
        <v>10</v>
      </c>
      <c r="G2632" s="18">
        <v>0.19</v>
      </c>
      <c r="H2632">
        <f>F2632*VLOOKUP(B2632,產品!$A$2:$H$61,7,FALSE)*(1-銷售總表!G2632)</f>
        <v>60750.000000000007</v>
      </c>
      <c r="I2632" s="35">
        <f>H2632-F2632*VLOOKUP(銷售總表!B2632,產品!$A$2:$H$61,8,FALSE)</f>
        <v>15750.000000000007</v>
      </c>
      <c r="J2632" s="20">
        <f t="shared" si="41"/>
        <v>0.25925925925925936</v>
      </c>
    </row>
    <row r="2633" spans="1:10" x14ac:dyDescent="0.3">
      <c r="A2633" s="33">
        <v>2632</v>
      </c>
      <c r="B2633" s="4">
        <v>30</v>
      </c>
      <c r="C2633" s="15">
        <v>280</v>
      </c>
      <c r="D2633" s="16">
        <v>7</v>
      </c>
      <c r="E2633" s="22">
        <v>44431</v>
      </c>
      <c r="F2633" s="19">
        <v>3</v>
      </c>
      <c r="G2633" s="18">
        <v>0.08</v>
      </c>
      <c r="H2633">
        <f>F2633*VLOOKUP(B2633,產品!$A$2:$H$61,7,FALSE)*(1-銷售總表!G2633)</f>
        <v>17940</v>
      </c>
      <c r="I2633" s="35">
        <f>H2633-F2633*VLOOKUP(銷售總表!B2633,產品!$A$2:$H$61,8,FALSE)</f>
        <v>6240</v>
      </c>
      <c r="J2633" s="20">
        <f t="shared" si="41"/>
        <v>0.34782608695652173</v>
      </c>
    </row>
    <row r="2634" spans="1:10" x14ac:dyDescent="0.3">
      <c r="A2634" s="33">
        <v>2633</v>
      </c>
      <c r="B2634" s="4">
        <v>53</v>
      </c>
      <c r="C2634" s="15">
        <v>283</v>
      </c>
      <c r="D2634" s="16">
        <v>3</v>
      </c>
      <c r="E2634" s="22">
        <v>44431</v>
      </c>
      <c r="F2634" s="17">
        <v>7</v>
      </c>
      <c r="G2634" s="18">
        <v>0.14000000000000001</v>
      </c>
      <c r="H2634">
        <f>F2634*VLOOKUP(B2634,產品!$A$2:$H$61,7,FALSE)*(1-銷售總表!G2634)</f>
        <v>90300</v>
      </c>
      <c r="I2634" s="35">
        <f>H2634-F2634*VLOOKUP(銷售總表!B2634,產品!$A$2:$H$61,8,FALSE)</f>
        <v>16800</v>
      </c>
      <c r="J2634" s="20">
        <f t="shared" si="41"/>
        <v>0.18604651162790697</v>
      </c>
    </row>
    <row r="2635" spans="1:10" x14ac:dyDescent="0.3">
      <c r="A2635" s="33">
        <v>2634</v>
      </c>
      <c r="B2635" s="4">
        <v>25</v>
      </c>
      <c r="C2635" s="15">
        <v>115</v>
      </c>
      <c r="D2635" s="16">
        <v>1</v>
      </c>
      <c r="E2635" s="22">
        <v>44431</v>
      </c>
      <c r="F2635" s="19">
        <v>15</v>
      </c>
      <c r="G2635" s="18">
        <v>0.18</v>
      </c>
      <c r="H2635">
        <f>F2635*VLOOKUP(B2635,產品!$A$2:$H$61,7,FALSE)*(1-銷售總表!G2635)</f>
        <v>73800</v>
      </c>
      <c r="I2635" s="35">
        <f>H2635-F2635*VLOOKUP(銷售總表!B2635,產品!$A$2:$H$61,8,FALSE)</f>
        <v>19800</v>
      </c>
      <c r="J2635" s="20">
        <f t="shared" si="41"/>
        <v>0.26829268292682928</v>
      </c>
    </row>
    <row r="2636" spans="1:10" x14ac:dyDescent="0.3">
      <c r="A2636" s="33">
        <v>2635</v>
      </c>
      <c r="B2636" s="4">
        <v>58</v>
      </c>
      <c r="C2636" s="15">
        <v>122</v>
      </c>
      <c r="D2636" s="16">
        <v>9</v>
      </c>
      <c r="E2636" s="22">
        <v>44431</v>
      </c>
      <c r="F2636" s="19">
        <v>9</v>
      </c>
      <c r="G2636" s="18">
        <v>0.19</v>
      </c>
      <c r="H2636">
        <f>F2636*VLOOKUP(B2636,產品!$A$2:$H$61,7,FALSE)*(1-銷售總表!G2636)</f>
        <v>153090</v>
      </c>
      <c r="I2636" s="35">
        <f>H2636-F2636*VLOOKUP(銷售總表!B2636,產品!$A$2:$H$61,8,FALSE)</f>
        <v>20790.000000000029</v>
      </c>
      <c r="J2636" s="20">
        <f t="shared" si="41"/>
        <v>0.13580246913580266</v>
      </c>
    </row>
    <row r="2637" spans="1:10" x14ac:dyDescent="0.3">
      <c r="A2637" s="33">
        <v>2636</v>
      </c>
      <c r="B2637" s="4">
        <v>56</v>
      </c>
      <c r="C2637" s="15">
        <v>267</v>
      </c>
      <c r="D2637" s="16">
        <v>7</v>
      </c>
      <c r="E2637" s="22">
        <v>44431</v>
      </c>
      <c r="F2637" s="19">
        <v>5</v>
      </c>
      <c r="G2637" s="18">
        <v>7.0000000000000007E-2</v>
      </c>
      <c r="H2637">
        <f>F2637*VLOOKUP(B2637,產品!$A$2:$H$61,7,FALSE)*(1-銷售總表!G2637)</f>
        <v>102300</v>
      </c>
      <c r="I2637" s="35">
        <f>H2637-F2637*VLOOKUP(銷售總表!B2637,產品!$A$2:$H$61,8,FALSE)</f>
        <v>25300.000000000015</v>
      </c>
      <c r="J2637" s="20">
        <f t="shared" si="41"/>
        <v>0.24731182795698939</v>
      </c>
    </row>
    <row r="2638" spans="1:10" x14ac:dyDescent="0.3">
      <c r="A2638" s="33">
        <v>2637</v>
      </c>
      <c r="B2638" s="4">
        <v>2</v>
      </c>
      <c r="C2638" s="15">
        <v>121</v>
      </c>
      <c r="D2638" s="16">
        <v>5</v>
      </c>
      <c r="E2638" s="22">
        <v>44431</v>
      </c>
      <c r="F2638" s="19">
        <v>50</v>
      </c>
      <c r="G2638" s="18">
        <v>0.09</v>
      </c>
      <c r="H2638">
        <f>F2638*VLOOKUP(B2638,產品!$A$2:$H$61,7,FALSE)*(1-銷售總表!G2638)</f>
        <v>45500</v>
      </c>
      <c r="I2638" s="35">
        <f>H2638-F2638*VLOOKUP(銷售總表!B2638,產品!$A$2:$H$61,8,FALSE)</f>
        <v>25500</v>
      </c>
      <c r="J2638" s="20">
        <f t="shared" si="41"/>
        <v>0.56043956043956045</v>
      </c>
    </row>
    <row r="2639" spans="1:10" x14ac:dyDescent="0.3">
      <c r="A2639" s="33">
        <v>2638</v>
      </c>
      <c r="B2639" s="4">
        <v>47</v>
      </c>
      <c r="C2639" s="15">
        <v>9</v>
      </c>
      <c r="D2639" s="16">
        <v>6</v>
      </c>
      <c r="E2639" s="22">
        <v>44431</v>
      </c>
      <c r="F2639" s="17">
        <v>16</v>
      </c>
      <c r="G2639" s="18">
        <v>0.11</v>
      </c>
      <c r="H2639">
        <f>F2639*VLOOKUP(B2639,產品!$A$2:$H$61,7,FALSE)*(1-銷售總表!G2639)</f>
        <v>284800</v>
      </c>
      <c r="I2639" s="35">
        <f>H2639-F2639*VLOOKUP(銷售總表!B2639,產品!$A$2:$H$61,8,FALSE)</f>
        <v>76800</v>
      </c>
      <c r="J2639" s="20">
        <f t="shared" si="41"/>
        <v>0.2696629213483146</v>
      </c>
    </row>
    <row r="2640" spans="1:10" x14ac:dyDescent="0.3">
      <c r="A2640" s="33">
        <v>2639</v>
      </c>
      <c r="B2640" s="4">
        <v>51</v>
      </c>
      <c r="C2640" s="15">
        <v>112</v>
      </c>
      <c r="D2640" s="16">
        <v>6</v>
      </c>
      <c r="E2640" s="22">
        <v>44432</v>
      </c>
      <c r="F2640" s="19">
        <v>2</v>
      </c>
      <c r="G2640" s="18">
        <v>0.14000000000000001</v>
      </c>
      <c r="H2640">
        <f>F2640*VLOOKUP(B2640,產品!$A$2:$H$61,7,FALSE)*(1-銷售總表!G2640)</f>
        <v>34400</v>
      </c>
      <c r="I2640" s="35">
        <f>H2640-F2640*VLOOKUP(銷售總表!B2640,產品!$A$2:$H$61,8,FALSE)</f>
        <v>6400</v>
      </c>
      <c r="J2640" s="20">
        <f t="shared" si="41"/>
        <v>0.18604651162790697</v>
      </c>
    </row>
    <row r="2641" spans="1:10" x14ac:dyDescent="0.3">
      <c r="A2641" s="33">
        <v>2640</v>
      </c>
      <c r="B2641" s="4">
        <v>4</v>
      </c>
      <c r="C2641" s="15">
        <v>273</v>
      </c>
      <c r="D2641" s="16">
        <v>6</v>
      </c>
      <c r="E2641" s="22">
        <v>44432</v>
      </c>
      <c r="F2641" s="19">
        <v>16</v>
      </c>
      <c r="G2641" s="18">
        <v>0.17</v>
      </c>
      <c r="H2641">
        <f>F2641*VLOOKUP(B2641,產品!$A$2:$H$61,7,FALSE)*(1-銷售總表!G2641)</f>
        <v>13280</v>
      </c>
      <c r="I2641" s="35">
        <f>H2641-F2641*VLOOKUP(銷售總表!B2641,產品!$A$2:$H$61,8,FALSE)</f>
        <v>6880</v>
      </c>
      <c r="J2641" s="20">
        <f t="shared" si="41"/>
        <v>0.51807228915662651</v>
      </c>
    </row>
    <row r="2642" spans="1:10" x14ac:dyDescent="0.3">
      <c r="A2642" s="33">
        <v>2641</v>
      </c>
      <c r="B2642" s="4">
        <v>40</v>
      </c>
      <c r="C2642" s="15">
        <v>8</v>
      </c>
      <c r="D2642" s="16">
        <v>3</v>
      </c>
      <c r="E2642" s="22">
        <v>44432</v>
      </c>
      <c r="F2642" s="17">
        <v>2</v>
      </c>
      <c r="G2642" s="18">
        <v>0.12</v>
      </c>
      <c r="H2642">
        <f>F2642*VLOOKUP(B2642,產品!$A$2:$H$61,7,FALSE)*(1-銷售總表!G2642)</f>
        <v>35200</v>
      </c>
      <c r="I2642" s="35">
        <f>H2642-F2642*VLOOKUP(銷售總表!B2642,產品!$A$2:$H$61,8,FALSE)</f>
        <v>9200</v>
      </c>
      <c r="J2642" s="20">
        <f t="shared" si="41"/>
        <v>0.26136363636363635</v>
      </c>
    </row>
    <row r="2643" spans="1:10" x14ac:dyDescent="0.3">
      <c r="A2643" s="33">
        <v>2642</v>
      </c>
      <c r="B2643" s="4">
        <v>5</v>
      </c>
      <c r="C2643" s="15">
        <v>136</v>
      </c>
      <c r="D2643" s="16">
        <v>1</v>
      </c>
      <c r="E2643" s="22">
        <v>44432</v>
      </c>
      <c r="F2643" s="19">
        <v>30</v>
      </c>
      <c r="G2643" s="18">
        <v>0.18</v>
      </c>
      <c r="H2643">
        <f>F2643*VLOOKUP(B2643,產品!$A$2:$H$61,7,FALSE)*(1-銷售總表!G2643)</f>
        <v>24600.000000000004</v>
      </c>
      <c r="I2643" s="35">
        <f>H2643-F2643*VLOOKUP(銷售總表!B2643,產品!$A$2:$H$61,8,FALSE)</f>
        <v>12600.000000000004</v>
      </c>
      <c r="J2643" s="20">
        <f t="shared" si="41"/>
        <v>0.51219512195121963</v>
      </c>
    </row>
    <row r="2644" spans="1:10" x14ac:dyDescent="0.3">
      <c r="A2644" s="33">
        <v>2643</v>
      </c>
      <c r="B2644" s="4">
        <v>13</v>
      </c>
      <c r="C2644" s="15">
        <v>282</v>
      </c>
      <c r="D2644" s="16">
        <v>6</v>
      </c>
      <c r="E2644" s="22">
        <v>44432</v>
      </c>
      <c r="F2644" s="19">
        <v>26</v>
      </c>
      <c r="G2644" s="18">
        <v>0.1</v>
      </c>
      <c r="H2644">
        <f>F2644*VLOOKUP(B2644,產品!$A$2:$H$61,7,FALSE)*(1-銷售總表!G2644)</f>
        <v>42120</v>
      </c>
      <c r="I2644" s="35">
        <f>H2644-F2644*VLOOKUP(銷售總表!B2644,產品!$A$2:$H$61,8,FALSE)</f>
        <v>23400</v>
      </c>
      <c r="J2644" s="20">
        <f t="shared" si="41"/>
        <v>0.55555555555555558</v>
      </c>
    </row>
    <row r="2645" spans="1:10" x14ac:dyDescent="0.3">
      <c r="A2645" s="33">
        <v>2644</v>
      </c>
      <c r="B2645" s="4">
        <v>42</v>
      </c>
      <c r="C2645" s="15">
        <v>264</v>
      </c>
      <c r="D2645" s="16">
        <v>3</v>
      </c>
      <c r="E2645" s="22">
        <v>44432</v>
      </c>
      <c r="F2645" s="17">
        <v>10</v>
      </c>
      <c r="G2645" s="18">
        <v>0.17</v>
      </c>
      <c r="H2645">
        <f>F2645*VLOOKUP(B2645,產品!$A$2:$H$61,7,FALSE)*(1-銷售總表!G2645)</f>
        <v>124500</v>
      </c>
      <c r="I2645" s="35">
        <f>H2645-F2645*VLOOKUP(銷售總表!B2645,產品!$A$2:$H$61,8,FALSE)</f>
        <v>27000</v>
      </c>
      <c r="J2645" s="20">
        <f t="shared" si="41"/>
        <v>0.21686746987951808</v>
      </c>
    </row>
    <row r="2646" spans="1:10" x14ac:dyDescent="0.3">
      <c r="A2646" s="33">
        <v>2645</v>
      </c>
      <c r="B2646" s="4">
        <v>8</v>
      </c>
      <c r="C2646" s="15">
        <v>7</v>
      </c>
      <c r="D2646" s="16">
        <v>10</v>
      </c>
      <c r="E2646" s="22">
        <v>44432</v>
      </c>
      <c r="F2646" s="17">
        <v>150</v>
      </c>
      <c r="G2646" s="18">
        <v>0.08</v>
      </c>
      <c r="H2646">
        <f>F2646*VLOOKUP(B2646,產品!$A$2:$H$61,7,FALSE)*(1-銷售總表!G2646)</f>
        <v>138000</v>
      </c>
      <c r="I2646" s="35">
        <f>H2646-F2646*VLOOKUP(銷售總表!B2646,產品!$A$2:$H$61,8,FALSE)</f>
        <v>78000</v>
      </c>
      <c r="J2646" s="20">
        <f t="shared" si="41"/>
        <v>0.56521739130434778</v>
      </c>
    </row>
    <row r="2647" spans="1:10" x14ac:dyDescent="0.3">
      <c r="A2647" s="33">
        <v>2646</v>
      </c>
      <c r="B2647" s="4">
        <v>1</v>
      </c>
      <c r="C2647" s="15">
        <v>7</v>
      </c>
      <c r="D2647" s="16">
        <v>2</v>
      </c>
      <c r="E2647" s="22">
        <v>44433</v>
      </c>
      <c r="F2647" s="17">
        <v>10</v>
      </c>
      <c r="G2647" s="18">
        <v>0.05</v>
      </c>
      <c r="H2647">
        <f>F2647*VLOOKUP(B2647,產品!$A$2:$H$61,7,FALSE)*(1-銷售總表!G2647)</f>
        <v>9500</v>
      </c>
      <c r="I2647" s="35">
        <f>H2647-F2647*VLOOKUP(銷售總表!B2647,產品!$A$2:$H$61,8,FALSE)</f>
        <v>5500</v>
      </c>
      <c r="J2647" s="20">
        <f t="shared" si="41"/>
        <v>0.57894736842105265</v>
      </c>
    </row>
    <row r="2648" spans="1:10" x14ac:dyDescent="0.3">
      <c r="A2648" s="33">
        <v>2647</v>
      </c>
      <c r="B2648" s="4">
        <v>46</v>
      </c>
      <c r="C2648" s="15">
        <v>115</v>
      </c>
      <c r="D2648" s="16">
        <v>10</v>
      </c>
      <c r="E2648" s="22">
        <v>44433</v>
      </c>
      <c r="F2648" s="19">
        <v>2</v>
      </c>
      <c r="G2648" s="18">
        <v>0.08</v>
      </c>
      <c r="H2648">
        <f>F2648*VLOOKUP(B2648,產品!$A$2:$H$61,7,FALSE)*(1-銷售總表!G2648)</f>
        <v>31280</v>
      </c>
      <c r="I2648" s="35">
        <f>H2648-F2648*VLOOKUP(銷售總表!B2648,產品!$A$2:$H$61,8,FALSE)</f>
        <v>9180</v>
      </c>
      <c r="J2648" s="20">
        <f t="shared" si="41"/>
        <v>0.29347826086956524</v>
      </c>
    </row>
    <row r="2649" spans="1:10" x14ac:dyDescent="0.3">
      <c r="A2649" s="33">
        <v>2648</v>
      </c>
      <c r="B2649" s="4">
        <v>32</v>
      </c>
      <c r="C2649" s="15">
        <v>140</v>
      </c>
      <c r="D2649" s="16">
        <v>4</v>
      </c>
      <c r="E2649" s="22">
        <v>44433</v>
      </c>
      <c r="F2649" s="19">
        <v>8</v>
      </c>
      <c r="G2649" s="18">
        <v>0.12</v>
      </c>
      <c r="H2649">
        <f>F2649*VLOOKUP(B2649,產品!$A$2:$H$61,7,FALSE)*(1-銷售總表!G2649)</f>
        <v>52800</v>
      </c>
      <c r="I2649" s="35">
        <f>H2649-F2649*VLOOKUP(銷售總表!B2649,產品!$A$2:$H$61,8,FALSE)</f>
        <v>16800</v>
      </c>
      <c r="J2649" s="20">
        <f t="shared" si="41"/>
        <v>0.31818181818181818</v>
      </c>
    </row>
    <row r="2650" spans="1:10" x14ac:dyDescent="0.3">
      <c r="A2650" s="33">
        <v>2649</v>
      </c>
      <c r="B2650" s="4">
        <v>59</v>
      </c>
      <c r="C2650" s="15">
        <v>139</v>
      </c>
      <c r="D2650" s="16">
        <v>10</v>
      </c>
      <c r="E2650" s="22">
        <v>44433</v>
      </c>
      <c r="F2650" s="19">
        <v>6</v>
      </c>
      <c r="G2650" s="18">
        <v>0.14000000000000001</v>
      </c>
      <c r="H2650">
        <f>F2650*VLOOKUP(B2650,產品!$A$2:$H$61,7,FALSE)*(1-銷售總表!G2650)</f>
        <v>123840</v>
      </c>
      <c r="I2650" s="35">
        <f>H2650-F2650*VLOOKUP(銷售總表!B2650,產品!$A$2:$H$61,8,FALSE)</f>
        <v>23040</v>
      </c>
      <c r="J2650" s="20">
        <f t="shared" si="41"/>
        <v>0.18604651162790697</v>
      </c>
    </row>
    <row r="2651" spans="1:10" x14ac:dyDescent="0.3">
      <c r="A2651" s="33">
        <v>2650</v>
      </c>
      <c r="B2651" s="4">
        <v>11</v>
      </c>
      <c r="C2651" s="15">
        <v>288</v>
      </c>
      <c r="D2651" s="16">
        <v>10</v>
      </c>
      <c r="E2651" s="22">
        <v>44433</v>
      </c>
      <c r="F2651" s="19">
        <v>75</v>
      </c>
      <c r="G2651" s="18">
        <v>0.2</v>
      </c>
      <c r="H2651">
        <f>F2651*VLOOKUP(B2651,產品!$A$2:$H$61,7,FALSE)*(1-銷售總表!G2651)</f>
        <v>60000</v>
      </c>
      <c r="I2651" s="35">
        <f>H2651-F2651*VLOOKUP(銷售總表!B2651,產品!$A$2:$H$61,8,FALSE)</f>
        <v>30000</v>
      </c>
      <c r="J2651" s="20">
        <f t="shared" si="41"/>
        <v>0.5</v>
      </c>
    </row>
    <row r="2652" spans="1:10" x14ac:dyDescent="0.3">
      <c r="A2652" s="33">
        <v>2651</v>
      </c>
      <c r="B2652" s="4">
        <v>1</v>
      </c>
      <c r="C2652" s="15">
        <v>136</v>
      </c>
      <c r="D2652" s="16">
        <v>6</v>
      </c>
      <c r="E2652" s="22">
        <v>44434</v>
      </c>
      <c r="F2652" s="19">
        <v>20</v>
      </c>
      <c r="G2652" s="18">
        <v>0.12</v>
      </c>
      <c r="H2652">
        <f>F2652*VLOOKUP(B2652,產品!$A$2:$H$61,7,FALSE)*(1-銷售總表!G2652)</f>
        <v>17600</v>
      </c>
      <c r="I2652" s="35">
        <f>H2652-F2652*VLOOKUP(銷售總表!B2652,產品!$A$2:$H$61,8,FALSE)</f>
        <v>9600</v>
      </c>
      <c r="J2652" s="20">
        <f t="shared" si="41"/>
        <v>0.54545454545454541</v>
      </c>
    </row>
    <row r="2653" spans="1:10" x14ac:dyDescent="0.3">
      <c r="A2653" s="33">
        <v>2652</v>
      </c>
      <c r="B2653" s="4">
        <v>39</v>
      </c>
      <c r="C2653" s="15">
        <v>120</v>
      </c>
      <c r="D2653" s="16">
        <v>1</v>
      </c>
      <c r="E2653" s="22">
        <v>44434</v>
      </c>
      <c r="F2653" s="17">
        <v>3</v>
      </c>
      <c r="G2653" s="18">
        <v>0.1</v>
      </c>
      <c r="H2653">
        <f>F2653*VLOOKUP(B2653,產品!$A$2:$H$61,7,FALSE)*(1-銷售總表!G2653)</f>
        <v>48600</v>
      </c>
      <c r="I2653" s="35">
        <f>H2653-F2653*VLOOKUP(銷售總表!B2653,產品!$A$2:$H$61,8,FALSE)</f>
        <v>13500</v>
      </c>
      <c r="J2653" s="20">
        <f t="shared" si="41"/>
        <v>0.27777777777777779</v>
      </c>
    </row>
    <row r="2654" spans="1:10" x14ac:dyDescent="0.3">
      <c r="A2654" s="33">
        <v>2653</v>
      </c>
      <c r="B2654" s="4">
        <v>21</v>
      </c>
      <c r="C2654" s="15">
        <v>124</v>
      </c>
      <c r="D2654" s="16">
        <v>9</v>
      </c>
      <c r="E2654" s="22">
        <v>44434</v>
      </c>
      <c r="F2654" s="17">
        <v>20</v>
      </c>
      <c r="G2654" s="18">
        <v>0.05</v>
      </c>
      <c r="H2654">
        <f>F2654*VLOOKUP(B2654,產品!$A$2:$H$61,7,FALSE)*(1-銷售總表!G2654)</f>
        <v>34200</v>
      </c>
      <c r="I2654" s="35">
        <f>H2654-F2654*VLOOKUP(銷售總表!B2654,產品!$A$2:$H$61,8,FALSE)</f>
        <v>19800</v>
      </c>
      <c r="J2654" s="20">
        <f t="shared" si="41"/>
        <v>0.57894736842105265</v>
      </c>
    </row>
    <row r="2655" spans="1:10" x14ac:dyDescent="0.3">
      <c r="A2655" s="33">
        <v>2654</v>
      </c>
      <c r="B2655" s="4">
        <v>12</v>
      </c>
      <c r="C2655" s="15">
        <v>112</v>
      </c>
      <c r="D2655" s="16">
        <v>8</v>
      </c>
      <c r="E2655" s="22">
        <v>44434</v>
      </c>
      <c r="F2655" s="19">
        <v>40</v>
      </c>
      <c r="G2655" s="18">
        <v>0.05</v>
      </c>
      <c r="H2655">
        <f>F2655*VLOOKUP(B2655,產品!$A$2:$H$61,7,FALSE)*(1-銷售總表!G2655)</f>
        <v>38000</v>
      </c>
      <c r="I2655" s="35">
        <f>H2655-F2655*VLOOKUP(銷售總表!B2655,產品!$A$2:$H$61,8,FALSE)</f>
        <v>22000</v>
      </c>
      <c r="J2655" s="20">
        <f t="shared" si="41"/>
        <v>0.57894736842105265</v>
      </c>
    </row>
    <row r="2656" spans="1:10" x14ac:dyDescent="0.3">
      <c r="A2656" s="33">
        <v>2655</v>
      </c>
      <c r="B2656" s="4">
        <v>28</v>
      </c>
      <c r="C2656" s="15">
        <v>113</v>
      </c>
      <c r="D2656" s="16">
        <v>2</v>
      </c>
      <c r="E2656" s="22">
        <v>44434</v>
      </c>
      <c r="F2656" s="19">
        <v>25</v>
      </c>
      <c r="G2656" s="18">
        <v>0.2</v>
      </c>
      <c r="H2656">
        <f>F2656*VLOOKUP(B2656,產品!$A$2:$H$61,7,FALSE)*(1-銷售總表!G2656)</f>
        <v>150000</v>
      </c>
      <c r="I2656" s="35">
        <f>H2656-F2656*VLOOKUP(銷售總表!B2656,產品!$A$2:$H$61,8,FALSE)</f>
        <v>37500</v>
      </c>
      <c r="J2656" s="20">
        <f t="shared" si="41"/>
        <v>0.25</v>
      </c>
    </row>
    <row r="2657" spans="1:10" x14ac:dyDescent="0.3">
      <c r="A2657" s="33">
        <v>2656</v>
      </c>
      <c r="B2657" s="4">
        <v>30</v>
      </c>
      <c r="C2657" s="15">
        <v>121</v>
      </c>
      <c r="D2657" s="16">
        <v>3</v>
      </c>
      <c r="E2657" s="22">
        <v>44434</v>
      </c>
      <c r="F2657" s="19">
        <v>25</v>
      </c>
      <c r="G2657" s="18">
        <v>7.0000000000000007E-2</v>
      </c>
      <c r="H2657">
        <f>F2657*VLOOKUP(B2657,產品!$A$2:$H$61,7,FALSE)*(1-銷售總表!G2657)</f>
        <v>151125</v>
      </c>
      <c r="I2657" s="35">
        <f>H2657-F2657*VLOOKUP(銷售總表!B2657,產品!$A$2:$H$61,8,FALSE)</f>
        <v>53625</v>
      </c>
      <c r="J2657" s="20">
        <f t="shared" si="41"/>
        <v>0.35483870967741937</v>
      </c>
    </row>
    <row r="2658" spans="1:10" x14ac:dyDescent="0.3">
      <c r="A2658" s="33">
        <v>2657</v>
      </c>
      <c r="B2658" s="4">
        <v>40</v>
      </c>
      <c r="C2658" s="15">
        <v>114</v>
      </c>
      <c r="D2658" s="16">
        <v>7</v>
      </c>
      <c r="E2658" s="22">
        <v>44434</v>
      </c>
      <c r="F2658" s="17">
        <v>15</v>
      </c>
      <c r="G2658" s="18">
        <v>0.12</v>
      </c>
      <c r="H2658">
        <f>F2658*VLOOKUP(B2658,產品!$A$2:$H$61,7,FALSE)*(1-銷售總表!G2658)</f>
        <v>264000</v>
      </c>
      <c r="I2658" s="35">
        <f>H2658-F2658*VLOOKUP(銷售總表!B2658,產品!$A$2:$H$61,8,FALSE)</f>
        <v>69000</v>
      </c>
      <c r="J2658" s="20">
        <f t="shared" si="41"/>
        <v>0.26136363636363635</v>
      </c>
    </row>
    <row r="2659" spans="1:10" x14ac:dyDescent="0.3">
      <c r="A2659" s="33">
        <v>2658</v>
      </c>
      <c r="B2659" s="4">
        <v>41</v>
      </c>
      <c r="C2659" s="15">
        <v>135</v>
      </c>
      <c r="D2659" s="16">
        <v>8</v>
      </c>
      <c r="E2659" s="22">
        <v>44435</v>
      </c>
      <c r="F2659" s="17">
        <v>2</v>
      </c>
      <c r="G2659" s="18">
        <v>0.16</v>
      </c>
      <c r="H2659">
        <f>F2659*VLOOKUP(B2659,產品!$A$2:$H$61,7,FALSE)*(1-銷售總表!G2659)</f>
        <v>20160</v>
      </c>
      <c r="I2659" s="35">
        <f>H2659-F2659*VLOOKUP(銷售總表!B2659,產品!$A$2:$H$61,8,FALSE)</f>
        <v>4560</v>
      </c>
      <c r="J2659" s="20">
        <f t="shared" si="41"/>
        <v>0.22619047619047619</v>
      </c>
    </row>
    <row r="2660" spans="1:10" x14ac:dyDescent="0.3">
      <c r="A2660" s="33">
        <v>2659</v>
      </c>
      <c r="B2660" s="4">
        <v>46</v>
      </c>
      <c r="C2660" s="15">
        <v>123</v>
      </c>
      <c r="D2660" s="16">
        <v>9</v>
      </c>
      <c r="E2660" s="22">
        <v>44435</v>
      </c>
      <c r="F2660" s="17">
        <v>2</v>
      </c>
      <c r="G2660" s="18">
        <v>0.14000000000000001</v>
      </c>
      <c r="H2660">
        <f>F2660*VLOOKUP(B2660,產品!$A$2:$H$61,7,FALSE)*(1-銷售總表!G2660)</f>
        <v>29240</v>
      </c>
      <c r="I2660" s="35">
        <f>H2660-F2660*VLOOKUP(銷售總表!B2660,產品!$A$2:$H$61,8,FALSE)</f>
        <v>7140</v>
      </c>
      <c r="J2660" s="20">
        <f t="shared" si="41"/>
        <v>0.2441860465116279</v>
      </c>
    </row>
    <row r="2661" spans="1:10" x14ac:dyDescent="0.3">
      <c r="A2661" s="33">
        <v>2660</v>
      </c>
      <c r="B2661" s="4">
        <v>54</v>
      </c>
      <c r="C2661" s="15">
        <v>1</v>
      </c>
      <c r="D2661" s="16">
        <v>7</v>
      </c>
      <c r="E2661" s="22">
        <v>44435</v>
      </c>
      <c r="F2661" s="17">
        <v>5</v>
      </c>
      <c r="G2661" s="18">
        <v>0.08</v>
      </c>
      <c r="H2661">
        <f>F2661*VLOOKUP(B2661,產品!$A$2:$H$61,7,FALSE)*(1-銷售總表!G2661)</f>
        <v>82800</v>
      </c>
      <c r="I2661" s="35">
        <f>H2661-F2661*VLOOKUP(銷售總表!B2661,產品!$A$2:$H$61,8,FALSE)</f>
        <v>19800</v>
      </c>
      <c r="J2661" s="20">
        <f t="shared" si="41"/>
        <v>0.2391304347826087</v>
      </c>
    </row>
    <row r="2662" spans="1:10" x14ac:dyDescent="0.3">
      <c r="A2662" s="33">
        <v>2661</v>
      </c>
      <c r="B2662" s="4">
        <v>15</v>
      </c>
      <c r="C2662" s="15">
        <v>257</v>
      </c>
      <c r="D2662" s="16">
        <v>6</v>
      </c>
      <c r="E2662" s="22">
        <v>44435</v>
      </c>
      <c r="F2662" s="17">
        <v>30</v>
      </c>
      <c r="G2662" s="18">
        <v>0.17</v>
      </c>
      <c r="H2662">
        <f>F2662*VLOOKUP(B2662,產品!$A$2:$H$61,7,FALSE)*(1-銷售總表!G2662)</f>
        <v>44820</v>
      </c>
      <c r="I2662" s="35">
        <f>H2662-F2662*VLOOKUP(銷售總表!B2662,產品!$A$2:$H$61,8,FALSE)</f>
        <v>23220</v>
      </c>
      <c r="J2662" s="20">
        <f t="shared" si="41"/>
        <v>0.51807228915662651</v>
      </c>
    </row>
    <row r="2663" spans="1:10" x14ac:dyDescent="0.3">
      <c r="A2663" s="33">
        <v>2662</v>
      </c>
      <c r="B2663" s="4">
        <v>8</v>
      </c>
      <c r="C2663" s="15">
        <v>288</v>
      </c>
      <c r="D2663" s="16">
        <v>2</v>
      </c>
      <c r="E2663" s="22">
        <v>44435</v>
      </c>
      <c r="F2663" s="17">
        <v>90</v>
      </c>
      <c r="G2663" s="18">
        <v>0.2</v>
      </c>
      <c r="H2663">
        <f>F2663*VLOOKUP(B2663,產品!$A$2:$H$61,7,FALSE)*(1-銷售總表!G2663)</f>
        <v>72000</v>
      </c>
      <c r="I2663" s="35">
        <f>H2663-F2663*VLOOKUP(銷售總表!B2663,產品!$A$2:$H$61,8,FALSE)</f>
        <v>36000</v>
      </c>
      <c r="J2663" s="20">
        <f t="shared" si="41"/>
        <v>0.5</v>
      </c>
    </row>
    <row r="2664" spans="1:10" x14ac:dyDescent="0.3">
      <c r="A2664" s="33">
        <v>2663</v>
      </c>
      <c r="B2664" s="4">
        <v>19</v>
      </c>
      <c r="C2664" s="15">
        <v>9</v>
      </c>
      <c r="D2664" s="16">
        <v>4</v>
      </c>
      <c r="E2664" s="22">
        <v>44435</v>
      </c>
      <c r="F2664" s="19">
        <v>105</v>
      </c>
      <c r="G2664" s="18">
        <v>0.18</v>
      </c>
      <c r="H2664">
        <f>F2664*VLOOKUP(B2664,產品!$A$2:$H$61,7,FALSE)*(1-銷售總表!G2664)</f>
        <v>154980</v>
      </c>
      <c r="I2664" s="35">
        <f>H2664-F2664*VLOOKUP(銷售總表!B2664,產品!$A$2:$H$61,8,FALSE)</f>
        <v>79380</v>
      </c>
      <c r="J2664" s="20">
        <f t="shared" si="41"/>
        <v>0.51219512195121952</v>
      </c>
    </row>
    <row r="2665" spans="1:10" x14ac:dyDescent="0.3">
      <c r="A2665" s="33">
        <v>2664</v>
      </c>
      <c r="B2665" s="4">
        <v>2</v>
      </c>
      <c r="C2665" s="15">
        <v>258</v>
      </c>
      <c r="D2665" s="16">
        <v>2</v>
      </c>
      <c r="E2665" s="22">
        <v>44435</v>
      </c>
      <c r="F2665" s="17">
        <v>175</v>
      </c>
      <c r="G2665" s="18">
        <v>0.08</v>
      </c>
      <c r="H2665">
        <f>F2665*VLOOKUP(B2665,產品!$A$2:$H$61,7,FALSE)*(1-銷售總表!G2665)</f>
        <v>161000</v>
      </c>
      <c r="I2665" s="35">
        <f>H2665-F2665*VLOOKUP(銷售總表!B2665,產品!$A$2:$H$61,8,FALSE)</f>
        <v>91000</v>
      </c>
      <c r="J2665" s="20">
        <f t="shared" si="41"/>
        <v>0.56521739130434778</v>
      </c>
    </row>
    <row r="2666" spans="1:10" x14ac:dyDescent="0.3">
      <c r="A2666" s="33">
        <v>2665</v>
      </c>
      <c r="B2666" s="4">
        <v>39</v>
      </c>
      <c r="C2666" s="15">
        <v>284</v>
      </c>
      <c r="D2666" s="16">
        <v>3</v>
      </c>
      <c r="E2666" s="22">
        <v>44436</v>
      </c>
      <c r="F2666" s="17">
        <v>5</v>
      </c>
      <c r="G2666" s="18">
        <v>0.18</v>
      </c>
      <c r="H2666">
        <f>F2666*VLOOKUP(B2666,產品!$A$2:$H$61,7,FALSE)*(1-銷售總表!G2666)</f>
        <v>73800</v>
      </c>
      <c r="I2666" s="35">
        <f>H2666-F2666*VLOOKUP(銷售總表!B2666,產品!$A$2:$H$61,8,FALSE)</f>
        <v>15300</v>
      </c>
      <c r="J2666" s="20">
        <f t="shared" si="41"/>
        <v>0.2073170731707317</v>
      </c>
    </row>
    <row r="2667" spans="1:10" x14ac:dyDescent="0.3">
      <c r="A2667" s="33">
        <v>2666</v>
      </c>
      <c r="B2667" s="4">
        <v>49</v>
      </c>
      <c r="C2667" s="15">
        <v>112</v>
      </c>
      <c r="D2667" s="16">
        <v>4</v>
      </c>
      <c r="E2667" s="22">
        <v>44436</v>
      </c>
      <c r="F2667" s="17">
        <v>6</v>
      </c>
      <c r="G2667" s="18">
        <v>0.14000000000000001</v>
      </c>
      <c r="H2667">
        <f>F2667*VLOOKUP(B2667,產品!$A$2:$H$61,7,FALSE)*(1-銷售總表!G2667)</f>
        <v>77400</v>
      </c>
      <c r="I2667" s="35">
        <f>H2667-F2667*VLOOKUP(銷售總表!B2667,產品!$A$2:$H$61,8,FALSE)</f>
        <v>14400</v>
      </c>
      <c r="J2667" s="20">
        <f t="shared" si="41"/>
        <v>0.18604651162790697</v>
      </c>
    </row>
    <row r="2668" spans="1:10" x14ac:dyDescent="0.3">
      <c r="A2668" s="33">
        <v>2667</v>
      </c>
      <c r="B2668" s="4">
        <v>9</v>
      </c>
      <c r="C2668" s="15">
        <v>8</v>
      </c>
      <c r="D2668" s="16">
        <v>4</v>
      </c>
      <c r="E2668" s="22">
        <v>44436</v>
      </c>
      <c r="F2668" s="19">
        <v>30</v>
      </c>
      <c r="G2668" s="18">
        <v>0.12</v>
      </c>
      <c r="H2668">
        <f>F2668*VLOOKUP(B2668,產品!$A$2:$H$61,7,FALSE)*(1-銷售總表!G2668)</f>
        <v>26400</v>
      </c>
      <c r="I2668" s="35">
        <f>H2668-F2668*VLOOKUP(銷售總表!B2668,產品!$A$2:$H$61,8,FALSE)</f>
        <v>14400</v>
      </c>
      <c r="J2668" s="20">
        <f t="shared" si="41"/>
        <v>0.54545454545454541</v>
      </c>
    </row>
    <row r="2669" spans="1:10" x14ac:dyDescent="0.3">
      <c r="A2669" s="33">
        <v>2668</v>
      </c>
      <c r="B2669" s="4">
        <v>56</v>
      </c>
      <c r="C2669" s="15">
        <v>2</v>
      </c>
      <c r="D2669" s="16">
        <v>10</v>
      </c>
      <c r="E2669" s="22">
        <v>44436</v>
      </c>
      <c r="F2669" s="17">
        <v>4</v>
      </c>
      <c r="G2669" s="18">
        <v>0.06</v>
      </c>
      <c r="H2669">
        <f>F2669*VLOOKUP(B2669,產品!$A$2:$H$61,7,FALSE)*(1-銷售總表!G2669)</f>
        <v>82720</v>
      </c>
      <c r="I2669" s="35">
        <f>H2669-F2669*VLOOKUP(銷售總表!B2669,產品!$A$2:$H$61,8,FALSE)</f>
        <v>21120.000000000007</v>
      </c>
      <c r="J2669" s="20">
        <f t="shared" si="41"/>
        <v>0.2553191489361703</v>
      </c>
    </row>
    <row r="2670" spans="1:10" x14ac:dyDescent="0.3">
      <c r="A2670" s="33">
        <v>2669</v>
      </c>
      <c r="B2670" s="4">
        <v>1</v>
      </c>
      <c r="C2670" s="15">
        <v>259</v>
      </c>
      <c r="D2670" s="16">
        <v>2</v>
      </c>
      <c r="E2670" s="22">
        <v>44436</v>
      </c>
      <c r="F2670" s="19">
        <v>300</v>
      </c>
      <c r="G2670" s="18">
        <v>0.16</v>
      </c>
      <c r="H2670">
        <f>F2670*VLOOKUP(B2670,產品!$A$2:$H$61,7,FALSE)*(1-銷售總表!G2670)</f>
        <v>252000</v>
      </c>
      <c r="I2670" s="35">
        <f>H2670-F2670*VLOOKUP(銷售總表!B2670,產品!$A$2:$H$61,8,FALSE)</f>
        <v>132000</v>
      </c>
      <c r="J2670" s="20">
        <f t="shared" si="41"/>
        <v>0.52380952380952384</v>
      </c>
    </row>
    <row r="2671" spans="1:10" x14ac:dyDescent="0.3">
      <c r="A2671" s="33">
        <v>2670</v>
      </c>
      <c r="B2671" s="4">
        <v>5</v>
      </c>
      <c r="C2671" s="15">
        <v>8</v>
      </c>
      <c r="D2671" s="16">
        <v>5</v>
      </c>
      <c r="E2671" s="22">
        <v>44437</v>
      </c>
      <c r="F2671" s="19">
        <v>20</v>
      </c>
      <c r="G2671" s="18">
        <v>0.18</v>
      </c>
      <c r="H2671">
        <f>F2671*VLOOKUP(B2671,產品!$A$2:$H$61,7,FALSE)*(1-銷售總表!G2671)</f>
        <v>16400</v>
      </c>
      <c r="I2671" s="35">
        <f>H2671-F2671*VLOOKUP(銷售總表!B2671,產品!$A$2:$H$61,8,FALSE)</f>
        <v>8400</v>
      </c>
      <c r="J2671" s="20">
        <f t="shared" si="41"/>
        <v>0.51219512195121952</v>
      </c>
    </row>
    <row r="2672" spans="1:10" x14ac:dyDescent="0.3">
      <c r="A2672" s="33">
        <v>2671</v>
      </c>
      <c r="B2672" s="4">
        <v>28</v>
      </c>
      <c r="C2672" s="15">
        <v>280</v>
      </c>
      <c r="D2672" s="16">
        <v>3</v>
      </c>
      <c r="E2672" s="22">
        <v>44437</v>
      </c>
      <c r="F2672" s="19">
        <v>7</v>
      </c>
      <c r="G2672" s="18">
        <v>0.08</v>
      </c>
      <c r="H2672">
        <f>F2672*VLOOKUP(B2672,產品!$A$2:$H$61,7,FALSE)*(1-銷售總表!G2672)</f>
        <v>48300</v>
      </c>
      <c r="I2672" s="35">
        <f>H2672-F2672*VLOOKUP(銷售總表!B2672,產品!$A$2:$H$61,8,FALSE)</f>
        <v>16800</v>
      </c>
      <c r="J2672" s="20">
        <f t="shared" si="41"/>
        <v>0.34782608695652173</v>
      </c>
    </row>
    <row r="2673" spans="1:10" x14ac:dyDescent="0.3">
      <c r="A2673" s="33">
        <v>2672</v>
      </c>
      <c r="B2673" s="4">
        <v>39</v>
      </c>
      <c r="C2673" s="15">
        <v>5</v>
      </c>
      <c r="D2673" s="16">
        <v>7</v>
      </c>
      <c r="E2673" s="22">
        <v>44437</v>
      </c>
      <c r="F2673" s="19">
        <v>7</v>
      </c>
      <c r="G2673" s="18">
        <v>0.17</v>
      </c>
      <c r="H2673">
        <f>F2673*VLOOKUP(B2673,產品!$A$2:$H$61,7,FALSE)*(1-銷售總表!G2673)</f>
        <v>104580</v>
      </c>
      <c r="I2673" s="35">
        <f>H2673-F2673*VLOOKUP(銷售總表!B2673,產品!$A$2:$H$61,8,FALSE)</f>
        <v>22680</v>
      </c>
      <c r="J2673" s="20">
        <f t="shared" si="41"/>
        <v>0.21686746987951808</v>
      </c>
    </row>
    <row r="2674" spans="1:10" x14ac:dyDescent="0.3">
      <c r="A2674" s="33">
        <v>2673</v>
      </c>
      <c r="B2674" s="4">
        <v>37</v>
      </c>
      <c r="C2674" s="15">
        <v>10</v>
      </c>
      <c r="D2674" s="16">
        <v>9</v>
      </c>
      <c r="E2674" s="22">
        <v>44437</v>
      </c>
      <c r="F2674" s="17">
        <v>20</v>
      </c>
      <c r="G2674" s="18">
        <v>0.14000000000000001</v>
      </c>
      <c r="H2674">
        <f>F2674*VLOOKUP(B2674,產品!$A$2:$H$61,7,FALSE)*(1-銷售總表!G2674)</f>
        <v>206400</v>
      </c>
      <c r="I2674" s="35">
        <f>H2674-F2674*VLOOKUP(銷售總表!B2674,產品!$A$2:$H$61,8,FALSE)</f>
        <v>50400</v>
      </c>
      <c r="J2674" s="20">
        <f t="shared" si="41"/>
        <v>0.2441860465116279</v>
      </c>
    </row>
    <row r="2675" spans="1:10" x14ac:dyDescent="0.3">
      <c r="A2675" s="33">
        <v>2674</v>
      </c>
      <c r="B2675" s="4">
        <v>16</v>
      </c>
      <c r="C2675" s="15">
        <v>293</v>
      </c>
      <c r="D2675" s="16">
        <v>4</v>
      </c>
      <c r="E2675" s="22">
        <v>44437</v>
      </c>
      <c r="F2675" s="19">
        <v>100</v>
      </c>
      <c r="G2675" s="18">
        <v>0.17</v>
      </c>
      <c r="H2675">
        <f>F2675*VLOOKUP(B2675,產品!$A$2:$H$61,7,FALSE)*(1-銷售總表!G2675)</f>
        <v>149400</v>
      </c>
      <c r="I2675" s="35">
        <f>H2675-F2675*VLOOKUP(銷售總表!B2675,產品!$A$2:$H$61,8,FALSE)</f>
        <v>77400</v>
      </c>
      <c r="J2675" s="20">
        <f t="shared" si="41"/>
        <v>0.51807228915662651</v>
      </c>
    </row>
    <row r="2676" spans="1:10" x14ac:dyDescent="0.3">
      <c r="A2676" s="33">
        <v>2675</v>
      </c>
      <c r="B2676" s="4">
        <v>17</v>
      </c>
      <c r="C2676" s="15">
        <v>10</v>
      </c>
      <c r="D2676" s="16">
        <v>4</v>
      </c>
      <c r="E2676" s="22">
        <v>44438</v>
      </c>
      <c r="F2676" s="17">
        <v>10</v>
      </c>
      <c r="G2676" s="18">
        <v>0.1</v>
      </c>
      <c r="H2676">
        <f>F2676*VLOOKUP(B2676,產品!$A$2:$H$61,7,FALSE)*(1-銷售總表!G2676)</f>
        <v>16200</v>
      </c>
      <c r="I2676" s="35">
        <f>H2676-F2676*VLOOKUP(銷售總表!B2676,產品!$A$2:$H$61,8,FALSE)</f>
        <v>9000</v>
      </c>
      <c r="J2676" s="20">
        <f t="shared" si="41"/>
        <v>0.55555555555555558</v>
      </c>
    </row>
    <row r="2677" spans="1:10" x14ac:dyDescent="0.3">
      <c r="A2677" s="33">
        <v>2676</v>
      </c>
      <c r="B2677" s="4">
        <v>58</v>
      </c>
      <c r="C2677" s="15">
        <v>258</v>
      </c>
      <c r="D2677" s="16">
        <v>6</v>
      </c>
      <c r="E2677" s="22">
        <v>44438</v>
      </c>
      <c r="F2677" s="17">
        <v>5</v>
      </c>
      <c r="G2677" s="18">
        <v>0.16</v>
      </c>
      <c r="H2677">
        <f>F2677*VLOOKUP(B2677,產品!$A$2:$H$61,7,FALSE)*(1-銷售總表!G2677)</f>
        <v>88200</v>
      </c>
      <c r="I2677" s="35">
        <f>H2677-F2677*VLOOKUP(銷售總表!B2677,產品!$A$2:$H$61,8,FALSE)</f>
        <v>14700.000000000015</v>
      </c>
      <c r="J2677" s="20">
        <f t="shared" si="41"/>
        <v>0.16666666666666682</v>
      </c>
    </row>
    <row r="2678" spans="1:10" x14ac:dyDescent="0.3">
      <c r="A2678" s="33">
        <v>2677</v>
      </c>
      <c r="B2678" s="4">
        <v>40</v>
      </c>
      <c r="C2678" s="15">
        <v>121</v>
      </c>
      <c r="D2678" s="16">
        <v>9</v>
      </c>
      <c r="E2678" s="22">
        <v>44438</v>
      </c>
      <c r="F2678" s="19">
        <v>6</v>
      </c>
      <c r="G2678" s="18">
        <v>0.15</v>
      </c>
      <c r="H2678">
        <f>F2678*VLOOKUP(B2678,產品!$A$2:$H$61,7,FALSE)*(1-銷售總表!G2678)</f>
        <v>102000</v>
      </c>
      <c r="I2678" s="35">
        <f>H2678-F2678*VLOOKUP(銷售總表!B2678,產品!$A$2:$H$61,8,FALSE)</f>
        <v>24000</v>
      </c>
      <c r="J2678" s="20">
        <f t="shared" si="41"/>
        <v>0.23529411764705882</v>
      </c>
    </row>
    <row r="2679" spans="1:10" x14ac:dyDescent="0.3">
      <c r="A2679" s="33">
        <v>2678</v>
      </c>
      <c r="B2679" s="4">
        <v>16</v>
      </c>
      <c r="C2679" s="15">
        <v>257</v>
      </c>
      <c r="D2679" s="16">
        <v>8</v>
      </c>
      <c r="E2679" s="22">
        <v>44438</v>
      </c>
      <c r="F2679" s="17">
        <v>50</v>
      </c>
      <c r="G2679" s="18">
        <v>0.19</v>
      </c>
      <c r="H2679">
        <f>F2679*VLOOKUP(B2679,產品!$A$2:$H$61,7,FALSE)*(1-銷售總表!G2679)</f>
        <v>72900</v>
      </c>
      <c r="I2679" s="35">
        <f>H2679-F2679*VLOOKUP(銷售總表!B2679,產品!$A$2:$H$61,8,FALSE)</f>
        <v>36900</v>
      </c>
      <c r="J2679" s="20">
        <f t="shared" si="41"/>
        <v>0.50617283950617287</v>
      </c>
    </row>
    <row r="2680" spans="1:10" x14ac:dyDescent="0.3">
      <c r="A2680" s="33">
        <v>2679</v>
      </c>
      <c r="B2680" s="4">
        <v>27</v>
      </c>
      <c r="C2680" s="15">
        <v>11</v>
      </c>
      <c r="D2680" s="16">
        <v>9</v>
      </c>
      <c r="E2680" s="22">
        <v>44439</v>
      </c>
      <c r="F2680" s="17">
        <v>10</v>
      </c>
      <c r="G2680" s="18">
        <v>0.17</v>
      </c>
      <c r="H2680">
        <f>F2680*VLOOKUP(B2680,產品!$A$2:$H$61,7,FALSE)*(1-銷售總表!G2680)</f>
        <v>58100</v>
      </c>
      <c r="I2680" s="35">
        <f>H2680-F2680*VLOOKUP(銷售總表!B2680,產品!$A$2:$H$61,8,FALSE)</f>
        <v>16100</v>
      </c>
      <c r="J2680" s="20">
        <f t="shared" si="41"/>
        <v>0.27710843373493976</v>
      </c>
    </row>
    <row r="2681" spans="1:10" x14ac:dyDescent="0.3">
      <c r="A2681" s="33">
        <v>2680</v>
      </c>
      <c r="B2681" s="4">
        <v>33</v>
      </c>
      <c r="C2681" s="15">
        <v>12</v>
      </c>
      <c r="D2681" s="16">
        <v>3</v>
      </c>
      <c r="E2681" s="22">
        <v>44439</v>
      </c>
      <c r="F2681" s="17">
        <v>5</v>
      </c>
      <c r="G2681" s="18">
        <v>0.1</v>
      </c>
      <c r="H2681">
        <f>F2681*VLOOKUP(B2681,產品!$A$2:$H$61,7,FALSE)*(1-銷售總表!G2681)</f>
        <v>33750</v>
      </c>
      <c r="I2681" s="35">
        <f>H2681-F2681*VLOOKUP(銷售總表!B2681,產品!$A$2:$H$61,8,FALSE)</f>
        <v>11250</v>
      </c>
      <c r="J2681" s="20">
        <f t="shared" si="41"/>
        <v>0.33333333333333331</v>
      </c>
    </row>
    <row r="2682" spans="1:10" x14ac:dyDescent="0.3">
      <c r="A2682" s="33">
        <v>2681</v>
      </c>
      <c r="B2682" s="4">
        <v>37</v>
      </c>
      <c r="C2682" s="15">
        <v>265</v>
      </c>
      <c r="D2682" s="16">
        <v>7</v>
      </c>
      <c r="E2682" s="22">
        <v>44439</v>
      </c>
      <c r="F2682" s="17">
        <v>7</v>
      </c>
      <c r="G2682" s="18">
        <v>0.12</v>
      </c>
      <c r="H2682">
        <f>F2682*VLOOKUP(B2682,產品!$A$2:$H$61,7,FALSE)*(1-銷售總表!G2682)</f>
        <v>73920</v>
      </c>
      <c r="I2682" s="35">
        <f>H2682-F2682*VLOOKUP(銷售總表!B2682,產品!$A$2:$H$61,8,FALSE)</f>
        <v>19320</v>
      </c>
      <c r="J2682" s="20">
        <f t="shared" si="41"/>
        <v>0.26136363636363635</v>
      </c>
    </row>
    <row r="2683" spans="1:10" x14ac:dyDescent="0.3">
      <c r="A2683" s="33">
        <v>2682</v>
      </c>
      <c r="B2683" s="4">
        <v>6</v>
      </c>
      <c r="C2683" s="15">
        <v>261</v>
      </c>
      <c r="D2683" s="16">
        <v>4</v>
      </c>
      <c r="E2683" s="22">
        <v>44439</v>
      </c>
      <c r="F2683" s="19">
        <v>60</v>
      </c>
      <c r="G2683" s="18">
        <v>0.09</v>
      </c>
      <c r="H2683">
        <f>F2683*VLOOKUP(B2683,產品!$A$2:$H$61,7,FALSE)*(1-銷售總表!G2683)</f>
        <v>54600</v>
      </c>
      <c r="I2683" s="35">
        <f>H2683-F2683*VLOOKUP(銷售總表!B2683,產品!$A$2:$H$61,8,FALSE)</f>
        <v>30600</v>
      </c>
      <c r="J2683" s="20">
        <f t="shared" si="41"/>
        <v>0.56043956043956045</v>
      </c>
    </row>
    <row r="2684" spans="1:10" x14ac:dyDescent="0.3">
      <c r="A2684" s="33">
        <v>2683</v>
      </c>
      <c r="B2684" s="4">
        <v>40</v>
      </c>
      <c r="C2684" s="15">
        <v>118</v>
      </c>
      <c r="D2684" s="16">
        <v>5</v>
      </c>
      <c r="E2684" s="22">
        <v>44439</v>
      </c>
      <c r="F2684" s="19">
        <v>6</v>
      </c>
      <c r="G2684" s="18">
        <v>0.09</v>
      </c>
      <c r="H2684">
        <f>F2684*VLOOKUP(B2684,產品!$A$2:$H$61,7,FALSE)*(1-銷售總表!G2684)</f>
        <v>109200</v>
      </c>
      <c r="I2684" s="35">
        <f>H2684-F2684*VLOOKUP(銷售總表!B2684,產品!$A$2:$H$61,8,FALSE)</f>
        <v>31200</v>
      </c>
      <c r="J2684" s="20">
        <f t="shared" si="41"/>
        <v>0.2857142857142857</v>
      </c>
    </row>
    <row r="2685" spans="1:10" x14ac:dyDescent="0.3">
      <c r="A2685" s="33">
        <v>2684</v>
      </c>
      <c r="B2685" s="4">
        <v>39</v>
      </c>
      <c r="C2685" s="15">
        <v>116</v>
      </c>
      <c r="D2685" s="16">
        <v>3</v>
      </c>
      <c r="E2685" s="22">
        <v>44439</v>
      </c>
      <c r="F2685" s="19">
        <v>11</v>
      </c>
      <c r="G2685" s="18">
        <v>0.17</v>
      </c>
      <c r="H2685">
        <f>F2685*VLOOKUP(B2685,產品!$A$2:$H$61,7,FALSE)*(1-銷售總表!G2685)</f>
        <v>164340</v>
      </c>
      <c r="I2685" s="35">
        <f>H2685-F2685*VLOOKUP(銷售總表!B2685,產品!$A$2:$H$61,8,FALSE)</f>
        <v>35640</v>
      </c>
      <c r="J2685" s="20">
        <f t="shared" si="41"/>
        <v>0.21686746987951808</v>
      </c>
    </row>
    <row r="2686" spans="1:10" x14ac:dyDescent="0.3">
      <c r="A2686" s="33">
        <v>2685</v>
      </c>
      <c r="B2686" s="4">
        <v>47</v>
      </c>
      <c r="C2686" s="15">
        <v>112</v>
      </c>
      <c r="D2686" s="16">
        <v>8</v>
      </c>
      <c r="E2686" s="22">
        <v>44439</v>
      </c>
      <c r="F2686" s="19">
        <v>15</v>
      </c>
      <c r="G2686" s="18">
        <v>0.06</v>
      </c>
      <c r="H2686">
        <f>F2686*VLOOKUP(B2686,產品!$A$2:$H$61,7,FALSE)*(1-銷售總表!G2686)</f>
        <v>282000</v>
      </c>
      <c r="I2686" s="35">
        <f>H2686-F2686*VLOOKUP(銷售總表!B2686,產品!$A$2:$H$61,8,FALSE)</f>
        <v>87000</v>
      </c>
      <c r="J2686" s="20">
        <f t="shared" si="41"/>
        <v>0.30851063829787234</v>
      </c>
    </row>
    <row r="2687" spans="1:10" x14ac:dyDescent="0.3">
      <c r="A2687" s="33">
        <v>2686</v>
      </c>
      <c r="B2687" s="4">
        <v>8</v>
      </c>
      <c r="C2687" s="15">
        <v>117</v>
      </c>
      <c r="D2687" s="16">
        <v>8</v>
      </c>
      <c r="E2687" s="22">
        <v>44440</v>
      </c>
      <c r="F2687" s="19">
        <v>11</v>
      </c>
      <c r="G2687" s="18">
        <v>0.09</v>
      </c>
      <c r="H2687">
        <f>F2687*VLOOKUP(B2687,產品!$A$2:$H$61,7,FALSE)*(1-銷售總表!G2687)</f>
        <v>10010</v>
      </c>
      <c r="I2687" s="35">
        <f>H2687-F2687*VLOOKUP(銷售總表!B2687,產品!$A$2:$H$61,8,FALSE)</f>
        <v>5610</v>
      </c>
      <c r="J2687" s="20">
        <f t="shared" si="41"/>
        <v>0.56043956043956045</v>
      </c>
    </row>
    <row r="2688" spans="1:10" x14ac:dyDescent="0.3">
      <c r="A2688" s="33">
        <v>2687</v>
      </c>
      <c r="B2688" s="4">
        <v>34</v>
      </c>
      <c r="C2688" s="15">
        <v>258</v>
      </c>
      <c r="D2688" s="16">
        <v>1</v>
      </c>
      <c r="E2688" s="22">
        <v>44440</v>
      </c>
      <c r="F2688" s="19">
        <v>4</v>
      </c>
      <c r="G2688" s="18">
        <v>0.17</v>
      </c>
      <c r="H2688">
        <f>F2688*VLOOKUP(B2688,產品!$A$2:$H$61,7,FALSE)*(1-銷售總表!G2688)</f>
        <v>26560</v>
      </c>
      <c r="I2688" s="35">
        <f>H2688-F2688*VLOOKUP(銷售總表!B2688,產品!$A$2:$H$61,8,FALSE)</f>
        <v>7360</v>
      </c>
      <c r="J2688" s="20">
        <f t="shared" si="41"/>
        <v>0.27710843373493976</v>
      </c>
    </row>
    <row r="2689" spans="1:10" x14ac:dyDescent="0.3">
      <c r="A2689" s="33">
        <v>2688</v>
      </c>
      <c r="B2689" s="4">
        <v>24</v>
      </c>
      <c r="C2689" s="15">
        <v>123</v>
      </c>
      <c r="D2689" s="16">
        <v>5</v>
      </c>
      <c r="E2689" s="22">
        <v>44440</v>
      </c>
      <c r="F2689" s="17">
        <v>15</v>
      </c>
      <c r="G2689" s="18">
        <v>0.19</v>
      </c>
      <c r="H2689">
        <f>F2689*VLOOKUP(B2689,產品!$A$2:$H$61,7,FALSE)*(1-銷售總表!G2689)</f>
        <v>21870</v>
      </c>
      <c r="I2689" s="35">
        <f>H2689-F2689*VLOOKUP(銷售總表!B2689,產品!$A$2:$H$61,8,FALSE)</f>
        <v>11070</v>
      </c>
      <c r="J2689" s="20">
        <f t="shared" si="41"/>
        <v>0.50617283950617287</v>
      </c>
    </row>
    <row r="2690" spans="1:10" x14ac:dyDescent="0.3">
      <c r="A2690" s="33">
        <v>2689</v>
      </c>
      <c r="B2690" s="4">
        <v>10</v>
      </c>
      <c r="C2690" s="15">
        <v>263</v>
      </c>
      <c r="D2690" s="16">
        <v>2</v>
      </c>
      <c r="E2690" s="22">
        <v>44440</v>
      </c>
      <c r="F2690" s="17">
        <v>40</v>
      </c>
      <c r="G2690" s="18">
        <v>0.16</v>
      </c>
      <c r="H2690">
        <f>F2690*VLOOKUP(B2690,產品!$A$2:$H$61,7,FALSE)*(1-銷售總表!G2690)</f>
        <v>33600</v>
      </c>
      <c r="I2690" s="35">
        <f>H2690-F2690*VLOOKUP(銷售總表!B2690,產品!$A$2:$H$61,8,FALSE)</f>
        <v>17600</v>
      </c>
      <c r="J2690" s="20">
        <f t="shared" si="41"/>
        <v>0.52380952380952384</v>
      </c>
    </row>
    <row r="2691" spans="1:10" x14ac:dyDescent="0.3">
      <c r="A2691" s="33">
        <v>2690</v>
      </c>
      <c r="B2691" s="4">
        <v>32</v>
      </c>
      <c r="C2691" s="15">
        <v>283</v>
      </c>
      <c r="D2691" s="16">
        <v>9</v>
      </c>
      <c r="E2691" s="22">
        <v>44440</v>
      </c>
      <c r="F2691" s="19">
        <v>12</v>
      </c>
      <c r="G2691" s="18">
        <v>0.14000000000000001</v>
      </c>
      <c r="H2691">
        <f>F2691*VLOOKUP(B2691,產品!$A$2:$H$61,7,FALSE)*(1-銷售總表!G2691)</f>
        <v>77400</v>
      </c>
      <c r="I2691" s="35">
        <f>H2691-F2691*VLOOKUP(銷售總表!B2691,產品!$A$2:$H$61,8,FALSE)</f>
        <v>23400</v>
      </c>
      <c r="J2691" s="20">
        <f t="shared" ref="J2691:J2754" si="42">I2691/H2691</f>
        <v>0.30232558139534882</v>
      </c>
    </row>
    <row r="2692" spans="1:10" x14ac:dyDescent="0.3">
      <c r="A2692" s="33">
        <v>2691</v>
      </c>
      <c r="B2692" s="4">
        <v>24</v>
      </c>
      <c r="C2692" s="15">
        <v>112</v>
      </c>
      <c r="D2692" s="16">
        <v>8</v>
      </c>
      <c r="E2692" s="22">
        <v>44440</v>
      </c>
      <c r="F2692" s="19">
        <v>125</v>
      </c>
      <c r="G2692" s="18">
        <v>0.11</v>
      </c>
      <c r="H2692">
        <f>F2692*VLOOKUP(B2692,產品!$A$2:$H$61,7,FALSE)*(1-銷售總表!G2692)</f>
        <v>200250</v>
      </c>
      <c r="I2692" s="35">
        <f>H2692-F2692*VLOOKUP(銷售總表!B2692,產品!$A$2:$H$61,8,FALSE)</f>
        <v>110250</v>
      </c>
      <c r="J2692" s="20">
        <f t="shared" si="42"/>
        <v>0.550561797752809</v>
      </c>
    </row>
    <row r="2693" spans="1:10" x14ac:dyDescent="0.3">
      <c r="A2693" s="33">
        <v>2692</v>
      </c>
      <c r="B2693" s="4">
        <v>56</v>
      </c>
      <c r="C2693" s="15">
        <v>136</v>
      </c>
      <c r="D2693" s="16">
        <v>8</v>
      </c>
      <c r="E2693" s="22">
        <v>44441</v>
      </c>
      <c r="F2693" s="17">
        <v>5</v>
      </c>
      <c r="G2693" s="18">
        <v>0.18</v>
      </c>
      <c r="H2693">
        <f>F2693*VLOOKUP(B2693,產品!$A$2:$H$61,7,FALSE)*(1-銷售總表!G2693)</f>
        <v>90200</v>
      </c>
      <c r="I2693" s="35">
        <f>H2693-F2693*VLOOKUP(銷售總表!B2693,產品!$A$2:$H$61,8,FALSE)</f>
        <v>13200.000000000015</v>
      </c>
      <c r="J2693" s="20">
        <f t="shared" si="42"/>
        <v>0.1463414634146343</v>
      </c>
    </row>
    <row r="2694" spans="1:10" x14ac:dyDescent="0.3">
      <c r="A2694" s="33">
        <v>2693</v>
      </c>
      <c r="B2694" s="4">
        <v>9</v>
      </c>
      <c r="C2694" s="15">
        <v>291</v>
      </c>
      <c r="D2694" s="16">
        <v>2</v>
      </c>
      <c r="E2694" s="22">
        <v>44441</v>
      </c>
      <c r="F2694" s="17">
        <v>50</v>
      </c>
      <c r="G2694" s="18">
        <v>0.12</v>
      </c>
      <c r="H2694">
        <f>F2694*VLOOKUP(B2694,產品!$A$2:$H$61,7,FALSE)*(1-銷售總表!G2694)</f>
        <v>44000</v>
      </c>
      <c r="I2694" s="35">
        <f>H2694-F2694*VLOOKUP(銷售總表!B2694,產品!$A$2:$H$61,8,FALSE)</f>
        <v>24000</v>
      </c>
      <c r="J2694" s="20">
        <f t="shared" si="42"/>
        <v>0.54545454545454541</v>
      </c>
    </row>
    <row r="2695" spans="1:10" x14ac:dyDescent="0.3">
      <c r="A2695" s="33">
        <v>2694</v>
      </c>
      <c r="B2695" s="4">
        <v>55</v>
      </c>
      <c r="C2695" s="15">
        <v>278</v>
      </c>
      <c r="D2695" s="16">
        <v>4</v>
      </c>
      <c r="E2695" s="22">
        <v>44441</v>
      </c>
      <c r="F2695" s="19">
        <v>9</v>
      </c>
      <c r="G2695" s="18">
        <v>0.13</v>
      </c>
      <c r="H2695">
        <f>F2695*VLOOKUP(B2695,產品!$A$2:$H$61,7,FALSE)*(1-銷售總表!G2695)</f>
        <v>156600</v>
      </c>
      <c r="I2695" s="35">
        <f>H2695-F2695*VLOOKUP(銷售總表!B2695,產品!$A$2:$H$61,8,FALSE)</f>
        <v>30600</v>
      </c>
      <c r="J2695" s="20">
        <f t="shared" si="42"/>
        <v>0.19540229885057472</v>
      </c>
    </row>
    <row r="2696" spans="1:10" x14ac:dyDescent="0.3">
      <c r="A2696" s="33">
        <v>2695</v>
      </c>
      <c r="B2696" s="4">
        <v>32</v>
      </c>
      <c r="C2696" s="15">
        <v>136</v>
      </c>
      <c r="D2696" s="16">
        <v>8</v>
      </c>
      <c r="E2696" s="22">
        <v>44442</v>
      </c>
      <c r="F2696" s="19">
        <v>2</v>
      </c>
      <c r="G2696" s="18">
        <v>0.15</v>
      </c>
      <c r="H2696">
        <f>F2696*VLOOKUP(B2696,產品!$A$2:$H$61,7,FALSE)*(1-銷售總表!G2696)</f>
        <v>12750</v>
      </c>
      <c r="I2696" s="35">
        <f>H2696-F2696*VLOOKUP(銷售總表!B2696,產品!$A$2:$H$61,8,FALSE)</f>
        <v>3750</v>
      </c>
      <c r="J2696" s="20">
        <f t="shared" si="42"/>
        <v>0.29411764705882354</v>
      </c>
    </row>
    <row r="2697" spans="1:10" x14ac:dyDescent="0.3">
      <c r="A2697" s="33">
        <v>2696</v>
      </c>
      <c r="B2697" s="4">
        <v>1</v>
      </c>
      <c r="C2697" s="15">
        <v>284</v>
      </c>
      <c r="D2697" s="16">
        <v>1</v>
      </c>
      <c r="E2697" s="22">
        <v>44442</v>
      </c>
      <c r="F2697" s="17">
        <v>10</v>
      </c>
      <c r="G2697" s="18">
        <v>0.08</v>
      </c>
      <c r="H2697">
        <f>F2697*VLOOKUP(B2697,產品!$A$2:$H$61,7,FALSE)*(1-銷售總表!G2697)</f>
        <v>9200</v>
      </c>
      <c r="I2697" s="35">
        <f>H2697-F2697*VLOOKUP(銷售總表!B2697,產品!$A$2:$H$61,8,FALSE)</f>
        <v>5200</v>
      </c>
      <c r="J2697" s="20">
        <f t="shared" si="42"/>
        <v>0.56521739130434778</v>
      </c>
    </row>
    <row r="2698" spans="1:10" x14ac:dyDescent="0.3">
      <c r="A2698" s="33">
        <v>2697</v>
      </c>
      <c r="B2698" s="4">
        <v>40</v>
      </c>
      <c r="C2698" s="15">
        <v>123</v>
      </c>
      <c r="D2698" s="16">
        <v>5</v>
      </c>
      <c r="E2698" s="22">
        <v>44442</v>
      </c>
      <c r="F2698" s="19">
        <v>3</v>
      </c>
      <c r="G2698" s="18">
        <v>7.0000000000000007E-2</v>
      </c>
      <c r="H2698">
        <f>F2698*VLOOKUP(B2698,產品!$A$2:$H$61,7,FALSE)*(1-銷售總表!G2698)</f>
        <v>55799.999999999993</v>
      </c>
      <c r="I2698" s="35">
        <f>H2698-F2698*VLOOKUP(銷售總表!B2698,產品!$A$2:$H$61,8,FALSE)</f>
        <v>16799.999999999993</v>
      </c>
      <c r="J2698" s="20">
        <f t="shared" si="42"/>
        <v>0.3010752688172042</v>
      </c>
    </row>
    <row r="2699" spans="1:10" x14ac:dyDescent="0.3">
      <c r="A2699" s="33">
        <v>2698</v>
      </c>
      <c r="B2699" s="4">
        <v>41</v>
      </c>
      <c r="C2699" s="15">
        <v>288</v>
      </c>
      <c r="D2699" s="16">
        <v>7</v>
      </c>
      <c r="E2699" s="22">
        <v>44442</v>
      </c>
      <c r="F2699" s="19">
        <v>10</v>
      </c>
      <c r="G2699" s="18">
        <v>0.05</v>
      </c>
      <c r="H2699">
        <f>F2699*VLOOKUP(B2699,產品!$A$2:$H$61,7,FALSE)*(1-銷售總表!G2699)</f>
        <v>114000</v>
      </c>
      <c r="I2699" s="35">
        <f>H2699-F2699*VLOOKUP(銷售總表!B2699,產品!$A$2:$H$61,8,FALSE)</f>
        <v>36000</v>
      </c>
      <c r="J2699" s="20">
        <f t="shared" si="42"/>
        <v>0.31578947368421051</v>
      </c>
    </row>
    <row r="2700" spans="1:10" x14ac:dyDescent="0.3">
      <c r="A2700" s="33">
        <v>2699</v>
      </c>
      <c r="B2700" s="4">
        <v>44</v>
      </c>
      <c r="C2700" s="15">
        <v>9</v>
      </c>
      <c r="D2700" s="16">
        <v>1</v>
      </c>
      <c r="E2700" s="22">
        <v>44442</v>
      </c>
      <c r="F2700" s="19">
        <v>7</v>
      </c>
      <c r="G2700" s="18">
        <v>0.08</v>
      </c>
      <c r="H2700">
        <f>F2700*VLOOKUP(B2700,產品!$A$2:$H$61,7,FALSE)*(1-銷售總表!G2700)</f>
        <v>128800</v>
      </c>
      <c r="I2700" s="35">
        <f>H2700-F2700*VLOOKUP(銷售總表!B2700,產品!$A$2:$H$61,8,FALSE)</f>
        <v>37800</v>
      </c>
      <c r="J2700" s="20">
        <f t="shared" si="42"/>
        <v>0.29347826086956524</v>
      </c>
    </row>
    <row r="2701" spans="1:10" x14ac:dyDescent="0.3">
      <c r="A2701" s="33">
        <v>2700</v>
      </c>
      <c r="B2701" s="4">
        <v>2</v>
      </c>
      <c r="C2701" s="15">
        <v>273</v>
      </c>
      <c r="D2701" s="16">
        <v>7</v>
      </c>
      <c r="E2701" s="22">
        <v>44442</v>
      </c>
      <c r="F2701" s="19">
        <v>150</v>
      </c>
      <c r="G2701" s="18">
        <v>0.17</v>
      </c>
      <c r="H2701">
        <f>F2701*VLOOKUP(B2701,產品!$A$2:$H$61,7,FALSE)*(1-銷售總表!G2701)</f>
        <v>124500</v>
      </c>
      <c r="I2701" s="35">
        <f>H2701-F2701*VLOOKUP(銷售總表!B2701,產品!$A$2:$H$61,8,FALSE)</f>
        <v>64500</v>
      </c>
      <c r="J2701" s="20">
        <f t="shared" si="42"/>
        <v>0.51807228915662651</v>
      </c>
    </row>
    <row r="2702" spans="1:10" x14ac:dyDescent="0.3">
      <c r="A2702" s="33">
        <v>2701</v>
      </c>
      <c r="B2702" s="4">
        <v>41</v>
      </c>
      <c r="C2702" s="15">
        <v>271</v>
      </c>
      <c r="D2702" s="16">
        <v>9</v>
      </c>
      <c r="E2702" s="22">
        <v>44443</v>
      </c>
      <c r="F2702" s="19">
        <v>3</v>
      </c>
      <c r="G2702" s="18">
        <v>0.08</v>
      </c>
      <c r="H2702">
        <f>F2702*VLOOKUP(B2702,產品!$A$2:$H$61,7,FALSE)*(1-銷售總表!G2702)</f>
        <v>33120</v>
      </c>
      <c r="I2702" s="35">
        <f>H2702-F2702*VLOOKUP(銷售總表!B2702,產品!$A$2:$H$61,8,FALSE)</f>
        <v>9720</v>
      </c>
      <c r="J2702" s="20">
        <f t="shared" si="42"/>
        <v>0.29347826086956524</v>
      </c>
    </row>
    <row r="2703" spans="1:10" x14ac:dyDescent="0.3">
      <c r="A2703" s="33">
        <v>2702</v>
      </c>
      <c r="B2703" s="4">
        <v>46</v>
      </c>
      <c r="C2703" s="15">
        <v>137</v>
      </c>
      <c r="D2703" s="16">
        <v>10</v>
      </c>
      <c r="E2703" s="22">
        <v>44443</v>
      </c>
      <c r="F2703" s="17">
        <v>4</v>
      </c>
      <c r="G2703" s="18">
        <v>0.14000000000000001</v>
      </c>
      <c r="H2703">
        <f>F2703*VLOOKUP(B2703,產品!$A$2:$H$61,7,FALSE)*(1-銷售總表!G2703)</f>
        <v>58480</v>
      </c>
      <c r="I2703" s="35">
        <f>H2703-F2703*VLOOKUP(銷售總表!B2703,產品!$A$2:$H$61,8,FALSE)</f>
        <v>14280</v>
      </c>
      <c r="J2703" s="20">
        <f t="shared" si="42"/>
        <v>0.2441860465116279</v>
      </c>
    </row>
    <row r="2704" spans="1:10" x14ac:dyDescent="0.3">
      <c r="A2704" s="33">
        <v>2703</v>
      </c>
      <c r="B2704" s="4">
        <v>23</v>
      </c>
      <c r="C2704" s="15">
        <v>12</v>
      </c>
      <c r="D2704" s="16">
        <v>9</v>
      </c>
      <c r="E2704" s="22">
        <v>44443</v>
      </c>
      <c r="F2704" s="17">
        <v>20</v>
      </c>
      <c r="G2704" s="18">
        <v>0.14000000000000001</v>
      </c>
      <c r="H2704">
        <f>F2704*VLOOKUP(B2704,產品!$A$2:$H$61,7,FALSE)*(1-銷售總表!G2704)</f>
        <v>30960</v>
      </c>
      <c r="I2704" s="35">
        <f>H2704-F2704*VLOOKUP(銷售總表!B2704,產品!$A$2:$H$61,8,FALSE)</f>
        <v>16560</v>
      </c>
      <c r="J2704" s="20">
        <f t="shared" si="42"/>
        <v>0.53488372093023251</v>
      </c>
    </row>
    <row r="2705" spans="1:10" x14ac:dyDescent="0.3">
      <c r="A2705" s="33">
        <v>2704</v>
      </c>
      <c r="B2705" s="4">
        <v>47</v>
      </c>
      <c r="C2705" s="15">
        <v>258</v>
      </c>
      <c r="D2705" s="16">
        <v>8</v>
      </c>
      <c r="E2705" s="22">
        <v>44443</v>
      </c>
      <c r="F2705" s="19">
        <v>5</v>
      </c>
      <c r="G2705" s="18">
        <v>0.17</v>
      </c>
      <c r="H2705">
        <f>F2705*VLOOKUP(B2705,產品!$A$2:$H$61,7,FALSE)*(1-銷售總表!G2705)</f>
        <v>83000</v>
      </c>
      <c r="I2705" s="35">
        <f>H2705-F2705*VLOOKUP(銷售總表!B2705,產品!$A$2:$H$61,8,FALSE)</f>
        <v>18000</v>
      </c>
      <c r="J2705" s="20">
        <f t="shared" si="42"/>
        <v>0.21686746987951808</v>
      </c>
    </row>
    <row r="2706" spans="1:10" x14ac:dyDescent="0.3">
      <c r="A2706" s="33">
        <v>2705</v>
      </c>
      <c r="B2706" s="4">
        <v>40</v>
      </c>
      <c r="C2706" s="15">
        <v>268</v>
      </c>
      <c r="D2706" s="16">
        <v>8</v>
      </c>
      <c r="E2706" s="22">
        <v>44443</v>
      </c>
      <c r="F2706" s="19">
        <v>5</v>
      </c>
      <c r="G2706" s="18">
        <v>0.11</v>
      </c>
      <c r="H2706">
        <f>F2706*VLOOKUP(B2706,產品!$A$2:$H$61,7,FALSE)*(1-銷售總表!G2706)</f>
        <v>89000</v>
      </c>
      <c r="I2706" s="35">
        <f>H2706-F2706*VLOOKUP(銷售總表!B2706,產品!$A$2:$H$61,8,FALSE)</f>
        <v>24000</v>
      </c>
      <c r="J2706" s="20">
        <f t="shared" si="42"/>
        <v>0.2696629213483146</v>
      </c>
    </row>
    <row r="2707" spans="1:10" x14ac:dyDescent="0.3">
      <c r="A2707" s="33">
        <v>2706</v>
      </c>
      <c r="B2707" s="4">
        <v>37</v>
      </c>
      <c r="C2707" s="15">
        <v>291</v>
      </c>
      <c r="D2707" s="16">
        <v>7</v>
      </c>
      <c r="E2707" s="22">
        <v>44443</v>
      </c>
      <c r="F2707" s="19">
        <v>12</v>
      </c>
      <c r="G2707" s="18">
        <v>0.18</v>
      </c>
      <c r="H2707">
        <f>F2707*VLOOKUP(B2707,產品!$A$2:$H$61,7,FALSE)*(1-銷售總表!G2707)</f>
        <v>118080.00000000001</v>
      </c>
      <c r="I2707" s="35">
        <f>H2707-F2707*VLOOKUP(銷售總表!B2707,產品!$A$2:$H$61,8,FALSE)</f>
        <v>24480.000000000015</v>
      </c>
      <c r="J2707" s="20">
        <f t="shared" si="42"/>
        <v>0.20731707317073181</v>
      </c>
    </row>
    <row r="2708" spans="1:10" x14ac:dyDescent="0.3">
      <c r="A2708" s="33">
        <v>2707</v>
      </c>
      <c r="B2708" s="4">
        <v>27</v>
      </c>
      <c r="C2708" s="15">
        <v>4</v>
      </c>
      <c r="D2708" s="16">
        <v>10</v>
      </c>
      <c r="E2708" s="22">
        <v>44443</v>
      </c>
      <c r="F2708" s="17">
        <v>15</v>
      </c>
      <c r="G2708" s="18">
        <v>0.12</v>
      </c>
      <c r="H2708">
        <f>F2708*VLOOKUP(B2708,產品!$A$2:$H$61,7,FALSE)*(1-銷售總表!G2708)</f>
        <v>92400</v>
      </c>
      <c r="I2708" s="35">
        <f>H2708-F2708*VLOOKUP(銷售總表!B2708,產品!$A$2:$H$61,8,FALSE)</f>
        <v>29400</v>
      </c>
      <c r="J2708" s="20">
        <f t="shared" si="42"/>
        <v>0.31818181818181818</v>
      </c>
    </row>
    <row r="2709" spans="1:10" x14ac:dyDescent="0.3">
      <c r="A2709" s="33">
        <v>2708</v>
      </c>
      <c r="B2709" s="4">
        <v>10</v>
      </c>
      <c r="C2709" s="15">
        <v>272</v>
      </c>
      <c r="D2709" s="16">
        <v>4</v>
      </c>
      <c r="E2709" s="22">
        <v>44443</v>
      </c>
      <c r="F2709" s="17">
        <v>90</v>
      </c>
      <c r="G2709" s="18">
        <v>0.08</v>
      </c>
      <c r="H2709">
        <f>F2709*VLOOKUP(B2709,產品!$A$2:$H$61,7,FALSE)*(1-銷售總表!G2709)</f>
        <v>82800</v>
      </c>
      <c r="I2709" s="35">
        <f>H2709-F2709*VLOOKUP(銷售總表!B2709,產品!$A$2:$H$61,8,FALSE)</f>
        <v>46800</v>
      </c>
      <c r="J2709" s="20">
        <f t="shared" si="42"/>
        <v>0.56521739130434778</v>
      </c>
    </row>
    <row r="2710" spans="1:10" x14ac:dyDescent="0.3">
      <c r="A2710" s="33">
        <v>2709</v>
      </c>
      <c r="B2710" s="4">
        <v>13</v>
      </c>
      <c r="C2710" s="15">
        <v>285</v>
      </c>
      <c r="D2710" s="16">
        <v>6</v>
      </c>
      <c r="E2710" s="22">
        <v>44443</v>
      </c>
      <c r="F2710" s="19">
        <v>60</v>
      </c>
      <c r="G2710" s="18">
        <v>7.0000000000000007E-2</v>
      </c>
      <c r="H2710">
        <f>F2710*VLOOKUP(B2710,產品!$A$2:$H$61,7,FALSE)*(1-銷售總表!G2710)</f>
        <v>100440</v>
      </c>
      <c r="I2710" s="35">
        <f>H2710-F2710*VLOOKUP(銷售總表!B2710,產品!$A$2:$H$61,8,FALSE)</f>
        <v>57240</v>
      </c>
      <c r="J2710" s="20">
        <f t="shared" si="42"/>
        <v>0.56989247311827962</v>
      </c>
    </row>
    <row r="2711" spans="1:10" x14ac:dyDescent="0.3">
      <c r="A2711" s="33">
        <v>2710</v>
      </c>
      <c r="B2711" s="4">
        <v>24</v>
      </c>
      <c r="C2711" s="15">
        <v>125</v>
      </c>
      <c r="D2711" s="16">
        <v>10</v>
      </c>
      <c r="E2711" s="22">
        <v>44443</v>
      </c>
      <c r="F2711" s="17">
        <v>100</v>
      </c>
      <c r="G2711" s="18">
        <v>0.2</v>
      </c>
      <c r="H2711">
        <f>F2711*VLOOKUP(B2711,產品!$A$2:$H$61,7,FALSE)*(1-銷售總表!G2711)</f>
        <v>144000</v>
      </c>
      <c r="I2711" s="35">
        <f>H2711-F2711*VLOOKUP(銷售總表!B2711,產品!$A$2:$H$61,8,FALSE)</f>
        <v>72000</v>
      </c>
      <c r="J2711" s="20">
        <f t="shared" si="42"/>
        <v>0.5</v>
      </c>
    </row>
    <row r="2712" spans="1:10" x14ac:dyDescent="0.3">
      <c r="A2712" s="33">
        <v>2711</v>
      </c>
      <c r="B2712" s="4">
        <v>29</v>
      </c>
      <c r="C2712" s="15">
        <v>2</v>
      </c>
      <c r="D2712" s="16">
        <v>1</v>
      </c>
      <c r="E2712" s="22">
        <v>44444</v>
      </c>
      <c r="F2712" s="17">
        <v>10</v>
      </c>
      <c r="G2712" s="18">
        <v>0.11</v>
      </c>
      <c r="H2712">
        <f>F2712*VLOOKUP(B2712,產品!$A$2:$H$61,7,FALSE)*(1-銷售總表!G2712)</f>
        <v>53400</v>
      </c>
      <c r="I2712" s="35">
        <f>H2712-F2712*VLOOKUP(銷售總表!B2712,產品!$A$2:$H$61,8,FALSE)</f>
        <v>17400</v>
      </c>
      <c r="J2712" s="20">
        <f t="shared" si="42"/>
        <v>0.3258426966292135</v>
      </c>
    </row>
    <row r="2713" spans="1:10" x14ac:dyDescent="0.3">
      <c r="A2713" s="33">
        <v>2712</v>
      </c>
      <c r="B2713" s="4">
        <v>51</v>
      </c>
      <c r="C2713" s="15">
        <v>8</v>
      </c>
      <c r="D2713" s="16">
        <v>7</v>
      </c>
      <c r="E2713" s="22">
        <v>44444</v>
      </c>
      <c r="F2713" s="19">
        <v>2</v>
      </c>
      <c r="G2713" s="18">
        <v>0.16</v>
      </c>
      <c r="H2713">
        <f>F2713*VLOOKUP(B2713,產品!$A$2:$H$61,7,FALSE)*(1-銷售總表!G2713)</f>
        <v>33600</v>
      </c>
      <c r="I2713" s="35">
        <f>H2713-F2713*VLOOKUP(銷售總表!B2713,產品!$A$2:$H$61,8,FALSE)</f>
        <v>5600</v>
      </c>
      <c r="J2713" s="20">
        <f t="shared" si="42"/>
        <v>0.16666666666666666</v>
      </c>
    </row>
    <row r="2714" spans="1:10" x14ac:dyDescent="0.3">
      <c r="A2714" s="33">
        <v>2713</v>
      </c>
      <c r="B2714" s="4">
        <v>5</v>
      </c>
      <c r="C2714" s="15">
        <v>6</v>
      </c>
      <c r="D2714" s="16">
        <v>2</v>
      </c>
      <c r="E2714" s="22">
        <v>44444</v>
      </c>
      <c r="F2714" s="17">
        <v>14</v>
      </c>
      <c r="G2714" s="18">
        <v>0.05</v>
      </c>
      <c r="H2714">
        <f>F2714*VLOOKUP(B2714,產品!$A$2:$H$61,7,FALSE)*(1-銷售總表!G2714)</f>
        <v>13300</v>
      </c>
      <c r="I2714" s="35">
        <f>H2714-F2714*VLOOKUP(銷售總表!B2714,產品!$A$2:$H$61,8,FALSE)</f>
        <v>7700</v>
      </c>
      <c r="J2714" s="20">
        <f t="shared" si="42"/>
        <v>0.57894736842105265</v>
      </c>
    </row>
    <row r="2715" spans="1:10" x14ac:dyDescent="0.3">
      <c r="A2715" s="33">
        <v>2714</v>
      </c>
      <c r="B2715" s="4">
        <v>18</v>
      </c>
      <c r="C2715" s="15">
        <v>116</v>
      </c>
      <c r="D2715" s="16">
        <v>3</v>
      </c>
      <c r="E2715" s="22">
        <v>44444</v>
      </c>
      <c r="F2715" s="19">
        <v>20</v>
      </c>
      <c r="G2715" s="18">
        <v>0.19</v>
      </c>
      <c r="H2715">
        <f>F2715*VLOOKUP(B2715,產品!$A$2:$H$61,7,FALSE)*(1-銷售總表!G2715)</f>
        <v>29160.000000000004</v>
      </c>
      <c r="I2715" s="35">
        <f>H2715-F2715*VLOOKUP(銷售總表!B2715,產品!$A$2:$H$61,8,FALSE)</f>
        <v>14760.000000000004</v>
      </c>
      <c r="J2715" s="20">
        <f t="shared" si="42"/>
        <v>0.50617283950617287</v>
      </c>
    </row>
    <row r="2716" spans="1:10" x14ac:dyDescent="0.3">
      <c r="A2716" s="33">
        <v>2715</v>
      </c>
      <c r="B2716" s="4">
        <v>59</v>
      </c>
      <c r="C2716" s="15">
        <v>263</v>
      </c>
      <c r="D2716" s="16">
        <v>8</v>
      </c>
      <c r="E2716" s="22">
        <v>44444</v>
      </c>
      <c r="F2716" s="17">
        <v>7</v>
      </c>
      <c r="G2716" s="18">
        <v>0.16</v>
      </c>
      <c r="H2716">
        <f>F2716*VLOOKUP(B2716,產品!$A$2:$H$61,7,FALSE)*(1-銷售總表!G2716)</f>
        <v>141120</v>
      </c>
      <c r="I2716" s="35">
        <f>H2716-F2716*VLOOKUP(銷售總表!B2716,產品!$A$2:$H$61,8,FALSE)</f>
        <v>23520</v>
      </c>
      <c r="J2716" s="20">
        <f t="shared" si="42"/>
        <v>0.16666666666666666</v>
      </c>
    </row>
    <row r="2717" spans="1:10" x14ac:dyDescent="0.3">
      <c r="A2717" s="33">
        <v>2716</v>
      </c>
      <c r="B2717" s="4">
        <v>45</v>
      </c>
      <c r="C2717" s="15">
        <v>261</v>
      </c>
      <c r="D2717" s="16">
        <v>4</v>
      </c>
      <c r="E2717" s="22">
        <v>44444</v>
      </c>
      <c r="F2717" s="19">
        <v>7</v>
      </c>
      <c r="G2717" s="18">
        <v>0.11</v>
      </c>
      <c r="H2717">
        <f>F2717*VLOOKUP(B2717,產品!$A$2:$H$61,7,FALSE)*(1-銷售總表!G2717)</f>
        <v>87220</v>
      </c>
      <c r="I2717" s="35">
        <f>H2717-F2717*VLOOKUP(銷售總表!B2717,產品!$A$2:$H$61,8,FALSE)</f>
        <v>23520</v>
      </c>
      <c r="J2717" s="20">
        <f t="shared" si="42"/>
        <v>0.2696629213483146</v>
      </c>
    </row>
    <row r="2718" spans="1:10" x14ac:dyDescent="0.3">
      <c r="A2718" s="33">
        <v>2717</v>
      </c>
      <c r="B2718" s="4">
        <v>51</v>
      </c>
      <c r="C2718" s="15">
        <v>290</v>
      </c>
      <c r="D2718" s="16">
        <v>6</v>
      </c>
      <c r="E2718" s="22">
        <v>44444</v>
      </c>
      <c r="F2718" s="19">
        <v>7</v>
      </c>
      <c r="G2718" s="18">
        <v>0.11</v>
      </c>
      <c r="H2718">
        <f>F2718*VLOOKUP(B2718,產品!$A$2:$H$61,7,FALSE)*(1-銷售總表!G2718)</f>
        <v>124600</v>
      </c>
      <c r="I2718" s="35">
        <f>H2718-F2718*VLOOKUP(銷售總表!B2718,產品!$A$2:$H$61,8,FALSE)</f>
        <v>26600</v>
      </c>
      <c r="J2718" s="20">
        <f t="shared" si="42"/>
        <v>0.21348314606741572</v>
      </c>
    </row>
    <row r="2719" spans="1:10" x14ac:dyDescent="0.3">
      <c r="A2719" s="33">
        <v>2718</v>
      </c>
      <c r="B2719" s="4">
        <v>11</v>
      </c>
      <c r="C2719" s="15">
        <v>112</v>
      </c>
      <c r="D2719" s="16">
        <v>9</v>
      </c>
      <c r="E2719" s="22">
        <v>44444</v>
      </c>
      <c r="F2719" s="19">
        <v>80</v>
      </c>
      <c r="G2719" s="18">
        <v>0.2</v>
      </c>
      <c r="H2719">
        <f>F2719*VLOOKUP(B2719,產品!$A$2:$H$61,7,FALSE)*(1-銷售總表!G2719)</f>
        <v>64000</v>
      </c>
      <c r="I2719" s="35">
        <f>H2719-F2719*VLOOKUP(銷售總表!B2719,產品!$A$2:$H$61,8,FALSE)</f>
        <v>32000</v>
      </c>
      <c r="J2719" s="20">
        <f t="shared" si="42"/>
        <v>0.5</v>
      </c>
    </row>
    <row r="2720" spans="1:10" x14ac:dyDescent="0.3">
      <c r="A2720" s="33">
        <v>2719</v>
      </c>
      <c r="B2720" s="4">
        <v>13</v>
      </c>
      <c r="C2720" s="15">
        <v>286</v>
      </c>
      <c r="D2720" s="16">
        <v>7</v>
      </c>
      <c r="E2720" s="22">
        <v>44444</v>
      </c>
      <c r="F2720" s="19">
        <v>40</v>
      </c>
      <c r="G2720" s="18">
        <v>7.0000000000000007E-2</v>
      </c>
      <c r="H2720">
        <f>F2720*VLOOKUP(B2720,產品!$A$2:$H$61,7,FALSE)*(1-銷售總表!G2720)</f>
        <v>66960</v>
      </c>
      <c r="I2720" s="35">
        <f>H2720-F2720*VLOOKUP(銷售總表!B2720,產品!$A$2:$H$61,8,FALSE)</f>
        <v>38160</v>
      </c>
      <c r="J2720" s="20">
        <f t="shared" si="42"/>
        <v>0.56989247311827962</v>
      </c>
    </row>
    <row r="2721" spans="1:10" x14ac:dyDescent="0.3">
      <c r="A2721" s="33">
        <v>2720</v>
      </c>
      <c r="B2721" s="4">
        <v>16</v>
      </c>
      <c r="C2721" s="15">
        <v>262</v>
      </c>
      <c r="D2721" s="16">
        <v>10</v>
      </c>
      <c r="E2721" s="22">
        <v>44444</v>
      </c>
      <c r="F2721" s="17">
        <v>80</v>
      </c>
      <c r="G2721" s="18">
        <v>0.14000000000000001</v>
      </c>
      <c r="H2721">
        <f>F2721*VLOOKUP(B2721,產品!$A$2:$H$61,7,FALSE)*(1-銷售總表!G2721)</f>
        <v>123840</v>
      </c>
      <c r="I2721" s="35">
        <f>H2721-F2721*VLOOKUP(銷售總表!B2721,產品!$A$2:$H$61,8,FALSE)</f>
        <v>66240</v>
      </c>
      <c r="J2721" s="20">
        <f t="shared" si="42"/>
        <v>0.53488372093023251</v>
      </c>
    </row>
    <row r="2722" spans="1:10" x14ac:dyDescent="0.3">
      <c r="A2722" s="33">
        <v>2721</v>
      </c>
      <c r="B2722" s="4">
        <v>57</v>
      </c>
      <c r="C2722" s="15">
        <v>6</v>
      </c>
      <c r="D2722" s="16">
        <v>10</v>
      </c>
      <c r="E2722" s="22">
        <v>44445</v>
      </c>
      <c r="F2722" s="19">
        <v>2</v>
      </c>
      <c r="G2722" s="18">
        <v>0.17</v>
      </c>
      <c r="H2722">
        <f>F2722*VLOOKUP(B2722,產品!$A$2:$H$61,7,FALSE)*(1-銷售總表!G2722)</f>
        <v>29880</v>
      </c>
      <c r="I2722" s="35">
        <f>H2722-F2722*VLOOKUP(銷售總表!B2722,產品!$A$2:$H$61,8,FALSE)</f>
        <v>4680</v>
      </c>
      <c r="J2722" s="20">
        <f t="shared" si="42"/>
        <v>0.15662650602409639</v>
      </c>
    </row>
    <row r="2723" spans="1:10" x14ac:dyDescent="0.3">
      <c r="A2723" s="33">
        <v>2722</v>
      </c>
      <c r="B2723" s="4">
        <v>59</v>
      </c>
      <c r="C2723" s="15">
        <v>4</v>
      </c>
      <c r="D2723" s="16">
        <v>10</v>
      </c>
      <c r="E2723" s="22">
        <v>44445</v>
      </c>
      <c r="F2723" s="19">
        <v>4</v>
      </c>
      <c r="G2723" s="18">
        <v>0.2</v>
      </c>
      <c r="H2723">
        <f>F2723*VLOOKUP(B2723,產品!$A$2:$H$61,7,FALSE)*(1-銷售總表!G2723)</f>
        <v>76800</v>
      </c>
      <c r="I2723" s="35">
        <f>H2723-F2723*VLOOKUP(銷售總表!B2723,產品!$A$2:$H$61,8,FALSE)</f>
        <v>9600</v>
      </c>
      <c r="J2723" s="20">
        <f t="shared" si="42"/>
        <v>0.125</v>
      </c>
    </row>
    <row r="2724" spans="1:10" x14ac:dyDescent="0.3">
      <c r="A2724" s="33">
        <v>2723</v>
      </c>
      <c r="B2724" s="4">
        <v>3</v>
      </c>
      <c r="C2724" s="15">
        <v>7</v>
      </c>
      <c r="D2724" s="16">
        <v>5</v>
      </c>
      <c r="E2724" s="22">
        <v>44445</v>
      </c>
      <c r="F2724" s="17">
        <v>30</v>
      </c>
      <c r="G2724" s="18">
        <v>0.19</v>
      </c>
      <c r="H2724">
        <f>F2724*VLOOKUP(B2724,產品!$A$2:$H$61,7,FALSE)*(1-銷售總表!G2724)</f>
        <v>24300</v>
      </c>
      <c r="I2724" s="35">
        <f>H2724-F2724*VLOOKUP(銷售總表!B2724,產品!$A$2:$H$61,8,FALSE)</f>
        <v>12300</v>
      </c>
      <c r="J2724" s="20">
        <f t="shared" si="42"/>
        <v>0.50617283950617287</v>
      </c>
    </row>
    <row r="2725" spans="1:10" x14ac:dyDescent="0.3">
      <c r="A2725" s="33">
        <v>2724</v>
      </c>
      <c r="B2725" s="4">
        <v>8</v>
      </c>
      <c r="C2725" s="15">
        <v>282</v>
      </c>
      <c r="D2725" s="16">
        <v>4</v>
      </c>
      <c r="E2725" s="22">
        <v>44445</v>
      </c>
      <c r="F2725" s="19">
        <v>50</v>
      </c>
      <c r="G2725" s="18">
        <v>0.17</v>
      </c>
      <c r="H2725">
        <f>F2725*VLOOKUP(B2725,產品!$A$2:$H$61,7,FALSE)*(1-銷售總表!G2725)</f>
        <v>41500</v>
      </c>
      <c r="I2725" s="35">
        <f>H2725-F2725*VLOOKUP(銷售總表!B2725,產品!$A$2:$H$61,8,FALSE)</f>
        <v>21500</v>
      </c>
      <c r="J2725" s="20">
        <f t="shared" si="42"/>
        <v>0.51807228915662651</v>
      </c>
    </row>
    <row r="2726" spans="1:10" x14ac:dyDescent="0.3">
      <c r="A2726" s="33">
        <v>2725</v>
      </c>
      <c r="B2726" s="4">
        <v>5</v>
      </c>
      <c r="C2726" s="15">
        <v>114</v>
      </c>
      <c r="D2726" s="16">
        <v>10</v>
      </c>
      <c r="E2726" s="22">
        <v>44445</v>
      </c>
      <c r="F2726" s="17">
        <v>60</v>
      </c>
      <c r="G2726" s="18">
        <v>0.19</v>
      </c>
      <c r="H2726">
        <f>F2726*VLOOKUP(B2726,產品!$A$2:$H$61,7,FALSE)*(1-銷售總表!G2726)</f>
        <v>48600</v>
      </c>
      <c r="I2726" s="35">
        <f>H2726-F2726*VLOOKUP(銷售總表!B2726,產品!$A$2:$H$61,8,FALSE)</f>
        <v>24600</v>
      </c>
      <c r="J2726" s="20">
        <f t="shared" si="42"/>
        <v>0.50617283950617287</v>
      </c>
    </row>
    <row r="2727" spans="1:10" x14ac:dyDescent="0.3">
      <c r="A2727" s="33">
        <v>2726</v>
      </c>
      <c r="B2727" s="4">
        <v>55</v>
      </c>
      <c r="C2727" s="15">
        <v>140</v>
      </c>
      <c r="D2727" s="16">
        <v>1</v>
      </c>
      <c r="E2727" s="22">
        <v>44445</v>
      </c>
      <c r="F2727" s="17">
        <v>10</v>
      </c>
      <c r="G2727" s="18">
        <v>0.16</v>
      </c>
      <c r="H2727">
        <f>F2727*VLOOKUP(B2727,產品!$A$2:$H$61,7,FALSE)*(1-銷售總表!G2727)</f>
        <v>168000</v>
      </c>
      <c r="I2727" s="35">
        <f>H2727-F2727*VLOOKUP(銷售總表!B2727,產品!$A$2:$H$61,8,FALSE)</f>
        <v>28000</v>
      </c>
      <c r="J2727" s="20">
        <f t="shared" si="42"/>
        <v>0.16666666666666666</v>
      </c>
    </row>
    <row r="2728" spans="1:10" x14ac:dyDescent="0.3">
      <c r="A2728" s="33">
        <v>2727</v>
      </c>
      <c r="B2728" s="4">
        <v>7</v>
      </c>
      <c r="C2728" s="15">
        <v>283</v>
      </c>
      <c r="D2728" s="16">
        <v>1</v>
      </c>
      <c r="E2728" s="22">
        <v>44445</v>
      </c>
      <c r="F2728" s="19">
        <v>60</v>
      </c>
      <c r="G2728" s="18">
        <v>0.11</v>
      </c>
      <c r="H2728">
        <f>F2728*VLOOKUP(B2728,產品!$A$2:$H$61,7,FALSE)*(1-銷售總表!G2728)</f>
        <v>53400</v>
      </c>
      <c r="I2728" s="35">
        <f>H2728-F2728*VLOOKUP(銷售總表!B2728,產品!$A$2:$H$61,8,FALSE)</f>
        <v>29400</v>
      </c>
      <c r="J2728" s="20">
        <f t="shared" si="42"/>
        <v>0.550561797752809</v>
      </c>
    </row>
    <row r="2729" spans="1:10" x14ac:dyDescent="0.3">
      <c r="A2729" s="33">
        <v>2728</v>
      </c>
      <c r="B2729" s="4">
        <v>9</v>
      </c>
      <c r="C2729" s="15">
        <v>136</v>
      </c>
      <c r="D2729" s="16">
        <v>7</v>
      </c>
      <c r="E2729" s="22">
        <v>44445</v>
      </c>
      <c r="F2729" s="19">
        <v>70</v>
      </c>
      <c r="G2729" s="18">
        <v>0.11</v>
      </c>
      <c r="H2729">
        <f>F2729*VLOOKUP(B2729,產品!$A$2:$H$61,7,FALSE)*(1-銷售總表!G2729)</f>
        <v>62300</v>
      </c>
      <c r="I2729" s="35">
        <f>H2729-F2729*VLOOKUP(銷售總表!B2729,產品!$A$2:$H$61,8,FALSE)</f>
        <v>34300</v>
      </c>
      <c r="J2729" s="20">
        <f t="shared" si="42"/>
        <v>0.550561797752809</v>
      </c>
    </row>
    <row r="2730" spans="1:10" x14ac:dyDescent="0.3">
      <c r="A2730" s="33">
        <v>2729</v>
      </c>
      <c r="B2730" s="4">
        <v>45</v>
      </c>
      <c r="C2730" s="15">
        <v>117</v>
      </c>
      <c r="D2730" s="16">
        <v>10</v>
      </c>
      <c r="E2730" s="22">
        <v>44445</v>
      </c>
      <c r="F2730" s="19">
        <v>16</v>
      </c>
      <c r="G2730" s="18">
        <v>0.18</v>
      </c>
      <c r="H2730">
        <f>F2730*VLOOKUP(B2730,產品!$A$2:$H$61,7,FALSE)*(1-銷售總表!G2730)</f>
        <v>183680</v>
      </c>
      <c r="I2730" s="35">
        <f>H2730-F2730*VLOOKUP(銷售總表!B2730,產品!$A$2:$H$61,8,FALSE)</f>
        <v>38080</v>
      </c>
      <c r="J2730" s="20">
        <f t="shared" si="42"/>
        <v>0.2073170731707317</v>
      </c>
    </row>
    <row r="2731" spans="1:10" x14ac:dyDescent="0.3">
      <c r="A2731" s="33">
        <v>2730</v>
      </c>
      <c r="B2731" s="4">
        <v>60</v>
      </c>
      <c r="C2731" s="15">
        <v>12</v>
      </c>
      <c r="D2731" s="16">
        <v>3</v>
      </c>
      <c r="E2731" s="22">
        <v>44445</v>
      </c>
      <c r="F2731" s="19">
        <v>8</v>
      </c>
      <c r="G2731" s="18">
        <v>0.09</v>
      </c>
      <c r="H2731">
        <f>F2731*VLOOKUP(B2731,產品!$A$2:$H$61,7,FALSE)*(1-銷售總表!G2731)</f>
        <v>182000</v>
      </c>
      <c r="I2731" s="35">
        <f>H2731-F2731*VLOOKUP(銷售總表!B2731,產品!$A$2:$H$61,8,FALSE)</f>
        <v>42000</v>
      </c>
      <c r="J2731" s="20">
        <f t="shared" si="42"/>
        <v>0.23076923076923078</v>
      </c>
    </row>
    <row r="2732" spans="1:10" x14ac:dyDescent="0.3">
      <c r="A2732" s="33">
        <v>2731</v>
      </c>
      <c r="B2732" s="4">
        <v>54</v>
      </c>
      <c r="C2732" s="15">
        <v>290</v>
      </c>
      <c r="D2732" s="16">
        <v>3</v>
      </c>
      <c r="E2732" s="22">
        <v>44445</v>
      </c>
      <c r="F2732" s="19">
        <v>15</v>
      </c>
      <c r="G2732" s="18">
        <v>0.13</v>
      </c>
      <c r="H2732">
        <f>F2732*VLOOKUP(B2732,產品!$A$2:$H$61,7,FALSE)*(1-銷售總表!G2732)</f>
        <v>234900</v>
      </c>
      <c r="I2732" s="35">
        <f>H2732-F2732*VLOOKUP(銷售總表!B2732,產品!$A$2:$H$61,8,FALSE)</f>
        <v>45900</v>
      </c>
      <c r="J2732" s="20">
        <f t="shared" si="42"/>
        <v>0.19540229885057472</v>
      </c>
    </row>
    <row r="2733" spans="1:10" x14ac:dyDescent="0.3">
      <c r="A2733" s="33">
        <v>2732</v>
      </c>
      <c r="B2733" s="4">
        <v>59</v>
      </c>
      <c r="C2733" s="15">
        <v>269</v>
      </c>
      <c r="D2733" s="16">
        <v>6</v>
      </c>
      <c r="E2733" s="22">
        <v>44446</v>
      </c>
      <c r="F2733" s="19">
        <v>2</v>
      </c>
      <c r="G2733" s="18">
        <v>0.19</v>
      </c>
      <c r="H2733">
        <f>F2733*VLOOKUP(B2733,產品!$A$2:$H$61,7,FALSE)*(1-銷售總表!G2733)</f>
        <v>38880</v>
      </c>
      <c r="I2733" s="35">
        <f>H2733-F2733*VLOOKUP(銷售總表!B2733,產品!$A$2:$H$61,8,FALSE)</f>
        <v>5280</v>
      </c>
      <c r="J2733" s="20">
        <f t="shared" si="42"/>
        <v>0.13580246913580246</v>
      </c>
    </row>
    <row r="2734" spans="1:10" x14ac:dyDescent="0.3">
      <c r="A2734" s="33">
        <v>2733</v>
      </c>
      <c r="B2734" s="4">
        <v>43</v>
      </c>
      <c r="C2734" s="15">
        <v>6</v>
      </c>
      <c r="D2734" s="16">
        <v>1</v>
      </c>
      <c r="E2734" s="22">
        <v>44446</v>
      </c>
      <c r="F2734" s="19">
        <v>2</v>
      </c>
      <c r="G2734" s="18">
        <v>0.2</v>
      </c>
      <c r="H2734">
        <f>F2734*VLOOKUP(B2734,產品!$A$2:$H$61,7,FALSE)*(1-銷售總表!G2734)</f>
        <v>28800</v>
      </c>
      <c r="I2734" s="35">
        <f>H2734-F2734*VLOOKUP(銷售總表!B2734,產品!$A$2:$H$61,8,FALSE)</f>
        <v>5400</v>
      </c>
      <c r="J2734" s="20">
        <f t="shared" si="42"/>
        <v>0.1875</v>
      </c>
    </row>
    <row r="2735" spans="1:10" x14ac:dyDescent="0.3">
      <c r="A2735" s="33">
        <v>2734</v>
      </c>
      <c r="B2735" s="4">
        <v>33</v>
      </c>
      <c r="C2735" s="15">
        <v>1</v>
      </c>
      <c r="D2735" s="16">
        <v>5</v>
      </c>
      <c r="E2735" s="22">
        <v>44446</v>
      </c>
      <c r="F2735" s="19">
        <v>3</v>
      </c>
      <c r="G2735" s="18">
        <v>0.13</v>
      </c>
      <c r="H2735">
        <f>F2735*VLOOKUP(B2735,產品!$A$2:$H$61,7,FALSE)*(1-銷售總表!G2735)</f>
        <v>19575</v>
      </c>
      <c r="I2735" s="35">
        <f>H2735-F2735*VLOOKUP(銷售總表!B2735,產品!$A$2:$H$61,8,FALSE)</f>
        <v>6075</v>
      </c>
      <c r="J2735" s="20">
        <f t="shared" si="42"/>
        <v>0.31034482758620691</v>
      </c>
    </row>
    <row r="2736" spans="1:10" x14ac:dyDescent="0.3">
      <c r="A2736" s="33">
        <v>2735</v>
      </c>
      <c r="B2736" s="4">
        <v>2</v>
      </c>
      <c r="C2736" s="15">
        <v>271</v>
      </c>
      <c r="D2736" s="16">
        <v>4</v>
      </c>
      <c r="E2736" s="22">
        <v>44446</v>
      </c>
      <c r="F2736" s="19">
        <v>30</v>
      </c>
      <c r="G2736" s="18">
        <v>0.2</v>
      </c>
      <c r="H2736">
        <f>F2736*VLOOKUP(B2736,產品!$A$2:$H$61,7,FALSE)*(1-銷售總表!G2736)</f>
        <v>24000</v>
      </c>
      <c r="I2736" s="35">
        <f>H2736-F2736*VLOOKUP(銷售總表!B2736,產品!$A$2:$H$61,8,FALSE)</f>
        <v>12000</v>
      </c>
      <c r="J2736" s="20">
        <f t="shared" si="42"/>
        <v>0.5</v>
      </c>
    </row>
    <row r="2737" spans="1:10" x14ac:dyDescent="0.3">
      <c r="A2737" s="33">
        <v>2736</v>
      </c>
      <c r="B2737" s="4">
        <v>17</v>
      </c>
      <c r="C2737" s="15">
        <v>2</v>
      </c>
      <c r="D2737" s="16">
        <v>4</v>
      </c>
      <c r="E2737" s="22">
        <v>44446</v>
      </c>
      <c r="F2737" s="19">
        <v>14</v>
      </c>
      <c r="G2737" s="18">
        <v>0.06</v>
      </c>
      <c r="H2737">
        <f>F2737*VLOOKUP(B2737,產品!$A$2:$H$61,7,FALSE)*(1-銷售總表!G2737)</f>
        <v>23688</v>
      </c>
      <c r="I2737" s="35">
        <f>H2737-F2737*VLOOKUP(銷售總表!B2737,產品!$A$2:$H$61,8,FALSE)</f>
        <v>13608</v>
      </c>
      <c r="J2737" s="20">
        <f t="shared" si="42"/>
        <v>0.57446808510638303</v>
      </c>
    </row>
    <row r="2738" spans="1:10" x14ac:dyDescent="0.3">
      <c r="A2738" s="33">
        <v>2737</v>
      </c>
      <c r="B2738" s="4">
        <v>11</v>
      </c>
      <c r="C2738" s="15">
        <v>283</v>
      </c>
      <c r="D2738" s="16">
        <v>1</v>
      </c>
      <c r="E2738" s="22">
        <v>44446</v>
      </c>
      <c r="F2738" s="17">
        <v>30</v>
      </c>
      <c r="G2738" s="18">
        <v>0.1</v>
      </c>
      <c r="H2738">
        <f>F2738*VLOOKUP(B2738,產品!$A$2:$H$61,7,FALSE)*(1-銷售總表!G2738)</f>
        <v>27000</v>
      </c>
      <c r="I2738" s="35">
        <f>H2738-F2738*VLOOKUP(銷售總表!B2738,產品!$A$2:$H$61,8,FALSE)</f>
        <v>15000</v>
      </c>
      <c r="J2738" s="20">
        <f t="shared" si="42"/>
        <v>0.55555555555555558</v>
      </c>
    </row>
    <row r="2739" spans="1:10" x14ac:dyDescent="0.3">
      <c r="A2739" s="33">
        <v>2738</v>
      </c>
      <c r="B2739" s="4">
        <v>45</v>
      </c>
      <c r="C2739" s="15">
        <v>116</v>
      </c>
      <c r="D2739" s="16">
        <v>4</v>
      </c>
      <c r="E2739" s="22">
        <v>44446</v>
      </c>
      <c r="F2739" s="17">
        <v>7</v>
      </c>
      <c r="G2739" s="18">
        <v>0.11</v>
      </c>
      <c r="H2739">
        <f>F2739*VLOOKUP(B2739,產品!$A$2:$H$61,7,FALSE)*(1-銷售總表!G2739)</f>
        <v>87220</v>
      </c>
      <c r="I2739" s="35">
        <f>H2739-F2739*VLOOKUP(銷售總表!B2739,產品!$A$2:$H$61,8,FALSE)</f>
        <v>23520</v>
      </c>
      <c r="J2739" s="20">
        <f t="shared" si="42"/>
        <v>0.2696629213483146</v>
      </c>
    </row>
    <row r="2740" spans="1:10" x14ac:dyDescent="0.3">
      <c r="A2740" s="33">
        <v>2739</v>
      </c>
      <c r="B2740" s="4">
        <v>2</v>
      </c>
      <c r="C2740" s="15">
        <v>1</v>
      </c>
      <c r="D2740" s="16">
        <v>10</v>
      </c>
      <c r="E2740" s="22">
        <v>44446</v>
      </c>
      <c r="F2740" s="19">
        <v>50</v>
      </c>
      <c r="G2740" s="18">
        <v>0.11</v>
      </c>
      <c r="H2740">
        <f>F2740*VLOOKUP(B2740,產品!$A$2:$H$61,7,FALSE)*(1-銷售總表!G2740)</f>
        <v>44500</v>
      </c>
      <c r="I2740" s="35">
        <f>H2740-F2740*VLOOKUP(銷售總表!B2740,產品!$A$2:$H$61,8,FALSE)</f>
        <v>24500</v>
      </c>
      <c r="J2740" s="20">
        <f t="shared" si="42"/>
        <v>0.550561797752809</v>
      </c>
    </row>
    <row r="2741" spans="1:10" x14ac:dyDescent="0.3">
      <c r="A2741" s="33">
        <v>2740</v>
      </c>
      <c r="B2741" s="4">
        <v>52</v>
      </c>
      <c r="C2741" s="15">
        <v>265</v>
      </c>
      <c r="D2741" s="16">
        <v>7</v>
      </c>
      <c r="E2741" s="22">
        <v>44446</v>
      </c>
      <c r="F2741" s="17">
        <v>8</v>
      </c>
      <c r="G2741" s="18">
        <v>0.11</v>
      </c>
      <c r="H2741">
        <f>F2741*VLOOKUP(B2741,產品!$A$2:$H$61,7,FALSE)*(1-銷售總表!G2741)</f>
        <v>156640</v>
      </c>
      <c r="I2741" s="35">
        <f>H2741-F2741*VLOOKUP(銷售總表!B2741,產品!$A$2:$H$61,8,FALSE)</f>
        <v>33440.000000000015</v>
      </c>
      <c r="J2741" s="20">
        <f t="shared" si="42"/>
        <v>0.21348314606741584</v>
      </c>
    </row>
    <row r="2742" spans="1:10" x14ac:dyDescent="0.3">
      <c r="A2742" s="33">
        <v>2741</v>
      </c>
      <c r="B2742" s="4">
        <v>52</v>
      </c>
      <c r="C2742" s="15">
        <v>282</v>
      </c>
      <c r="D2742" s="16">
        <v>9</v>
      </c>
      <c r="E2742" s="22">
        <v>44446</v>
      </c>
      <c r="F2742" s="19">
        <v>10</v>
      </c>
      <c r="G2742" s="18">
        <v>0.13</v>
      </c>
      <c r="H2742">
        <f>F2742*VLOOKUP(B2742,產品!$A$2:$H$61,7,FALSE)*(1-銷售總表!G2742)</f>
        <v>191400</v>
      </c>
      <c r="I2742" s="35">
        <f>H2742-F2742*VLOOKUP(銷售總表!B2742,產品!$A$2:$H$61,8,FALSE)</f>
        <v>37400.000000000029</v>
      </c>
      <c r="J2742" s="20">
        <f t="shared" si="42"/>
        <v>0.19540229885057486</v>
      </c>
    </row>
    <row r="2743" spans="1:10" x14ac:dyDescent="0.3">
      <c r="A2743" s="33">
        <v>2742</v>
      </c>
      <c r="B2743" s="4">
        <v>9</v>
      </c>
      <c r="C2743" s="15">
        <v>112</v>
      </c>
      <c r="D2743" s="16">
        <v>5</v>
      </c>
      <c r="E2743" s="22">
        <v>44446</v>
      </c>
      <c r="F2743" s="19">
        <v>135</v>
      </c>
      <c r="G2743" s="18">
        <v>0.08</v>
      </c>
      <c r="H2743">
        <f>F2743*VLOOKUP(B2743,產品!$A$2:$H$61,7,FALSE)*(1-銷售總表!G2743)</f>
        <v>124200</v>
      </c>
      <c r="I2743" s="35">
        <f>H2743-F2743*VLOOKUP(銷售總表!B2743,產品!$A$2:$H$61,8,FALSE)</f>
        <v>70200</v>
      </c>
      <c r="J2743" s="20">
        <f t="shared" si="42"/>
        <v>0.56521739130434778</v>
      </c>
    </row>
    <row r="2744" spans="1:10" x14ac:dyDescent="0.3">
      <c r="A2744" s="33">
        <v>2743</v>
      </c>
      <c r="B2744" s="4">
        <v>18</v>
      </c>
      <c r="C2744" s="15">
        <v>12</v>
      </c>
      <c r="D2744" s="16">
        <v>4</v>
      </c>
      <c r="E2744" s="22">
        <v>44446</v>
      </c>
      <c r="F2744" s="19">
        <v>150</v>
      </c>
      <c r="G2744" s="18">
        <v>0.12</v>
      </c>
      <c r="H2744">
        <f>F2744*VLOOKUP(B2744,產品!$A$2:$H$61,7,FALSE)*(1-銷售總表!G2744)</f>
        <v>237600</v>
      </c>
      <c r="I2744" s="35">
        <f>H2744-F2744*VLOOKUP(銷售總表!B2744,產品!$A$2:$H$61,8,FALSE)</f>
        <v>129600</v>
      </c>
      <c r="J2744" s="20">
        <f t="shared" si="42"/>
        <v>0.54545454545454541</v>
      </c>
    </row>
    <row r="2745" spans="1:10" x14ac:dyDescent="0.3">
      <c r="A2745" s="33">
        <v>2744</v>
      </c>
      <c r="B2745" s="4">
        <v>35</v>
      </c>
      <c r="C2745" s="15">
        <v>258</v>
      </c>
      <c r="D2745" s="16">
        <v>1</v>
      </c>
      <c r="E2745" s="22">
        <v>44447</v>
      </c>
      <c r="F2745" s="17">
        <v>10</v>
      </c>
      <c r="G2745" s="18">
        <v>0.19</v>
      </c>
      <c r="H2745">
        <f>F2745*VLOOKUP(B2745,產品!$A$2:$H$61,7,FALSE)*(1-銷售總表!G2745)</f>
        <v>68850</v>
      </c>
      <c r="I2745" s="35">
        <f>H2745-F2745*VLOOKUP(銷售總表!B2745,產品!$A$2:$H$61,8,FALSE)</f>
        <v>17850</v>
      </c>
      <c r="J2745" s="20">
        <f t="shared" si="42"/>
        <v>0.25925925925925924</v>
      </c>
    </row>
    <row r="2746" spans="1:10" x14ac:dyDescent="0.3">
      <c r="A2746" s="33">
        <v>2745</v>
      </c>
      <c r="B2746" s="4">
        <v>41</v>
      </c>
      <c r="C2746" s="15">
        <v>282</v>
      </c>
      <c r="D2746" s="16">
        <v>6</v>
      </c>
      <c r="E2746" s="22">
        <v>44447</v>
      </c>
      <c r="F2746" s="19">
        <v>3</v>
      </c>
      <c r="G2746" s="18">
        <v>0.17</v>
      </c>
      <c r="H2746">
        <f>F2746*VLOOKUP(B2746,產品!$A$2:$H$61,7,FALSE)*(1-銷售總表!G2746)</f>
        <v>29880</v>
      </c>
      <c r="I2746" s="35">
        <f>H2746-F2746*VLOOKUP(銷售總表!B2746,產品!$A$2:$H$61,8,FALSE)</f>
        <v>6480</v>
      </c>
      <c r="J2746" s="20">
        <f t="shared" si="42"/>
        <v>0.21686746987951808</v>
      </c>
    </row>
    <row r="2747" spans="1:10" x14ac:dyDescent="0.3">
      <c r="A2747" s="33">
        <v>2746</v>
      </c>
      <c r="B2747" s="4">
        <v>51</v>
      </c>
      <c r="C2747" s="15">
        <v>9</v>
      </c>
      <c r="D2747" s="16">
        <v>7</v>
      </c>
      <c r="E2747" s="22">
        <v>44447</v>
      </c>
      <c r="F2747" s="19">
        <v>3</v>
      </c>
      <c r="G2747" s="18">
        <v>0.06</v>
      </c>
      <c r="H2747">
        <f>F2747*VLOOKUP(B2747,產品!$A$2:$H$61,7,FALSE)*(1-銷售總表!G2747)</f>
        <v>56400</v>
      </c>
      <c r="I2747" s="35">
        <f>H2747-F2747*VLOOKUP(銷售總表!B2747,產品!$A$2:$H$61,8,FALSE)</f>
        <v>14400</v>
      </c>
      <c r="J2747" s="20">
        <f t="shared" si="42"/>
        <v>0.25531914893617019</v>
      </c>
    </row>
    <row r="2748" spans="1:10" x14ac:dyDescent="0.3">
      <c r="A2748" s="33">
        <v>2747</v>
      </c>
      <c r="B2748" s="4">
        <v>39</v>
      </c>
      <c r="C2748" s="15">
        <v>121</v>
      </c>
      <c r="D2748" s="16">
        <v>8</v>
      </c>
      <c r="E2748" s="22">
        <v>44447</v>
      </c>
      <c r="F2748" s="19">
        <v>5</v>
      </c>
      <c r="G2748" s="18">
        <v>0.15</v>
      </c>
      <c r="H2748">
        <f>F2748*VLOOKUP(B2748,產品!$A$2:$H$61,7,FALSE)*(1-銷售總表!G2748)</f>
        <v>76500</v>
      </c>
      <c r="I2748" s="35">
        <f>H2748-F2748*VLOOKUP(銷售總表!B2748,產品!$A$2:$H$61,8,FALSE)</f>
        <v>18000</v>
      </c>
      <c r="J2748" s="20">
        <f t="shared" si="42"/>
        <v>0.23529411764705882</v>
      </c>
    </row>
    <row r="2749" spans="1:10" x14ac:dyDescent="0.3">
      <c r="A2749" s="33">
        <v>2748</v>
      </c>
      <c r="B2749" s="4">
        <v>36</v>
      </c>
      <c r="C2749" s="15">
        <v>264</v>
      </c>
      <c r="D2749" s="16">
        <v>7</v>
      </c>
      <c r="E2749" s="22">
        <v>44447</v>
      </c>
      <c r="F2749" s="17">
        <v>14</v>
      </c>
      <c r="G2749" s="18">
        <v>0.18</v>
      </c>
      <c r="H2749">
        <f>F2749*VLOOKUP(B2749,產品!$A$2:$H$61,7,FALSE)*(1-銷售總表!G2749)</f>
        <v>103320.00000000001</v>
      </c>
      <c r="I2749" s="35">
        <f>H2749-F2749*VLOOKUP(銷售總表!B2749,產品!$A$2:$H$61,8,FALSE)</f>
        <v>27720.000000000015</v>
      </c>
      <c r="J2749" s="20">
        <f t="shared" si="42"/>
        <v>0.2682926829268294</v>
      </c>
    </row>
    <row r="2750" spans="1:10" x14ac:dyDescent="0.3">
      <c r="A2750" s="33">
        <v>2749</v>
      </c>
      <c r="B2750" s="4">
        <v>12</v>
      </c>
      <c r="C2750" s="15">
        <v>11</v>
      </c>
      <c r="D2750" s="16">
        <v>10</v>
      </c>
      <c r="E2750" s="22">
        <v>44447</v>
      </c>
      <c r="F2750" s="17">
        <v>60</v>
      </c>
      <c r="G2750" s="18">
        <v>0.08</v>
      </c>
      <c r="H2750">
        <f>F2750*VLOOKUP(B2750,產品!$A$2:$H$61,7,FALSE)*(1-銷售總表!G2750)</f>
        <v>55200</v>
      </c>
      <c r="I2750" s="35">
        <f>H2750-F2750*VLOOKUP(銷售總表!B2750,產品!$A$2:$H$61,8,FALSE)</f>
        <v>31200</v>
      </c>
      <c r="J2750" s="20">
        <f t="shared" si="42"/>
        <v>0.56521739130434778</v>
      </c>
    </row>
    <row r="2751" spans="1:10" x14ac:dyDescent="0.3">
      <c r="A2751" s="33">
        <v>2750</v>
      </c>
      <c r="B2751" s="4">
        <v>60</v>
      </c>
      <c r="C2751" s="15">
        <v>140</v>
      </c>
      <c r="D2751" s="16">
        <v>8</v>
      </c>
      <c r="E2751" s="22">
        <v>44447</v>
      </c>
      <c r="F2751" s="17">
        <v>9</v>
      </c>
      <c r="G2751" s="18">
        <v>0.15</v>
      </c>
      <c r="H2751">
        <f>F2751*VLOOKUP(B2751,產品!$A$2:$H$61,7,FALSE)*(1-銷售總表!G2751)</f>
        <v>191250</v>
      </c>
      <c r="I2751" s="35">
        <f>H2751-F2751*VLOOKUP(銷售總表!B2751,產品!$A$2:$H$61,8,FALSE)</f>
        <v>33750</v>
      </c>
      <c r="J2751" s="20">
        <f t="shared" si="42"/>
        <v>0.17647058823529413</v>
      </c>
    </row>
    <row r="2752" spans="1:10" x14ac:dyDescent="0.3">
      <c r="A2752" s="33">
        <v>2751</v>
      </c>
      <c r="B2752" s="4">
        <v>60</v>
      </c>
      <c r="C2752" s="15">
        <v>7</v>
      </c>
      <c r="D2752" s="16">
        <v>10</v>
      </c>
      <c r="E2752" s="22">
        <v>44447</v>
      </c>
      <c r="F2752" s="19">
        <v>9</v>
      </c>
      <c r="G2752" s="18">
        <v>0.12</v>
      </c>
      <c r="H2752">
        <f>F2752*VLOOKUP(B2752,產品!$A$2:$H$61,7,FALSE)*(1-銷售總表!G2752)</f>
        <v>198000</v>
      </c>
      <c r="I2752" s="35">
        <f>H2752-F2752*VLOOKUP(銷售總表!B2752,產品!$A$2:$H$61,8,FALSE)</f>
        <v>40500</v>
      </c>
      <c r="J2752" s="20">
        <f t="shared" si="42"/>
        <v>0.20454545454545456</v>
      </c>
    </row>
    <row r="2753" spans="1:10" x14ac:dyDescent="0.3">
      <c r="A2753" s="33">
        <v>2752</v>
      </c>
      <c r="B2753" s="4">
        <v>32</v>
      </c>
      <c r="C2753" s="15">
        <v>266</v>
      </c>
      <c r="D2753" s="16">
        <v>3</v>
      </c>
      <c r="E2753" s="22">
        <v>44448</v>
      </c>
      <c r="F2753" s="19">
        <v>3</v>
      </c>
      <c r="G2753" s="18">
        <v>7.0000000000000007E-2</v>
      </c>
      <c r="H2753">
        <f>F2753*VLOOKUP(B2753,產品!$A$2:$H$61,7,FALSE)*(1-銷售總表!G2753)</f>
        <v>20925</v>
      </c>
      <c r="I2753" s="35">
        <f>H2753-F2753*VLOOKUP(銷售總表!B2753,產品!$A$2:$H$61,8,FALSE)</f>
        <v>7425</v>
      </c>
      <c r="J2753" s="20">
        <f t="shared" si="42"/>
        <v>0.35483870967741937</v>
      </c>
    </row>
    <row r="2754" spans="1:10" x14ac:dyDescent="0.3">
      <c r="A2754" s="33">
        <v>2753</v>
      </c>
      <c r="B2754" s="4">
        <v>38</v>
      </c>
      <c r="C2754" s="15">
        <v>262</v>
      </c>
      <c r="D2754" s="16">
        <v>5</v>
      </c>
      <c r="E2754" s="22">
        <v>44448</v>
      </c>
      <c r="F2754" s="17">
        <v>3</v>
      </c>
      <c r="G2754" s="18">
        <v>0.12</v>
      </c>
      <c r="H2754">
        <f>F2754*VLOOKUP(B2754,產品!$A$2:$H$61,7,FALSE)*(1-銷售總表!G2754)</f>
        <v>39600</v>
      </c>
      <c r="I2754" s="35">
        <f>H2754-F2754*VLOOKUP(銷售總表!B2754,產品!$A$2:$H$61,8,FALSE)</f>
        <v>10350</v>
      </c>
      <c r="J2754" s="20">
        <f t="shared" si="42"/>
        <v>0.26136363636363635</v>
      </c>
    </row>
    <row r="2755" spans="1:10" x14ac:dyDescent="0.3">
      <c r="A2755" s="33">
        <v>2754</v>
      </c>
      <c r="B2755" s="4">
        <v>33</v>
      </c>
      <c r="C2755" s="15">
        <v>7</v>
      </c>
      <c r="D2755" s="16">
        <v>8</v>
      </c>
      <c r="E2755" s="22">
        <v>44448</v>
      </c>
      <c r="F2755" s="19">
        <v>15</v>
      </c>
      <c r="G2755" s="18">
        <v>0.2</v>
      </c>
      <c r="H2755">
        <f>F2755*VLOOKUP(B2755,產品!$A$2:$H$61,7,FALSE)*(1-銷售總表!G2755)</f>
        <v>90000</v>
      </c>
      <c r="I2755" s="35">
        <f>H2755-F2755*VLOOKUP(銷售總表!B2755,產品!$A$2:$H$61,8,FALSE)</f>
        <v>22500</v>
      </c>
      <c r="J2755" s="20">
        <f t="shared" ref="J2755:J2818" si="43">I2755/H2755</f>
        <v>0.25</v>
      </c>
    </row>
    <row r="2756" spans="1:10" x14ac:dyDescent="0.3">
      <c r="A2756" s="33">
        <v>2755</v>
      </c>
      <c r="B2756" s="4">
        <v>7</v>
      </c>
      <c r="C2756" s="15">
        <v>118</v>
      </c>
      <c r="D2756" s="16">
        <v>3</v>
      </c>
      <c r="E2756" s="22">
        <v>44448</v>
      </c>
      <c r="F2756" s="19">
        <v>50</v>
      </c>
      <c r="G2756" s="18">
        <v>0.13</v>
      </c>
      <c r="H2756">
        <f>F2756*VLOOKUP(B2756,產品!$A$2:$H$61,7,FALSE)*(1-銷售總表!G2756)</f>
        <v>43500</v>
      </c>
      <c r="I2756" s="35">
        <f>H2756-F2756*VLOOKUP(銷售總表!B2756,產品!$A$2:$H$61,8,FALSE)</f>
        <v>23500</v>
      </c>
      <c r="J2756" s="20">
        <f t="shared" si="43"/>
        <v>0.54022988505747127</v>
      </c>
    </row>
    <row r="2757" spans="1:10" x14ac:dyDescent="0.3">
      <c r="A2757" s="33">
        <v>2756</v>
      </c>
      <c r="B2757" s="4">
        <v>6</v>
      </c>
      <c r="C2757" s="15">
        <v>124</v>
      </c>
      <c r="D2757" s="16">
        <v>10</v>
      </c>
      <c r="E2757" s="22">
        <v>44448</v>
      </c>
      <c r="F2757" s="19">
        <v>60</v>
      </c>
      <c r="G2757" s="18">
        <v>0.19</v>
      </c>
      <c r="H2757">
        <f>F2757*VLOOKUP(B2757,產品!$A$2:$H$61,7,FALSE)*(1-銷售總表!G2757)</f>
        <v>48600</v>
      </c>
      <c r="I2757" s="35">
        <f>H2757-F2757*VLOOKUP(銷售總表!B2757,產品!$A$2:$H$61,8,FALSE)</f>
        <v>24600</v>
      </c>
      <c r="J2757" s="20">
        <f t="shared" si="43"/>
        <v>0.50617283950617287</v>
      </c>
    </row>
    <row r="2758" spans="1:10" x14ac:dyDescent="0.3">
      <c r="A2758" s="33">
        <v>2757</v>
      </c>
      <c r="B2758" s="4">
        <v>6</v>
      </c>
      <c r="C2758" s="15">
        <v>8</v>
      </c>
      <c r="D2758" s="16">
        <v>6</v>
      </c>
      <c r="E2758" s="22">
        <v>44448</v>
      </c>
      <c r="F2758" s="19">
        <v>50</v>
      </c>
      <c r="G2758" s="18">
        <v>0.06</v>
      </c>
      <c r="H2758">
        <f>F2758*VLOOKUP(B2758,產品!$A$2:$H$61,7,FALSE)*(1-銷售總表!G2758)</f>
        <v>47000</v>
      </c>
      <c r="I2758" s="35">
        <f>H2758-F2758*VLOOKUP(銷售總表!B2758,產品!$A$2:$H$61,8,FALSE)</f>
        <v>27000</v>
      </c>
      <c r="J2758" s="20">
        <f t="shared" si="43"/>
        <v>0.57446808510638303</v>
      </c>
    </row>
    <row r="2759" spans="1:10" x14ac:dyDescent="0.3">
      <c r="A2759" s="33">
        <v>2758</v>
      </c>
      <c r="B2759" s="4">
        <v>47</v>
      </c>
      <c r="C2759" s="15">
        <v>5</v>
      </c>
      <c r="D2759" s="16">
        <v>7</v>
      </c>
      <c r="E2759" s="22">
        <v>44448</v>
      </c>
      <c r="F2759" s="19">
        <v>7</v>
      </c>
      <c r="G2759" s="18">
        <v>0.06</v>
      </c>
      <c r="H2759">
        <f>F2759*VLOOKUP(B2759,產品!$A$2:$H$61,7,FALSE)*(1-銷售總表!G2759)</f>
        <v>131600</v>
      </c>
      <c r="I2759" s="35">
        <f>H2759-F2759*VLOOKUP(銷售總表!B2759,產品!$A$2:$H$61,8,FALSE)</f>
        <v>40600</v>
      </c>
      <c r="J2759" s="20">
        <f t="shared" si="43"/>
        <v>0.30851063829787234</v>
      </c>
    </row>
    <row r="2760" spans="1:10" x14ac:dyDescent="0.3">
      <c r="A2760" s="33">
        <v>2759</v>
      </c>
      <c r="B2760" s="4">
        <v>22</v>
      </c>
      <c r="C2760" s="15">
        <v>8</v>
      </c>
      <c r="D2760" s="16">
        <v>4</v>
      </c>
      <c r="E2760" s="22">
        <v>44448</v>
      </c>
      <c r="F2760" s="19">
        <v>50</v>
      </c>
      <c r="G2760" s="18">
        <v>0.12</v>
      </c>
      <c r="H2760">
        <f>F2760*VLOOKUP(B2760,產品!$A$2:$H$61,7,FALSE)*(1-銷售總表!G2760)</f>
        <v>79200</v>
      </c>
      <c r="I2760" s="35">
        <f>H2760-F2760*VLOOKUP(銷售總表!B2760,產品!$A$2:$H$61,8,FALSE)</f>
        <v>43200</v>
      </c>
      <c r="J2760" s="20">
        <f t="shared" si="43"/>
        <v>0.54545454545454541</v>
      </c>
    </row>
    <row r="2761" spans="1:10" x14ac:dyDescent="0.3">
      <c r="A2761" s="33">
        <v>2760</v>
      </c>
      <c r="B2761" s="4">
        <v>25</v>
      </c>
      <c r="C2761" s="15">
        <v>271</v>
      </c>
      <c r="D2761" s="16">
        <v>9</v>
      </c>
      <c r="E2761" s="22">
        <v>44449</v>
      </c>
      <c r="F2761" s="19">
        <v>3</v>
      </c>
      <c r="G2761" s="18">
        <v>0.19</v>
      </c>
      <c r="H2761">
        <f>F2761*VLOOKUP(B2761,產品!$A$2:$H$61,7,FALSE)*(1-銷售總表!G2761)</f>
        <v>14580.000000000002</v>
      </c>
      <c r="I2761" s="35">
        <f>H2761-F2761*VLOOKUP(銷售總表!B2761,產品!$A$2:$H$61,8,FALSE)</f>
        <v>3780.0000000000018</v>
      </c>
      <c r="J2761" s="20">
        <f t="shared" si="43"/>
        <v>0.25925925925925936</v>
      </c>
    </row>
    <row r="2762" spans="1:10" x14ac:dyDescent="0.3">
      <c r="A2762" s="33">
        <v>2761</v>
      </c>
      <c r="B2762" s="4">
        <v>52</v>
      </c>
      <c r="C2762" s="15">
        <v>280</v>
      </c>
      <c r="D2762" s="16">
        <v>3</v>
      </c>
      <c r="E2762" s="22">
        <v>44449</v>
      </c>
      <c r="F2762" s="19">
        <v>2</v>
      </c>
      <c r="G2762" s="18">
        <v>0.2</v>
      </c>
      <c r="H2762">
        <f>F2762*VLOOKUP(B2762,產品!$A$2:$H$61,7,FALSE)*(1-銷售總表!G2762)</f>
        <v>35200</v>
      </c>
      <c r="I2762" s="35">
        <f>H2762-F2762*VLOOKUP(銷售總表!B2762,產品!$A$2:$H$61,8,FALSE)</f>
        <v>4400.0000000000036</v>
      </c>
      <c r="J2762" s="20">
        <f t="shared" si="43"/>
        <v>0.12500000000000011</v>
      </c>
    </row>
    <row r="2763" spans="1:10" x14ac:dyDescent="0.3">
      <c r="A2763" s="33">
        <v>2762</v>
      </c>
      <c r="B2763" s="4">
        <v>59</v>
      </c>
      <c r="C2763" s="15">
        <v>261</v>
      </c>
      <c r="D2763" s="16">
        <v>1</v>
      </c>
      <c r="E2763" s="22">
        <v>44449</v>
      </c>
      <c r="F2763" s="19">
        <v>3</v>
      </c>
      <c r="G2763" s="18">
        <v>0.17</v>
      </c>
      <c r="H2763">
        <f>F2763*VLOOKUP(B2763,產品!$A$2:$H$61,7,FALSE)*(1-銷售總表!G2763)</f>
        <v>59760</v>
      </c>
      <c r="I2763" s="35">
        <f>H2763-F2763*VLOOKUP(銷售總表!B2763,產品!$A$2:$H$61,8,FALSE)</f>
        <v>9360</v>
      </c>
      <c r="J2763" s="20">
        <f t="shared" si="43"/>
        <v>0.15662650602409639</v>
      </c>
    </row>
    <row r="2764" spans="1:10" x14ac:dyDescent="0.3">
      <c r="A2764" s="33">
        <v>2763</v>
      </c>
      <c r="B2764" s="4">
        <v>32</v>
      </c>
      <c r="C2764" s="15">
        <v>294</v>
      </c>
      <c r="D2764" s="16">
        <v>10</v>
      </c>
      <c r="E2764" s="22">
        <v>44449</v>
      </c>
      <c r="F2764" s="19">
        <v>8</v>
      </c>
      <c r="G2764" s="18">
        <v>0.1</v>
      </c>
      <c r="H2764">
        <f>F2764*VLOOKUP(B2764,產品!$A$2:$H$61,7,FALSE)*(1-銷售總表!G2764)</f>
        <v>54000</v>
      </c>
      <c r="I2764" s="35">
        <f>H2764-F2764*VLOOKUP(銷售總表!B2764,產品!$A$2:$H$61,8,FALSE)</f>
        <v>18000</v>
      </c>
      <c r="J2764" s="20">
        <f t="shared" si="43"/>
        <v>0.33333333333333331</v>
      </c>
    </row>
    <row r="2765" spans="1:10" x14ac:dyDescent="0.3">
      <c r="A2765" s="33">
        <v>2764</v>
      </c>
      <c r="B2765" s="4">
        <v>20</v>
      </c>
      <c r="C2765" s="15">
        <v>287</v>
      </c>
      <c r="D2765" s="16">
        <v>2</v>
      </c>
      <c r="E2765" s="22">
        <v>44449</v>
      </c>
      <c r="F2765" s="19">
        <v>50</v>
      </c>
      <c r="G2765" s="18">
        <v>7.0000000000000007E-2</v>
      </c>
      <c r="H2765">
        <f>F2765*VLOOKUP(B2765,產品!$A$2:$H$61,7,FALSE)*(1-銷售總表!G2765)</f>
        <v>83700</v>
      </c>
      <c r="I2765" s="35">
        <f>H2765-F2765*VLOOKUP(銷售總表!B2765,產品!$A$2:$H$61,8,FALSE)</f>
        <v>47700</v>
      </c>
      <c r="J2765" s="20">
        <f t="shared" si="43"/>
        <v>0.56989247311827962</v>
      </c>
    </row>
    <row r="2766" spans="1:10" x14ac:dyDescent="0.3">
      <c r="A2766" s="33">
        <v>2765</v>
      </c>
      <c r="B2766" s="4">
        <v>2</v>
      </c>
      <c r="C2766" s="15">
        <v>273</v>
      </c>
      <c r="D2766" s="16">
        <v>2</v>
      </c>
      <c r="E2766" s="22">
        <v>44449</v>
      </c>
      <c r="F2766" s="19">
        <v>150</v>
      </c>
      <c r="G2766" s="18">
        <v>0.14000000000000001</v>
      </c>
      <c r="H2766">
        <f>F2766*VLOOKUP(B2766,產品!$A$2:$H$61,7,FALSE)*(1-銷售總表!G2766)</f>
        <v>129000</v>
      </c>
      <c r="I2766" s="35">
        <f>H2766-F2766*VLOOKUP(銷售總表!B2766,產品!$A$2:$H$61,8,FALSE)</f>
        <v>69000</v>
      </c>
      <c r="J2766" s="20">
        <f t="shared" si="43"/>
        <v>0.53488372093023251</v>
      </c>
    </row>
    <row r="2767" spans="1:10" x14ac:dyDescent="0.3">
      <c r="A2767" s="33">
        <v>2766</v>
      </c>
      <c r="B2767" s="4">
        <v>56</v>
      </c>
      <c r="C2767" s="15">
        <v>121</v>
      </c>
      <c r="D2767" s="16">
        <v>10</v>
      </c>
      <c r="E2767" s="22">
        <v>44450</v>
      </c>
      <c r="F2767" s="19">
        <v>3</v>
      </c>
      <c r="G2767" s="18">
        <v>0.14000000000000001</v>
      </c>
      <c r="H2767">
        <f>F2767*VLOOKUP(B2767,產品!$A$2:$H$61,7,FALSE)*(1-銷售總表!G2767)</f>
        <v>56760</v>
      </c>
      <c r="I2767" s="35">
        <f>H2767-F2767*VLOOKUP(銷售總表!B2767,產品!$A$2:$H$61,8,FALSE)</f>
        <v>10560.000000000007</v>
      </c>
      <c r="J2767" s="20">
        <f t="shared" si="43"/>
        <v>0.18604651162790711</v>
      </c>
    </row>
    <row r="2768" spans="1:10" x14ac:dyDescent="0.3">
      <c r="A2768" s="33">
        <v>2767</v>
      </c>
      <c r="B2768" s="4">
        <v>47</v>
      </c>
      <c r="C2768" s="15">
        <v>121</v>
      </c>
      <c r="D2768" s="16">
        <v>6</v>
      </c>
      <c r="E2768" s="22">
        <v>44450</v>
      </c>
      <c r="F2768" s="19">
        <v>3</v>
      </c>
      <c r="G2768" s="18">
        <v>0.17</v>
      </c>
      <c r="H2768">
        <f>F2768*VLOOKUP(B2768,產品!$A$2:$H$61,7,FALSE)*(1-銷售總表!G2768)</f>
        <v>49800</v>
      </c>
      <c r="I2768" s="35">
        <f>H2768-F2768*VLOOKUP(銷售總表!B2768,產品!$A$2:$H$61,8,FALSE)</f>
        <v>10800</v>
      </c>
      <c r="J2768" s="20">
        <f t="shared" si="43"/>
        <v>0.21686746987951808</v>
      </c>
    </row>
    <row r="2769" spans="1:10" x14ac:dyDescent="0.3">
      <c r="A2769" s="33">
        <v>2768</v>
      </c>
      <c r="B2769" s="4">
        <v>29</v>
      </c>
      <c r="C2769" s="15">
        <v>272</v>
      </c>
      <c r="D2769" s="16">
        <v>8</v>
      </c>
      <c r="E2769" s="22">
        <v>44450</v>
      </c>
      <c r="F2769" s="17">
        <v>6</v>
      </c>
      <c r="G2769" s="18">
        <v>0.06</v>
      </c>
      <c r="H2769">
        <f>F2769*VLOOKUP(B2769,產品!$A$2:$H$61,7,FALSE)*(1-銷售總表!G2769)</f>
        <v>33840</v>
      </c>
      <c r="I2769" s="35">
        <f>H2769-F2769*VLOOKUP(銷售總表!B2769,產品!$A$2:$H$61,8,FALSE)</f>
        <v>12240</v>
      </c>
      <c r="J2769" s="20">
        <f t="shared" si="43"/>
        <v>0.36170212765957449</v>
      </c>
    </row>
    <row r="2770" spans="1:10" x14ac:dyDescent="0.3">
      <c r="A2770" s="33">
        <v>2769</v>
      </c>
      <c r="B2770" s="4">
        <v>46</v>
      </c>
      <c r="C2770" s="15">
        <v>7</v>
      </c>
      <c r="D2770" s="16">
        <v>2</v>
      </c>
      <c r="E2770" s="22">
        <v>44450</v>
      </c>
      <c r="F2770" s="19">
        <v>3</v>
      </c>
      <c r="G2770" s="18">
        <v>0.05</v>
      </c>
      <c r="H2770">
        <f>F2770*VLOOKUP(B2770,產品!$A$2:$H$61,7,FALSE)*(1-銷售總表!G2770)</f>
        <v>48450</v>
      </c>
      <c r="I2770" s="35">
        <f>H2770-F2770*VLOOKUP(銷售總表!B2770,產品!$A$2:$H$61,8,FALSE)</f>
        <v>15300</v>
      </c>
      <c r="J2770" s="20">
        <f t="shared" si="43"/>
        <v>0.31578947368421051</v>
      </c>
    </row>
    <row r="2771" spans="1:10" x14ac:dyDescent="0.3">
      <c r="A2771" s="33">
        <v>2770</v>
      </c>
      <c r="B2771" s="4">
        <v>44</v>
      </c>
      <c r="C2771" s="15">
        <v>265</v>
      </c>
      <c r="D2771" s="16">
        <v>4</v>
      </c>
      <c r="E2771" s="22">
        <v>44450</v>
      </c>
      <c r="F2771" s="19">
        <v>9</v>
      </c>
      <c r="G2771" s="18">
        <v>0.09</v>
      </c>
      <c r="H2771">
        <f>F2771*VLOOKUP(B2771,產品!$A$2:$H$61,7,FALSE)*(1-銷售總表!G2771)</f>
        <v>163800</v>
      </c>
      <c r="I2771" s="35">
        <f>H2771-F2771*VLOOKUP(銷售總表!B2771,產品!$A$2:$H$61,8,FALSE)</f>
        <v>46800</v>
      </c>
      <c r="J2771" s="20">
        <f t="shared" si="43"/>
        <v>0.2857142857142857</v>
      </c>
    </row>
    <row r="2772" spans="1:10" x14ac:dyDescent="0.3">
      <c r="A2772" s="33">
        <v>2771</v>
      </c>
      <c r="B2772" s="4">
        <v>5</v>
      </c>
      <c r="C2772" s="15">
        <v>11</v>
      </c>
      <c r="D2772" s="16">
        <v>7</v>
      </c>
      <c r="E2772" s="22">
        <v>44450</v>
      </c>
      <c r="F2772" s="19">
        <v>100</v>
      </c>
      <c r="G2772" s="18">
        <v>0.1</v>
      </c>
      <c r="H2772">
        <f>F2772*VLOOKUP(B2772,產品!$A$2:$H$61,7,FALSE)*(1-銷售總表!G2772)</f>
        <v>90000</v>
      </c>
      <c r="I2772" s="35">
        <f>H2772-F2772*VLOOKUP(銷售總表!B2772,產品!$A$2:$H$61,8,FALSE)</f>
        <v>50000</v>
      </c>
      <c r="J2772" s="20">
        <f t="shared" si="43"/>
        <v>0.55555555555555558</v>
      </c>
    </row>
    <row r="2773" spans="1:10" x14ac:dyDescent="0.3">
      <c r="A2773" s="33">
        <v>2772</v>
      </c>
      <c r="B2773" s="4">
        <v>58</v>
      </c>
      <c r="C2773" s="15">
        <v>270</v>
      </c>
      <c r="D2773" s="16">
        <v>9</v>
      </c>
      <c r="E2773" s="22">
        <v>44451</v>
      </c>
      <c r="F2773" s="17">
        <v>10</v>
      </c>
      <c r="G2773" s="18">
        <v>0.2</v>
      </c>
      <c r="H2773">
        <f>F2773*VLOOKUP(B2773,產品!$A$2:$H$61,7,FALSE)*(1-銷售總表!G2773)</f>
        <v>168000</v>
      </c>
      <c r="I2773" s="35">
        <f>H2773-F2773*VLOOKUP(銷售總表!B2773,產品!$A$2:$H$61,8,FALSE)</f>
        <v>21000.000000000029</v>
      </c>
      <c r="J2773" s="20">
        <f t="shared" si="43"/>
        <v>0.12500000000000017</v>
      </c>
    </row>
    <row r="2774" spans="1:10" x14ac:dyDescent="0.3">
      <c r="A2774" s="33">
        <v>2773</v>
      </c>
      <c r="B2774" s="4">
        <v>19</v>
      </c>
      <c r="C2774" s="15">
        <v>137</v>
      </c>
      <c r="D2774" s="16">
        <v>4</v>
      </c>
      <c r="E2774" s="22">
        <v>44451</v>
      </c>
      <c r="F2774" s="17">
        <v>20</v>
      </c>
      <c r="G2774" s="18">
        <v>0.14000000000000001</v>
      </c>
      <c r="H2774">
        <f>F2774*VLOOKUP(B2774,產品!$A$2:$H$61,7,FALSE)*(1-銷售總表!G2774)</f>
        <v>30960</v>
      </c>
      <c r="I2774" s="35">
        <f>H2774-F2774*VLOOKUP(銷售總表!B2774,產品!$A$2:$H$61,8,FALSE)</f>
        <v>16560</v>
      </c>
      <c r="J2774" s="20">
        <f t="shared" si="43"/>
        <v>0.53488372093023251</v>
      </c>
    </row>
    <row r="2775" spans="1:10" x14ac:dyDescent="0.3">
      <c r="A2775" s="33">
        <v>2774</v>
      </c>
      <c r="B2775" s="4">
        <v>45</v>
      </c>
      <c r="C2775" s="15">
        <v>262</v>
      </c>
      <c r="D2775" s="16">
        <v>3</v>
      </c>
      <c r="E2775" s="22">
        <v>44451</v>
      </c>
      <c r="F2775" s="19">
        <v>5</v>
      </c>
      <c r="G2775" s="18">
        <v>0.09</v>
      </c>
      <c r="H2775">
        <f>F2775*VLOOKUP(B2775,產品!$A$2:$H$61,7,FALSE)*(1-銷售總表!G2775)</f>
        <v>63700</v>
      </c>
      <c r="I2775" s="35">
        <f>H2775-F2775*VLOOKUP(銷售總表!B2775,產品!$A$2:$H$61,8,FALSE)</f>
        <v>18200</v>
      </c>
      <c r="J2775" s="20">
        <f t="shared" si="43"/>
        <v>0.2857142857142857</v>
      </c>
    </row>
    <row r="2776" spans="1:10" x14ac:dyDescent="0.3">
      <c r="A2776" s="33">
        <v>2775</v>
      </c>
      <c r="B2776" s="4">
        <v>1</v>
      </c>
      <c r="C2776" s="15">
        <v>291</v>
      </c>
      <c r="D2776" s="16">
        <v>1</v>
      </c>
      <c r="E2776" s="22">
        <v>44451</v>
      </c>
      <c r="F2776" s="19">
        <v>50</v>
      </c>
      <c r="G2776" s="18">
        <v>0.2</v>
      </c>
      <c r="H2776">
        <f>F2776*VLOOKUP(B2776,產品!$A$2:$H$61,7,FALSE)*(1-銷售總表!G2776)</f>
        <v>40000</v>
      </c>
      <c r="I2776" s="35">
        <f>H2776-F2776*VLOOKUP(銷售總表!B2776,產品!$A$2:$H$61,8,FALSE)</f>
        <v>20000</v>
      </c>
      <c r="J2776" s="20">
        <f t="shared" si="43"/>
        <v>0.5</v>
      </c>
    </row>
    <row r="2777" spans="1:10" x14ac:dyDescent="0.3">
      <c r="A2777" s="33">
        <v>2776</v>
      </c>
      <c r="B2777" s="4">
        <v>41</v>
      </c>
      <c r="C2777" s="15">
        <v>116</v>
      </c>
      <c r="D2777" s="16">
        <v>3</v>
      </c>
      <c r="E2777" s="22">
        <v>44451</v>
      </c>
      <c r="F2777" s="19">
        <v>10</v>
      </c>
      <c r="G2777" s="18">
        <v>0.18</v>
      </c>
      <c r="H2777">
        <f>F2777*VLOOKUP(B2777,產品!$A$2:$H$61,7,FALSE)*(1-銷售總表!G2777)</f>
        <v>98400.000000000015</v>
      </c>
      <c r="I2777" s="35">
        <f>H2777-F2777*VLOOKUP(銷售總表!B2777,產品!$A$2:$H$61,8,FALSE)</f>
        <v>20400.000000000015</v>
      </c>
      <c r="J2777" s="20">
        <f t="shared" si="43"/>
        <v>0.20731707317073184</v>
      </c>
    </row>
    <row r="2778" spans="1:10" x14ac:dyDescent="0.3">
      <c r="A2778" s="33">
        <v>2777</v>
      </c>
      <c r="B2778" s="4">
        <v>26</v>
      </c>
      <c r="C2778" s="15">
        <v>257</v>
      </c>
      <c r="D2778" s="16">
        <v>5</v>
      </c>
      <c r="E2778" s="22">
        <v>44451</v>
      </c>
      <c r="F2778" s="19">
        <v>13</v>
      </c>
      <c r="G2778" s="18">
        <v>0.13</v>
      </c>
      <c r="H2778">
        <f>F2778*VLOOKUP(B2778,產品!$A$2:$H$61,7,FALSE)*(1-銷售總表!G2778)</f>
        <v>73515</v>
      </c>
      <c r="I2778" s="35">
        <f>H2778-F2778*VLOOKUP(銷售總表!B2778,產品!$A$2:$H$61,8,FALSE)</f>
        <v>22815</v>
      </c>
      <c r="J2778" s="20">
        <f t="shared" si="43"/>
        <v>0.31034482758620691</v>
      </c>
    </row>
    <row r="2779" spans="1:10" x14ac:dyDescent="0.3">
      <c r="A2779" s="33">
        <v>2778</v>
      </c>
      <c r="B2779" s="4">
        <v>43</v>
      </c>
      <c r="C2779" s="15">
        <v>257</v>
      </c>
      <c r="D2779" s="16">
        <v>7</v>
      </c>
      <c r="E2779" s="22">
        <v>44451</v>
      </c>
      <c r="F2779" s="19">
        <v>6</v>
      </c>
      <c r="G2779" s="18">
        <v>0.11</v>
      </c>
      <c r="H2779">
        <f>F2779*VLOOKUP(B2779,產品!$A$2:$H$61,7,FALSE)*(1-銷售總表!G2779)</f>
        <v>96120</v>
      </c>
      <c r="I2779" s="35">
        <f>H2779-F2779*VLOOKUP(銷售總表!B2779,產品!$A$2:$H$61,8,FALSE)</f>
        <v>25920</v>
      </c>
      <c r="J2779" s="20">
        <f t="shared" si="43"/>
        <v>0.2696629213483146</v>
      </c>
    </row>
    <row r="2780" spans="1:10" x14ac:dyDescent="0.3">
      <c r="A2780" s="33">
        <v>2779</v>
      </c>
      <c r="B2780" s="4">
        <v>15</v>
      </c>
      <c r="C2780" s="15">
        <v>292</v>
      </c>
      <c r="D2780" s="16">
        <v>3</v>
      </c>
      <c r="E2780" s="22">
        <v>44451</v>
      </c>
      <c r="F2780" s="19">
        <v>50</v>
      </c>
      <c r="G2780" s="18">
        <v>0.11</v>
      </c>
      <c r="H2780">
        <f>F2780*VLOOKUP(B2780,產品!$A$2:$H$61,7,FALSE)*(1-銷售總表!G2780)</f>
        <v>80100</v>
      </c>
      <c r="I2780" s="35">
        <f>H2780-F2780*VLOOKUP(銷售總表!B2780,產品!$A$2:$H$61,8,FALSE)</f>
        <v>44100</v>
      </c>
      <c r="J2780" s="20">
        <f t="shared" si="43"/>
        <v>0.550561797752809</v>
      </c>
    </row>
    <row r="2781" spans="1:10" x14ac:dyDescent="0.3">
      <c r="A2781" s="33">
        <v>2780</v>
      </c>
      <c r="B2781" s="4">
        <v>18</v>
      </c>
      <c r="C2781" s="15">
        <v>287</v>
      </c>
      <c r="D2781" s="16">
        <v>1</v>
      </c>
      <c r="E2781" s="22">
        <v>44451</v>
      </c>
      <c r="F2781" s="19">
        <v>60</v>
      </c>
      <c r="G2781" s="18">
        <v>7.0000000000000007E-2</v>
      </c>
      <c r="H2781">
        <f>F2781*VLOOKUP(B2781,產品!$A$2:$H$61,7,FALSE)*(1-銷售總表!G2781)</f>
        <v>100440</v>
      </c>
      <c r="I2781" s="35">
        <f>H2781-F2781*VLOOKUP(銷售總表!B2781,產品!$A$2:$H$61,8,FALSE)</f>
        <v>57240</v>
      </c>
      <c r="J2781" s="20">
        <f t="shared" si="43"/>
        <v>0.56989247311827962</v>
      </c>
    </row>
    <row r="2782" spans="1:10" x14ac:dyDescent="0.3">
      <c r="A2782" s="33">
        <v>2781</v>
      </c>
      <c r="B2782" s="4">
        <v>3</v>
      </c>
      <c r="C2782" s="15">
        <v>270</v>
      </c>
      <c r="D2782" s="16">
        <v>4</v>
      </c>
      <c r="E2782" s="22">
        <v>44452</v>
      </c>
      <c r="F2782" s="17">
        <v>10</v>
      </c>
      <c r="G2782" s="18">
        <v>7.0000000000000007E-2</v>
      </c>
      <c r="H2782">
        <f>F2782*VLOOKUP(B2782,產品!$A$2:$H$61,7,FALSE)*(1-銷售總表!G2782)</f>
        <v>9300</v>
      </c>
      <c r="I2782" s="35">
        <f>H2782-F2782*VLOOKUP(銷售總表!B2782,產品!$A$2:$H$61,8,FALSE)</f>
        <v>5300</v>
      </c>
      <c r="J2782" s="20">
        <f t="shared" si="43"/>
        <v>0.56989247311827962</v>
      </c>
    </row>
    <row r="2783" spans="1:10" x14ac:dyDescent="0.3">
      <c r="A2783" s="33">
        <v>2782</v>
      </c>
      <c r="B2783" s="4">
        <v>12</v>
      </c>
      <c r="C2783" s="15">
        <v>2</v>
      </c>
      <c r="D2783" s="16">
        <v>8</v>
      </c>
      <c r="E2783" s="22">
        <v>44452</v>
      </c>
      <c r="F2783" s="19">
        <v>30</v>
      </c>
      <c r="G2783" s="18">
        <v>0.15</v>
      </c>
      <c r="H2783">
        <f>F2783*VLOOKUP(B2783,產品!$A$2:$H$61,7,FALSE)*(1-銷售總表!G2783)</f>
        <v>25500</v>
      </c>
      <c r="I2783" s="35">
        <f>H2783-F2783*VLOOKUP(銷售總表!B2783,產品!$A$2:$H$61,8,FALSE)</f>
        <v>13500</v>
      </c>
      <c r="J2783" s="20">
        <f t="shared" si="43"/>
        <v>0.52941176470588236</v>
      </c>
    </row>
    <row r="2784" spans="1:10" x14ac:dyDescent="0.3">
      <c r="A2784" s="33">
        <v>2783</v>
      </c>
      <c r="B2784" s="4">
        <v>22</v>
      </c>
      <c r="C2784" s="15">
        <v>134</v>
      </c>
      <c r="D2784" s="16">
        <v>5</v>
      </c>
      <c r="E2784" s="22">
        <v>44452</v>
      </c>
      <c r="F2784" s="17">
        <v>20</v>
      </c>
      <c r="G2784" s="18">
        <v>0.15</v>
      </c>
      <c r="H2784">
        <f>F2784*VLOOKUP(B2784,產品!$A$2:$H$61,7,FALSE)*(1-銷售總表!G2784)</f>
        <v>30600</v>
      </c>
      <c r="I2784" s="35">
        <f>H2784-F2784*VLOOKUP(銷售總表!B2784,產品!$A$2:$H$61,8,FALSE)</f>
        <v>16200</v>
      </c>
      <c r="J2784" s="20">
        <f t="shared" si="43"/>
        <v>0.52941176470588236</v>
      </c>
    </row>
    <row r="2785" spans="1:10" x14ac:dyDescent="0.3">
      <c r="A2785" s="33">
        <v>2784</v>
      </c>
      <c r="B2785" s="4">
        <v>60</v>
      </c>
      <c r="C2785" s="15">
        <v>5</v>
      </c>
      <c r="D2785" s="16">
        <v>3</v>
      </c>
      <c r="E2785" s="22">
        <v>44452</v>
      </c>
      <c r="F2785" s="17">
        <v>5</v>
      </c>
      <c r="G2785" s="18">
        <v>0.17</v>
      </c>
      <c r="H2785">
        <f>F2785*VLOOKUP(B2785,產品!$A$2:$H$61,7,FALSE)*(1-銷售總表!G2785)</f>
        <v>103750</v>
      </c>
      <c r="I2785" s="35">
        <f>H2785-F2785*VLOOKUP(銷售總表!B2785,產品!$A$2:$H$61,8,FALSE)</f>
        <v>16250</v>
      </c>
      <c r="J2785" s="20">
        <f t="shared" si="43"/>
        <v>0.15662650602409639</v>
      </c>
    </row>
    <row r="2786" spans="1:10" x14ac:dyDescent="0.3">
      <c r="A2786" s="33">
        <v>2785</v>
      </c>
      <c r="B2786" s="4">
        <v>12</v>
      </c>
      <c r="C2786" s="15">
        <v>263</v>
      </c>
      <c r="D2786" s="16">
        <v>3</v>
      </c>
      <c r="E2786" s="22">
        <v>44452</v>
      </c>
      <c r="F2786" s="19">
        <v>40</v>
      </c>
      <c r="G2786" s="18">
        <v>0.13</v>
      </c>
      <c r="H2786">
        <f>F2786*VLOOKUP(B2786,產品!$A$2:$H$61,7,FALSE)*(1-銷售總表!G2786)</f>
        <v>34800</v>
      </c>
      <c r="I2786" s="35">
        <f>H2786-F2786*VLOOKUP(銷售總表!B2786,產品!$A$2:$H$61,8,FALSE)</f>
        <v>18800</v>
      </c>
      <c r="J2786" s="20">
        <f t="shared" si="43"/>
        <v>0.54022988505747127</v>
      </c>
    </row>
    <row r="2787" spans="1:10" x14ac:dyDescent="0.3">
      <c r="A2787" s="33">
        <v>2786</v>
      </c>
      <c r="B2787" s="4">
        <v>11</v>
      </c>
      <c r="C2787" s="15">
        <v>123</v>
      </c>
      <c r="D2787" s="16">
        <v>9</v>
      </c>
      <c r="E2787" s="22">
        <v>44452</v>
      </c>
      <c r="F2787" s="19">
        <v>60</v>
      </c>
      <c r="G2787" s="18">
        <v>0.1</v>
      </c>
      <c r="H2787">
        <f>F2787*VLOOKUP(B2787,產品!$A$2:$H$61,7,FALSE)*(1-銷售總表!G2787)</f>
        <v>54000</v>
      </c>
      <c r="I2787" s="35">
        <f>H2787-F2787*VLOOKUP(銷售總表!B2787,產品!$A$2:$H$61,8,FALSE)</f>
        <v>30000</v>
      </c>
      <c r="J2787" s="20">
        <f t="shared" si="43"/>
        <v>0.55555555555555558</v>
      </c>
    </row>
    <row r="2788" spans="1:10" x14ac:dyDescent="0.3">
      <c r="A2788" s="33">
        <v>2787</v>
      </c>
      <c r="B2788" s="4">
        <v>22</v>
      </c>
      <c r="C2788" s="15">
        <v>115</v>
      </c>
      <c r="D2788" s="16">
        <v>8</v>
      </c>
      <c r="E2788" s="22">
        <v>44452</v>
      </c>
      <c r="F2788" s="17">
        <v>50</v>
      </c>
      <c r="G2788" s="18">
        <v>0.19</v>
      </c>
      <c r="H2788">
        <f>F2788*VLOOKUP(B2788,產品!$A$2:$H$61,7,FALSE)*(1-銷售總表!G2788)</f>
        <v>72900</v>
      </c>
      <c r="I2788" s="35">
        <f>H2788-F2788*VLOOKUP(銷售總表!B2788,產品!$A$2:$H$61,8,FALSE)</f>
        <v>36900</v>
      </c>
      <c r="J2788" s="20">
        <f t="shared" si="43"/>
        <v>0.50617283950617287</v>
      </c>
    </row>
    <row r="2789" spans="1:10" x14ac:dyDescent="0.3">
      <c r="A2789" s="33">
        <v>2788</v>
      </c>
      <c r="B2789" s="4">
        <v>39</v>
      </c>
      <c r="C2789" s="15">
        <v>10</v>
      </c>
      <c r="D2789" s="16">
        <v>7</v>
      </c>
      <c r="E2789" s="22">
        <v>44452</v>
      </c>
      <c r="F2789" s="19">
        <v>15</v>
      </c>
      <c r="G2789" s="18">
        <v>0.13</v>
      </c>
      <c r="H2789">
        <f>F2789*VLOOKUP(B2789,產品!$A$2:$H$61,7,FALSE)*(1-銷售總表!G2789)</f>
        <v>234900</v>
      </c>
      <c r="I2789" s="35">
        <f>H2789-F2789*VLOOKUP(銷售總表!B2789,產品!$A$2:$H$61,8,FALSE)</f>
        <v>59400</v>
      </c>
      <c r="J2789" s="20">
        <f t="shared" si="43"/>
        <v>0.25287356321839083</v>
      </c>
    </row>
    <row r="2790" spans="1:10" x14ac:dyDescent="0.3">
      <c r="A2790" s="33">
        <v>2789</v>
      </c>
      <c r="B2790" s="4">
        <v>44</v>
      </c>
      <c r="C2790" s="15">
        <v>260</v>
      </c>
      <c r="D2790" s="16">
        <v>5</v>
      </c>
      <c r="E2790" s="22">
        <v>44453</v>
      </c>
      <c r="F2790" s="17">
        <v>1</v>
      </c>
      <c r="G2790" s="18">
        <v>0.14000000000000001</v>
      </c>
      <c r="H2790">
        <f>F2790*VLOOKUP(B2790,產品!$A$2:$H$61,7,FALSE)*(1-銷售總表!G2790)</f>
        <v>17200</v>
      </c>
      <c r="I2790" s="35">
        <f>H2790-F2790*VLOOKUP(銷售總表!B2790,產品!$A$2:$H$61,8,FALSE)</f>
        <v>4200</v>
      </c>
      <c r="J2790" s="20">
        <f t="shared" si="43"/>
        <v>0.2441860465116279</v>
      </c>
    </row>
    <row r="2791" spans="1:10" x14ac:dyDescent="0.3">
      <c r="A2791" s="33">
        <v>2790</v>
      </c>
      <c r="B2791" s="4">
        <v>40</v>
      </c>
      <c r="C2791" s="15">
        <v>7</v>
      </c>
      <c r="D2791" s="16">
        <v>1</v>
      </c>
      <c r="E2791" s="22">
        <v>44453</v>
      </c>
      <c r="F2791" s="19">
        <v>2</v>
      </c>
      <c r="G2791" s="18">
        <v>0.17</v>
      </c>
      <c r="H2791">
        <f>F2791*VLOOKUP(B2791,產品!$A$2:$H$61,7,FALSE)*(1-銷售總表!G2791)</f>
        <v>33200</v>
      </c>
      <c r="I2791" s="35">
        <f>H2791-F2791*VLOOKUP(銷售總表!B2791,產品!$A$2:$H$61,8,FALSE)</f>
        <v>7200</v>
      </c>
      <c r="J2791" s="20">
        <f t="shared" si="43"/>
        <v>0.21686746987951808</v>
      </c>
    </row>
    <row r="2792" spans="1:10" x14ac:dyDescent="0.3">
      <c r="A2792" s="33">
        <v>2791</v>
      </c>
      <c r="B2792" s="4">
        <v>30</v>
      </c>
      <c r="C2792" s="15">
        <v>291</v>
      </c>
      <c r="D2792" s="16">
        <v>3</v>
      </c>
      <c r="E2792" s="22">
        <v>44453</v>
      </c>
      <c r="F2792" s="19">
        <v>4</v>
      </c>
      <c r="G2792" s="18">
        <v>7.0000000000000007E-2</v>
      </c>
      <c r="H2792">
        <f>F2792*VLOOKUP(B2792,產品!$A$2:$H$61,7,FALSE)*(1-銷售總表!G2792)</f>
        <v>24180</v>
      </c>
      <c r="I2792" s="35">
        <f>H2792-F2792*VLOOKUP(銷售總表!B2792,產品!$A$2:$H$61,8,FALSE)</f>
        <v>8580</v>
      </c>
      <c r="J2792" s="20">
        <f t="shared" si="43"/>
        <v>0.35483870967741937</v>
      </c>
    </row>
    <row r="2793" spans="1:10" x14ac:dyDescent="0.3">
      <c r="A2793" s="33">
        <v>2792</v>
      </c>
      <c r="B2793" s="4">
        <v>52</v>
      </c>
      <c r="C2793" s="15">
        <v>135</v>
      </c>
      <c r="D2793" s="16">
        <v>4</v>
      </c>
      <c r="E2793" s="22">
        <v>44453</v>
      </c>
      <c r="F2793" s="17">
        <v>3</v>
      </c>
      <c r="G2793" s="18">
        <v>0.11</v>
      </c>
      <c r="H2793">
        <f>F2793*VLOOKUP(B2793,產品!$A$2:$H$61,7,FALSE)*(1-銷售總表!G2793)</f>
        <v>58740</v>
      </c>
      <c r="I2793" s="35">
        <f>H2793-F2793*VLOOKUP(銷售總表!B2793,產品!$A$2:$H$61,8,FALSE)</f>
        <v>12540.000000000007</v>
      </c>
      <c r="J2793" s="20">
        <f t="shared" si="43"/>
        <v>0.21348314606741586</v>
      </c>
    </row>
    <row r="2794" spans="1:10" x14ac:dyDescent="0.3">
      <c r="A2794" s="33">
        <v>2793</v>
      </c>
      <c r="B2794" s="4">
        <v>38</v>
      </c>
      <c r="C2794" s="15">
        <v>11</v>
      </c>
      <c r="D2794" s="16">
        <v>8</v>
      </c>
      <c r="E2794" s="22">
        <v>44453</v>
      </c>
      <c r="F2794" s="17">
        <v>3</v>
      </c>
      <c r="G2794" s="18">
        <v>0.05</v>
      </c>
      <c r="H2794">
        <f>F2794*VLOOKUP(B2794,產品!$A$2:$H$61,7,FALSE)*(1-銷售總表!G2794)</f>
        <v>42750</v>
      </c>
      <c r="I2794" s="35">
        <f>H2794-F2794*VLOOKUP(銷售總表!B2794,產品!$A$2:$H$61,8,FALSE)</f>
        <v>13500</v>
      </c>
      <c r="J2794" s="20">
        <f t="shared" si="43"/>
        <v>0.31578947368421051</v>
      </c>
    </row>
    <row r="2795" spans="1:10" x14ac:dyDescent="0.3">
      <c r="A2795" s="33">
        <v>2794</v>
      </c>
      <c r="B2795" s="4">
        <v>33</v>
      </c>
      <c r="C2795" s="15">
        <v>260</v>
      </c>
      <c r="D2795" s="16">
        <v>4</v>
      </c>
      <c r="E2795" s="22">
        <v>44453</v>
      </c>
      <c r="F2795" s="19">
        <v>9</v>
      </c>
      <c r="G2795" s="18">
        <v>0.05</v>
      </c>
      <c r="H2795">
        <f>F2795*VLOOKUP(B2795,產品!$A$2:$H$61,7,FALSE)*(1-銷售總表!G2795)</f>
        <v>64125</v>
      </c>
      <c r="I2795" s="35">
        <f>H2795-F2795*VLOOKUP(銷售總表!B2795,產品!$A$2:$H$61,8,FALSE)</f>
        <v>23625</v>
      </c>
      <c r="J2795" s="20">
        <f t="shared" si="43"/>
        <v>0.36842105263157893</v>
      </c>
    </row>
    <row r="2796" spans="1:10" x14ac:dyDescent="0.3">
      <c r="A2796" s="33">
        <v>2795</v>
      </c>
      <c r="B2796" s="4">
        <v>57</v>
      </c>
      <c r="C2796" s="15">
        <v>264</v>
      </c>
      <c r="D2796" s="16">
        <v>6</v>
      </c>
      <c r="E2796" s="22">
        <v>44453</v>
      </c>
      <c r="F2796" s="19">
        <v>7</v>
      </c>
      <c r="G2796" s="18">
        <v>0.1</v>
      </c>
      <c r="H2796">
        <f>F2796*VLOOKUP(B2796,產品!$A$2:$H$61,7,FALSE)*(1-銷售總表!G2796)</f>
        <v>113400</v>
      </c>
      <c r="I2796" s="35">
        <f>H2796-F2796*VLOOKUP(銷售總表!B2796,產品!$A$2:$H$61,8,FALSE)</f>
        <v>25200</v>
      </c>
      <c r="J2796" s="20">
        <f t="shared" si="43"/>
        <v>0.22222222222222221</v>
      </c>
    </row>
    <row r="2797" spans="1:10" x14ac:dyDescent="0.3">
      <c r="A2797" s="33">
        <v>2796</v>
      </c>
      <c r="B2797" s="4">
        <v>9</v>
      </c>
      <c r="C2797" s="15">
        <v>9</v>
      </c>
      <c r="D2797" s="16">
        <v>7</v>
      </c>
      <c r="E2797" s="22">
        <v>44453</v>
      </c>
      <c r="F2797" s="19">
        <v>50</v>
      </c>
      <c r="G2797" s="18">
        <v>0.08</v>
      </c>
      <c r="H2797">
        <f>F2797*VLOOKUP(B2797,產品!$A$2:$H$61,7,FALSE)*(1-銷售總表!G2797)</f>
        <v>46000</v>
      </c>
      <c r="I2797" s="35">
        <f>H2797-F2797*VLOOKUP(銷售總表!B2797,產品!$A$2:$H$61,8,FALSE)</f>
        <v>26000</v>
      </c>
      <c r="J2797" s="20">
        <f t="shared" si="43"/>
        <v>0.56521739130434778</v>
      </c>
    </row>
    <row r="2798" spans="1:10" x14ac:dyDescent="0.3">
      <c r="A2798" s="33">
        <v>2797</v>
      </c>
      <c r="B2798" s="4">
        <v>14</v>
      </c>
      <c r="C2798" s="15">
        <v>5</v>
      </c>
      <c r="D2798" s="16">
        <v>10</v>
      </c>
      <c r="E2798" s="22">
        <v>44453</v>
      </c>
      <c r="F2798" s="17">
        <v>30</v>
      </c>
      <c r="G2798" s="18">
        <v>0.08</v>
      </c>
      <c r="H2798">
        <f>F2798*VLOOKUP(B2798,產品!$A$2:$H$61,7,FALSE)*(1-銷售總表!G2798)</f>
        <v>49680</v>
      </c>
      <c r="I2798" s="35">
        <f>H2798-F2798*VLOOKUP(銷售總表!B2798,產品!$A$2:$H$61,8,FALSE)</f>
        <v>28080</v>
      </c>
      <c r="J2798" s="20">
        <f t="shared" si="43"/>
        <v>0.56521739130434778</v>
      </c>
    </row>
    <row r="2799" spans="1:10" x14ac:dyDescent="0.3">
      <c r="A2799" s="33">
        <v>2798</v>
      </c>
      <c r="B2799" s="4">
        <v>48</v>
      </c>
      <c r="C2799" s="15">
        <v>268</v>
      </c>
      <c r="D2799" s="16">
        <v>1</v>
      </c>
      <c r="E2799" s="22">
        <v>44453</v>
      </c>
      <c r="F2799" s="17">
        <v>12</v>
      </c>
      <c r="G2799" s="18">
        <v>0.15</v>
      </c>
      <c r="H2799">
        <f>F2799*VLOOKUP(B2799,產品!$A$2:$H$61,7,FALSE)*(1-銷售總表!G2799)</f>
        <v>224400</v>
      </c>
      <c r="I2799" s="35">
        <f>H2799-F2799*VLOOKUP(銷售總表!B2799,產品!$A$2:$H$61,8,FALSE)</f>
        <v>52800</v>
      </c>
      <c r="J2799" s="20">
        <f t="shared" si="43"/>
        <v>0.23529411764705882</v>
      </c>
    </row>
    <row r="2800" spans="1:10" x14ac:dyDescent="0.3">
      <c r="A2800" s="33">
        <v>2799</v>
      </c>
      <c r="B2800" s="4">
        <v>38</v>
      </c>
      <c r="C2800" s="15">
        <v>121</v>
      </c>
      <c r="D2800" s="16">
        <v>5</v>
      </c>
      <c r="E2800" s="22">
        <v>44454</v>
      </c>
      <c r="F2800" s="19">
        <v>10</v>
      </c>
      <c r="G2800" s="18">
        <v>0.12</v>
      </c>
      <c r="H2800">
        <f>F2800*VLOOKUP(B2800,產品!$A$2:$H$61,7,FALSE)*(1-銷售總表!G2800)</f>
        <v>132000</v>
      </c>
      <c r="I2800" s="35">
        <f>H2800-F2800*VLOOKUP(銷售總表!B2800,產品!$A$2:$H$61,8,FALSE)</f>
        <v>34500</v>
      </c>
      <c r="J2800" s="20">
        <f t="shared" si="43"/>
        <v>0.26136363636363635</v>
      </c>
    </row>
    <row r="2801" spans="1:10" x14ac:dyDescent="0.3">
      <c r="A2801" s="33">
        <v>2800</v>
      </c>
      <c r="B2801" s="4">
        <v>1</v>
      </c>
      <c r="C2801" s="15">
        <v>287</v>
      </c>
      <c r="D2801" s="16">
        <v>9</v>
      </c>
      <c r="E2801" s="22">
        <v>44454</v>
      </c>
      <c r="F2801" s="17">
        <v>10</v>
      </c>
      <c r="G2801" s="18">
        <v>0.14000000000000001</v>
      </c>
      <c r="H2801">
        <f>F2801*VLOOKUP(B2801,產品!$A$2:$H$61,7,FALSE)*(1-銷售總表!G2801)</f>
        <v>8600</v>
      </c>
      <c r="I2801" s="35">
        <f>H2801-F2801*VLOOKUP(銷售總表!B2801,產品!$A$2:$H$61,8,FALSE)</f>
        <v>4600</v>
      </c>
      <c r="J2801" s="20">
        <f t="shared" si="43"/>
        <v>0.53488372093023251</v>
      </c>
    </row>
    <row r="2802" spans="1:10" x14ac:dyDescent="0.3">
      <c r="A2802" s="33">
        <v>2801</v>
      </c>
      <c r="B2802" s="4">
        <v>31</v>
      </c>
      <c r="C2802" s="15">
        <v>262</v>
      </c>
      <c r="D2802" s="16">
        <v>3</v>
      </c>
      <c r="E2802" s="22">
        <v>44454</v>
      </c>
      <c r="F2802" s="17">
        <v>4</v>
      </c>
      <c r="G2802" s="18">
        <v>0.15</v>
      </c>
      <c r="H2802">
        <f>F2802*VLOOKUP(B2802,產品!$A$2:$H$61,7,FALSE)*(1-銷售總表!G2802)</f>
        <v>23800</v>
      </c>
      <c r="I2802" s="35">
        <f>H2802-F2802*VLOOKUP(銷售總表!B2802,產品!$A$2:$H$61,8,FALSE)</f>
        <v>7000</v>
      </c>
      <c r="J2802" s="20">
        <f t="shared" si="43"/>
        <v>0.29411764705882354</v>
      </c>
    </row>
    <row r="2803" spans="1:10" x14ac:dyDescent="0.3">
      <c r="A2803" s="33">
        <v>2802</v>
      </c>
      <c r="B2803" s="4">
        <v>55</v>
      </c>
      <c r="C2803" s="15">
        <v>9</v>
      </c>
      <c r="D2803" s="16">
        <v>4</v>
      </c>
      <c r="E2803" s="22">
        <v>44454</v>
      </c>
      <c r="F2803" s="17">
        <v>3</v>
      </c>
      <c r="G2803" s="18">
        <v>0.12</v>
      </c>
      <c r="H2803">
        <f>F2803*VLOOKUP(B2803,產品!$A$2:$H$61,7,FALSE)*(1-銷售總表!G2803)</f>
        <v>52800</v>
      </c>
      <c r="I2803" s="35">
        <f>H2803-F2803*VLOOKUP(銷售總表!B2803,產品!$A$2:$H$61,8,FALSE)</f>
        <v>10800</v>
      </c>
      <c r="J2803" s="20">
        <f t="shared" si="43"/>
        <v>0.20454545454545456</v>
      </c>
    </row>
    <row r="2804" spans="1:10" x14ac:dyDescent="0.3">
      <c r="A2804" s="33">
        <v>2803</v>
      </c>
      <c r="B2804" s="4">
        <v>28</v>
      </c>
      <c r="C2804" s="15">
        <v>7</v>
      </c>
      <c r="D2804" s="16">
        <v>1</v>
      </c>
      <c r="E2804" s="22">
        <v>44454</v>
      </c>
      <c r="F2804" s="17">
        <v>5</v>
      </c>
      <c r="G2804" s="18">
        <v>0.11</v>
      </c>
      <c r="H2804">
        <f>F2804*VLOOKUP(B2804,產品!$A$2:$H$61,7,FALSE)*(1-銷售總表!G2804)</f>
        <v>33375</v>
      </c>
      <c r="I2804" s="35">
        <f>H2804-F2804*VLOOKUP(銷售總表!B2804,產品!$A$2:$H$61,8,FALSE)</f>
        <v>10875</v>
      </c>
      <c r="J2804" s="20">
        <f t="shared" si="43"/>
        <v>0.3258426966292135</v>
      </c>
    </row>
    <row r="2805" spans="1:10" x14ac:dyDescent="0.3">
      <c r="A2805" s="33">
        <v>2804</v>
      </c>
      <c r="B2805" s="4">
        <v>21</v>
      </c>
      <c r="C2805" s="15">
        <v>10</v>
      </c>
      <c r="D2805" s="16">
        <v>2</v>
      </c>
      <c r="E2805" s="22">
        <v>44454</v>
      </c>
      <c r="F2805" s="19">
        <v>13</v>
      </c>
      <c r="G2805" s="18">
        <v>0.05</v>
      </c>
      <c r="H2805">
        <f>F2805*VLOOKUP(B2805,產品!$A$2:$H$61,7,FALSE)*(1-銷售總表!G2805)</f>
        <v>22230</v>
      </c>
      <c r="I2805" s="35">
        <f>H2805-F2805*VLOOKUP(銷售總表!B2805,產品!$A$2:$H$61,8,FALSE)</f>
        <v>12870</v>
      </c>
      <c r="J2805" s="20">
        <f t="shared" si="43"/>
        <v>0.57894736842105265</v>
      </c>
    </row>
    <row r="2806" spans="1:10" x14ac:dyDescent="0.3">
      <c r="A2806" s="33">
        <v>2805</v>
      </c>
      <c r="B2806" s="4">
        <v>29</v>
      </c>
      <c r="C2806" s="15">
        <v>273</v>
      </c>
      <c r="D2806" s="16">
        <v>10</v>
      </c>
      <c r="E2806" s="22">
        <v>44454</v>
      </c>
      <c r="F2806" s="19">
        <v>7</v>
      </c>
      <c r="G2806" s="18">
        <v>0.06</v>
      </c>
      <c r="H2806">
        <f>F2806*VLOOKUP(B2806,產品!$A$2:$H$61,7,FALSE)*(1-銷售總表!G2806)</f>
        <v>39480</v>
      </c>
      <c r="I2806" s="35">
        <f>H2806-F2806*VLOOKUP(銷售總表!B2806,產品!$A$2:$H$61,8,FALSE)</f>
        <v>14280</v>
      </c>
      <c r="J2806" s="20">
        <f t="shared" si="43"/>
        <v>0.36170212765957449</v>
      </c>
    </row>
    <row r="2807" spans="1:10" x14ac:dyDescent="0.3">
      <c r="A2807" s="33">
        <v>2806</v>
      </c>
      <c r="B2807" s="4">
        <v>9</v>
      </c>
      <c r="C2807" s="15">
        <v>112</v>
      </c>
      <c r="D2807" s="16">
        <v>8</v>
      </c>
      <c r="E2807" s="22">
        <v>44454</v>
      </c>
      <c r="F2807" s="19">
        <v>50</v>
      </c>
      <c r="G2807" s="18">
        <v>0.18</v>
      </c>
      <c r="H2807">
        <f>F2807*VLOOKUP(B2807,產品!$A$2:$H$61,7,FALSE)*(1-銷售總表!G2807)</f>
        <v>41000</v>
      </c>
      <c r="I2807" s="35">
        <f>H2807-F2807*VLOOKUP(銷售總表!B2807,產品!$A$2:$H$61,8,FALSE)</f>
        <v>21000</v>
      </c>
      <c r="J2807" s="20">
        <f t="shared" si="43"/>
        <v>0.51219512195121952</v>
      </c>
    </row>
    <row r="2808" spans="1:10" x14ac:dyDescent="0.3">
      <c r="A2808" s="33">
        <v>2807</v>
      </c>
      <c r="B2808" s="4">
        <v>17</v>
      </c>
      <c r="C2808" s="15">
        <v>113</v>
      </c>
      <c r="D2808" s="16">
        <v>5</v>
      </c>
      <c r="E2808" s="22">
        <v>44454</v>
      </c>
      <c r="F2808" s="17">
        <v>120</v>
      </c>
      <c r="G2808" s="18">
        <v>0.05</v>
      </c>
      <c r="H2808">
        <f>F2808*VLOOKUP(B2808,產品!$A$2:$H$61,7,FALSE)*(1-銷售總表!G2808)</f>
        <v>205200</v>
      </c>
      <c r="I2808" s="35">
        <f>H2808-F2808*VLOOKUP(銷售總表!B2808,產品!$A$2:$H$61,8,FALSE)</f>
        <v>118800</v>
      </c>
      <c r="J2808" s="20">
        <f t="shared" si="43"/>
        <v>0.57894736842105265</v>
      </c>
    </row>
    <row r="2809" spans="1:10" x14ac:dyDescent="0.3">
      <c r="A2809" s="33">
        <v>2808</v>
      </c>
      <c r="B2809" s="4">
        <v>47</v>
      </c>
      <c r="C2809" s="15">
        <v>2</v>
      </c>
      <c r="D2809" s="16">
        <v>1</v>
      </c>
      <c r="E2809" s="22">
        <v>44455</v>
      </c>
      <c r="F2809" s="19">
        <v>1</v>
      </c>
      <c r="G2809" s="18">
        <v>0.1</v>
      </c>
      <c r="H2809">
        <f>F2809*VLOOKUP(B2809,產品!$A$2:$H$61,7,FALSE)*(1-銷售總表!G2809)</f>
        <v>18000</v>
      </c>
      <c r="I2809" s="35">
        <f>H2809-F2809*VLOOKUP(銷售總表!B2809,產品!$A$2:$H$61,8,FALSE)</f>
        <v>5000</v>
      </c>
      <c r="J2809" s="20">
        <f t="shared" si="43"/>
        <v>0.27777777777777779</v>
      </c>
    </row>
    <row r="2810" spans="1:10" x14ac:dyDescent="0.3">
      <c r="A2810" s="33">
        <v>2809</v>
      </c>
      <c r="B2810" s="4">
        <v>52</v>
      </c>
      <c r="C2810" s="15">
        <v>6</v>
      </c>
      <c r="D2810" s="16">
        <v>1</v>
      </c>
      <c r="E2810" s="22">
        <v>44455</v>
      </c>
      <c r="F2810" s="19">
        <v>2</v>
      </c>
      <c r="G2810" s="18">
        <v>0.18</v>
      </c>
      <c r="H2810">
        <f>F2810*VLOOKUP(B2810,產品!$A$2:$H$61,7,FALSE)*(1-銷售總表!G2810)</f>
        <v>36080</v>
      </c>
      <c r="I2810" s="35">
        <f>H2810-F2810*VLOOKUP(銷售總表!B2810,產品!$A$2:$H$61,8,FALSE)</f>
        <v>5280.0000000000036</v>
      </c>
      <c r="J2810" s="20">
        <f t="shared" si="43"/>
        <v>0.14634146341463425</v>
      </c>
    </row>
    <row r="2811" spans="1:10" x14ac:dyDescent="0.3">
      <c r="A2811" s="33">
        <v>2810</v>
      </c>
      <c r="B2811" s="4">
        <v>49</v>
      </c>
      <c r="C2811" s="15">
        <v>291</v>
      </c>
      <c r="D2811" s="16">
        <v>4</v>
      </c>
      <c r="E2811" s="22">
        <v>44455</v>
      </c>
      <c r="F2811" s="17">
        <v>4</v>
      </c>
      <c r="G2811" s="18">
        <v>0.19</v>
      </c>
      <c r="H2811">
        <f>F2811*VLOOKUP(B2811,產品!$A$2:$H$61,7,FALSE)*(1-銷售總表!G2811)</f>
        <v>48600</v>
      </c>
      <c r="I2811" s="35">
        <f>H2811-F2811*VLOOKUP(銷售總表!B2811,產品!$A$2:$H$61,8,FALSE)</f>
        <v>6600</v>
      </c>
      <c r="J2811" s="20">
        <f t="shared" si="43"/>
        <v>0.13580246913580246</v>
      </c>
    </row>
    <row r="2812" spans="1:10" x14ac:dyDescent="0.3">
      <c r="A2812" s="33">
        <v>2811</v>
      </c>
      <c r="B2812" s="4">
        <v>45</v>
      </c>
      <c r="C2812" s="15">
        <v>4</v>
      </c>
      <c r="D2812" s="16">
        <v>4</v>
      </c>
      <c r="E2812" s="22">
        <v>44455</v>
      </c>
      <c r="F2812" s="19">
        <v>5</v>
      </c>
      <c r="G2812" s="18">
        <v>0.13</v>
      </c>
      <c r="H2812">
        <f>F2812*VLOOKUP(B2812,產品!$A$2:$H$61,7,FALSE)*(1-銷售總表!G2812)</f>
        <v>60900</v>
      </c>
      <c r="I2812" s="35">
        <f>H2812-F2812*VLOOKUP(銷售總表!B2812,產品!$A$2:$H$61,8,FALSE)</f>
        <v>15400</v>
      </c>
      <c r="J2812" s="20">
        <f t="shared" si="43"/>
        <v>0.25287356321839083</v>
      </c>
    </row>
    <row r="2813" spans="1:10" x14ac:dyDescent="0.3">
      <c r="A2813" s="33">
        <v>2812</v>
      </c>
      <c r="B2813" s="4">
        <v>28</v>
      </c>
      <c r="C2813" s="15">
        <v>121</v>
      </c>
      <c r="D2813" s="16">
        <v>4</v>
      </c>
      <c r="E2813" s="22">
        <v>44455</v>
      </c>
      <c r="F2813" s="17">
        <v>14</v>
      </c>
      <c r="G2813" s="18">
        <v>0.17</v>
      </c>
      <c r="H2813">
        <f>F2813*VLOOKUP(B2813,產品!$A$2:$H$61,7,FALSE)*(1-銷售總表!G2813)</f>
        <v>87150</v>
      </c>
      <c r="I2813" s="35">
        <f>H2813-F2813*VLOOKUP(銷售總表!B2813,產品!$A$2:$H$61,8,FALSE)</f>
        <v>24150</v>
      </c>
      <c r="J2813" s="20">
        <f t="shared" si="43"/>
        <v>0.27710843373493976</v>
      </c>
    </row>
    <row r="2814" spans="1:10" x14ac:dyDescent="0.3">
      <c r="A2814" s="33">
        <v>2813</v>
      </c>
      <c r="B2814" s="4">
        <v>45</v>
      </c>
      <c r="C2814" s="15">
        <v>263</v>
      </c>
      <c r="D2814" s="16">
        <v>9</v>
      </c>
      <c r="E2814" s="22">
        <v>44455</v>
      </c>
      <c r="F2814" s="19">
        <v>10</v>
      </c>
      <c r="G2814" s="18">
        <v>0.15</v>
      </c>
      <c r="H2814">
        <f>F2814*VLOOKUP(B2814,產品!$A$2:$H$61,7,FALSE)*(1-銷售總表!G2814)</f>
        <v>119000</v>
      </c>
      <c r="I2814" s="35">
        <f>H2814-F2814*VLOOKUP(銷售總表!B2814,產品!$A$2:$H$61,8,FALSE)</f>
        <v>28000</v>
      </c>
      <c r="J2814" s="20">
        <f t="shared" si="43"/>
        <v>0.23529411764705882</v>
      </c>
    </row>
    <row r="2815" spans="1:10" x14ac:dyDescent="0.3">
      <c r="A2815" s="33">
        <v>2814</v>
      </c>
      <c r="B2815" s="4">
        <v>20</v>
      </c>
      <c r="C2815" s="15">
        <v>9</v>
      </c>
      <c r="D2815" s="16">
        <v>3</v>
      </c>
      <c r="E2815" s="22">
        <v>44455</v>
      </c>
      <c r="F2815" s="19">
        <v>30</v>
      </c>
      <c r="G2815" s="18">
        <v>0.06</v>
      </c>
      <c r="H2815">
        <f>F2815*VLOOKUP(B2815,產品!$A$2:$H$61,7,FALSE)*(1-銷售總表!G2815)</f>
        <v>50760</v>
      </c>
      <c r="I2815" s="35">
        <f>H2815-F2815*VLOOKUP(銷售總表!B2815,產品!$A$2:$H$61,8,FALSE)</f>
        <v>29160</v>
      </c>
      <c r="J2815" s="20">
        <f t="shared" si="43"/>
        <v>0.57446808510638303</v>
      </c>
    </row>
    <row r="2816" spans="1:10" x14ac:dyDescent="0.3">
      <c r="A2816" s="33">
        <v>2815</v>
      </c>
      <c r="B2816" s="4">
        <v>6</v>
      </c>
      <c r="C2816" s="15">
        <v>269</v>
      </c>
      <c r="D2816" s="16">
        <v>7</v>
      </c>
      <c r="E2816" s="22">
        <v>44456</v>
      </c>
      <c r="F2816" s="19">
        <v>13</v>
      </c>
      <c r="G2816" s="18">
        <v>0.1</v>
      </c>
      <c r="H2816">
        <f>F2816*VLOOKUP(B2816,產品!$A$2:$H$61,7,FALSE)*(1-銷售總表!G2816)</f>
        <v>11700</v>
      </c>
      <c r="I2816" s="35">
        <f>H2816-F2816*VLOOKUP(銷售總表!B2816,產品!$A$2:$H$61,8,FALSE)</f>
        <v>6500</v>
      </c>
      <c r="J2816" s="20">
        <f t="shared" si="43"/>
        <v>0.55555555555555558</v>
      </c>
    </row>
    <row r="2817" spans="1:10" x14ac:dyDescent="0.3">
      <c r="A2817" s="33">
        <v>2816</v>
      </c>
      <c r="B2817" s="4">
        <v>54</v>
      </c>
      <c r="C2817" s="15">
        <v>139</v>
      </c>
      <c r="D2817" s="16">
        <v>9</v>
      </c>
      <c r="E2817" s="22">
        <v>44456</v>
      </c>
      <c r="F2817" s="17">
        <v>5</v>
      </c>
      <c r="G2817" s="18">
        <v>0.16</v>
      </c>
      <c r="H2817">
        <f>F2817*VLOOKUP(B2817,產品!$A$2:$H$61,7,FALSE)*(1-銷售總表!G2817)</f>
        <v>75600</v>
      </c>
      <c r="I2817" s="35">
        <f>H2817-F2817*VLOOKUP(銷售總表!B2817,產品!$A$2:$H$61,8,FALSE)</f>
        <v>12600</v>
      </c>
      <c r="J2817" s="20">
        <f t="shared" si="43"/>
        <v>0.16666666666666666</v>
      </c>
    </row>
    <row r="2818" spans="1:10" x14ac:dyDescent="0.3">
      <c r="A2818" s="33">
        <v>2817</v>
      </c>
      <c r="B2818" s="4">
        <v>17</v>
      </c>
      <c r="C2818" s="15">
        <v>262</v>
      </c>
      <c r="D2818" s="16">
        <v>8</v>
      </c>
      <c r="E2818" s="22">
        <v>44456</v>
      </c>
      <c r="F2818" s="19">
        <v>17</v>
      </c>
      <c r="G2818" s="18">
        <v>0.1</v>
      </c>
      <c r="H2818">
        <f>F2818*VLOOKUP(B2818,產品!$A$2:$H$61,7,FALSE)*(1-銷售總表!G2818)</f>
        <v>27540</v>
      </c>
      <c r="I2818" s="35">
        <f>H2818-F2818*VLOOKUP(銷售總表!B2818,產品!$A$2:$H$61,8,FALSE)</f>
        <v>15300</v>
      </c>
      <c r="J2818" s="20">
        <f t="shared" si="43"/>
        <v>0.55555555555555558</v>
      </c>
    </row>
    <row r="2819" spans="1:10" x14ac:dyDescent="0.3">
      <c r="A2819" s="33">
        <v>2818</v>
      </c>
      <c r="B2819" s="4">
        <v>39</v>
      </c>
      <c r="C2819" s="15">
        <v>261</v>
      </c>
      <c r="D2819" s="16">
        <v>7</v>
      </c>
      <c r="E2819" s="22">
        <v>44456</v>
      </c>
      <c r="F2819" s="19">
        <v>5</v>
      </c>
      <c r="G2819" s="18">
        <v>0.08</v>
      </c>
      <c r="H2819">
        <f>F2819*VLOOKUP(B2819,產品!$A$2:$H$61,7,FALSE)*(1-銷售總表!G2819)</f>
        <v>82800</v>
      </c>
      <c r="I2819" s="35">
        <f>H2819-F2819*VLOOKUP(銷售總表!B2819,產品!$A$2:$H$61,8,FALSE)</f>
        <v>24300</v>
      </c>
      <c r="J2819" s="20">
        <f t="shared" ref="J2819:J2882" si="44">I2819/H2819</f>
        <v>0.29347826086956524</v>
      </c>
    </row>
    <row r="2820" spans="1:10" x14ac:dyDescent="0.3">
      <c r="A2820" s="33">
        <v>2819</v>
      </c>
      <c r="B2820" s="4">
        <v>44</v>
      </c>
      <c r="C2820" s="15">
        <v>4</v>
      </c>
      <c r="D2820" s="16">
        <v>4</v>
      </c>
      <c r="E2820" s="22">
        <v>44456</v>
      </c>
      <c r="F2820" s="17">
        <v>10</v>
      </c>
      <c r="G2820" s="18">
        <v>0.19</v>
      </c>
      <c r="H2820">
        <f>F2820*VLOOKUP(B2820,產品!$A$2:$H$61,7,FALSE)*(1-銷售總表!G2820)</f>
        <v>162000</v>
      </c>
      <c r="I2820" s="35">
        <f>H2820-F2820*VLOOKUP(銷售總表!B2820,產品!$A$2:$H$61,8,FALSE)</f>
        <v>32000</v>
      </c>
      <c r="J2820" s="20">
        <f t="shared" si="44"/>
        <v>0.19753086419753085</v>
      </c>
    </row>
    <row r="2821" spans="1:10" x14ac:dyDescent="0.3">
      <c r="A2821" s="33">
        <v>2820</v>
      </c>
      <c r="B2821" s="4">
        <v>3</v>
      </c>
      <c r="C2821" s="15">
        <v>2</v>
      </c>
      <c r="D2821" s="16">
        <v>9</v>
      </c>
      <c r="E2821" s="22">
        <v>44456</v>
      </c>
      <c r="F2821" s="19">
        <v>200</v>
      </c>
      <c r="G2821" s="18">
        <v>0.06</v>
      </c>
      <c r="H2821">
        <f>F2821*VLOOKUP(B2821,產品!$A$2:$H$61,7,FALSE)*(1-銷售總表!G2821)</f>
        <v>188000</v>
      </c>
      <c r="I2821" s="35">
        <f>H2821-F2821*VLOOKUP(銷售總表!B2821,產品!$A$2:$H$61,8,FALSE)</f>
        <v>108000</v>
      </c>
      <c r="J2821" s="20">
        <f t="shared" si="44"/>
        <v>0.57446808510638303</v>
      </c>
    </row>
    <row r="2822" spans="1:10" x14ac:dyDescent="0.3">
      <c r="A2822" s="33">
        <v>2821</v>
      </c>
      <c r="B2822" s="4">
        <v>25</v>
      </c>
      <c r="C2822" s="15">
        <v>269</v>
      </c>
      <c r="D2822" s="16">
        <v>4</v>
      </c>
      <c r="E2822" s="22">
        <v>44457</v>
      </c>
      <c r="F2822" s="17">
        <v>2</v>
      </c>
      <c r="G2822" s="18">
        <v>0.06</v>
      </c>
      <c r="H2822">
        <f>F2822*VLOOKUP(B2822,產品!$A$2:$H$61,7,FALSE)*(1-銷售總表!G2822)</f>
        <v>11280</v>
      </c>
      <c r="I2822" s="35">
        <f>H2822-F2822*VLOOKUP(銷售總表!B2822,產品!$A$2:$H$61,8,FALSE)</f>
        <v>4080</v>
      </c>
      <c r="J2822" s="20">
        <f t="shared" si="44"/>
        <v>0.36170212765957449</v>
      </c>
    </row>
    <row r="2823" spans="1:10" x14ac:dyDescent="0.3">
      <c r="A2823" s="33">
        <v>2822</v>
      </c>
      <c r="B2823" s="4">
        <v>59</v>
      </c>
      <c r="C2823" s="15">
        <v>273</v>
      </c>
      <c r="D2823" s="16">
        <v>8</v>
      </c>
      <c r="E2823" s="22">
        <v>44457</v>
      </c>
      <c r="F2823" s="19">
        <v>3</v>
      </c>
      <c r="G2823" s="18">
        <v>0.17</v>
      </c>
      <c r="H2823">
        <f>F2823*VLOOKUP(B2823,產品!$A$2:$H$61,7,FALSE)*(1-銷售總表!G2823)</f>
        <v>59760</v>
      </c>
      <c r="I2823" s="35">
        <f>H2823-F2823*VLOOKUP(銷售總表!B2823,產品!$A$2:$H$61,8,FALSE)</f>
        <v>9360</v>
      </c>
      <c r="J2823" s="20">
        <f t="shared" si="44"/>
        <v>0.15662650602409639</v>
      </c>
    </row>
    <row r="2824" spans="1:10" x14ac:dyDescent="0.3">
      <c r="A2824" s="33">
        <v>2823</v>
      </c>
      <c r="B2824" s="4">
        <v>55</v>
      </c>
      <c r="C2824" s="15">
        <v>123</v>
      </c>
      <c r="D2824" s="16">
        <v>2</v>
      </c>
      <c r="E2824" s="22">
        <v>44457</v>
      </c>
      <c r="F2824" s="17">
        <v>4</v>
      </c>
      <c r="G2824" s="18">
        <v>0.05</v>
      </c>
      <c r="H2824">
        <f>F2824*VLOOKUP(B2824,產品!$A$2:$H$61,7,FALSE)*(1-銷售總表!G2824)</f>
        <v>76000</v>
      </c>
      <c r="I2824" s="35">
        <f>H2824-F2824*VLOOKUP(銷售總表!B2824,產品!$A$2:$H$61,8,FALSE)</f>
        <v>20000</v>
      </c>
      <c r="J2824" s="20">
        <f t="shared" si="44"/>
        <v>0.26315789473684209</v>
      </c>
    </row>
    <row r="2825" spans="1:10" x14ac:dyDescent="0.3">
      <c r="A2825" s="33">
        <v>2824</v>
      </c>
      <c r="B2825" s="4">
        <v>32</v>
      </c>
      <c r="C2825" s="15">
        <v>8</v>
      </c>
      <c r="D2825" s="16">
        <v>8</v>
      </c>
      <c r="E2825" s="22">
        <v>44458</v>
      </c>
      <c r="F2825" s="19">
        <v>5</v>
      </c>
      <c r="G2825" s="18">
        <v>0.13</v>
      </c>
      <c r="H2825">
        <f>F2825*VLOOKUP(B2825,產品!$A$2:$H$61,7,FALSE)*(1-銷售總表!G2825)</f>
        <v>32625</v>
      </c>
      <c r="I2825" s="35">
        <f>H2825-F2825*VLOOKUP(銷售總表!B2825,產品!$A$2:$H$61,8,FALSE)</f>
        <v>10125</v>
      </c>
      <c r="J2825" s="20">
        <f t="shared" si="44"/>
        <v>0.31034482758620691</v>
      </c>
    </row>
    <row r="2826" spans="1:10" x14ac:dyDescent="0.3">
      <c r="A2826" s="33">
        <v>2825</v>
      </c>
      <c r="B2826" s="4">
        <v>55</v>
      </c>
      <c r="C2826" s="15">
        <v>12</v>
      </c>
      <c r="D2826" s="16">
        <v>2</v>
      </c>
      <c r="E2826" s="22">
        <v>44458</v>
      </c>
      <c r="F2826" s="19">
        <v>8</v>
      </c>
      <c r="G2826" s="18">
        <v>0.16</v>
      </c>
      <c r="H2826">
        <f>F2826*VLOOKUP(B2826,產品!$A$2:$H$61,7,FALSE)*(1-銷售總表!G2826)</f>
        <v>134400</v>
      </c>
      <c r="I2826" s="35">
        <f>H2826-F2826*VLOOKUP(銷售總表!B2826,產品!$A$2:$H$61,8,FALSE)</f>
        <v>22400</v>
      </c>
      <c r="J2826" s="20">
        <f t="shared" si="44"/>
        <v>0.16666666666666666</v>
      </c>
    </row>
    <row r="2827" spans="1:10" x14ac:dyDescent="0.3">
      <c r="A2827" s="33">
        <v>2826</v>
      </c>
      <c r="B2827" s="4">
        <v>55</v>
      </c>
      <c r="C2827" s="15">
        <v>117</v>
      </c>
      <c r="D2827" s="16">
        <v>10</v>
      </c>
      <c r="E2827" s="22">
        <v>44458</v>
      </c>
      <c r="F2827" s="17">
        <v>8</v>
      </c>
      <c r="G2827" s="18">
        <v>0.1</v>
      </c>
      <c r="H2827">
        <f>F2827*VLOOKUP(B2827,產品!$A$2:$H$61,7,FALSE)*(1-銷售總表!G2827)</f>
        <v>144000</v>
      </c>
      <c r="I2827" s="35">
        <f>H2827-F2827*VLOOKUP(銷售總表!B2827,產品!$A$2:$H$61,8,FALSE)</f>
        <v>32000</v>
      </c>
      <c r="J2827" s="20">
        <f t="shared" si="44"/>
        <v>0.22222222222222221</v>
      </c>
    </row>
    <row r="2828" spans="1:10" x14ac:dyDescent="0.3">
      <c r="A2828" s="33">
        <v>2827</v>
      </c>
      <c r="B2828" s="4">
        <v>52</v>
      </c>
      <c r="C2828" s="15">
        <v>6</v>
      </c>
      <c r="D2828" s="16">
        <v>6</v>
      </c>
      <c r="E2828" s="22">
        <v>44458</v>
      </c>
      <c r="F2828" s="19">
        <v>10</v>
      </c>
      <c r="G2828" s="18">
        <v>0.12</v>
      </c>
      <c r="H2828">
        <f>F2828*VLOOKUP(B2828,產品!$A$2:$H$61,7,FALSE)*(1-銷售總表!G2828)</f>
        <v>193600</v>
      </c>
      <c r="I2828" s="35">
        <f>H2828-F2828*VLOOKUP(銷售總表!B2828,產品!$A$2:$H$61,8,FALSE)</f>
        <v>39600.000000000029</v>
      </c>
      <c r="J2828" s="20">
        <f t="shared" si="44"/>
        <v>0.2045454545454547</v>
      </c>
    </row>
    <row r="2829" spans="1:10" x14ac:dyDescent="0.3">
      <c r="A2829" s="33">
        <v>2828</v>
      </c>
      <c r="B2829" s="4">
        <v>15</v>
      </c>
      <c r="C2829" s="15">
        <v>10</v>
      </c>
      <c r="D2829" s="16">
        <v>1</v>
      </c>
      <c r="E2829" s="22">
        <v>44458</v>
      </c>
      <c r="F2829" s="19">
        <v>175</v>
      </c>
      <c r="G2829" s="18">
        <v>0.11</v>
      </c>
      <c r="H2829">
        <f>F2829*VLOOKUP(B2829,產品!$A$2:$H$61,7,FALSE)*(1-銷售總表!G2829)</f>
        <v>280350</v>
      </c>
      <c r="I2829" s="35">
        <f>H2829-F2829*VLOOKUP(銷售總表!B2829,產品!$A$2:$H$61,8,FALSE)</f>
        <v>154350</v>
      </c>
      <c r="J2829" s="20">
        <f t="shared" si="44"/>
        <v>0.550561797752809</v>
      </c>
    </row>
    <row r="2830" spans="1:10" x14ac:dyDescent="0.3">
      <c r="A2830" s="33">
        <v>2829</v>
      </c>
      <c r="B2830" s="4">
        <v>11</v>
      </c>
      <c r="C2830" s="15">
        <v>258</v>
      </c>
      <c r="D2830" s="16">
        <v>7</v>
      </c>
      <c r="E2830" s="22">
        <v>44459</v>
      </c>
      <c r="F2830" s="17">
        <v>13</v>
      </c>
      <c r="G2830" s="18">
        <v>0.18</v>
      </c>
      <c r="H2830">
        <f>F2830*VLOOKUP(B2830,產品!$A$2:$H$61,7,FALSE)*(1-銷售總表!G2830)</f>
        <v>10660</v>
      </c>
      <c r="I2830" s="35">
        <f>H2830-F2830*VLOOKUP(銷售總表!B2830,產品!$A$2:$H$61,8,FALSE)</f>
        <v>5460</v>
      </c>
      <c r="J2830" s="20">
        <f t="shared" si="44"/>
        <v>0.51219512195121952</v>
      </c>
    </row>
    <row r="2831" spans="1:10" x14ac:dyDescent="0.3">
      <c r="A2831" s="33">
        <v>2830</v>
      </c>
      <c r="B2831" s="4">
        <v>2</v>
      </c>
      <c r="C2831" s="15">
        <v>1</v>
      </c>
      <c r="D2831" s="16">
        <v>3</v>
      </c>
      <c r="E2831" s="22">
        <v>44459</v>
      </c>
      <c r="F2831" s="19">
        <v>50</v>
      </c>
      <c r="G2831" s="18">
        <v>0.08</v>
      </c>
      <c r="H2831">
        <f>F2831*VLOOKUP(B2831,產品!$A$2:$H$61,7,FALSE)*(1-銷售總表!G2831)</f>
        <v>46000</v>
      </c>
      <c r="I2831" s="35">
        <f>H2831-F2831*VLOOKUP(銷售總表!B2831,產品!$A$2:$H$61,8,FALSE)</f>
        <v>26000</v>
      </c>
      <c r="J2831" s="20">
        <f t="shared" si="44"/>
        <v>0.56521739130434778</v>
      </c>
    </row>
    <row r="2832" spans="1:10" x14ac:dyDescent="0.3">
      <c r="A2832" s="33">
        <v>2831</v>
      </c>
      <c r="B2832" s="4">
        <v>14</v>
      </c>
      <c r="C2832" s="15">
        <v>292</v>
      </c>
      <c r="D2832" s="16">
        <v>7</v>
      </c>
      <c r="E2832" s="22">
        <v>44459</v>
      </c>
      <c r="F2832" s="19">
        <v>30</v>
      </c>
      <c r="G2832" s="18">
        <v>7.0000000000000007E-2</v>
      </c>
      <c r="H2832">
        <f>F2832*VLOOKUP(B2832,產品!$A$2:$H$61,7,FALSE)*(1-銷售總表!G2832)</f>
        <v>50220</v>
      </c>
      <c r="I2832" s="35">
        <f>H2832-F2832*VLOOKUP(銷售總表!B2832,產品!$A$2:$H$61,8,FALSE)</f>
        <v>28620</v>
      </c>
      <c r="J2832" s="20">
        <f t="shared" si="44"/>
        <v>0.56989247311827962</v>
      </c>
    </row>
    <row r="2833" spans="1:10" x14ac:dyDescent="0.3">
      <c r="A2833" s="33">
        <v>2832</v>
      </c>
      <c r="B2833" s="4">
        <v>15</v>
      </c>
      <c r="C2833" s="15">
        <v>7</v>
      </c>
      <c r="D2833" s="16">
        <v>3</v>
      </c>
      <c r="E2833" s="22">
        <v>44459</v>
      </c>
      <c r="F2833" s="19">
        <v>50</v>
      </c>
      <c r="G2833" s="18">
        <v>0.08</v>
      </c>
      <c r="H2833">
        <f>F2833*VLOOKUP(B2833,產品!$A$2:$H$61,7,FALSE)*(1-銷售總表!G2833)</f>
        <v>82800</v>
      </c>
      <c r="I2833" s="35">
        <f>H2833-F2833*VLOOKUP(銷售總表!B2833,產品!$A$2:$H$61,8,FALSE)</f>
        <v>46800</v>
      </c>
      <c r="J2833" s="20">
        <f t="shared" si="44"/>
        <v>0.56521739130434778</v>
      </c>
    </row>
    <row r="2834" spans="1:10" x14ac:dyDescent="0.3">
      <c r="A2834" s="33">
        <v>2833</v>
      </c>
      <c r="B2834" s="4">
        <v>4</v>
      </c>
      <c r="C2834" s="15">
        <v>116</v>
      </c>
      <c r="D2834" s="16">
        <v>4</v>
      </c>
      <c r="E2834" s="22">
        <v>44459</v>
      </c>
      <c r="F2834" s="17">
        <v>150</v>
      </c>
      <c r="G2834" s="18">
        <v>0.18</v>
      </c>
      <c r="H2834">
        <f>F2834*VLOOKUP(B2834,產品!$A$2:$H$61,7,FALSE)*(1-銷售總表!G2834)</f>
        <v>123000.00000000001</v>
      </c>
      <c r="I2834" s="35">
        <f>H2834-F2834*VLOOKUP(銷售總表!B2834,產品!$A$2:$H$61,8,FALSE)</f>
        <v>63000.000000000015</v>
      </c>
      <c r="J2834" s="20">
        <f t="shared" si="44"/>
        <v>0.51219512195121952</v>
      </c>
    </row>
    <row r="2835" spans="1:10" x14ac:dyDescent="0.3">
      <c r="A2835" s="33">
        <v>2834</v>
      </c>
      <c r="B2835" s="4">
        <v>12</v>
      </c>
      <c r="C2835" s="15">
        <v>138</v>
      </c>
      <c r="D2835" s="16">
        <v>2</v>
      </c>
      <c r="E2835" s="22">
        <v>44459</v>
      </c>
      <c r="F2835" s="19">
        <v>300</v>
      </c>
      <c r="G2835" s="18">
        <v>0.11</v>
      </c>
      <c r="H2835">
        <f>F2835*VLOOKUP(B2835,產品!$A$2:$H$61,7,FALSE)*(1-銷售總表!G2835)</f>
        <v>267000</v>
      </c>
      <c r="I2835" s="35">
        <f>H2835-F2835*VLOOKUP(銷售總表!B2835,產品!$A$2:$H$61,8,FALSE)</f>
        <v>147000</v>
      </c>
      <c r="J2835" s="20">
        <f t="shared" si="44"/>
        <v>0.550561797752809</v>
      </c>
    </row>
    <row r="2836" spans="1:10" x14ac:dyDescent="0.3">
      <c r="A2836" s="33">
        <v>2835</v>
      </c>
      <c r="B2836" s="4">
        <v>41</v>
      </c>
      <c r="C2836" s="15">
        <v>6</v>
      </c>
      <c r="D2836" s="16">
        <v>10</v>
      </c>
      <c r="E2836" s="22">
        <v>44460</v>
      </c>
      <c r="F2836" s="19">
        <v>3</v>
      </c>
      <c r="G2836" s="18">
        <v>0.19</v>
      </c>
      <c r="H2836">
        <f>F2836*VLOOKUP(B2836,產品!$A$2:$H$61,7,FALSE)*(1-銷售總表!G2836)</f>
        <v>29160.000000000004</v>
      </c>
      <c r="I2836" s="35">
        <f>H2836-F2836*VLOOKUP(銷售總表!B2836,產品!$A$2:$H$61,8,FALSE)</f>
        <v>5760.0000000000036</v>
      </c>
      <c r="J2836" s="20">
        <f t="shared" si="44"/>
        <v>0.19753086419753096</v>
      </c>
    </row>
    <row r="2837" spans="1:10" x14ac:dyDescent="0.3">
      <c r="A2837" s="33">
        <v>2836</v>
      </c>
      <c r="B2837" s="4">
        <v>44</v>
      </c>
      <c r="C2837" s="15">
        <v>282</v>
      </c>
      <c r="D2837" s="16">
        <v>3</v>
      </c>
      <c r="E2837" s="22">
        <v>44460</v>
      </c>
      <c r="F2837" s="19">
        <v>2</v>
      </c>
      <c r="G2837" s="18">
        <v>7.0000000000000007E-2</v>
      </c>
      <c r="H2837">
        <f>F2837*VLOOKUP(B2837,產品!$A$2:$H$61,7,FALSE)*(1-銷售總表!G2837)</f>
        <v>37200</v>
      </c>
      <c r="I2837" s="35">
        <f>H2837-F2837*VLOOKUP(銷售總表!B2837,產品!$A$2:$H$61,8,FALSE)</f>
        <v>11200</v>
      </c>
      <c r="J2837" s="20">
        <f t="shared" si="44"/>
        <v>0.30107526881720431</v>
      </c>
    </row>
    <row r="2838" spans="1:10" x14ac:dyDescent="0.3">
      <c r="A2838" s="33">
        <v>2837</v>
      </c>
      <c r="B2838" s="4">
        <v>36</v>
      </c>
      <c r="C2838" s="15">
        <v>281</v>
      </c>
      <c r="D2838" s="16">
        <v>2</v>
      </c>
      <c r="E2838" s="22">
        <v>44460</v>
      </c>
      <c r="F2838" s="19">
        <v>5</v>
      </c>
      <c r="G2838" s="18">
        <v>0.08</v>
      </c>
      <c r="H2838">
        <f>F2838*VLOOKUP(B2838,產品!$A$2:$H$61,7,FALSE)*(1-銷售總表!G2838)</f>
        <v>41400</v>
      </c>
      <c r="I2838" s="35">
        <f>H2838-F2838*VLOOKUP(銷售總表!B2838,產品!$A$2:$H$61,8,FALSE)</f>
        <v>14400</v>
      </c>
      <c r="J2838" s="20">
        <f t="shared" si="44"/>
        <v>0.34782608695652173</v>
      </c>
    </row>
    <row r="2839" spans="1:10" x14ac:dyDescent="0.3">
      <c r="A2839" s="33">
        <v>2838</v>
      </c>
      <c r="B2839" s="4">
        <v>48</v>
      </c>
      <c r="C2839" s="15">
        <v>282</v>
      </c>
      <c r="D2839" s="16">
        <v>3</v>
      </c>
      <c r="E2839" s="22">
        <v>44460</v>
      </c>
      <c r="F2839" s="17">
        <v>5</v>
      </c>
      <c r="G2839" s="18">
        <v>0.15</v>
      </c>
      <c r="H2839">
        <f>F2839*VLOOKUP(B2839,產品!$A$2:$H$61,7,FALSE)*(1-銷售總表!G2839)</f>
        <v>93500</v>
      </c>
      <c r="I2839" s="35">
        <f>H2839-F2839*VLOOKUP(銷售總表!B2839,產品!$A$2:$H$61,8,FALSE)</f>
        <v>22000</v>
      </c>
      <c r="J2839" s="20">
        <f t="shared" si="44"/>
        <v>0.23529411764705882</v>
      </c>
    </row>
    <row r="2840" spans="1:10" x14ac:dyDescent="0.3">
      <c r="A2840" s="33">
        <v>2839</v>
      </c>
      <c r="B2840" s="4">
        <v>3</v>
      </c>
      <c r="C2840" s="15">
        <v>137</v>
      </c>
      <c r="D2840" s="16">
        <v>7</v>
      </c>
      <c r="E2840" s="22">
        <v>44460</v>
      </c>
      <c r="F2840" s="17">
        <v>50</v>
      </c>
      <c r="G2840" s="18">
        <v>7.0000000000000007E-2</v>
      </c>
      <c r="H2840">
        <f>F2840*VLOOKUP(B2840,產品!$A$2:$H$61,7,FALSE)*(1-銷售總表!G2840)</f>
        <v>46500</v>
      </c>
      <c r="I2840" s="35">
        <f>H2840-F2840*VLOOKUP(銷售總表!B2840,產品!$A$2:$H$61,8,FALSE)</f>
        <v>26500</v>
      </c>
      <c r="J2840" s="20">
        <f t="shared" si="44"/>
        <v>0.56989247311827962</v>
      </c>
    </row>
    <row r="2841" spans="1:10" x14ac:dyDescent="0.3">
      <c r="A2841" s="33">
        <v>2840</v>
      </c>
      <c r="B2841" s="4">
        <v>56</v>
      </c>
      <c r="C2841" s="15">
        <v>124</v>
      </c>
      <c r="D2841" s="16">
        <v>9</v>
      </c>
      <c r="E2841" s="22">
        <v>44460</v>
      </c>
      <c r="F2841" s="19">
        <v>5</v>
      </c>
      <c r="G2841" s="18">
        <v>0.05</v>
      </c>
      <c r="H2841">
        <f>F2841*VLOOKUP(B2841,產品!$A$2:$H$61,7,FALSE)*(1-銷售總表!G2841)</f>
        <v>104500</v>
      </c>
      <c r="I2841" s="35">
        <f>H2841-F2841*VLOOKUP(銷售總表!B2841,產品!$A$2:$H$61,8,FALSE)</f>
        <v>27500.000000000015</v>
      </c>
      <c r="J2841" s="20">
        <f t="shared" si="44"/>
        <v>0.26315789473684226</v>
      </c>
    </row>
    <row r="2842" spans="1:10" x14ac:dyDescent="0.3">
      <c r="A2842" s="33">
        <v>2841</v>
      </c>
      <c r="B2842" s="4">
        <v>19</v>
      </c>
      <c r="C2842" s="15">
        <v>259</v>
      </c>
      <c r="D2842" s="16">
        <v>3</v>
      </c>
      <c r="E2842" s="22">
        <v>44460</v>
      </c>
      <c r="F2842" s="17">
        <v>100</v>
      </c>
      <c r="G2842" s="18">
        <v>0.11</v>
      </c>
      <c r="H2842">
        <f>F2842*VLOOKUP(B2842,產品!$A$2:$H$61,7,FALSE)*(1-銷售總表!G2842)</f>
        <v>160200</v>
      </c>
      <c r="I2842" s="35">
        <f>H2842-F2842*VLOOKUP(銷售總表!B2842,產品!$A$2:$H$61,8,FALSE)</f>
        <v>88200</v>
      </c>
      <c r="J2842" s="20">
        <f t="shared" si="44"/>
        <v>0.550561797752809</v>
      </c>
    </row>
    <row r="2843" spans="1:10" x14ac:dyDescent="0.3">
      <c r="A2843" s="33">
        <v>2842</v>
      </c>
      <c r="B2843" s="4">
        <v>10</v>
      </c>
      <c r="C2843" s="15">
        <v>113</v>
      </c>
      <c r="D2843" s="16">
        <v>7</v>
      </c>
      <c r="E2843" s="22">
        <v>44461</v>
      </c>
      <c r="F2843" s="19">
        <v>13</v>
      </c>
      <c r="G2843" s="18">
        <v>0.18</v>
      </c>
      <c r="H2843">
        <f>F2843*VLOOKUP(B2843,產品!$A$2:$H$61,7,FALSE)*(1-銷售總表!G2843)</f>
        <v>10660</v>
      </c>
      <c r="I2843" s="35">
        <f>H2843-F2843*VLOOKUP(銷售總表!B2843,產品!$A$2:$H$61,8,FALSE)</f>
        <v>5460</v>
      </c>
      <c r="J2843" s="20">
        <f t="shared" si="44"/>
        <v>0.51219512195121952</v>
      </c>
    </row>
    <row r="2844" spans="1:10" x14ac:dyDescent="0.3">
      <c r="A2844" s="33">
        <v>2843</v>
      </c>
      <c r="B2844" s="4">
        <v>7</v>
      </c>
      <c r="C2844" s="15">
        <v>138</v>
      </c>
      <c r="D2844" s="16">
        <v>10</v>
      </c>
      <c r="E2844" s="22">
        <v>44461</v>
      </c>
      <c r="F2844" s="19">
        <v>11</v>
      </c>
      <c r="G2844" s="18">
        <v>0.08</v>
      </c>
      <c r="H2844">
        <f>F2844*VLOOKUP(B2844,產品!$A$2:$H$61,7,FALSE)*(1-銷售總表!G2844)</f>
        <v>10120</v>
      </c>
      <c r="I2844" s="35">
        <f>H2844-F2844*VLOOKUP(銷售總表!B2844,產品!$A$2:$H$61,8,FALSE)</f>
        <v>5720</v>
      </c>
      <c r="J2844" s="20">
        <f t="shared" si="44"/>
        <v>0.56521739130434778</v>
      </c>
    </row>
    <row r="2845" spans="1:10" x14ac:dyDescent="0.3">
      <c r="A2845" s="33">
        <v>2844</v>
      </c>
      <c r="B2845" s="4">
        <v>2</v>
      </c>
      <c r="C2845" s="15">
        <v>113</v>
      </c>
      <c r="D2845" s="16">
        <v>1</v>
      </c>
      <c r="E2845" s="22">
        <v>44461</v>
      </c>
      <c r="F2845" s="19">
        <v>150</v>
      </c>
      <c r="G2845" s="18">
        <v>0.11</v>
      </c>
      <c r="H2845">
        <f>F2845*VLOOKUP(B2845,產品!$A$2:$H$61,7,FALSE)*(1-銷售總表!G2845)</f>
        <v>133500</v>
      </c>
      <c r="I2845" s="35">
        <f>H2845-F2845*VLOOKUP(銷售總表!B2845,產品!$A$2:$H$61,8,FALSE)</f>
        <v>73500</v>
      </c>
      <c r="J2845" s="20">
        <f t="shared" si="44"/>
        <v>0.550561797752809</v>
      </c>
    </row>
    <row r="2846" spans="1:10" x14ac:dyDescent="0.3">
      <c r="A2846" s="33">
        <v>2845</v>
      </c>
      <c r="B2846" s="4">
        <v>19</v>
      </c>
      <c r="C2846" s="15">
        <v>118</v>
      </c>
      <c r="D2846" s="16">
        <v>7</v>
      </c>
      <c r="E2846" s="22">
        <v>44461</v>
      </c>
      <c r="F2846" s="19">
        <v>90</v>
      </c>
      <c r="G2846" s="18">
        <v>0.11</v>
      </c>
      <c r="H2846">
        <f>F2846*VLOOKUP(B2846,產品!$A$2:$H$61,7,FALSE)*(1-銷售總表!G2846)</f>
        <v>144180</v>
      </c>
      <c r="I2846" s="35">
        <f>H2846-F2846*VLOOKUP(銷售總表!B2846,產品!$A$2:$H$61,8,FALSE)</f>
        <v>79380</v>
      </c>
      <c r="J2846" s="20">
        <f t="shared" si="44"/>
        <v>0.550561797752809</v>
      </c>
    </row>
    <row r="2847" spans="1:10" x14ac:dyDescent="0.3">
      <c r="A2847" s="33">
        <v>2846</v>
      </c>
      <c r="B2847" s="4">
        <v>4</v>
      </c>
      <c r="C2847" s="15">
        <v>138</v>
      </c>
      <c r="D2847" s="16">
        <v>8</v>
      </c>
      <c r="E2847" s="22">
        <v>44462</v>
      </c>
      <c r="F2847" s="17">
        <v>20</v>
      </c>
      <c r="G2847" s="18">
        <v>7.0000000000000007E-2</v>
      </c>
      <c r="H2847">
        <f>F2847*VLOOKUP(B2847,產品!$A$2:$H$61,7,FALSE)*(1-銷售總表!G2847)</f>
        <v>18600</v>
      </c>
      <c r="I2847" s="35">
        <f>H2847-F2847*VLOOKUP(銷售總表!B2847,產品!$A$2:$H$61,8,FALSE)</f>
        <v>10600</v>
      </c>
      <c r="J2847" s="20">
        <f t="shared" si="44"/>
        <v>0.56989247311827962</v>
      </c>
    </row>
    <row r="2848" spans="1:10" x14ac:dyDescent="0.3">
      <c r="A2848" s="33">
        <v>2847</v>
      </c>
      <c r="B2848" s="4">
        <v>28</v>
      </c>
      <c r="C2848" s="15">
        <v>11</v>
      </c>
      <c r="D2848" s="16">
        <v>3</v>
      </c>
      <c r="E2848" s="22">
        <v>44462</v>
      </c>
      <c r="F2848" s="19">
        <v>7</v>
      </c>
      <c r="G2848" s="18">
        <v>0.18</v>
      </c>
      <c r="H2848">
        <f>F2848*VLOOKUP(B2848,產品!$A$2:$H$61,7,FALSE)*(1-銷售總表!G2848)</f>
        <v>43050</v>
      </c>
      <c r="I2848" s="35">
        <f>H2848-F2848*VLOOKUP(銷售總表!B2848,產品!$A$2:$H$61,8,FALSE)</f>
        <v>11550</v>
      </c>
      <c r="J2848" s="20">
        <f t="shared" si="44"/>
        <v>0.26829268292682928</v>
      </c>
    </row>
    <row r="2849" spans="1:10" x14ac:dyDescent="0.3">
      <c r="A2849" s="33">
        <v>2848</v>
      </c>
      <c r="B2849" s="4">
        <v>29</v>
      </c>
      <c r="C2849" s="15">
        <v>272</v>
      </c>
      <c r="D2849" s="16">
        <v>3</v>
      </c>
      <c r="E2849" s="22">
        <v>44462</v>
      </c>
      <c r="F2849" s="19">
        <v>8</v>
      </c>
      <c r="G2849" s="18">
        <v>7.0000000000000007E-2</v>
      </c>
      <c r="H2849">
        <f>F2849*VLOOKUP(B2849,產品!$A$2:$H$61,7,FALSE)*(1-銷售總表!G2849)</f>
        <v>44640</v>
      </c>
      <c r="I2849" s="35">
        <f>H2849-F2849*VLOOKUP(銷售總表!B2849,產品!$A$2:$H$61,8,FALSE)</f>
        <v>15840</v>
      </c>
      <c r="J2849" s="20">
        <f t="shared" si="44"/>
        <v>0.35483870967741937</v>
      </c>
    </row>
    <row r="2850" spans="1:10" x14ac:dyDescent="0.3">
      <c r="A2850" s="33">
        <v>2849</v>
      </c>
      <c r="B2850" s="4">
        <v>22</v>
      </c>
      <c r="C2850" s="15">
        <v>285</v>
      </c>
      <c r="D2850" s="16">
        <v>9</v>
      </c>
      <c r="E2850" s="22">
        <v>44462</v>
      </c>
      <c r="F2850" s="19">
        <v>30</v>
      </c>
      <c r="G2850" s="18">
        <v>0.08</v>
      </c>
      <c r="H2850">
        <f>F2850*VLOOKUP(B2850,產品!$A$2:$H$61,7,FALSE)*(1-銷售總表!G2850)</f>
        <v>49680</v>
      </c>
      <c r="I2850" s="35">
        <f>H2850-F2850*VLOOKUP(銷售總表!B2850,產品!$A$2:$H$61,8,FALSE)</f>
        <v>28080</v>
      </c>
      <c r="J2850" s="20">
        <f t="shared" si="44"/>
        <v>0.56521739130434778</v>
      </c>
    </row>
    <row r="2851" spans="1:10" x14ac:dyDescent="0.3">
      <c r="A2851" s="33">
        <v>2850</v>
      </c>
      <c r="B2851" s="4">
        <v>44</v>
      </c>
      <c r="C2851" s="15">
        <v>113</v>
      </c>
      <c r="D2851" s="16">
        <v>5</v>
      </c>
      <c r="E2851" s="22">
        <v>44462</v>
      </c>
      <c r="F2851" s="17">
        <v>7</v>
      </c>
      <c r="G2851" s="18">
        <v>0.14000000000000001</v>
      </c>
      <c r="H2851">
        <f>F2851*VLOOKUP(B2851,產品!$A$2:$H$61,7,FALSE)*(1-銷售總表!G2851)</f>
        <v>120400</v>
      </c>
      <c r="I2851" s="35">
        <f>H2851-F2851*VLOOKUP(銷售總表!B2851,產品!$A$2:$H$61,8,FALSE)</f>
        <v>29400</v>
      </c>
      <c r="J2851" s="20">
        <f t="shared" si="44"/>
        <v>0.2441860465116279</v>
      </c>
    </row>
    <row r="2852" spans="1:10" x14ac:dyDescent="0.3">
      <c r="A2852" s="33">
        <v>2851</v>
      </c>
      <c r="B2852" s="4">
        <v>53</v>
      </c>
      <c r="C2852" s="15">
        <v>5</v>
      </c>
      <c r="D2852" s="16">
        <v>6</v>
      </c>
      <c r="E2852" s="22">
        <v>44463</v>
      </c>
      <c r="F2852" s="17">
        <v>3</v>
      </c>
      <c r="G2852" s="18">
        <v>0.15</v>
      </c>
      <c r="H2852">
        <f>F2852*VLOOKUP(B2852,產品!$A$2:$H$61,7,FALSE)*(1-銷售總表!G2852)</f>
        <v>38250</v>
      </c>
      <c r="I2852" s="35">
        <f>H2852-F2852*VLOOKUP(銷售總表!B2852,產品!$A$2:$H$61,8,FALSE)</f>
        <v>6750</v>
      </c>
      <c r="J2852" s="20">
        <f t="shared" si="44"/>
        <v>0.17647058823529413</v>
      </c>
    </row>
    <row r="2853" spans="1:10" x14ac:dyDescent="0.3">
      <c r="A2853" s="33">
        <v>2852</v>
      </c>
      <c r="B2853" s="4">
        <v>34</v>
      </c>
      <c r="C2853" s="15">
        <v>4</v>
      </c>
      <c r="D2853" s="16">
        <v>8</v>
      </c>
      <c r="E2853" s="22">
        <v>44463</v>
      </c>
      <c r="F2853" s="19">
        <v>3</v>
      </c>
      <c r="G2853" s="18">
        <v>0.05</v>
      </c>
      <c r="H2853">
        <f>F2853*VLOOKUP(B2853,產品!$A$2:$H$61,7,FALSE)*(1-銷售總表!G2853)</f>
        <v>22800</v>
      </c>
      <c r="I2853" s="35">
        <f>H2853-F2853*VLOOKUP(銷售總表!B2853,產品!$A$2:$H$61,8,FALSE)</f>
        <v>8400</v>
      </c>
      <c r="J2853" s="20">
        <f t="shared" si="44"/>
        <v>0.36842105263157893</v>
      </c>
    </row>
    <row r="2854" spans="1:10" x14ac:dyDescent="0.3">
      <c r="A2854" s="33">
        <v>2853</v>
      </c>
      <c r="B2854" s="4">
        <v>44</v>
      </c>
      <c r="C2854" s="15">
        <v>287</v>
      </c>
      <c r="D2854" s="16">
        <v>4</v>
      </c>
      <c r="E2854" s="22">
        <v>44463</v>
      </c>
      <c r="F2854" s="17">
        <v>2</v>
      </c>
      <c r="G2854" s="18">
        <v>0.13</v>
      </c>
      <c r="H2854">
        <f>F2854*VLOOKUP(B2854,產品!$A$2:$H$61,7,FALSE)*(1-銷售總表!G2854)</f>
        <v>34800</v>
      </c>
      <c r="I2854" s="35">
        <f>H2854-F2854*VLOOKUP(銷售總表!B2854,產品!$A$2:$H$61,8,FALSE)</f>
        <v>8800</v>
      </c>
      <c r="J2854" s="20">
        <f t="shared" si="44"/>
        <v>0.25287356321839083</v>
      </c>
    </row>
    <row r="2855" spans="1:10" x14ac:dyDescent="0.3">
      <c r="A2855" s="33">
        <v>2854</v>
      </c>
      <c r="B2855" s="4">
        <v>51</v>
      </c>
      <c r="C2855" s="15">
        <v>140</v>
      </c>
      <c r="D2855" s="16">
        <v>3</v>
      </c>
      <c r="E2855" s="22">
        <v>44463</v>
      </c>
      <c r="F2855" s="19">
        <v>2</v>
      </c>
      <c r="G2855" s="18">
        <v>0.08</v>
      </c>
      <c r="H2855">
        <f>F2855*VLOOKUP(B2855,產品!$A$2:$H$61,7,FALSE)*(1-銷售總表!G2855)</f>
        <v>36800</v>
      </c>
      <c r="I2855" s="35">
        <f>H2855-F2855*VLOOKUP(銷售總表!B2855,產品!$A$2:$H$61,8,FALSE)</f>
        <v>8800</v>
      </c>
      <c r="J2855" s="20">
        <f t="shared" si="44"/>
        <v>0.2391304347826087</v>
      </c>
    </row>
    <row r="2856" spans="1:10" x14ac:dyDescent="0.3">
      <c r="A2856" s="33">
        <v>2855</v>
      </c>
      <c r="B2856" s="4">
        <v>9</v>
      </c>
      <c r="C2856" s="15">
        <v>139</v>
      </c>
      <c r="D2856" s="16">
        <v>7</v>
      </c>
      <c r="E2856" s="22">
        <v>44463</v>
      </c>
      <c r="F2856" s="17">
        <v>50</v>
      </c>
      <c r="G2856" s="18">
        <v>0.19</v>
      </c>
      <c r="H2856">
        <f>F2856*VLOOKUP(B2856,產品!$A$2:$H$61,7,FALSE)*(1-銷售總表!G2856)</f>
        <v>40500</v>
      </c>
      <c r="I2856" s="35">
        <f>H2856-F2856*VLOOKUP(銷售總表!B2856,產品!$A$2:$H$61,8,FALSE)</f>
        <v>20500</v>
      </c>
      <c r="J2856" s="20">
        <f t="shared" si="44"/>
        <v>0.50617283950617287</v>
      </c>
    </row>
    <row r="2857" spans="1:10" x14ac:dyDescent="0.3">
      <c r="A2857" s="33">
        <v>2856</v>
      </c>
      <c r="B2857" s="4">
        <v>59</v>
      </c>
      <c r="C2857" s="15">
        <v>271</v>
      </c>
      <c r="D2857" s="16">
        <v>2</v>
      </c>
      <c r="E2857" s="22">
        <v>44463</v>
      </c>
      <c r="F2857" s="19">
        <v>12</v>
      </c>
      <c r="G2857" s="18">
        <v>0.1</v>
      </c>
      <c r="H2857">
        <f>F2857*VLOOKUP(B2857,產品!$A$2:$H$61,7,FALSE)*(1-銷售總表!G2857)</f>
        <v>259200</v>
      </c>
      <c r="I2857" s="35">
        <f>H2857-F2857*VLOOKUP(銷售總表!B2857,產品!$A$2:$H$61,8,FALSE)</f>
        <v>57600</v>
      </c>
      <c r="J2857" s="20">
        <f t="shared" si="44"/>
        <v>0.22222222222222221</v>
      </c>
    </row>
    <row r="2858" spans="1:10" x14ac:dyDescent="0.3">
      <c r="A2858" s="33">
        <v>2857</v>
      </c>
      <c r="B2858" s="4">
        <v>59</v>
      </c>
      <c r="C2858" s="15">
        <v>11</v>
      </c>
      <c r="D2858" s="16">
        <v>10</v>
      </c>
      <c r="E2858" s="22">
        <v>44464</v>
      </c>
      <c r="F2858" s="17">
        <v>8</v>
      </c>
      <c r="G2858" s="18">
        <v>0.16</v>
      </c>
      <c r="H2858">
        <f>F2858*VLOOKUP(B2858,產品!$A$2:$H$61,7,FALSE)*(1-銷售總表!G2858)</f>
        <v>161280</v>
      </c>
      <c r="I2858" s="35">
        <f>H2858-F2858*VLOOKUP(銷售總表!B2858,產品!$A$2:$H$61,8,FALSE)</f>
        <v>26880</v>
      </c>
      <c r="J2858" s="20">
        <f t="shared" si="44"/>
        <v>0.16666666666666666</v>
      </c>
    </row>
    <row r="2859" spans="1:10" x14ac:dyDescent="0.3">
      <c r="A2859" s="33">
        <v>2858</v>
      </c>
      <c r="B2859" s="4">
        <v>36</v>
      </c>
      <c r="C2859" s="15">
        <v>7</v>
      </c>
      <c r="D2859" s="16">
        <v>5</v>
      </c>
      <c r="E2859" s="22">
        <v>44464</v>
      </c>
      <c r="F2859" s="19">
        <v>25</v>
      </c>
      <c r="G2859" s="18">
        <v>0.13</v>
      </c>
      <c r="H2859">
        <f>F2859*VLOOKUP(B2859,產品!$A$2:$H$61,7,FALSE)*(1-銷售總表!G2859)</f>
        <v>195750</v>
      </c>
      <c r="I2859" s="35">
        <f>H2859-F2859*VLOOKUP(銷售總表!B2859,產品!$A$2:$H$61,8,FALSE)</f>
        <v>60750</v>
      </c>
      <c r="J2859" s="20">
        <f t="shared" si="44"/>
        <v>0.31034482758620691</v>
      </c>
    </row>
    <row r="2860" spans="1:10" x14ac:dyDescent="0.3">
      <c r="A2860" s="33">
        <v>2859</v>
      </c>
      <c r="B2860" s="4">
        <v>22</v>
      </c>
      <c r="C2860" s="15">
        <v>272</v>
      </c>
      <c r="D2860" s="16">
        <v>6</v>
      </c>
      <c r="E2860" s="22">
        <v>44464</v>
      </c>
      <c r="F2860" s="19">
        <v>90</v>
      </c>
      <c r="G2860" s="18">
        <v>0.05</v>
      </c>
      <c r="H2860">
        <f>F2860*VLOOKUP(B2860,產品!$A$2:$H$61,7,FALSE)*(1-銷售總表!G2860)</f>
        <v>153900</v>
      </c>
      <c r="I2860" s="35">
        <f>H2860-F2860*VLOOKUP(銷售總表!B2860,產品!$A$2:$H$61,8,FALSE)</f>
        <v>89100</v>
      </c>
      <c r="J2860" s="20">
        <f t="shared" si="44"/>
        <v>0.57894736842105265</v>
      </c>
    </row>
    <row r="2861" spans="1:10" x14ac:dyDescent="0.3">
      <c r="A2861" s="33">
        <v>2860</v>
      </c>
      <c r="B2861" s="4">
        <v>11</v>
      </c>
      <c r="C2861" s="15">
        <v>259</v>
      </c>
      <c r="D2861" s="16">
        <v>9</v>
      </c>
      <c r="E2861" s="22">
        <v>44464</v>
      </c>
      <c r="F2861" s="19">
        <v>200</v>
      </c>
      <c r="G2861" s="18">
        <v>0.1</v>
      </c>
      <c r="H2861">
        <f>F2861*VLOOKUP(B2861,產品!$A$2:$H$61,7,FALSE)*(1-銷售總表!G2861)</f>
        <v>180000</v>
      </c>
      <c r="I2861" s="35">
        <f>H2861-F2861*VLOOKUP(銷售總表!B2861,產品!$A$2:$H$61,8,FALSE)</f>
        <v>100000</v>
      </c>
      <c r="J2861" s="20">
        <f t="shared" si="44"/>
        <v>0.55555555555555558</v>
      </c>
    </row>
    <row r="2862" spans="1:10" x14ac:dyDescent="0.3">
      <c r="A2862" s="33">
        <v>2861</v>
      </c>
      <c r="B2862" s="4">
        <v>39</v>
      </c>
      <c r="C2862" s="15">
        <v>285</v>
      </c>
      <c r="D2862" s="16">
        <v>10</v>
      </c>
      <c r="E2862" s="22">
        <v>44465</v>
      </c>
      <c r="F2862" s="17">
        <v>4</v>
      </c>
      <c r="G2862" s="18">
        <v>0.06</v>
      </c>
      <c r="H2862">
        <f>F2862*VLOOKUP(B2862,產品!$A$2:$H$61,7,FALSE)*(1-銷售總表!G2862)</f>
        <v>67680</v>
      </c>
      <c r="I2862" s="35">
        <f>H2862-F2862*VLOOKUP(銷售總表!B2862,產品!$A$2:$H$61,8,FALSE)</f>
        <v>20880</v>
      </c>
      <c r="J2862" s="20">
        <f t="shared" si="44"/>
        <v>0.30851063829787234</v>
      </c>
    </row>
    <row r="2863" spans="1:10" x14ac:dyDescent="0.3">
      <c r="A2863" s="33">
        <v>2862</v>
      </c>
      <c r="B2863" s="4">
        <v>26</v>
      </c>
      <c r="C2863" s="15">
        <v>282</v>
      </c>
      <c r="D2863" s="16">
        <v>5</v>
      </c>
      <c r="E2863" s="22">
        <v>44466</v>
      </c>
      <c r="F2863" s="19">
        <v>8</v>
      </c>
      <c r="G2863" s="18">
        <v>7.0000000000000007E-2</v>
      </c>
      <c r="H2863">
        <f>F2863*VLOOKUP(B2863,產品!$A$2:$H$61,7,FALSE)*(1-銷售總表!G2863)</f>
        <v>48360</v>
      </c>
      <c r="I2863" s="35">
        <f>H2863-F2863*VLOOKUP(銷售總表!B2863,產品!$A$2:$H$61,8,FALSE)</f>
        <v>17160</v>
      </c>
      <c r="J2863" s="20">
        <f t="shared" si="44"/>
        <v>0.35483870967741937</v>
      </c>
    </row>
    <row r="2864" spans="1:10" x14ac:dyDescent="0.3">
      <c r="A2864" s="33">
        <v>2863</v>
      </c>
      <c r="B2864" s="4">
        <v>58</v>
      </c>
      <c r="C2864" s="15">
        <v>6</v>
      </c>
      <c r="D2864" s="16">
        <v>7</v>
      </c>
      <c r="E2864" s="22">
        <v>44466</v>
      </c>
      <c r="F2864" s="17">
        <v>6</v>
      </c>
      <c r="G2864" s="18">
        <v>7.0000000000000007E-2</v>
      </c>
      <c r="H2864">
        <f>F2864*VLOOKUP(B2864,產品!$A$2:$H$61,7,FALSE)*(1-銷售總表!G2864)</f>
        <v>117179.99999999999</v>
      </c>
      <c r="I2864" s="35">
        <f>H2864-F2864*VLOOKUP(銷售總表!B2864,產品!$A$2:$H$61,8,FALSE)</f>
        <v>28980</v>
      </c>
      <c r="J2864" s="20">
        <f t="shared" si="44"/>
        <v>0.24731182795698928</v>
      </c>
    </row>
    <row r="2865" spans="1:10" x14ac:dyDescent="0.3">
      <c r="A2865" s="33">
        <v>2864</v>
      </c>
      <c r="B2865" s="4">
        <v>47</v>
      </c>
      <c r="C2865" s="15">
        <v>124</v>
      </c>
      <c r="D2865" s="16">
        <v>10</v>
      </c>
      <c r="E2865" s="22">
        <v>44466</v>
      </c>
      <c r="F2865" s="17">
        <v>12</v>
      </c>
      <c r="G2865" s="18">
        <v>0.1</v>
      </c>
      <c r="H2865">
        <f>F2865*VLOOKUP(B2865,產品!$A$2:$H$61,7,FALSE)*(1-銷售總表!G2865)</f>
        <v>216000</v>
      </c>
      <c r="I2865" s="35">
        <f>H2865-F2865*VLOOKUP(銷售總表!B2865,產品!$A$2:$H$61,8,FALSE)</f>
        <v>60000</v>
      </c>
      <c r="J2865" s="20">
        <f t="shared" si="44"/>
        <v>0.27777777777777779</v>
      </c>
    </row>
    <row r="2866" spans="1:10" x14ac:dyDescent="0.3">
      <c r="A2866" s="33">
        <v>2865</v>
      </c>
      <c r="B2866" s="4">
        <v>14</v>
      </c>
      <c r="C2866" s="15">
        <v>273</v>
      </c>
      <c r="D2866" s="16">
        <v>1</v>
      </c>
      <c r="E2866" s="22">
        <v>44466</v>
      </c>
      <c r="F2866" s="19">
        <v>100</v>
      </c>
      <c r="G2866" s="18">
        <v>0.16</v>
      </c>
      <c r="H2866">
        <f>F2866*VLOOKUP(B2866,產品!$A$2:$H$61,7,FALSE)*(1-銷售總表!G2866)</f>
        <v>151200</v>
      </c>
      <c r="I2866" s="35">
        <f>H2866-F2866*VLOOKUP(銷售總表!B2866,產品!$A$2:$H$61,8,FALSE)</f>
        <v>79200</v>
      </c>
      <c r="J2866" s="20">
        <f t="shared" si="44"/>
        <v>0.52380952380952384</v>
      </c>
    </row>
    <row r="2867" spans="1:10" x14ac:dyDescent="0.3">
      <c r="A2867" s="33">
        <v>2866</v>
      </c>
      <c r="B2867" s="4">
        <v>12</v>
      </c>
      <c r="C2867" s="15">
        <v>12</v>
      </c>
      <c r="D2867" s="16">
        <v>6</v>
      </c>
      <c r="E2867" s="22">
        <v>44466</v>
      </c>
      <c r="F2867" s="19">
        <v>175</v>
      </c>
      <c r="G2867" s="18">
        <v>0.08</v>
      </c>
      <c r="H2867">
        <f>F2867*VLOOKUP(B2867,產品!$A$2:$H$61,7,FALSE)*(1-銷售總表!G2867)</f>
        <v>161000</v>
      </c>
      <c r="I2867" s="35">
        <f>H2867-F2867*VLOOKUP(銷售總表!B2867,產品!$A$2:$H$61,8,FALSE)</f>
        <v>91000</v>
      </c>
      <c r="J2867" s="20">
        <f t="shared" si="44"/>
        <v>0.56521739130434778</v>
      </c>
    </row>
    <row r="2868" spans="1:10" x14ac:dyDescent="0.3">
      <c r="A2868" s="33">
        <v>2867</v>
      </c>
      <c r="B2868" s="4">
        <v>8</v>
      </c>
      <c r="C2868" s="15">
        <v>5</v>
      </c>
      <c r="D2868" s="16">
        <v>4</v>
      </c>
      <c r="E2868" s="22">
        <v>44466</v>
      </c>
      <c r="F2868" s="19">
        <v>200</v>
      </c>
      <c r="G2868" s="18">
        <v>0.08</v>
      </c>
      <c r="H2868">
        <f>F2868*VLOOKUP(B2868,產品!$A$2:$H$61,7,FALSE)*(1-銷售總表!G2868)</f>
        <v>184000</v>
      </c>
      <c r="I2868" s="35">
        <f>H2868-F2868*VLOOKUP(銷售總表!B2868,產品!$A$2:$H$61,8,FALSE)</f>
        <v>104000</v>
      </c>
      <c r="J2868" s="20">
        <f t="shared" si="44"/>
        <v>0.56521739130434778</v>
      </c>
    </row>
    <row r="2869" spans="1:10" x14ac:dyDescent="0.3">
      <c r="A2869" s="33">
        <v>2868</v>
      </c>
      <c r="B2869" s="4">
        <v>25</v>
      </c>
      <c r="C2869" s="15">
        <v>4</v>
      </c>
      <c r="D2869" s="16">
        <v>5</v>
      </c>
      <c r="E2869" s="22">
        <v>44467</v>
      </c>
      <c r="F2869" s="19">
        <v>4</v>
      </c>
      <c r="G2869" s="18">
        <v>0.17</v>
      </c>
      <c r="H2869">
        <f>F2869*VLOOKUP(B2869,產品!$A$2:$H$61,7,FALSE)*(1-銷售總表!G2869)</f>
        <v>19920</v>
      </c>
      <c r="I2869" s="35">
        <f>H2869-F2869*VLOOKUP(銷售總表!B2869,產品!$A$2:$H$61,8,FALSE)</f>
        <v>5520</v>
      </c>
      <c r="J2869" s="20">
        <f t="shared" si="44"/>
        <v>0.27710843373493976</v>
      </c>
    </row>
    <row r="2870" spans="1:10" x14ac:dyDescent="0.3">
      <c r="A2870" s="33">
        <v>2869</v>
      </c>
      <c r="B2870" s="4">
        <v>28</v>
      </c>
      <c r="C2870" s="15">
        <v>262</v>
      </c>
      <c r="D2870" s="16">
        <v>7</v>
      </c>
      <c r="E2870" s="22">
        <v>44467</v>
      </c>
      <c r="F2870" s="19">
        <v>9</v>
      </c>
      <c r="G2870" s="18">
        <v>0.18</v>
      </c>
      <c r="H2870">
        <f>F2870*VLOOKUP(B2870,產品!$A$2:$H$61,7,FALSE)*(1-銷售總表!G2870)</f>
        <v>55350.000000000007</v>
      </c>
      <c r="I2870" s="35">
        <f>H2870-F2870*VLOOKUP(銷售總表!B2870,產品!$A$2:$H$61,8,FALSE)</f>
        <v>14850.000000000007</v>
      </c>
      <c r="J2870" s="20">
        <f t="shared" si="44"/>
        <v>0.26829268292682934</v>
      </c>
    </row>
    <row r="2871" spans="1:10" x14ac:dyDescent="0.3">
      <c r="A2871" s="33">
        <v>2870</v>
      </c>
      <c r="B2871" s="4">
        <v>37</v>
      </c>
      <c r="C2871" s="15">
        <v>2</v>
      </c>
      <c r="D2871" s="16">
        <v>9</v>
      </c>
      <c r="E2871" s="22">
        <v>44467</v>
      </c>
      <c r="F2871" s="17">
        <v>8</v>
      </c>
      <c r="G2871" s="18">
        <v>0.17</v>
      </c>
      <c r="H2871">
        <f>F2871*VLOOKUP(B2871,產品!$A$2:$H$61,7,FALSE)*(1-銷售總表!G2871)</f>
        <v>79680</v>
      </c>
      <c r="I2871" s="35">
        <f>H2871-F2871*VLOOKUP(銷售總表!B2871,產品!$A$2:$H$61,8,FALSE)</f>
        <v>17280</v>
      </c>
      <c r="J2871" s="20">
        <f t="shared" si="44"/>
        <v>0.21686746987951808</v>
      </c>
    </row>
    <row r="2872" spans="1:10" x14ac:dyDescent="0.3">
      <c r="A2872" s="33">
        <v>2871</v>
      </c>
      <c r="B2872" s="4">
        <v>16</v>
      </c>
      <c r="C2872" s="15">
        <v>273</v>
      </c>
      <c r="D2872" s="16">
        <v>6</v>
      </c>
      <c r="E2872" s="22">
        <v>44467</v>
      </c>
      <c r="F2872" s="19">
        <v>40</v>
      </c>
      <c r="G2872" s="18">
        <v>0.16</v>
      </c>
      <c r="H2872">
        <f>F2872*VLOOKUP(B2872,產品!$A$2:$H$61,7,FALSE)*(1-銷售總表!G2872)</f>
        <v>60480</v>
      </c>
      <c r="I2872" s="35">
        <f>H2872-F2872*VLOOKUP(銷售總表!B2872,產品!$A$2:$H$61,8,FALSE)</f>
        <v>31680</v>
      </c>
      <c r="J2872" s="20">
        <f t="shared" si="44"/>
        <v>0.52380952380952384</v>
      </c>
    </row>
    <row r="2873" spans="1:10" x14ac:dyDescent="0.3">
      <c r="A2873" s="33">
        <v>2872</v>
      </c>
      <c r="B2873" s="4">
        <v>21</v>
      </c>
      <c r="C2873" s="15">
        <v>273</v>
      </c>
      <c r="D2873" s="16">
        <v>8</v>
      </c>
      <c r="E2873" s="22">
        <v>44467</v>
      </c>
      <c r="F2873" s="17">
        <v>50</v>
      </c>
      <c r="G2873" s="18">
        <v>0.18</v>
      </c>
      <c r="H2873">
        <f>F2873*VLOOKUP(B2873,產品!$A$2:$H$61,7,FALSE)*(1-銷售總表!G2873)</f>
        <v>73800</v>
      </c>
      <c r="I2873" s="35">
        <f>H2873-F2873*VLOOKUP(銷售總表!B2873,產品!$A$2:$H$61,8,FALSE)</f>
        <v>37800</v>
      </c>
      <c r="J2873" s="20">
        <f t="shared" si="44"/>
        <v>0.51219512195121952</v>
      </c>
    </row>
    <row r="2874" spans="1:10" x14ac:dyDescent="0.3">
      <c r="A2874" s="33">
        <v>2873</v>
      </c>
      <c r="B2874" s="4">
        <v>18</v>
      </c>
      <c r="C2874" s="15">
        <v>9</v>
      </c>
      <c r="D2874" s="16">
        <v>6</v>
      </c>
      <c r="E2874" s="22">
        <v>44467</v>
      </c>
      <c r="F2874" s="17">
        <v>50</v>
      </c>
      <c r="G2874" s="18">
        <v>0.14000000000000001</v>
      </c>
      <c r="H2874">
        <f>F2874*VLOOKUP(B2874,產品!$A$2:$H$61,7,FALSE)*(1-銷售總表!G2874)</f>
        <v>77400</v>
      </c>
      <c r="I2874" s="35">
        <f>H2874-F2874*VLOOKUP(銷售總表!B2874,產品!$A$2:$H$61,8,FALSE)</f>
        <v>41400</v>
      </c>
      <c r="J2874" s="20">
        <f t="shared" si="44"/>
        <v>0.53488372093023251</v>
      </c>
    </row>
    <row r="2875" spans="1:10" x14ac:dyDescent="0.3">
      <c r="A2875" s="33">
        <v>2874</v>
      </c>
      <c r="B2875" s="4">
        <v>52</v>
      </c>
      <c r="C2875" s="15">
        <v>4</v>
      </c>
      <c r="D2875" s="16">
        <v>5</v>
      </c>
      <c r="E2875" s="22">
        <v>44467</v>
      </c>
      <c r="F2875" s="19">
        <v>8</v>
      </c>
      <c r="G2875" s="18">
        <v>0.06</v>
      </c>
      <c r="H2875">
        <f>F2875*VLOOKUP(B2875,產品!$A$2:$H$61,7,FALSE)*(1-銷售總表!G2875)</f>
        <v>165440</v>
      </c>
      <c r="I2875" s="35">
        <f>H2875-F2875*VLOOKUP(銷售總表!B2875,產品!$A$2:$H$61,8,FALSE)</f>
        <v>42240.000000000015</v>
      </c>
      <c r="J2875" s="20">
        <f t="shared" si="44"/>
        <v>0.2553191489361703</v>
      </c>
    </row>
    <row r="2876" spans="1:10" x14ac:dyDescent="0.3">
      <c r="A2876" s="33">
        <v>2875</v>
      </c>
      <c r="B2876" s="4">
        <v>50</v>
      </c>
      <c r="C2876" s="15">
        <v>8</v>
      </c>
      <c r="D2876" s="16">
        <v>8</v>
      </c>
      <c r="E2876" s="22">
        <v>44467</v>
      </c>
      <c r="F2876" s="19">
        <v>11</v>
      </c>
      <c r="G2876" s="18">
        <v>0.08</v>
      </c>
      <c r="H2876">
        <f>F2876*VLOOKUP(B2876,產品!$A$2:$H$61,7,FALSE)*(1-銷售總表!G2876)</f>
        <v>182160</v>
      </c>
      <c r="I2876" s="35">
        <f>H2876-F2876*VLOOKUP(銷售總表!B2876,產品!$A$2:$H$61,8,FALSE)</f>
        <v>43560</v>
      </c>
      <c r="J2876" s="20">
        <f t="shared" si="44"/>
        <v>0.2391304347826087</v>
      </c>
    </row>
    <row r="2877" spans="1:10" x14ac:dyDescent="0.3">
      <c r="A2877" s="33">
        <v>2876</v>
      </c>
      <c r="B2877" s="4">
        <v>16</v>
      </c>
      <c r="C2877" s="15">
        <v>271</v>
      </c>
      <c r="D2877" s="16">
        <v>5</v>
      </c>
      <c r="E2877" s="22">
        <v>44467</v>
      </c>
      <c r="F2877" s="19">
        <v>100</v>
      </c>
      <c r="G2877" s="18">
        <v>0.09</v>
      </c>
      <c r="H2877">
        <f>F2877*VLOOKUP(B2877,產品!$A$2:$H$61,7,FALSE)*(1-銷售總表!G2877)</f>
        <v>163800</v>
      </c>
      <c r="I2877" s="35">
        <f>H2877-F2877*VLOOKUP(銷售總表!B2877,產品!$A$2:$H$61,8,FALSE)</f>
        <v>91800</v>
      </c>
      <c r="J2877" s="20">
        <f t="shared" si="44"/>
        <v>0.56043956043956045</v>
      </c>
    </row>
    <row r="2878" spans="1:10" x14ac:dyDescent="0.3">
      <c r="A2878" s="33">
        <v>2877</v>
      </c>
      <c r="B2878" s="4">
        <v>25</v>
      </c>
      <c r="C2878" s="15">
        <v>269</v>
      </c>
      <c r="D2878" s="16">
        <v>2</v>
      </c>
      <c r="E2878" s="22">
        <v>44468</v>
      </c>
      <c r="F2878" s="17">
        <v>3</v>
      </c>
      <c r="G2878" s="18">
        <v>0.17</v>
      </c>
      <c r="H2878">
        <f>F2878*VLOOKUP(B2878,產品!$A$2:$H$61,7,FALSE)*(1-銷售總表!G2878)</f>
        <v>14940</v>
      </c>
      <c r="I2878" s="35">
        <f>H2878-F2878*VLOOKUP(銷售總表!B2878,產品!$A$2:$H$61,8,FALSE)</f>
        <v>4140</v>
      </c>
      <c r="J2878" s="20">
        <f t="shared" si="44"/>
        <v>0.27710843373493976</v>
      </c>
    </row>
    <row r="2879" spans="1:10" x14ac:dyDescent="0.3">
      <c r="A2879" s="33">
        <v>2878</v>
      </c>
      <c r="B2879" s="4">
        <v>51</v>
      </c>
      <c r="C2879" s="15">
        <v>259</v>
      </c>
      <c r="D2879" s="16">
        <v>4</v>
      </c>
      <c r="E2879" s="22">
        <v>44468</v>
      </c>
      <c r="F2879" s="17">
        <v>10</v>
      </c>
      <c r="G2879" s="18">
        <v>0.13</v>
      </c>
      <c r="H2879">
        <f>F2879*VLOOKUP(B2879,產品!$A$2:$H$61,7,FALSE)*(1-銷售總表!G2879)</f>
        <v>174000</v>
      </c>
      <c r="I2879" s="35">
        <f>H2879-F2879*VLOOKUP(銷售總表!B2879,產品!$A$2:$H$61,8,FALSE)</f>
        <v>34000</v>
      </c>
      <c r="J2879" s="20">
        <f t="shared" si="44"/>
        <v>0.19540229885057472</v>
      </c>
    </row>
    <row r="2880" spans="1:10" x14ac:dyDescent="0.3">
      <c r="A2880" s="33">
        <v>2879</v>
      </c>
      <c r="B2880" s="4">
        <v>45</v>
      </c>
      <c r="C2880" s="15">
        <v>138</v>
      </c>
      <c r="D2880" s="16">
        <v>8</v>
      </c>
      <c r="E2880" s="22">
        <v>44468</v>
      </c>
      <c r="F2880" s="19">
        <v>25</v>
      </c>
      <c r="G2880" s="18">
        <v>0.18</v>
      </c>
      <c r="H2880">
        <f>F2880*VLOOKUP(B2880,產品!$A$2:$H$61,7,FALSE)*(1-銷售總表!G2880)</f>
        <v>287000</v>
      </c>
      <c r="I2880" s="35">
        <f>H2880-F2880*VLOOKUP(銷售總表!B2880,產品!$A$2:$H$61,8,FALSE)</f>
        <v>59500</v>
      </c>
      <c r="J2880" s="20">
        <f t="shared" si="44"/>
        <v>0.2073170731707317</v>
      </c>
    </row>
    <row r="2881" spans="1:10" x14ac:dyDescent="0.3">
      <c r="A2881" s="33">
        <v>2880</v>
      </c>
      <c r="B2881" s="4">
        <v>6</v>
      </c>
      <c r="C2881" s="15">
        <v>7</v>
      </c>
      <c r="D2881" s="16">
        <v>2</v>
      </c>
      <c r="E2881" s="22">
        <v>44469</v>
      </c>
      <c r="F2881" s="17">
        <v>20</v>
      </c>
      <c r="G2881" s="18">
        <v>7.0000000000000007E-2</v>
      </c>
      <c r="H2881">
        <f>F2881*VLOOKUP(B2881,產品!$A$2:$H$61,7,FALSE)*(1-銷售總表!G2881)</f>
        <v>18600</v>
      </c>
      <c r="I2881" s="35">
        <f>H2881-F2881*VLOOKUP(銷售總表!B2881,產品!$A$2:$H$61,8,FALSE)</f>
        <v>10600</v>
      </c>
      <c r="J2881" s="20">
        <f t="shared" si="44"/>
        <v>0.56989247311827962</v>
      </c>
    </row>
    <row r="2882" spans="1:10" x14ac:dyDescent="0.3">
      <c r="A2882" s="33">
        <v>2881</v>
      </c>
      <c r="B2882" s="4">
        <v>60</v>
      </c>
      <c r="C2882" s="15">
        <v>6</v>
      </c>
      <c r="D2882" s="16">
        <v>10</v>
      </c>
      <c r="E2882" s="22">
        <v>44469</v>
      </c>
      <c r="F2882" s="19">
        <v>6</v>
      </c>
      <c r="G2882" s="18">
        <v>0.19</v>
      </c>
      <c r="H2882">
        <f>F2882*VLOOKUP(B2882,產品!$A$2:$H$61,7,FALSE)*(1-銷售總表!G2882)</f>
        <v>121500.00000000001</v>
      </c>
      <c r="I2882" s="35">
        <f>H2882-F2882*VLOOKUP(銷售總表!B2882,產品!$A$2:$H$61,8,FALSE)</f>
        <v>16500.000000000015</v>
      </c>
      <c r="J2882" s="20">
        <f t="shared" si="44"/>
        <v>0.13580246913580257</v>
      </c>
    </row>
    <row r="2883" spans="1:10" x14ac:dyDescent="0.3">
      <c r="A2883" s="33">
        <v>2882</v>
      </c>
      <c r="B2883" s="4">
        <v>52</v>
      </c>
      <c r="C2883" s="15">
        <v>124</v>
      </c>
      <c r="D2883" s="16">
        <v>7</v>
      </c>
      <c r="E2883" s="22">
        <v>44469</v>
      </c>
      <c r="F2883" s="19">
        <v>8</v>
      </c>
      <c r="G2883" s="18">
        <v>0.18</v>
      </c>
      <c r="H2883">
        <f>F2883*VLOOKUP(B2883,產品!$A$2:$H$61,7,FALSE)*(1-銷售總表!G2883)</f>
        <v>144320</v>
      </c>
      <c r="I2883" s="35">
        <f>H2883-F2883*VLOOKUP(銷售總表!B2883,產品!$A$2:$H$61,8,FALSE)</f>
        <v>21120.000000000015</v>
      </c>
      <c r="J2883" s="20">
        <f t="shared" ref="J2883:J2946" si="45">I2883/H2883</f>
        <v>0.14634146341463425</v>
      </c>
    </row>
    <row r="2884" spans="1:10" x14ac:dyDescent="0.3">
      <c r="A2884" s="33">
        <v>2883</v>
      </c>
      <c r="B2884" s="4">
        <v>59</v>
      </c>
      <c r="C2884" s="15">
        <v>124</v>
      </c>
      <c r="D2884" s="16">
        <v>3</v>
      </c>
      <c r="E2884" s="22">
        <v>44469</v>
      </c>
      <c r="F2884" s="19">
        <v>6</v>
      </c>
      <c r="G2884" s="18">
        <v>0.05</v>
      </c>
      <c r="H2884">
        <f>F2884*VLOOKUP(B2884,產品!$A$2:$H$61,7,FALSE)*(1-銷售總表!G2884)</f>
        <v>136800</v>
      </c>
      <c r="I2884" s="35">
        <f>H2884-F2884*VLOOKUP(銷售總表!B2884,產品!$A$2:$H$61,8,FALSE)</f>
        <v>36000</v>
      </c>
      <c r="J2884" s="20">
        <f t="shared" si="45"/>
        <v>0.26315789473684209</v>
      </c>
    </row>
    <row r="2885" spans="1:10" x14ac:dyDescent="0.3">
      <c r="A2885" s="33">
        <v>2884</v>
      </c>
      <c r="B2885" s="4">
        <v>13</v>
      </c>
      <c r="C2885" s="15">
        <v>275</v>
      </c>
      <c r="D2885" s="16">
        <v>9</v>
      </c>
      <c r="E2885" s="22">
        <v>44469</v>
      </c>
      <c r="F2885" s="19">
        <v>40</v>
      </c>
      <c r="G2885" s="18">
        <v>7.0000000000000007E-2</v>
      </c>
      <c r="H2885">
        <f>F2885*VLOOKUP(B2885,產品!$A$2:$H$61,7,FALSE)*(1-銷售總表!G2885)</f>
        <v>66960</v>
      </c>
      <c r="I2885" s="35">
        <f>H2885-F2885*VLOOKUP(銷售總表!B2885,產品!$A$2:$H$61,8,FALSE)</f>
        <v>38160</v>
      </c>
      <c r="J2885" s="20">
        <f t="shared" si="45"/>
        <v>0.56989247311827962</v>
      </c>
    </row>
    <row r="2886" spans="1:10" x14ac:dyDescent="0.3">
      <c r="A2886" s="33">
        <v>2885</v>
      </c>
      <c r="B2886" s="4">
        <v>5</v>
      </c>
      <c r="C2886" s="15">
        <v>262</v>
      </c>
      <c r="D2886" s="16">
        <v>4</v>
      </c>
      <c r="E2886" s="22">
        <v>44470</v>
      </c>
      <c r="F2886" s="17">
        <v>11</v>
      </c>
      <c r="G2886" s="18">
        <v>0.11</v>
      </c>
      <c r="H2886">
        <f>F2886*VLOOKUP(B2886,產品!$A$2:$H$61,7,FALSE)*(1-銷售總表!G2886)</f>
        <v>9790</v>
      </c>
      <c r="I2886" s="35">
        <f>H2886-F2886*VLOOKUP(銷售總表!B2886,產品!$A$2:$H$61,8,FALSE)</f>
        <v>5390</v>
      </c>
      <c r="J2886" s="20">
        <f t="shared" si="45"/>
        <v>0.550561797752809</v>
      </c>
    </row>
    <row r="2887" spans="1:10" x14ac:dyDescent="0.3">
      <c r="A2887" s="33">
        <v>2886</v>
      </c>
      <c r="B2887" s="4">
        <v>51</v>
      </c>
      <c r="C2887" s="15">
        <v>116</v>
      </c>
      <c r="D2887" s="16">
        <v>6</v>
      </c>
      <c r="E2887" s="22">
        <v>44470</v>
      </c>
      <c r="F2887" s="19">
        <v>15</v>
      </c>
      <c r="G2887" s="18">
        <v>0.18</v>
      </c>
      <c r="H2887">
        <f>F2887*VLOOKUP(B2887,產品!$A$2:$H$61,7,FALSE)*(1-銷售總表!G2887)</f>
        <v>246000.00000000003</v>
      </c>
      <c r="I2887" s="35">
        <f>H2887-F2887*VLOOKUP(銷售總表!B2887,產品!$A$2:$H$61,8,FALSE)</f>
        <v>36000.000000000029</v>
      </c>
      <c r="J2887" s="20">
        <f t="shared" si="45"/>
        <v>0.14634146341463425</v>
      </c>
    </row>
    <row r="2888" spans="1:10" x14ac:dyDescent="0.3">
      <c r="A2888" s="33">
        <v>2887</v>
      </c>
      <c r="B2888" s="4">
        <v>59</v>
      </c>
      <c r="C2888" s="15">
        <v>115</v>
      </c>
      <c r="D2888" s="16">
        <v>9</v>
      </c>
      <c r="E2888" s="22">
        <v>44471</v>
      </c>
      <c r="F2888" s="19">
        <v>1</v>
      </c>
      <c r="G2888" s="18">
        <v>0.12</v>
      </c>
      <c r="H2888">
        <f>F2888*VLOOKUP(B2888,產品!$A$2:$H$61,7,FALSE)*(1-銷售總表!G2888)</f>
        <v>21120</v>
      </c>
      <c r="I2888" s="35">
        <f>H2888-F2888*VLOOKUP(銷售總表!B2888,產品!$A$2:$H$61,8,FALSE)</f>
        <v>4320</v>
      </c>
      <c r="J2888" s="20">
        <f t="shared" si="45"/>
        <v>0.20454545454545456</v>
      </c>
    </row>
    <row r="2889" spans="1:10" x14ac:dyDescent="0.3">
      <c r="A2889" s="33">
        <v>2888</v>
      </c>
      <c r="B2889" s="4">
        <v>25</v>
      </c>
      <c r="C2889" s="15">
        <v>270</v>
      </c>
      <c r="D2889" s="16">
        <v>3</v>
      </c>
      <c r="E2889" s="22">
        <v>44471</v>
      </c>
      <c r="F2889" s="19">
        <v>6</v>
      </c>
      <c r="G2889" s="18">
        <v>0.18</v>
      </c>
      <c r="H2889">
        <f>F2889*VLOOKUP(B2889,產品!$A$2:$H$61,7,FALSE)*(1-銷售總表!G2889)</f>
        <v>29520.000000000004</v>
      </c>
      <c r="I2889" s="35">
        <f>H2889-F2889*VLOOKUP(銷售總表!B2889,產品!$A$2:$H$61,8,FALSE)</f>
        <v>7920.0000000000036</v>
      </c>
      <c r="J2889" s="20">
        <f t="shared" si="45"/>
        <v>0.26829268292682934</v>
      </c>
    </row>
    <row r="2890" spans="1:10" x14ac:dyDescent="0.3">
      <c r="A2890" s="33">
        <v>2889</v>
      </c>
      <c r="B2890" s="4">
        <v>35</v>
      </c>
      <c r="C2890" s="15">
        <v>276</v>
      </c>
      <c r="D2890" s="16">
        <v>6</v>
      </c>
      <c r="E2890" s="22">
        <v>44471</v>
      </c>
      <c r="F2890" s="19">
        <v>9</v>
      </c>
      <c r="G2890" s="18">
        <v>0.08</v>
      </c>
      <c r="H2890">
        <f>F2890*VLOOKUP(B2890,產品!$A$2:$H$61,7,FALSE)*(1-銷售總表!G2890)</f>
        <v>70380</v>
      </c>
      <c r="I2890" s="35">
        <f>H2890-F2890*VLOOKUP(銷售總表!B2890,產品!$A$2:$H$61,8,FALSE)</f>
        <v>24480</v>
      </c>
      <c r="J2890" s="20">
        <f t="shared" si="45"/>
        <v>0.34782608695652173</v>
      </c>
    </row>
    <row r="2891" spans="1:10" x14ac:dyDescent="0.3">
      <c r="A2891" s="33">
        <v>2890</v>
      </c>
      <c r="B2891" s="4">
        <v>22</v>
      </c>
      <c r="C2891" s="15">
        <v>5</v>
      </c>
      <c r="D2891" s="16">
        <v>5</v>
      </c>
      <c r="E2891" s="22">
        <v>44471</v>
      </c>
      <c r="F2891" s="19">
        <v>50</v>
      </c>
      <c r="G2891" s="18">
        <v>0.17</v>
      </c>
      <c r="H2891">
        <f>F2891*VLOOKUP(B2891,產品!$A$2:$H$61,7,FALSE)*(1-銷售總表!G2891)</f>
        <v>74700</v>
      </c>
      <c r="I2891" s="35">
        <f>H2891-F2891*VLOOKUP(銷售總表!B2891,產品!$A$2:$H$61,8,FALSE)</f>
        <v>38700</v>
      </c>
      <c r="J2891" s="20">
        <f t="shared" si="45"/>
        <v>0.51807228915662651</v>
      </c>
    </row>
    <row r="2892" spans="1:10" x14ac:dyDescent="0.3">
      <c r="A2892" s="33">
        <v>2891</v>
      </c>
      <c r="B2892" s="4">
        <v>32</v>
      </c>
      <c r="C2892" s="15">
        <v>11</v>
      </c>
      <c r="D2892" s="16">
        <v>10</v>
      </c>
      <c r="E2892" s="22">
        <v>44471</v>
      </c>
      <c r="F2892" s="19">
        <v>40</v>
      </c>
      <c r="G2892" s="18">
        <v>0.11</v>
      </c>
      <c r="H2892">
        <f>F2892*VLOOKUP(B2892,產品!$A$2:$H$61,7,FALSE)*(1-銷售總表!G2892)</f>
        <v>267000</v>
      </c>
      <c r="I2892" s="35">
        <f>H2892-F2892*VLOOKUP(銷售總表!B2892,產品!$A$2:$H$61,8,FALSE)</f>
        <v>87000</v>
      </c>
      <c r="J2892" s="20">
        <f t="shared" si="45"/>
        <v>0.3258426966292135</v>
      </c>
    </row>
    <row r="2893" spans="1:10" x14ac:dyDescent="0.3">
      <c r="A2893" s="33">
        <v>2892</v>
      </c>
      <c r="B2893" s="4">
        <v>34</v>
      </c>
      <c r="C2893" s="15">
        <v>273</v>
      </c>
      <c r="D2893" s="16">
        <v>1</v>
      </c>
      <c r="E2893" s="22">
        <v>44472</v>
      </c>
      <c r="F2893" s="17">
        <v>3</v>
      </c>
      <c r="G2893" s="18">
        <v>0.13</v>
      </c>
      <c r="H2893">
        <f>F2893*VLOOKUP(B2893,產品!$A$2:$H$61,7,FALSE)*(1-銷售總表!G2893)</f>
        <v>20880</v>
      </c>
      <c r="I2893" s="35">
        <f>H2893-F2893*VLOOKUP(銷售總表!B2893,產品!$A$2:$H$61,8,FALSE)</f>
        <v>6480</v>
      </c>
      <c r="J2893" s="20">
        <f t="shared" si="45"/>
        <v>0.31034482758620691</v>
      </c>
    </row>
    <row r="2894" spans="1:10" x14ac:dyDescent="0.3">
      <c r="A2894" s="33">
        <v>2893</v>
      </c>
      <c r="B2894" s="4">
        <v>40</v>
      </c>
      <c r="C2894" s="15">
        <v>282</v>
      </c>
      <c r="D2894" s="16">
        <v>1</v>
      </c>
      <c r="E2894" s="22">
        <v>44472</v>
      </c>
      <c r="F2894" s="17">
        <v>4</v>
      </c>
      <c r="G2894" s="18">
        <v>0.14000000000000001</v>
      </c>
      <c r="H2894">
        <f>F2894*VLOOKUP(B2894,產品!$A$2:$H$61,7,FALSE)*(1-銷售總表!G2894)</f>
        <v>68800</v>
      </c>
      <c r="I2894" s="35">
        <f>H2894-F2894*VLOOKUP(銷售總表!B2894,產品!$A$2:$H$61,8,FALSE)</f>
        <v>16800</v>
      </c>
      <c r="J2894" s="20">
        <f t="shared" si="45"/>
        <v>0.2441860465116279</v>
      </c>
    </row>
    <row r="2895" spans="1:10" x14ac:dyDescent="0.3">
      <c r="A2895" s="33">
        <v>2894</v>
      </c>
      <c r="B2895" s="4">
        <v>50</v>
      </c>
      <c r="C2895" s="15">
        <v>120</v>
      </c>
      <c r="D2895" s="16">
        <v>1</v>
      </c>
      <c r="E2895" s="22">
        <v>44472</v>
      </c>
      <c r="F2895" s="19">
        <v>15</v>
      </c>
      <c r="G2895" s="18">
        <v>0.17</v>
      </c>
      <c r="H2895">
        <f>F2895*VLOOKUP(B2895,產品!$A$2:$H$61,7,FALSE)*(1-銷售總表!G2895)</f>
        <v>224100</v>
      </c>
      <c r="I2895" s="35">
        <f>H2895-F2895*VLOOKUP(銷售總表!B2895,產品!$A$2:$H$61,8,FALSE)</f>
        <v>35100</v>
      </c>
      <c r="J2895" s="20">
        <f t="shared" si="45"/>
        <v>0.15662650602409639</v>
      </c>
    </row>
    <row r="2896" spans="1:10" x14ac:dyDescent="0.3">
      <c r="A2896" s="33">
        <v>2895</v>
      </c>
      <c r="B2896" s="4">
        <v>31</v>
      </c>
      <c r="C2896" s="15">
        <v>283</v>
      </c>
      <c r="D2896" s="16">
        <v>1</v>
      </c>
      <c r="E2896" s="22">
        <v>44473</v>
      </c>
      <c r="F2896" s="19">
        <v>5</v>
      </c>
      <c r="G2896" s="18">
        <v>0.17</v>
      </c>
      <c r="H2896">
        <f>F2896*VLOOKUP(B2896,產品!$A$2:$H$61,7,FALSE)*(1-銷售總表!G2896)</f>
        <v>29050</v>
      </c>
      <c r="I2896" s="35">
        <f>H2896-F2896*VLOOKUP(銷售總表!B2896,產品!$A$2:$H$61,8,FALSE)</f>
        <v>8050</v>
      </c>
      <c r="J2896" s="20">
        <f t="shared" si="45"/>
        <v>0.27710843373493976</v>
      </c>
    </row>
    <row r="2897" spans="1:10" x14ac:dyDescent="0.3">
      <c r="A2897" s="33">
        <v>2896</v>
      </c>
      <c r="B2897" s="4">
        <v>43</v>
      </c>
      <c r="C2897" s="15">
        <v>116</v>
      </c>
      <c r="D2897" s="16">
        <v>4</v>
      </c>
      <c r="E2897" s="22">
        <v>44473</v>
      </c>
      <c r="F2897" s="19">
        <v>3</v>
      </c>
      <c r="G2897" s="18">
        <v>0.05</v>
      </c>
      <c r="H2897">
        <f>F2897*VLOOKUP(B2897,產品!$A$2:$H$61,7,FALSE)*(1-銷售總表!G2897)</f>
        <v>51300</v>
      </c>
      <c r="I2897" s="35">
        <f>H2897-F2897*VLOOKUP(銷售總表!B2897,產品!$A$2:$H$61,8,FALSE)</f>
        <v>16200</v>
      </c>
      <c r="J2897" s="20">
        <f t="shared" si="45"/>
        <v>0.31578947368421051</v>
      </c>
    </row>
    <row r="2898" spans="1:10" x14ac:dyDescent="0.3">
      <c r="A2898" s="33">
        <v>2897</v>
      </c>
      <c r="B2898" s="4">
        <v>58</v>
      </c>
      <c r="C2898" s="15">
        <v>285</v>
      </c>
      <c r="D2898" s="16">
        <v>2</v>
      </c>
      <c r="E2898" s="22">
        <v>44473</v>
      </c>
      <c r="F2898" s="19">
        <v>4</v>
      </c>
      <c r="G2898" s="18">
        <v>0.08</v>
      </c>
      <c r="H2898">
        <f>F2898*VLOOKUP(B2898,產品!$A$2:$H$61,7,FALSE)*(1-銷售總表!G2898)</f>
        <v>77280</v>
      </c>
      <c r="I2898" s="35">
        <f>H2898-F2898*VLOOKUP(銷售總表!B2898,產品!$A$2:$H$61,8,FALSE)</f>
        <v>18480.000000000007</v>
      </c>
      <c r="J2898" s="20">
        <f t="shared" si="45"/>
        <v>0.23913043478260879</v>
      </c>
    </row>
    <row r="2899" spans="1:10" x14ac:dyDescent="0.3">
      <c r="A2899" s="33">
        <v>2898</v>
      </c>
      <c r="B2899" s="4">
        <v>49</v>
      </c>
      <c r="C2899" s="15">
        <v>272</v>
      </c>
      <c r="D2899" s="16">
        <v>3</v>
      </c>
      <c r="E2899" s="22">
        <v>44473</v>
      </c>
      <c r="F2899" s="17">
        <v>10</v>
      </c>
      <c r="G2899" s="18">
        <v>0.17</v>
      </c>
      <c r="H2899">
        <f>F2899*VLOOKUP(B2899,產品!$A$2:$H$61,7,FALSE)*(1-銷售總表!G2899)</f>
        <v>124500</v>
      </c>
      <c r="I2899" s="35">
        <f>H2899-F2899*VLOOKUP(銷售總表!B2899,產品!$A$2:$H$61,8,FALSE)</f>
        <v>19500</v>
      </c>
      <c r="J2899" s="20">
        <f t="shared" si="45"/>
        <v>0.15662650602409639</v>
      </c>
    </row>
    <row r="2900" spans="1:10" x14ac:dyDescent="0.3">
      <c r="A2900" s="33">
        <v>2899</v>
      </c>
      <c r="B2900" s="4">
        <v>29</v>
      </c>
      <c r="C2900" s="15">
        <v>292</v>
      </c>
      <c r="D2900" s="16">
        <v>3</v>
      </c>
      <c r="E2900" s="22">
        <v>44473</v>
      </c>
      <c r="F2900" s="17">
        <v>10</v>
      </c>
      <c r="G2900" s="18">
        <v>7.0000000000000007E-2</v>
      </c>
      <c r="H2900">
        <f>F2900*VLOOKUP(B2900,產品!$A$2:$H$61,7,FALSE)*(1-銷售總表!G2900)</f>
        <v>55799.999999999993</v>
      </c>
      <c r="I2900" s="35">
        <f>H2900-F2900*VLOOKUP(銷售總表!B2900,產品!$A$2:$H$61,8,FALSE)</f>
        <v>19799.999999999993</v>
      </c>
      <c r="J2900" s="20">
        <f t="shared" si="45"/>
        <v>0.35483870967741926</v>
      </c>
    </row>
    <row r="2901" spans="1:10" x14ac:dyDescent="0.3">
      <c r="A2901" s="33">
        <v>2900</v>
      </c>
      <c r="B2901" s="4">
        <v>1</v>
      </c>
      <c r="C2901" s="15">
        <v>291</v>
      </c>
      <c r="D2901" s="16">
        <v>6</v>
      </c>
      <c r="E2901" s="22">
        <v>44473</v>
      </c>
      <c r="F2901" s="19">
        <v>50</v>
      </c>
      <c r="G2901" s="18">
        <v>7.0000000000000007E-2</v>
      </c>
      <c r="H2901">
        <f>F2901*VLOOKUP(B2901,產品!$A$2:$H$61,7,FALSE)*(1-銷售總表!G2901)</f>
        <v>46500</v>
      </c>
      <c r="I2901" s="35">
        <f>H2901-F2901*VLOOKUP(銷售總表!B2901,產品!$A$2:$H$61,8,FALSE)</f>
        <v>26500</v>
      </c>
      <c r="J2901" s="20">
        <f t="shared" si="45"/>
        <v>0.56989247311827962</v>
      </c>
    </row>
    <row r="2902" spans="1:10" x14ac:dyDescent="0.3">
      <c r="A2902" s="33">
        <v>2901</v>
      </c>
      <c r="B2902" s="4">
        <v>9</v>
      </c>
      <c r="C2902" s="15">
        <v>290</v>
      </c>
      <c r="D2902" s="16">
        <v>4</v>
      </c>
      <c r="E2902" s="22">
        <v>44473</v>
      </c>
      <c r="F2902" s="19">
        <v>80</v>
      </c>
      <c r="G2902" s="18">
        <v>0.11</v>
      </c>
      <c r="H2902">
        <f>F2902*VLOOKUP(B2902,產品!$A$2:$H$61,7,FALSE)*(1-銷售總表!G2902)</f>
        <v>71200</v>
      </c>
      <c r="I2902" s="35">
        <f>H2902-F2902*VLOOKUP(銷售總表!B2902,產品!$A$2:$H$61,8,FALSE)</f>
        <v>39200</v>
      </c>
      <c r="J2902" s="20">
        <f t="shared" si="45"/>
        <v>0.550561797752809</v>
      </c>
    </row>
    <row r="2903" spans="1:10" x14ac:dyDescent="0.3">
      <c r="A2903" s="33">
        <v>2902</v>
      </c>
      <c r="B2903" s="4">
        <v>26</v>
      </c>
      <c r="C2903" s="15">
        <v>3</v>
      </c>
      <c r="D2903" s="16">
        <v>1</v>
      </c>
      <c r="E2903" s="22">
        <v>44473</v>
      </c>
      <c r="F2903" s="19">
        <v>33</v>
      </c>
      <c r="G2903" s="18">
        <v>0.14000000000000001</v>
      </c>
      <c r="H2903">
        <f>F2903*VLOOKUP(B2903,產品!$A$2:$H$61,7,FALSE)*(1-銷售總表!G2903)</f>
        <v>184470</v>
      </c>
      <c r="I2903" s="35">
        <f>H2903-F2903*VLOOKUP(銷售總表!B2903,產品!$A$2:$H$61,8,FALSE)</f>
        <v>55770</v>
      </c>
      <c r="J2903" s="20">
        <f t="shared" si="45"/>
        <v>0.30232558139534882</v>
      </c>
    </row>
    <row r="2904" spans="1:10" x14ac:dyDescent="0.3">
      <c r="A2904" s="33">
        <v>2903</v>
      </c>
      <c r="B2904" s="4">
        <v>41</v>
      </c>
      <c r="C2904" s="15">
        <v>11</v>
      </c>
      <c r="D2904" s="16">
        <v>8</v>
      </c>
      <c r="E2904" s="22">
        <v>44474</v>
      </c>
      <c r="F2904" s="17">
        <v>3</v>
      </c>
      <c r="G2904" s="18">
        <v>0.15</v>
      </c>
      <c r="H2904">
        <f>F2904*VLOOKUP(B2904,產品!$A$2:$H$61,7,FALSE)*(1-銷售總表!G2904)</f>
        <v>30600</v>
      </c>
      <c r="I2904" s="35">
        <f>H2904-F2904*VLOOKUP(銷售總表!B2904,產品!$A$2:$H$61,8,FALSE)</f>
        <v>7200</v>
      </c>
      <c r="J2904" s="20">
        <f t="shared" si="45"/>
        <v>0.23529411764705882</v>
      </c>
    </row>
    <row r="2905" spans="1:10" x14ac:dyDescent="0.3">
      <c r="A2905" s="33">
        <v>2904</v>
      </c>
      <c r="B2905" s="4">
        <v>1</v>
      </c>
      <c r="C2905" s="15">
        <v>282</v>
      </c>
      <c r="D2905" s="16">
        <v>7</v>
      </c>
      <c r="E2905" s="22">
        <v>44474</v>
      </c>
      <c r="F2905" s="17">
        <v>20</v>
      </c>
      <c r="G2905" s="18">
        <v>0.2</v>
      </c>
      <c r="H2905">
        <f>F2905*VLOOKUP(B2905,產品!$A$2:$H$61,7,FALSE)*(1-銷售總表!G2905)</f>
        <v>16000</v>
      </c>
      <c r="I2905" s="35">
        <f>H2905-F2905*VLOOKUP(銷售總表!B2905,產品!$A$2:$H$61,8,FALSE)</f>
        <v>8000</v>
      </c>
      <c r="J2905" s="20">
        <f t="shared" si="45"/>
        <v>0.5</v>
      </c>
    </row>
    <row r="2906" spans="1:10" x14ac:dyDescent="0.3">
      <c r="A2906" s="33">
        <v>2905</v>
      </c>
      <c r="B2906" s="4">
        <v>53</v>
      </c>
      <c r="C2906" s="15">
        <v>277</v>
      </c>
      <c r="D2906" s="16">
        <v>3</v>
      </c>
      <c r="E2906" s="22">
        <v>44474</v>
      </c>
      <c r="F2906" s="19">
        <v>3</v>
      </c>
      <c r="G2906" s="18">
        <v>0.09</v>
      </c>
      <c r="H2906">
        <f>F2906*VLOOKUP(B2906,產品!$A$2:$H$61,7,FALSE)*(1-銷售總表!G2906)</f>
        <v>40950</v>
      </c>
      <c r="I2906" s="35">
        <f>H2906-F2906*VLOOKUP(銷售總表!B2906,產品!$A$2:$H$61,8,FALSE)</f>
        <v>9450</v>
      </c>
      <c r="J2906" s="20">
        <f t="shared" si="45"/>
        <v>0.23076923076923078</v>
      </c>
    </row>
    <row r="2907" spans="1:10" x14ac:dyDescent="0.3">
      <c r="A2907" s="33">
        <v>2906</v>
      </c>
      <c r="B2907" s="4">
        <v>3</v>
      </c>
      <c r="C2907" s="15">
        <v>8</v>
      </c>
      <c r="D2907" s="16">
        <v>4</v>
      </c>
      <c r="E2907" s="22">
        <v>44474</v>
      </c>
      <c r="F2907" s="19">
        <v>22</v>
      </c>
      <c r="G2907" s="18">
        <v>0.08</v>
      </c>
      <c r="H2907">
        <f>F2907*VLOOKUP(B2907,產品!$A$2:$H$61,7,FALSE)*(1-銷售總表!G2907)</f>
        <v>20240</v>
      </c>
      <c r="I2907" s="35">
        <f>H2907-F2907*VLOOKUP(銷售總表!B2907,產品!$A$2:$H$61,8,FALSE)</f>
        <v>11440</v>
      </c>
      <c r="J2907" s="20">
        <f t="shared" si="45"/>
        <v>0.56521739130434778</v>
      </c>
    </row>
    <row r="2908" spans="1:10" x14ac:dyDescent="0.3">
      <c r="A2908" s="33">
        <v>2907</v>
      </c>
      <c r="B2908" s="4">
        <v>2</v>
      </c>
      <c r="C2908" s="15">
        <v>112</v>
      </c>
      <c r="D2908" s="16">
        <v>5</v>
      </c>
      <c r="E2908" s="22">
        <v>44474</v>
      </c>
      <c r="F2908" s="19">
        <v>60</v>
      </c>
      <c r="G2908" s="18">
        <v>0.18</v>
      </c>
      <c r="H2908">
        <f>F2908*VLOOKUP(B2908,產品!$A$2:$H$61,7,FALSE)*(1-銷售總表!G2908)</f>
        <v>49200.000000000007</v>
      </c>
      <c r="I2908" s="35">
        <f>H2908-F2908*VLOOKUP(銷售總表!B2908,產品!$A$2:$H$61,8,FALSE)</f>
        <v>25200.000000000007</v>
      </c>
      <c r="J2908" s="20">
        <f t="shared" si="45"/>
        <v>0.51219512195121963</v>
      </c>
    </row>
    <row r="2909" spans="1:10" x14ac:dyDescent="0.3">
      <c r="A2909" s="33">
        <v>2908</v>
      </c>
      <c r="B2909" s="4">
        <v>11</v>
      </c>
      <c r="C2909" s="15">
        <v>293</v>
      </c>
      <c r="D2909" s="16">
        <v>7</v>
      </c>
      <c r="E2909" s="22">
        <v>44474</v>
      </c>
      <c r="F2909" s="19">
        <v>60</v>
      </c>
      <c r="G2909" s="18">
        <v>0.13</v>
      </c>
      <c r="H2909">
        <f>F2909*VLOOKUP(B2909,產品!$A$2:$H$61,7,FALSE)*(1-銷售總表!G2909)</f>
        <v>52200</v>
      </c>
      <c r="I2909" s="35">
        <f>H2909-F2909*VLOOKUP(銷售總表!B2909,產品!$A$2:$H$61,8,FALSE)</f>
        <v>28200</v>
      </c>
      <c r="J2909" s="20">
        <f t="shared" si="45"/>
        <v>0.54022988505747127</v>
      </c>
    </row>
    <row r="2910" spans="1:10" x14ac:dyDescent="0.3">
      <c r="A2910" s="33">
        <v>2909</v>
      </c>
      <c r="B2910" s="4">
        <v>17</v>
      </c>
      <c r="C2910" s="15">
        <v>5</v>
      </c>
      <c r="D2910" s="16">
        <v>8</v>
      </c>
      <c r="E2910" s="22">
        <v>44474</v>
      </c>
      <c r="F2910" s="19">
        <v>50</v>
      </c>
      <c r="G2910" s="18">
        <v>0.18</v>
      </c>
      <c r="H2910">
        <f>F2910*VLOOKUP(B2910,產品!$A$2:$H$61,7,FALSE)*(1-銷售總表!G2910)</f>
        <v>73800</v>
      </c>
      <c r="I2910" s="35">
        <f>H2910-F2910*VLOOKUP(銷售總表!B2910,產品!$A$2:$H$61,8,FALSE)</f>
        <v>37800</v>
      </c>
      <c r="J2910" s="20">
        <f t="shared" si="45"/>
        <v>0.51219512195121952</v>
      </c>
    </row>
    <row r="2911" spans="1:10" x14ac:dyDescent="0.3">
      <c r="A2911" s="33">
        <v>2910</v>
      </c>
      <c r="B2911" s="4">
        <v>57</v>
      </c>
      <c r="C2911" s="15">
        <v>276</v>
      </c>
      <c r="D2911" s="16">
        <v>2</v>
      </c>
      <c r="E2911" s="22">
        <v>44474</v>
      </c>
      <c r="F2911" s="17">
        <v>13</v>
      </c>
      <c r="G2911" s="18">
        <v>0.12</v>
      </c>
      <c r="H2911">
        <f>F2911*VLOOKUP(B2911,產品!$A$2:$H$61,7,FALSE)*(1-銷售總表!G2911)</f>
        <v>205920</v>
      </c>
      <c r="I2911" s="35">
        <f>H2911-F2911*VLOOKUP(銷售總表!B2911,產品!$A$2:$H$61,8,FALSE)</f>
        <v>42120</v>
      </c>
      <c r="J2911" s="20">
        <f t="shared" si="45"/>
        <v>0.20454545454545456</v>
      </c>
    </row>
    <row r="2912" spans="1:10" x14ac:dyDescent="0.3">
      <c r="A2912" s="33">
        <v>2911</v>
      </c>
      <c r="B2912" s="4">
        <v>1</v>
      </c>
      <c r="C2912" s="15">
        <v>2</v>
      </c>
      <c r="D2912" s="16">
        <v>3</v>
      </c>
      <c r="E2912" s="22">
        <v>44474</v>
      </c>
      <c r="F2912" s="17">
        <v>200</v>
      </c>
      <c r="G2912" s="18">
        <v>0.19</v>
      </c>
      <c r="H2912">
        <f>F2912*VLOOKUP(B2912,產品!$A$2:$H$61,7,FALSE)*(1-銷售總表!G2912)</f>
        <v>162000</v>
      </c>
      <c r="I2912" s="35">
        <f>H2912-F2912*VLOOKUP(銷售總表!B2912,產品!$A$2:$H$61,8,FALSE)</f>
        <v>82000</v>
      </c>
      <c r="J2912" s="20">
        <f t="shared" si="45"/>
        <v>0.50617283950617287</v>
      </c>
    </row>
    <row r="2913" spans="1:10" x14ac:dyDescent="0.3">
      <c r="A2913" s="33">
        <v>2912</v>
      </c>
      <c r="B2913" s="4">
        <v>54</v>
      </c>
      <c r="C2913" s="15">
        <v>257</v>
      </c>
      <c r="D2913" s="16">
        <v>5</v>
      </c>
      <c r="E2913" s="22">
        <v>44475</v>
      </c>
      <c r="F2913" s="19">
        <v>2</v>
      </c>
      <c r="G2913" s="18">
        <v>0.12</v>
      </c>
      <c r="H2913">
        <f>F2913*VLOOKUP(B2913,產品!$A$2:$H$61,7,FALSE)*(1-銷售總表!G2913)</f>
        <v>31680</v>
      </c>
      <c r="I2913" s="35">
        <f>H2913-F2913*VLOOKUP(銷售總表!B2913,產品!$A$2:$H$61,8,FALSE)</f>
        <v>6480</v>
      </c>
      <c r="J2913" s="20">
        <f t="shared" si="45"/>
        <v>0.20454545454545456</v>
      </c>
    </row>
    <row r="2914" spans="1:10" x14ac:dyDescent="0.3">
      <c r="A2914" s="33">
        <v>2913</v>
      </c>
      <c r="B2914" s="4">
        <v>14</v>
      </c>
      <c r="C2914" s="15">
        <v>271</v>
      </c>
      <c r="D2914" s="16">
        <v>4</v>
      </c>
      <c r="E2914" s="22">
        <v>44475</v>
      </c>
      <c r="F2914" s="17">
        <v>10</v>
      </c>
      <c r="G2914" s="18">
        <v>0.18</v>
      </c>
      <c r="H2914">
        <f>F2914*VLOOKUP(B2914,產品!$A$2:$H$61,7,FALSE)*(1-銷售總表!G2914)</f>
        <v>14760.000000000002</v>
      </c>
      <c r="I2914" s="35">
        <f>H2914-F2914*VLOOKUP(銷售總表!B2914,產品!$A$2:$H$61,8,FALSE)</f>
        <v>7560.0000000000018</v>
      </c>
      <c r="J2914" s="20">
        <f t="shared" si="45"/>
        <v>0.51219512195121952</v>
      </c>
    </row>
    <row r="2915" spans="1:10" x14ac:dyDescent="0.3">
      <c r="A2915" s="33">
        <v>2914</v>
      </c>
      <c r="B2915" s="4">
        <v>38</v>
      </c>
      <c r="C2915" s="15">
        <v>120</v>
      </c>
      <c r="D2915" s="16">
        <v>6</v>
      </c>
      <c r="E2915" s="22">
        <v>44475</v>
      </c>
      <c r="F2915" s="19">
        <v>7</v>
      </c>
      <c r="G2915" s="18">
        <v>0.12</v>
      </c>
      <c r="H2915">
        <f>F2915*VLOOKUP(B2915,產品!$A$2:$H$61,7,FALSE)*(1-銷售總表!G2915)</f>
        <v>92400</v>
      </c>
      <c r="I2915" s="35">
        <f>H2915-F2915*VLOOKUP(銷售總表!B2915,產品!$A$2:$H$61,8,FALSE)</f>
        <v>24150</v>
      </c>
      <c r="J2915" s="20">
        <f t="shared" si="45"/>
        <v>0.26136363636363635</v>
      </c>
    </row>
    <row r="2916" spans="1:10" x14ac:dyDescent="0.3">
      <c r="A2916" s="33">
        <v>2915</v>
      </c>
      <c r="B2916" s="4">
        <v>60</v>
      </c>
      <c r="C2916" s="15">
        <v>257</v>
      </c>
      <c r="D2916" s="16">
        <v>10</v>
      </c>
      <c r="E2916" s="22">
        <v>44475</v>
      </c>
      <c r="F2916" s="17">
        <v>12</v>
      </c>
      <c r="G2916" s="18">
        <v>0.19</v>
      </c>
      <c r="H2916">
        <f>F2916*VLOOKUP(B2916,產品!$A$2:$H$61,7,FALSE)*(1-銷售總表!G2916)</f>
        <v>243000.00000000003</v>
      </c>
      <c r="I2916" s="35">
        <f>H2916-F2916*VLOOKUP(銷售總表!B2916,產品!$A$2:$H$61,8,FALSE)</f>
        <v>33000.000000000029</v>
      </c>
      <c r="J2916" s="20">
        <f t="shared" si="45"/>
        <v>0.13580246913580257</v>
      </c>
    </row>
    <row r="2917" spans="1:10" x14ac:dyDescent="0.3">
      <c r="A2917" s="33">
        <v>2916</v>
      </c>
      <c r="B2917" s="4">
        <v>8</v>
      </c>
      <c r="C2917" s="15">
        <v>115</v>
      </c>
      <c r="D2917" s="16">
        <v>1</v>
      </c>
      <c r="E2917" s="22">
        <v>44475</v>
      </c>
      <c r="F2917" s="19">
        <v>70</v>
      </c>
      <c r="G2917" s="18">
        <v>0.11</v>
      </c>
      <c r="H2917">
        <f>F2917*VLOOKUP(B2917,產品!$A$2:$H$61,7,FALSE)*(1-銷售總表!G2917)</f>
        <v>62300</v>
      </c>
      <c r="I2917" s="35">
        <f>H2917-F2917*VLOOKUP(銷售總表!B2917,產品!$A$2:$H$61,8,FALSE)</f>
        <v>34300</v>
      </c>
      <c r="J2917" s="20">
        <f t="shared" si="45"/>
        <v>0.550561797752809</v>
      </c>
    </row>
    <row r="2918" spans="1:10" x14ac:dyDescent="0.3">
      <c r="A2918" s="33">
        <v>2917</v>
      </c>
      <c r="B2918" s="4">
        <v>17</v>
      </c>
      <c r="C2918" s="15">
        <v>116</v>
      </c>
      <c r="D2918" s="16">
        <v>8</v>
      </c>
      <c r="E2918" s="22">
        <v>44475</v>
      </c>
      <c r="F2918" s="17">
        <v>60</v>
      </c>
      <c r="G2918" s="18">
        <v>0.13</v>
      </c>
      <c r="H2918">
        <f>F2918*VLOOKUP(B2918,產品!$A$2:$H$61,7,FALSE)*(1-銷售總表!G2918)</f>
        <v>93960</v>
      </c>
      <c r="I2918" s="35">
        <f>H2918-F2918*VLOOKUP(銷售總表!B2918,產品!$A$2:$H$61,8,FALSE)</f>
        <v>50760</v>
      </c>
      <c r="J2918" s="20">
        <f t="shared" si="45"/>
        <v>0.54022988505747127</v>
      </c>
    </row>
    <row r="2919" spans="1:10" x14ac:dyDescent="0.3">
      <c r="A2919" s="33">
        <v>2918</v>
      </c>
      <c r="B2919" s="4">
        <v>26</v>
      </c>
      <c r="C2919" s="15">
        <v>4</v>
      </c>
      <c r="D2919" s="16">
        <v>6</v>
      </c>
      <c r="E2919" s="22">
        <v>44476</v>
      </c>
      <c r="F2919" s="19">
        <v>10</v>
      </c>
      <c r="G2919" s="18">
        <v>0.16</v>
      </c>
      <c r="H2919">
        <f>F2919*VLOOKUP(B2919,產品!$A$2:$H$61,7,FALSE)*(1-銷售總表!G2919)</f>
        <v>54600</v>
      </c>
      <c r="I2919" s="35">
        <f>H2919-F2919*VLOOKUP(銷售總表!B2919,產品!$A$2:$H$61,8,FALSE)</f>
        <v>15600</v>
      </c>
      <c r="J2919" s="20">
        <f t="shared" si="45"/>
        <v>0.2857142857142857</v>
      </c>
    </row>
    <row r="2920" spans="1:10" x14ac:dyDescent="0.3">
      <c r="A2920" s="33">
        <v>2919</v>
      </c>
      <c r="B2920" s="4">
        <v>50</v>
      </c>
      <c r="C2920" s="15">
        <v>135</v>
      </c>
      <c r="D2920" s="16">
        <v>9</v>
      </c>
      <c r="E2920" s="22">
        <v>44476</v>
      </c>
      <c r="F2920" s="17">
        <v>5</v>
      </c>
      <c r="G2920" s="18">
        <v>0.13</v>
      </c>
      <c r="H2920">
        <f>F2920*VLOOKUP(B2920,產品!$A$2:$H$61,7,FALSE)*(1-銷售總表!G2920)</f>
        <v>78300</v>
      </c>
      <c r="I2920" s="35">
        <f>H2920-F2920*VLOOKUP(銷售總表!B2920,產品!$A$2:$H$61,8,FALSE)</f>
        <v>15300</v>
      </c>
      <c r="J2920" s="20">
        <f t="shared" si="45"/>
        <v>0.19540229885057472</v>
      </c>
    </row>
    <row r="2921" spans="1:10" x14ac:dyDescent="0.3">
      <c r="A2921" s="33">
        <v>2920</v>
      </c>
      <c r="B2921" s="4">
        <v>39</v>
      </c>
      <c r="C2921" s="15">
        <v>115</v>
      </c>
      <c r="D2921" s="16">
        <v>2</v>
      </c>
      <c r="E2921" s="22">
        <v>44476</v>
      </c>
      <c r="F2921" s="19">
        <v>5</v>
      </c>
      <c r="G2921" s="18">
        <v>0.15</v>
      </c>
      <c r="H2921">
        <f>F2921*VLOOKUP(B2921,產品!$A$2:$H$61,7,FALSE)*(1-銷售總表!G2921)</f>
        <v>76500</v>
      </c>
      <c r="I2921" s="35">
        <f>H2921-F2921*VLOOKUP(銷售總表!B2921,產品!$A$2:$H$61,8,FALSE)</f>
        <v>18000</v>
      </c>
      <c r="J2921" s="20">
        <f t="shared" si="45"/>
        <v>0.23529411764705882</v>
      </c>
    </row>
    <row r="2922" spans="1:10" x14ac:dyDescent="0.3">
      <c r="A2922" s="33">
        <v>2921</v>
      </c>
      <c r="B2922" s="4">
        <v>46</v>
      </c>
      <c r="C2922" s="15">
        <v>294</v>
      </c>
      <c r="D2922" s="16">
        <v>7</v>
      </c>
      <c r="E2922" s="22">
        <v>44476</v>
      </c>
      <c r="F2922" s="19">
        <v>9</v>
      </c>
      <c r="G2922" s="18">
        <v>0.16</v>
      </c>
      <c r="H2922">
        <f>F2922*VLOOKUP(B2922,產品!$A$2:$H$61,7,FALSE)*(1-銷售總表!G2922)</f>
        <v>128520</v>
      </c>
      <c r="I2922" s="35">
        <f>H2922-F2922*VLOOKUP(銷售總表!B2922,產品!$A$2:$H$61,8,FALSE)</f>
        <v>29070</v>
      </c>
      <c r="J2922" s="20">
        <f t="shared" si="45"/>
        <v>0.22619047619047619</v>
      </c>
    </row>
    <row r="2923" spans="1:10" x14ac:dyDescent="0.3">
      <c r="A2923" s="33">
        <v>2922</v>
      </c>
      <c r="B2923" s="4">
        <v>34</v>
      </c>
      <c r="C2923" s="15">
        <v>134</v>
      </c>
      <c r="D2923" s="16">
        <v>1</v>
      </c>
      <c r="E2923" s="22">
        <v>44476</v>
      </c>
      <c r="F2923" s="19">
        <v>15</v>
      </c>
      <c r="G2923" s="18">
        <v>0.1</v>
      </c>
      <c r="H2923">
        <f>F2923*VLOOKUP(B2923,產品!$A$2:$H$61,7,FALSE)*(1-銷售總表!G2923)</f>
        <v>108000</v>
      </c>
      <c r="I2923" s="35">
        <f>H2923-F2923*VLOOKUP(銷售總表!B2923,產品!$A$2:$H$61,8,FALSE)</f>
        <v>36000</v>
      </c>
      <c r="J2923" s="20">
        <f t="shared" si="45"/>
        <v>0.33333333333333331</v>
      </c>
    </row>
    <row r="2924" spans="1:10" x14ac:dyDescent="0.3">
      <c r="A2924" s="33">
        <v>2923</v>
      </c>
      <c r="B2924" s="4">
        <v>12</v>
      </c>
      <c r="C2924" s="15">
        <v>272</v>
      </c>
      <c r="D2924" s="16">
        <v>10</v>
      </c>
      <c r="E2924" s="22">
        <v>44476</v>
      </c>
      <c r="F2924" s="17">
        <v>100</v>
      </c>
      <c r="G2924" s="18">
        <v>0.15</v>
      </c>
      <c r="H2924">
        <f>F2924*VLOOKUP(B2924,產品!$A$2:$H$61,7,FALSE)*(1-銷售總表!G2924)</f>
        <v>85000</v>
      </c>
      <c r="I2924" s="35">
        <f>H2924-F2924*VLOOKUP(銷售總表!B2924,產品!$A$2:$H$61,8,FALSE)</f>
        <v>45000</v>
      </c>
      <c r="J2924" s="20">
        <f t="shared" si="45"/>
        <v>0.52941176470588236</v>
      </c>
    </row>
    <row r="2925" spans="1:10" x14ac:dyDescent="0.3">
      <c r="A2925" s="33">
        <v>2924</v>
      </c>
      <c r="B2925" s="4">
        <v>21</v>
      </c>
      <c r="C2925" s="15">
        <v>9</v>
      </c>
      <c r="D2925" s="16">
        <v>7</v>
      </c>
      <c r="E2925" s="22">
        <v>44476</v>
      </c>
      <c r="F2925" s="17">
        <v>80</v>
      </c>
      <c r="G2925" s="18">
        <v>0.19</v>
      </c>
      <c r="H2925">
        <f>F2925*VLOOKUP(B2925,產品!$A$2:$H$61,7,FALSE)*(1-銷售總表!G2925)</f>
        <v>116640.00000000001</v>
      </c>
      <c r="I2925" s="35">
        <f>H2925-F2925*VLOOKUP(銷售總表!B2925,產品!$A$2:$H$61,8,FALSE)</f>
        <v>59040.000000000015</v>
      </c>
      <c r="J2925" s="20">
        <f t="shared" si="45"/>
        <v>0.50617283950617287</v>
      </c>
    </row>
    <row r="2926" spans="1:10" x14ac:dyDescent="0.3">
      <c r="A2926" s="33">
        <v>2925</v>
      </c>
      <c r="B2926" s="4">
        <v>57</v>
      </c>
      <c r="C2926" s="15">
        <v>116</v>
      </c>
      <c r="D2926" s="16">
        <v>1</v>
      </c>
      <c r="E2926" s="22">
        <v>44477</v>
      </c>
      <c r="F2926" s="17">
        <v>10</v>
      </c>
      <c r="G2926" s="18">
        <v>0.17</v>
      </c>
      <c r="H2926">
        <f>F2926*VLOOKUP(B2926,產品!$A$2:$H$61,7,FALSE)*(1-銷售總表!G2926)</f>
        <v>149400</v>
      </c>
      <c r="I2926" s="35">
        <f>H2926-F2926*VLOOKUP(銷售總表!B2926,產品!$A$2:$H$61,8,FALSE)</f>
        <v>23400</v>
      </c>
      <c r="J2926" s="20">
        <f t="shared" si="45"/>
        <v>0.15662650602409639</v>
      </c>
    </row>
    <row r="2927" spans="1:10" x14ac:dyDescent="0.3">
      <c r="A2927" s="33">
        <v>2926</v>
      </c>
      <c r="B2927" s="4">
        <v>9</v>
      </c>
      <c r="C2927" s="15">
        <v>124</v>
      </c>
      <c r="D2927" s="16">
        <v>3</v>
      </c>
      <c r="E2927" s="22">
        <v>44477</v>
      </c>
      <c r="F2927" s="17">
        <v>20</v>
      </c>
      <c r="G2927" s="18">
        <v>0.13</v>
      </c>
      <c r="H2927">
        <f>F2927*VLOOKUP(B2927,產品!$A$2:$H$61,7,FALSE)*(1-銷售總表!G2927)</f>
        <v>17400</v>
      </c>
      <c r="I2927" s="35">
        <f>H2927-F2927*VLOOKUP(銷售總表!B2927,產品!$A$2:$H$61,8,FALSE)</f>
        <v>9400</v>
      </c>
      <c r="J2927" s="20">
        <f t="shared" si="45"/>
        <v>0.54022988505747127</v>
      </c>
    </row>
    <row r="2928" spans="1:10" x14ac:dyDescent="0.3">
      <c r="A2928" s="33">
        <v>2927</v>
      </c>
      <c r="B2928" s="4">
        <v>13</v>
      </c>
      <c r="C2928" s="15">
        <v>265</v>
      </c>
      <c r="D2928" s="16">
        <v>2</v>
      </c>
      <c r="E2928" s="22">
        <v>44477</v>
      </c>
      <c r="F2928" s="19">
        <v>80</v>
      </c>
      <c r="G2928" s="18">
        <v>0.2</v>
      </c>
      <c r="H2928">
        <f>F2928*VLOOKUP(B2928,產品!$A$2:$H$61,7,FALSE)*(1-銷售總表!G2928)</f>
        <v>115200</v>
      </c>
      <c r="I2928" s="35">
        <f>H2928-F2928*VLOOKUP(銷售總表!B2928,產品!$A$2:$H$61,8,FALSE)</f>
        <v>57600</v>
      </c>
      <c r="J2928" s="20">
        <f t="shared" si="45"/>
        <v>0.5</v>
      </c>
    </row>
    <row r="2929" spans="1:10" x14ac:dyDescent="0.3">
      <c r="A2929" s="33">
        <v>2928</v>
      </c>
      <c r="B2929" s="4">
        <v>8</v>
      </c>
      <c r="C2929" s="15">
        <v>9</v>
      </c>
      <c r="D2929" s="16">
        <v>6</v>
      </c>
      <c r="E2929" s="22">
        <v>44478</v>
      </c>
      <c r="F2929" s="17">
        <v>10</v>
      </c>
      <c r="G2929" s="18">
        <v>0.06</v>
      </c>
      <c r="H2929">
        <f>F2929*VLOOKUP(B2929,產品!$A$2:$H$61,7,FALSE)*(1-銷售總表!G2929)</f>
        <v>9400</v>
      </c>
      <c r="I2929" s="35">
        <f>H2929-F2929*VLOOKUP(銷售總表!B2929,產品!$A$2:$H$61,8,FALSE)</f>
        <v>5400</v>
      </c>
      <c r="J2929" s="20">
        <f t="shared" si="45"/>
        <v>0.57446808510638303</v>
      </c>
    </row>
    <row r="2930" spans="1:10" x14ac:dyDescent="0.3">
      <c r="A2930" s="33">
        <v>2929</v>
      </c>
      <c r="B2930" s="4">
        <v>6</v>
      </c>
      <c r="C2930" s="15">
        <v>1</v>
      </c>
      <c r="D2930" s="16">
        <v>8</v>
      </c>
      <c r="E2930" s="22">
        <v>44478</v>
      </c>
      <c r="F2930" s="19">
        <v>10</v>
      </c>
      <c r="G2930" s="18">
        <v>0.06</v>
      </c>
      <c r="H2930">
        <f>F2930*VLOOKUP(B2930,產品!$A$2:$H$61,7,FALSE)*(1-銷售總表!G2930)</f>
        <v>9400</v>
      </c>
      <c r="I2930" s="35">
        <f>H2930-F2930*VLOOKUP(銷售總表!B2930,產品!$A$2:$H$61,8,FALSE)</f>
        <v>5400</v>
      </c>
      <c r="J2930" s="20">
        <f t="shared" si="45"/>
        <v>0.57446808510638303</v>
      </c>
    </row>
    <row r="2931" spans="1:10" x14ac:dyDescent="0.3">
      <c r="A2931" s="33">
        <v>2930</v>
      </c>
      <c r="B2931" s="4">
        <v>59</v>
      </c>
      <c r="C2931" s="15">
        <v>3</v>
      </c>
      <c r="D2931" s="16">
        <v>4</v>
      </c>
      <c r="E2931" s="22">
        <v>44478</v>
      </c>
      <c r="F2931" s="17">
        <v>4</v>
      </c>
      <c r="G2931" s="18">
        <v>0.12</v>
      </c>
      <c r="H2931">
        <f>F2931*VLOOKUP(B2931,產品!$A$2:$H$61,7,FALSE)*(1-銷售總表!G2931)</f>
        <v>84480</v>
      </c>
      <c r="I2931" s="35">
        <f>H2931-F2931*VLOOKUP(銷售總表!B2931,產品!$A$2:$H$61,8,FALSE)</f>
        <v>17280</v>
      </c>
      <c r="J2931" s="20">
        <f t="shared" si="45"/>
        <v>0.20454545454545456</v>
      </c>
    </row>
    <row r="2932" spans="1:10" x14ac:dyDescent="0.3">
      <c r="A2932" s="33">
        <v>2931</v>
      </c>
      <c r="B2932" s="4">
        <v>53</v>
      </c>
      <c r="C2932" s="15">
        <v>273</v>
      </c>
      <c r="D2932" s="16">
        <v>3</v>
      </c>
      <c r="E2932" s="22">
        <v>44478</v>
      </c>
      <c r="F2932" s="19">
        <v>12</v>
      </c>
      <c r="G2932" s="18">
        <v>0.2</v>
      </c>
      <c r="H2932">
        <f>F2932*VLOOKUP(B2932,產品!$A$2:$H$61,7,FALSE)*(1-銷售總表!G2932)</f>
        <v>144000</v>
      </c>
      <c r="I2932" s="35">
        <f>H2932-F2932*VLOOKUP(銷售總表!B2932,產品!$A$2:$H$61,8,FALSE)</f>
        <v>18000</v>
      </c>
      <c r="J2932" s="20">
        <f t="shared" si="45"/>
        <v>0.125</v>
      </c>
    </row>
    <row r="2933" spans="1:10" x14ac:dyDescent="0.3">
      <c r="A2933" s="33">
        <v>2932</v>
      </c>
      <c r="B2933" s="4">
        <v>31</v>
      </c>
      <c r="C2933" s="15">
        <v>9</v>
      </c>
      <c r="D2933" s="16">
        <v>7</v>
      </c>
      <c r="E2933" s="22">
        <v>44478</v>
      </c>
      <c r="F2933" s="17">
        <v>8</v>
      </c>
      <c r="G2933" s="18">
        <v>7.0000000000000007E-2</v>
      </c>
      <c r="H2933">
        <f>F2933*VLOOKUP(B2933,產品!$A$2:$H$61,7,FALSE)*(1-銷售總表!G2933)</f>
        <v>52080</v>
      </c>
      <c r="I2933" s="35">
        <f>H2933-F2933*VLOOKUP(銷售總表!B2933,產品!$A$2:$H$61,8,FALSE)</f>
        <v>18480</v>
      </c>
      <c r="J2933" s="20">
        <f t="shared" si="45"/>
        <v>0.35483870967741937</v>
      </c>
    </row>
    <row r="2934" spans="1:10" x14ac:dyDescent="0.3">
      <c r="A2934" s="33">
        <v>2933</v>
      </c>
      <c r="B2934" s="4">
        <v>23</v>
      </c>
      <c r="C2934" s="15">
        <v>138</v>
      </c>
      <c r="D2934" s="16">
        <v>5</v>
      </c>
      <c r="E2934" s="22">
        <v>44478</v>
      </c>
      <c r="F2934" s="19">
        <v>30</v>
      </c>
      <c r="G2934" s="18">
        <v>0.06</v>
      </c>
      <c r="H2934">
        <f>F2934*VLOOKUP(B2934,產品!$A$2:$H$61,7,FALSE)*(1-銷售總表!G2934)</f>
        <v>50760</v>
      </c>
      <c r="I2934" s="35">
        <f>H2934-F2934*VLOOKUP(銷售總表!B2934,產品!$A$2:$H$61,8,FALSE)</f>
        <v>29160</v>
      </c>
      <c r="J2934" s="20">
        <f t="shared" si="45"/>
        <v>0.57446808510638303</v>
      </c>
    </row>
    <row r="2935" spans="1:10" x14ac:dyDescent="0.3">
      <c r="A2935" s="33">
        <v>2934</v>
      </c>
      <c r="B2935" s="4">
        <v>40</v>
      </c>
      <c r="C2935" s="15">
        <v>293</v>
      </c>
      <c r="D2935" s="16">
        <v>2</v>
      </c>
      <c r="E2935" s="22">
        <v>44478</v>
      </c>
      <c r="F2935" s="19">
        <v>9</v>
      </c>
      <c r="G2935" s="18">
        <v>0.18</v>
      </c>
      <c r="H2935">
        <f>F2935*VLOOKUP(B2935,產品!$A$2:$H$61,7,FALSE)*(1-銷售總表!G2935)</f>
        <v>147600</v>
      </c>
      <c r="I2935" s="35">
        <f>H2935-F2935*VLOOKUP(銷售總表!B2935,產品!$A$2:$H$61,8,FALSE)</f>
        <v>30600</v>
      </c>
      <c r="J2935" s="20">
        <f t="shared" si="45"/>
        <v>0.2073170731707317</v>
      </c>
    </row>
    <row r="2936" spans="1:10" x14ac:dyDescent="0.3">
      <c r="A2936" s="33">
        <v>2935</v>
      </c>
      <c r="B2936" s="4">
        <v>49</v>
      </c>
      <c r="C2936" s="15">
        <v>11</v>
      </c>
      <c r="D2936" s="16">
        <v>2</v>
      </c>
      <c r="E2936" s="22">
        <v>44478</v>
      </c>
      <c r="F2936" s="19">
        <v>10</v>
      </c>
      <c r="G2936" s="18">
        <v>0.08</v>
      </c>
      <c r="H2936">
        <f>F2936*VLOOKUP(B2936,產品!$A$2:$H$61,7,FALSE)*(1-銷售總表!G2936)</f>
        <v>138000</v>
      </c>
      <c r="I2936" s="35">
        <f>H2936-F2936*VLOOKUP(銷售總表!B2936,產品!$A$2:$H$61,8,FALSE)</f>
        <v>33000</v>
      </c>
      <c r="J2936" s="20">
        <f t="shared" si="45"/>
        <v>0.2391304347826087</v>
      </c>
    </row>
    <row r="2937" spans="1:10" x14ac:dyDescent="0.3">
      <c r="A2937" s="33">
        <v>2936</v>
      </c>
      <c r="B2937" s="4">
        <v>14</v>
      </c>
      <c r="C2937" s="15">
        <v>286</v>
      </c>
      <c r="D2937" s="16">
        <v>10</v>
      </c>
      <c r="E2937" s="22">
        <v>44478</v>
      </c>
      <c r="F2937" s="19">
        <v>100</v>
      </c>
      <c r="G2937" s="18">
        <v>0.09</v>
      </c>
      <c r="H2937">
        <f>F2937*VLOOKUP(B2937,產品!$A$2:$H$61,7,FALSE)*(1-銷售總表!G2937)</f>
        <v>163800</v>
      </c>
      <c r="I2937" s="35">
        <f>H2937-F2937*VLOOKUP(銷售總表!B2937,產品!$A$2:$H$61,8,FALSE)</f>
        <v>91800</v>
      </c>
      <c r="J2937" s="20">
        <f t="shared" si="45"/>
        <v>0.56043956043956045</v>
      </c>
    </row>
    <row r="2938" spans="1:10" x14ac:dyDescent="0.3">
      <c r="A2938" s="33">
        <v>2937</v>
      </c>
      <c r="B2938" s="4">
        <v>57</v>
      </c>
      <c r="C2938" s="15">
        <v>286</v>
      </c>
      <c r="D2938" s="16">
        <v>10</v>
      </c>
      <c r="E2938" s="22">
        <v>44479</v>
      </c>
      <c r="F2938" s="17">
        <v>5</v>
      </c>
      <c r="G2938" s="18">
        <v>0.11</v>
      </c>
      <c r="H2938">
        <f>F2938*VLOOKUP(B2938,產品!$A$2:$H$61,7,FALSE)*(1-銷售總表!G2938)</f>
        <v>80100</v>
      </c>
      <c r="I2938" s="35">
        <f>H2938-F2938*VLOOKUP(銷售總表!B2938,產品!$A$2:$H$61,8,FALSE)</f>
        <v>17100</v>
      </c>
      <c r="J2938" s="20">
        <f t="shared" si="45"/>
        <v>0.21348314606741572</v>
      </c>
    </row>
    <row r="2939" spans="1:10" x14ac:dyDescent="0.3">
      <c r="A2939" s="33">
        <v>2938</v>
      </c>
      <c r="B2939" s="4">
        <v>10</v>
      </c>
      <c r="C2939" s="15">
        <v>113</v>
      </c>
      <c r="D2939" s="16">
        <v>1</v>
      </c>
      <c r="E2939" s="22">
        <v>44479</v>
      </c>
      <c r="F2939" s="17">
        <v>30</v>
      </c>
      <c r="G2939" s="18">
        <v>0.05</v>
      </c>
      <c r="H2939">
        <f>F2939*VLOOKUP(B2939,產品!$A$2:$H$61,7,FALSE)*(1-銷售總表!G2939)</f>
        <v>28500</v>
      </c>
      <c r="I2939" s="35">
        <f>H2939-F2939*VLOOKUP(銷售總表!B2939,產品!$A$2:$H$61,8,FALSE)</f>
        <v>16500</v>
      </c>
      <c r="J2939" s="20">
        <f t="shared" si="45"/>
        <v>0.57894736842105265</v>
      </c>
    </row>
    <row r="2940" spans="1:10" x14ac:dyDescent="0.3">
      <c r="A2940" s="33">
        <v>2939</v>
      </c>
      <c r="B2940" s="4">
        <v>20</v>
      </c>
      <c r="C2940" s="15">
        <v>278</v>
      </c>
      <c r="D2940" s="16">
        <v>3</v>
      </c>
      <c r="E2940" s="22">
        <v>44479</v>
      </c>
      <c r="F2940" s="19">
        <v>20</v>
      </c>
      <c r="G2940" s="18">
        <v>7.0000000000000007E-2</v>
      </c>
      <c r="H2940">
        <f>F2940*VLOOKUP(B2940,產品!$A$2:$H$61,7,FALSE)*(1-銷售總表!G2940)</f>
        <v>33480</v>
      </c>
      <c r="I2940" s="35">
        <f>H2940-F2940*VLOOKUP(銷售總表!B2940,產品!$A$2:$H$61,8,FALSE)</f>
        <v>19080</v>
      </c>
      <c r="J2940" s="20">
        <f t="shared" si="45"/>
        <v>0.56989247311827962</v>
      </c>
    </row>
    <row r="2941" spans="1:10" x14ac:dyDescent="0.3">
      <c r="A2941" s="33">
        <v>2940</v>
      </c>
      <c r="B2941" s="4">
        <v>46</v>
      </c>
      <c r="C2941" s="15">
        <v>112</v>
      </c>
      <c r="D2941" s="16">
        <v>3</v>
      </c>
      <c r="E2941" s="22">
        <v>44479</v>
      </c>
      <c r="F2941" s="19">
        <v>6</v>
      </c>
      <c r="G2941" s="18">
        <v>0.14000000000000001</v>
      </c>
      <c r="H2941">
        <f>F2941*VLOOKUP(B2941,產品!$A$2:$H$61,7,FALSE)*(1-銷售總表!G2941)</f>
        <v>87720</v>
      </c>
      <c r="I2941" s="35">
        <f>H2941-F2941*VLOOKUP(銷售總表!B2941,產品!$A$2:$H$61,8,FALSE)</f>
        <v>21420</v>
      </c>
      <c r="J2941" s="20">
        <f t="shared" si="45"/>
        <v>0.2441860465116279</v>
      </c>
    </row>
    <row r="2942" spans="1:10" x14ac:dyDescent="0.3">
      <c r="A2942" s="33">
        <v>2941</v>
      </c>
      <c r="B2942" s="4">
        <v>23</v>
      </c>
      <c r="C2942" s="15">
        <v>2</v>
      </c>
      <c r="D2942" s="16">
        <v>7</v>
      </c>
      <c r="E2942" s="22">
        <v>44479</v>
      </c>
      <c r="F2942" s="19">
        <v>30</v>
      </c>
      <c r="G2942" s="18">
        <v>0.16</v>
      </c>
      <c r="H2942">
        <f>F2942*VLOOKUP(B2942,產品!$A$2:$H$61,7,FALSE)*(1-銷售總表!G2942)</f>
        <v>45360</v>
      </c>
      <c r="I2942" s="35">
        <f>H2942-F2942*VLOOKUP(銷售總表!B2942,產品!$A$2:$H$61,8,FALSE)</f>
        <v>23760</v>
      </c>
      <c r="J2942" s="20">
        <f t="shared" si="45"/>
        <v>0.52380952380952384</v>
      </c>
    </row>
    <row r="2943" spans="1:10" x14ac:dyDescent="0.3">
      <c r="A2943" s="33">
        <v>2942</v>
      </c>
      <c r="B2943" s="4">
        <v>16</v>
      </c>
      <c r="C2943" s="15">
        <v>9</v>
      </c>
      <c r="D2943" s="16">
        <v>6</v>
      </c>
      <c r="E2943" s="22">
        <v>44479</v>
      </c>
      <c r="F2943" s="19">
        <v>30</v>
      </c>
      <c r="G2943" s="18">
        <v>0.14000000000000001</v>
      </c>
      <c r="H2943">
        <f>F2943*VLOOKUP(B2943,產品!$A$2:$H$61,7,FALSE)*(1-銷售總表!G2943)</f>
        <v>46440</v>
      </c>
      <c r="I2943" s="35">
        <f>H2943-F2943*VLOOKUP(銷售總表!B2943,產品!$A$2:$H$61,8,FALSE)</f>
        <v>24840</v>
      </c>
      <c r="J2943" s="20">
        <f t="shared" si="45"/>
        <v>0.53488372093023251</v>
      </c>
    </row>
    <row r="2944" spans="1:10" x14ac:dyDescent="0.3">
      <c r="A2944" s="33">
        <v>2943</v>
      </c>
      <c r="B2944" s="4">
        <v>24</v>
      </c>
      <c r="C2944" s="15">
        <v>258</v>
      </c>
      <c r="D2944" s="16">
        <v>9</v>
      </c>
      <c r="E2944" s="22">
        <v>44479</v>
      </c>
      <c r="F2944" s="19">
        <v>40</v>
      </c>
      <c r="G2944" s="18">
        <v>0.05</v>
      </c>
      <c r="H2944">
        <f>F2944*VLOOKUP(B2944,產品!$A$2:$H$61,7,FALSE)*(1-銷售總表!G2944)</f>
        <v>68400</v>
      </c>
      <c r="I2944" s="35">
        <f>H2944-F2944*VLOOKUP(銷售總表!B2944,產品!$A$2:$H$61,8,FALSE)</f>
        <v>39600</v>
      </c>
      <c r="J2944" s="20">
        <f t="shared" si="45"/>
        <v>0.57894736842105265</v>
      </c>
    </row>
    <row r="2945" spans="1:10" x14ac:dyDescent="0.3">
      <c r="A2945" s="33">
        <v>2944</v>
      </c>
      <c r="B2945" s="4">
        <v>35</v>
      </c>
      <c r="C2945" s="15">
        <v>9</v>
      </c>
      <c r="D2945" s="16">
        <v>1</v>
      </c>
      <c r="E2945" s="22">
        <v>44479</v>
      </c>
      <c r="F2945" s="19">
        <v>25</v>
      </c>
      <c r="G2945" s="18">
        <v>0.1</v>
      </c>
      <c r="H2945">
        <f>F2945*VLOOKUP(B2945,產品!$A$2:$H$61,7,FALSE)*(1-銷售總表!G2945)</f>
        <v>191250</v>
      </c>
      <c r="I2945" s="35">
        <f>H2945-F2945*VLOOKUP(銷售總表!B2945,產品!$A$2:$H$61,8,FALSE)</f>
        <v>63750</v>
      </c>
      <c r="J2945" s="20">
        <f t="shared" si="45"/>
        <v>0.33333333333333331</v>
      </c>
    </row>
    <row r="2946" spans="1:10" x14ac:dyDescent="0.3">
      <c r="A2946" s="33">
        <v>2945</v>
      </c>
      <c r="B2946" s="4">
        <v>14</v>
      </c>
      <c r="C2946" s="15">
        <v>138</v>
      </c>
      <c r="D2946" s="16">
        <v>10</v>
      </c>
      <c r="E2946" s="22">
        <v>44479</v>
      </c>
      <c r="F2946" s="17">
        <v>90</v>
      </c>
      <c r="G2946" s="18">
        <v>0.12</v>
      </c>
      <c r="H2946">
        <f>F2946*VLOOKUP(B2946,產品!$A$2:$H$61,7,FALSE)*(1-銷售總表!G2946)</f>
        <v>142560</v>
      </c>
      <c r="I2946" s="35">
        <f>H2946-F2946*VLOOKUP(銷售總表!B2946,產品!$A$2:$H$61,8,FALSE)</f>
        <v>77760</v>
      </c>
      <c r="J2946" s="20">
        <f t="shared" si="45"/>
        <v>0.54545454545454541</v>
      </c>
    </row>
    <row r="2947" spans="1:10" x14ac:dyDescent="0.3">
      <c r="A2947" s="33">
        <v>2946</v>
      </c>
      <c r="B2947" s="4">
        <v>36</v>
      </c>
      <c r="C2947" s="15">
        <v>2</v>
      </c>
      <c r="D2947" s="16">
        <v>5</v>
      </c>
      <c r="E2947" s="22">
        <v>44479</v>
      </c>
      <c r="F2947" s="19">
        <v>30</v>
      </c>
      <c r="G2947" s="18">
        <v>0.1</v>
      </c>
      <c r="H2947">
        <f>F2947*VLOOKUP(B2947,產品!$A$2:$H$61,7,FALSE)*(1-銷售總表!G2947)</f>
        <v>243000</v>
      </c>
      <c r="I2947" s="35">
        <f>H2947-F2947*VLOOKUP(銷售總表!B2947,產品!$A$2:$H$61,8,FALSE)</f>
        <v>81000</v>
      </c>
      <c r="J2947" s="20">
        <f t="shared" ref="J2947:J3010" si="46">I2947/H2947</f>
        <v>0.33333333333333331</v>
      </c>
    </row>
    <row r="2948" spans="1:10" x14ac:dyDescent="0.3">
      <c r="A2948" s="33">
        <v>2947</v>
      </c>
      <c r="B2948" s="4">
        <v>8</v>
      </c>
      <c r="C2948" s="15">
        <v>9</v>
      </c>
      <c r="D2948" s="16">
        <v>7</v>
      </c>
      <c r="E2948" s="22">
        <v>44480</v>
      </c>
      <c r="F2948" s="17">
        <v>10</v>
      </c>
      <c r="G2948" s="18">
        <v>0.14000000000000001</v>
      </c>
      <c r="H2948">
        <f>F2948*VLOOKUP(B2948,產品!$A$2:$H$61,7,FALSE)*(1-銷售總表!G2948)</f>
        <v>8600</v>
      </c>
      <c r="I2948" s="35">
        <f>H2948-F2948*VLOOKUP(銷售總表!B2948,產品!$A$2:$H$61,8,FALSE)</f>
        <v>4600</v>
      </c>
      <c r="J2948" s="20">
        <f t="shared" si="46"/>
        <v>0.53488372093023251</v>
      </c>
    </row>
    <row r="2949" spans="1:10" x14ac:dyDescent="0.3">
      <c r="A2949" s="33">
        <v>2948</v>
      </c>
      <c r="B2949" s="4">
        <v>17</v>
      </c>
      <c r="C2949" s="15">
        <v>8</v>
      </c>
      <c r="D2949" s="16">
        <v>10</v>
      </c>
      <c r="E2949" s="22">
        <v>44480</v>
      </c>
      <c r="F2949" s="19">
        <v>10</v>
      </c>
      <c r="G2949" s="18">
        <v>0.1</v>
      </c>
      <c r="H2949">
        <f>F2949*VLOOKUP(B2949,產品!$A$2:$H$61,7,FALSE)*(1-銷售總表!G2949)</f>
        <v>16200</v>
      </c>
      <c r="I2949" s="35">
        <f>H2949-F2949*VLOOKUP(銷售總表!B2949,產品!$A$2:$H$61,8,FALSE)</f>
        <v>9000</v>
      </c>
      <c r="J2949" s="20">
        <f t="shared" si="46"/>
        <v>0.55555555555555558</v>
      </c>
    </row>
    <row r="2950" spans="1:10" x14ac:dyDescent="0.3">
      <c r="A2950" s="33">
        <v>2949</v>
      </c>
      <c r="B2950" s="4">
        <v>7</v>
      </c>
      <c r="C2950" s="15">
        <v>8</v>
      </c>
      <c r="D2950" s="16">
        <v>2</v>
      </c>
      <c r="E2950" s="22">
        <v>44480</v>
      </c>
      <c r="F2950" s="17">
        <v>25</v>
      </c>
      <c r="G2950" s="18">
        <v>0.19</v>
      </c>
      <c r="H2950">
        <f>F2950*VLOOKUP(B2950,產品!$A$2:$H$61,7,FALSE)*(1-銷售總表!G2950)</f>
        <v>20250</v>
      </c>
      <c r="I2950" s="35">
        <f>H2950-F2950*VLOOKUP(銷售總表!B2950,產品!$A$2:$H$61,8,FALSE)</f>
        <v>10250</v>
      </c>
      <c r="J2950" s="20">
        <f t="shared" si="46"/>
        <v>0.50617283950617287</v>
      </c>
    </row>
    <row r="2951" spans="1:10" x14ac:dyDescent="0.3">
      <c r="A2951" s="33">
        <v>2950</v>
      </c>
      <c r="B2951" s="4">
        <v>59</v>
      </c>
      <c r="C2951" s="15">
        <v>123</v>
      </c>
      <c r="D2951" s="16">
        <v>6</v>
      </c>
      <c r="E2951" s="22">
        <v>44480</v>
      </c>
      <c r="F2951" s="19">
        <v>3</v>
      </c>
      <c r="G2951" s="18">
        <v>0.14000000000000001</v>
      </c>
      <c r="H2951">
        <f>F2951*VLOOKUP(B2951,產品!$A$2:$H$61,7,FALSE)*(1-銷售總表!G2951)</f>
        <v>61920</v>
      </c>
      <c r="I2951" s="35">
        <f>H2951-F2951*VLOOKUP(銷售總表!B2951,產品!$A$2:$H$61,8,FALSE)</f>
        <v>11520</v>
      </c>
      <c r="J2951" s="20">
        <f t="shared" si="46"/>
        <v>0.18604651162790697</v>
      </c>
    </row>
    <row r="2952" spans="1:10" x14ac:dyDescent="0.3">
      <c r="A2952" s="33">
        <v>2951</v>
      </c>
      <c r="B2952" s="4">
        <v>35</v>
      </c>
      <c r="C2952" s="15">
        <v>262</v>
      </c>
      <c r="D2952" s="16">
        <v>5</v>
      </c>
      <c r="E2952" s="22">
        <v>44480</v>
      </c>
      <c r="F2952" s="19">
        <v>6</v>
      </c>
      <c r="G2952" s="18">
        <v>0.17</v>
      </c>
      <c r="H2952">
        <f>F2952*VLOOKUP(B2952,產品!$A$2:$H$61,7,FALSE)*(1-銷售總表!G2952)</f>
        <v>42330</v>
      </c>
      <c r="I2952" s="35">
        <f>H2952-F2952*VLOOKUP(銷售總表!B2952,產品!$A$2:$H$61,8,FALSE)</f>
        <v>11730</v>
      </c>
      <c r="J2952" s="20">
        <f t="shared" si="46"/>
        <v>0.27710843373493976</v>
      </c>
    </row>
    <row r="2953" spans="1:10" x14ac:dyDescent="0.3">
      <c r="A2953" s="33">
        <v>2952</v>
      </c>
      <c r="B2953" s="4">
        <v>12</v>
      </c>
      <c r="C2953" s="15">
        <v>294</v>
      </c>
      <c r="D2953" s="16">
        <v>10</v>
      </c>
      <c r="E2953" s="22">
        <v>44480</v>
      </c>
      <c r="F2953" s="17">
        <v>30</v>
      </c>
      <c r="G2953" s="18">
        <v>0.18</v>
      </c>
      <c r="H2953">
        <f>F2953*VLOOKUP(B2953,產品!$A$2:$H$61,7,FALSE)*(1-銷售總表!G2953)</f>
        <v>24600.000000000004</v>
      </c>
      <c r="I2953" s="35">
        <f>H2953-F2953*VLOOKUP(銷售總表!B2953,產品!$A$2:$H$61,8,FALSE)</f>
        <v>12600.000000000004</v>
      </c>
      <c r="J2953" s="20">
        <f t="shared" si="46"/>
        <v>0.51219512195121963</v>
      </c>
    </row>
    <row r="2954" spans="1:10" x14ac:dyDescent="0.3">
      <c r="A2954" s="33">
        <v>2953</v>
      </c>
      <c r="B2954" s="4">
        <v>6</v>
      </c>
      <c r="C2954" s="15">
        <v>113</v>
      </c>
      <c r="D2954" s="16">
        <v>10</v>
      </c>
      <c r="E2954" s="22">
        <v>44480</v>
      </c>
      <c r="F2954" s="19">
        <v>30</v>
      </c>
      <c r="G2954" s="18">
        <v>0.11</v>
      </c>
      <c r="H2954">
        <f>F2954*VLOOKUP(B2954,產品!$A$2:$H$61,7,FALSE)*(1-銷售總表!G2954)</f>
        <v>26700</v>
      </c>
      <c r="I2954" s="35">
        <f>H2954-F2954*VLOOKUP(銷售總表!B2954,產品!$A$2:$H$61,8,FALSE)</f>
        <v>14700</v>
      </c>
      <c r="J2954" s="20">
        <f t="shared" si="46"/>
        <v>0.550561797752809</v>
      </c>
    </row>
    <row r="2955" spans="1:10" x14ac:dyDescent="0.3">
      <c r="A2955" s="33">
        <v>2954</v>
      </c>
      <c r="B2955" s="4">
        <v>43</v>
      </c>
      <c r="C2955" s="15">
        <v>3</v>
      </c>
      <c r="D2955" s="16">
        <v>6</v>
      </c>
      <c r="E2955" s="22">
        <v>44480</v>
      </c>
      <c r="F2955" s="19">
        <v>9</v>
      </c>
      <c r="G2955" s="18">
        <v>0.08</v>
      </c>
      <c r="H2955">
        <f>F2955*VLOOKUP(B2955,產品!$A$2:$H$61,7,FALSE)*(1-銷售總表!G2955)</f>
        <v>149040</v>
      </c>
      <c r="I2955" s="35">
        <f>H2955-F2955*VLOOKUP(銷售總表!B2955,產品!$A$2:$H$61,8,FALSE)</f>
        <v>43740</v>
      </c>
      <c r="J2955" s="20">
        <f t="shared" si="46"/>
        <v>0.29347826086956524</v>
      </c>
    </row>
    <row r="2956" spans="1:10" x14ac:dyDescent="0.3">
      <c r="A2956" s="33">
        <v>2955</v>
      </c>
      <c r="B2956" s="4">
        <v>20</v>
      </c>
      <c r="C2956" s="15">
        <v>282</v>
      </c>
      <c r="D2956" s="16">
        <v>4</v>
      </c>
      <c r="E2956" s="22">
        <v>44480</v>
      </c>
      <c r="F2956" s="19">
        <v>50</v>
      </c>
      <c r="G2956" s="18">
        <v>0.06</v>
      </c>
      <c r="H2956">
        <f>F2956*VLOOKUP(B2956,產品!$A$2:$H$61,7,FALSE)*(1-銷售總表!G2956)</f>
        <v>84600</v>
      </c>
      <c r="I2956" s="35">
        <f>H2956-F2956*VLOOKUP(銷售總表!B2956,產品!$A$2:$H$61,8,FALSE)</f>
        <v>48600</v>
      </c>
      <c r="J2956" s="20">
        <f t="shared" si="46"/>
        <v>0.57446808510638303</v>
      </c>
    </row>
    <row r="2957" spans="1:10" x14ac:dyDescent="0.3">
      <c r="A2957" s="33">
        <v>2956</v>
      </c>
      <c r="B2957" s="4">
        <v>7</v>
      </c>
      <c r="C2957" s="15">
        <v>135</v>
      </c>
      <c r="D2957" s="16">
        <v>9</v>
      </c>
      <c r="E2957" s="22">
        <v>44480</v>
      </c>
      <c r="F2957" s="19">
        <v>180</v>
      </c>
      <c r="G2957" s="18">
        <v>0.06</v>
      </c>
      <c r="H2957">
        <f>F2957*VLOOKUP(B2957,產品!$A$2:$H$61,7,FALSE)*(1-銷售總表!G2957)</f>
        <v>169200</v>
      </c>
      <c r="I2957" s="35">
        <f>H2957-F2957*VLOOKUP(銷售總表!B2957,產品!$A$2:$H$61,8,FALSE)</f>
        <v>97200</v>
      </c>
      <c r="J2957" s="20">
        <f t="shared" si="46"/>
        <v>0.57446808510638303</v>
      </c>
    </row>
    <row r="2958" spans="1:10" x14ac:dyDescent="0.3">
      <c r="A2958" s="33">
        <v>2957</v>
      </c>
      <c r="B2958" s="4">
        <v>9</v>
      </c>
      <c r="C2958" s="15">
        <v>263</v>
      </c>
      <c r="D2958" s="16">
        <v>7</v>
      </c>
      <c r="E2958" s="22">
        <v>44481</v>
      </c>
      <c r="F2958" s="17">
        <v>10</v>
      </c>
      <c r="G2958" s="18">
        <v>0.05</v>
      </c>
      <c r="H2958">
        <f>F2958*VLOOKUP(B2958,產品!$A$2:$H$61,7,FALSE)*(1-銷售總表!G2958)</f>
        <v>9500</v>
      </c>
      <c r="I2958" s="35">
        <f>H2958-F2958*VLOOKUP(銷售總表!B2958,產品!$A$2:$H$61,8,FALSE)</f>
        <v>5500</v>
      </c>
      <c r="J2958" s="20">
        <f t="shared" si="46"/>
        <v>0.57894736842105265</v>
      </c>
    </row>
    <row r="2959" spans="1:10" x14ac:dyDescent="0.3">
      <c r="A2959" s="33">
        <v>2958</v>
      </c>
      <c r="B2959" s="4">
        <v>50</v>
      </c>
      <c r="C2959" s="15">
        <v>258</v>
      </c>
      <c r="D2959" s="16">
        <v>7</v>
      </c>
      <c r="E2959" s="22">
        <v>44481</v>
      </c>
      <c r="F2959" s="19">
        <v>4</v>
      </c>
      <c r="G2959" s="18">
        <v>0.2</v>
      </c>
      <c r="H2959">
        <f>F2959*VLOOKUP(B2959,產品!$A$2:$H$61,7,FALSE)*(1-銷售總表!G2959)</f>
        <v>57600</v>
      </c>
      <c r="I2959" s="35">
        <f>H2959-F2959*VLOOKUP(銷售總表!B2959,產品!$A$2:$H$61,8,FALSE)</f>
        <v>7200</v>
      </c>
      <c r="J2959" s="20">
        <f t="shared" si="46"/>
        <v>0.125</v>
      </c>
    </row>
    <row r="2960" spans="1:10" x14ac:dyDescent="0.3">
      <c r="A2960" s="33">
        <v>2959</v>
      </c>
      <c r="B2960" s="4">
        <v>39</v>
      </c>
      <c r="C2960" s="15">
        <v>258</v>
      </c>
      <c r="D2960" s="16">
        <v>5</v>
      </c>
      <c r="E2960" s="22">
        <v>44481</v>
      </c>
      <c r="F2960" s="19">
        <v>2</v>
      </c>
      <c r="G2960" s="18">
        <v>0.1</v>
      </c>
      <c r="H2960">
        <f>F2960*VLOOKUP(B2960,產品!$A$2:$H$61,7,FALSE)*(1-銷售總表!G2960)</f>
        <v>32400</v>
      </c>
      <c r="I2960" s="35">
        <f>H2960-F2960*VLOOKUP(銷售總表!B2960,產品!$A$2:$H$61,8,FALSE)</f>
        <v>9000</v>
      </c>
      <c r="J2960" s="20">
        <f t="shared" si="46"/>
        <v>0.27777777777777779</v>
      </c>
    </row>
    <row r="2961" spans="1:10" x14ac:dyDescent="0.3">
      <c r="A2961" s="33">
        <v>2960</v>
      </c>
      <c r="B2961" s="4">
        <v>26</v>
      </c>
      <c r="C2961" s="15">
        <v>267</v>
      </c>
      <c r="D2961" s="16">
        <v>2</v>
      </c>
      <c r="E2961" s="22">
        <v>44481</v>
      </c>
      <c r="F2961" s="19">
        <v>6</v>
      </c>
      <c r="G2961" s="18">
        <v>0.16</v>
      </c>
      <c r="H2961">
        <f>F2961*VLOOKUP(B2961,產品!$A$2:$H$61,7,FALSE)*(1-銷售總表!G2961)</f>
        <v>32760</v>
      </c>
      <c r="I2961" s="35">
        <f>H2961-F2961*VLOOKUP(銷售總表!B2961,產品!$A$2:$H$61,8,FALSE)</f>
        <v>9360</v>
      </c>
      <c r="J2961" s="20">
        <f t="shared" si="46"/>
        <v>0.2857142857142857</v>
      </c>
    </row>
    <row r="2962" spans="1:10" x14ac:dyDescent="0.3">
      <c r="A2962" s="33">
        <v>2961</v>
      </c>
      <c r="B2962" s="4">
        <v>48</v>
      </c>
      <c r="C2962" s="15">
        <v>126</v>
      </c>
      <c r="D2962" s="16">
        <v>2</v>
      </c>
      <c r="E2962" s="22">
        <v>44481</v>
      </c>
      <c r="F2962" s="19">
        <v>2</v>
      </c>
      <c r="G2962" s="18">
        <v>0.11</v>
      </c>
      <c r="H2962">
        <f>F2962*VLOOKUP(B2962,產品!$A$2:$H$61,7,FALSE)*(1-銷售總表!G2962)</f>
        <v>39160</v>
      </c>
      <c r="I2962" s="35">
        <f>H2962-F2962*VLOOKUP(銷售總表!B2962,產品!$A$2:$H$61,8,FALSE)</f>
        <v>10560</v>
      </c>
      <c r="J2962" s="20">
        <f t="shared" si="46"/>
        <v>0.2696629213483146</v>
      </c>
    </row>
    <row r="2963" spans="1:10" x14ac:dyDescent="0.3">
      <c r="A2963" s="33">
        <v>2962</v>
      </c>
      <c r="B2963" s="4">
        <v>58</v>
      </c>
      <c r="C2963" s="15">
        <v>12</v>
      </c>
      <c r="D2963" s="16">
        <v>2</v>
      </c>
      <c r="E2963" s="22">
        <v>44481</v>
      </c>
      <c r="F2963" s="19">
        <v>5</v>
      </c>
      <c r="G2963" s="18">
        <v>0.19</v>
      </c>
      <c r="H2963">
        <f>F2963*VLOOKUP(B2963,產品!$A$2:$H$61,7,FALSE)*(1-銷售總表!G2963)</f>
        <v>85050</v>
      </c>
      <c r="I2963" s="35">
        <f>H2963-F2963*VLOOKUP(銷售總表!B2963,產品!$A$2:$H$61,8,FALSE)</f>
        <v>11550.000000000015</v>
      </c>
      <c r="J2963" s="20">
        <f t="shared" si="46"/>
        <v>0.13580246913580263</v>
      </c>
    </row>
    <row r="2964" spans="1:10" x14ac:dyDescent="0.3">
      <c r="A2964" s="33">
        <v>2963</v>
      </c>
      <c r="B2964" s="4">
        <v>27</v>
      </c>
      <c r="C2964" s="15">
        <v>4</v>
      </c>
      <c r="D2964" s="16">
        <v>9</v>
      </c>
      <c r="E2964" s="22">
        <v>44481</v>
      </c>
      <c r="F2964" s="19">
        <v>8</v>
      </c>
      <c r="G2964" s="18">
        <v>0.14000000000000001</v>
      </c>
      <c r="H2964">
        <f>F2964*VLOOKUP(B2964,產品!$A$2:$H$61,7,FALSE)*(1-銷售總表!G2964)</f>
        <v>48160</v>
      </c>
      <c r="I2964" s="35">
        <f>H2964-F2964*VLOOKUP(銷售總表!B2964,產品!$A$2:$H$61,8,FALSE)</f>
        <v>14560</v>
      </c>
      <c r="J2964" s="20">
        <f t="shared" si="46"/>
        <v>0.30232558139534882</v>
      </c>
    </row>
    <row r="2965" spans="1:10" x14ac:dyDescent="0.3">
      <c r="A2965" s="33">
        <v>2964</v>
      </c>
      <c r="B2965" s="4">
        <v>2</v>
      </c>
      <c r="C2965" s="15">
        <v>284</v>
      </c>
      <c r="D2965" s="16">
        <v>10</v>
      </c>
      <c r="E2965" s="22">
        <v>44481</v>
      </c>
      <c r="F2965" s="19">
        <v>30</v>
      </c>
      <c r="G2965" s="18">
        <v>0.09</v>
      </c>
      <c r="H2965">
        <f>F2965*VLOOKUP(B2965,產品!$A$2:$H$61,7,FALSE)*(1-銷售總表!G2965)</f>
        <v>27300</v>
      </c>
      <c r="I2965" s="35">
        <f>H2965-F2965*VLOOKUP(銷售總表!B2965,產品!$A$2:$H$61,8,FALSE)</f>
        <v>15300</v>
      </c>
      <c r="J2965" s="20">
        <f t="shared" si="46"/>
        <v>0.56043956043956045</v>
      </c>
    </row>
    <row r="2966" spans="1:10" x14ac:dyDescent="0.3">
      <c r="A2966" s="33">
        <v>2965</v>
      </c>
      <c r="B2966" s="4">
        <v>48</v>
      </c>
      <c r="C2966" s="15">
        <v>280</v>
      </c>
      <c r="D2966" s="16">
        <v>9</v>
      </c>
      <c r="E2966" s="22">
        <v>44481</v>
      </c>
      <c r="F2966" s="19">
        <v>7</v>
      </c>
      <c r="G2966" s="18">
        <v>0.1</v>
      </c>
      <c r="H2966">
        <f>F2966*VLOOKUP(B2966,產品!$A$2:$H$61,7,FALSE)*(1-銷售總表!G2966)</f>
        <v>138600</v>
      </c>
      <c r="I2966" s="35">
        <f>H2966-F2966*VLOOKUP(銷售總表!B2966,產品!$A$2:$H$61,8,FALSE)</f>
        <v>38500</v>
      </c>
      <c r="J2966" s="20">
        <f t="shared" si="46"/>
        <v>0.27777777777777779</v>
      </c>
    </row>
    <row r="2967" spans="1:10" x14ac:dyDescent="0.3">
      <c r="A2967" s="33">
        <v>2966</v>
      </c>
      <c r="B2967" s="4">
        <v>51</v>
      </c>
      <c r="C2967" s="15">
        <v>7</v>
      </c>
      <c r="D2967" s="16">
        <v>7</v>
      </c>
      <c r="E2967" s="22">
        <v>44482</v>
      </c>
      <c r="F2967" s="17">
        <v>10</v>
      </c>
      <c r="G2967" s="18">
        <v>0.12</v>
      </c>
      <c r="H2967">
        <f>F2967*VLOOKUP(B2967,產品!$A$2:$H$61,7,FALSE)*(1-銷售總表!G2967)</f>
        <v>176000</v>
      </c>
      <c r="I2967" s="35">
        <f>H2967-F2967*VLOOKUP(銷售總表!B2967,產品!$A$2:$H$61,8,FALSE)</f>
        <v>36000</v>
      </c>
      <c r="J2967" s="20">
        <f t="shared" si="46"/>
        <v>0.20454545454545456</v>
      </c>
    </row>
    <row r="2968" spans="1:10" x14ac:dyDescent="0.3">
      <c r="A2968" s="33">
        <v>2967</v>
      </c>
      <c r="B2968" s="4">
        <v>7</v>
      </c>
      <c r="C2968" s="15">
        <v>1</v>
      </c>
      <c r="D2968" s="16">
        <v>4</v>
      </c>
      <c r="E2968" s="22">
        <v>44482</v>
      </c>
      <c r="F2968" s="19">
        <v>20</v>
      </c>
      <c r="G2968" s="18">
        <v>0.16</v>
      </c>
      <c r="H2968">
        <f>F2968*VLOOKUP(B2968,產品!$A$2:$H$61,7,FALSE)*(1-銷售總表!G2968)</f>
        <v>16800</v>
      </c>
      <c r="I2968" s="35">
        <f>H2968-F2968*VLOOKUP(銷售總表!B2968,產品!$A$2:$H$61,8,FALSE)</f>
        <v>8800</v>
      </c>
      <c r="J2968" s="20">
        <f t="shared" si="46"/>
        <v>0.52380952380952384</v>
      </c>
    </row>
    <row r="2969" spans="1:10" x14ac:dyDescent="0.3">
      <c r="A2969" s="33">
        <v>2968</v>
      </c>
      <c r="B2969" s="4">
        <v>1</v>
      </c>
      <c r="C2969" s="15">
        <v>7</v>
      </c>
      <c r="D2969" s="16">
        <v>9</v>
      </c>
      <c r="E2969" s="22">
        <v>44482</v>
      </c>
      <c r="F2969" s="17">
        <v>20</v>
      </c>
      <c r="G2969" s="18">
        <v>0.06</v>
      </c>
      <c r="H2969">
        <f>F2969*VLOOKUP(B2969,產品!$A$2:$H$61,7,FALSE)*(1-銷售總表!G2969)</f>
        <v>18800</v>
      </c>
      <c r="I2969" s="35">
        <f>H2969-F2969*VLOOKUP(銷售總表!B2969,產品!$A$2:$H$61,8,FALSE)</f>
        <v>10800</v>
      </c>
      <c r="J2969" s="20">
        <f t="shared" si="46"/>
        <v>0.57446808510638303</v>
      </c>
    </row>
    <row r="2970" spans="1:10" x14ac:dyDescent="0.3">
      <c r="A2970" s="33">
        <v>2969</v>
      </c>
      <c r="B2970" s="4">
        <v>29</v>
      </c>
      <c r="C2970" s="15">
        <v>266</v>
      </c>
      <c r="D2970" s="16">
        <v>9</v>
      </c>
      <c r="E2970" s="22">
        <v>44482</v>
      </c>
      <c r="F2970" s="17">
        <v>8</v>
      </c>
      <c r="G2970" s="18">
        <v>0.08</v>
      </c>
      <c r="H2970">
        <f>F2970*VLOOKUP(B2970,產品!$A$2:$H$61,7,FALSE)*(1-銷售總表!G2970)</f>
        <v>44160</v>
      </c>
      <c r="I2970" s="35">
        <f>H2970-F2970*VLOOKUP(銷售總表!B2970,產品!$A$2:$H$61,8,FALSE)</f>
        <v>15360</v>
      </c>
      <c r="J2970" s="20">
        <f t="shared" si="46"/>
        <v>0.34782608695652173</v>
      </c>
    </row>
    <row r="2971" spans="1:10" x14ac:dyDescent="0.3">
      <c r="A2971" s="33">
        <v>2970</v>
      </c>
      <c r="B2971" s="4">
        <v>53</v>
      </c>
      <c r="C2971" s="15">
        <v>276</v>
      </c>
      <c r="D2971" s="16">
        <v>10</v>
      </c>
      <c r="E2971" s="22">
        <v>44482</v>
      </c>
      <c r="F2971" s="17">
        <v>8</v>
      </c>
      <c r="G2971" s="18">
        <v>0.05</v>
      </c>
      <c r="H2971">
        <f>F2971*VLOOKUP(B2971,產品!$A$2:$H$61,7,FALSE)*(1-銷售總表!G2971)</f>
        <v>114000</v>
      </c>
      <c r="I2971" s="35">
        <f>H2971-F2971*VLOOKUP(銷售總表!B2971,產品!$A$2:$H$61,8,FALSE)</f>
        <v>30000</v>
      </c>
      <c r="J2971" s="20">
        <f t="shared" si="46"/>
        <v>0.26315789473684209</v>
      </c>
    </row>
    <row r="2972" spans="1:10" x14ac:dyDescent="0.3">
      <c r="A2972" s="33">
        <v>2971</v>
      </c>
      <c r="B2972" s="4">
        <v>13</v>
      </c>
      <c r="C2972" s="15">
        <v>119</v>
      </c>
      <c r="D2972" s="16">
        <v>5</v>
      </c>
      <c r="E2972" s="22">
        <v>44482</v>
      </c>
      <c r="F2972" s="17">
        <v>40</v>
      </c>
      <c r="G2972" s="18">
        <v>0.12</v>
      </c>
      <c r="H2972">
        <f>F2972*VLOOKUP(B2972,產品!$A$2:$H$61,7,FALSE)*(1-銷售總表!G2972)</f>
        <v>63360</v>
      </c>
      <c r="I2972" s="35">
        <f>H2972-F2972*VLOOKUP(銷售總表!B2972,產品!$A$2:$H$61,8,FALSE)</f>
        <v>34560</v>
      </c>
      <c r="J2972" s="20">
        <f t="shared" si="46"/>
        <v>0.54545454545454541</v>
      </c>
    </row>
    <row r="2973" spans="1:10" x14ac:dyDescent="0.3">
      <c r="A2973" s="33">
        <v>2972</v>
      </c>
      <c r="B2973" s="4">
        <v>21</v>
      </c>
      <c r="C2973" s="15">
        <v>5</v>
      </c>
      <c r="D2973" s="16">
        <v>6</v>
      </c>
      <c r="E2973" s="22">
        <v>44482</v>
      </c>
      <c r="F2973" s="19">
        <v>42</v>
      </c>
      <c r="G2973" s="18">
        <v>0.1</v>
      </c>
      <c r="H2973">
        <f>F2973*VLOOKUP(B2973,產品!$A$2:$H$61,7,FALSE)*(1-銷售總表!G2973)</f>
        <v>68040</v>
      </c>
      <c r="I2973" s="35">
        <f>H2973-F2973*VLOOKUP(銷售總表!B2973,產品!$A$2:$H$61,8,FALSE)</f>
        <v>37800</v>
      </c>
      <c r="J2973" s="20">
        <f t="shared" si="46"/>
        <v>0.55555555555555558</v>
      </c>
    </row>
    <row r="2974" spans="1:10" x14ac:dyDescent="0.3">
      <c r="A2974" s="33">
        <v>2973</v>
      </c>
      <c r="B2974" s="4">
        <v>17</v>
      </c>
      <c r="C2974" s="15">
        <v>2</v>
      </c>
      <c r="D2974" s="16">
        <v>6</v>
      </c>
      <c r="E2974" s="22">
        <v>44482</v>
      </c>
      <c r="F2974" s="19">
        <v>70</v>
      </c>
      <c r="G2974" s="18">
        <v>0.11</v>
      </c>
      <c r="H2974">
        <f>F2974*VLOOKUP(B2974,產品!$A$2:$H$61,7,FALSE)*(1-銷售總表!G2974)</f>
        <v>112140</v>
      </c>
      <c r="I2974" s="35">
        <f>H2974-F2974*VLOOKUP(銷售總表!B2974,產品!$A$2:$H$61,8,FALSE)</f>
        <v>61740</v>
      </c>
      <c r="J2974" s="20">
        <f t="shared" si="46"/>
        <v>0.550561797752809</v>
      </c>
    </row>
    <row r="2975" spans="1:10" x14ac:dyDescent="0.3">
      <c r="A2975" s="33">
        <v>2974</v>
      </c>
      <c r="B2975" s="4">
        <v>46</v>
      </c>
      <c r="C2975" s="15">
        <v>276</v>
      </c>
      <c r="D2975" s="16">
        <v>5</v>
      </c>
      <c r="E2975" s="22">
        <v>44483</v>
      </c>
      <c r="F2975" s="19">
        <v>2</v>
      </c>
      <c r="G2975" s="18">
        <v>0.14000000000000001</v>
      </c>
      <c r="H2975">
        <f>F2975*VLOOKUP(B2975,產品!$A$2:$H$61,7,FALSE)*(1-銷售總表!G2975)</f>
        <v>29240</v>
      </c>
      <c r="I2975" s="35">
        <f>H2975-F2975*VLOOKUP(銷售總表!B2975,產品!$A$2:$H$61,8,FALSE)</f>
        <v>7140</v>
      </c>
      <c r="J2975" s="20">
        <f t="shared" si="46"/>
        <v>0.2441860465116279</v>
      </c>
    </row>
    <row r="2976" spans="1:10" x14ac:dyDescent="0.3">
      <c r="A2976" s="33">
        <v>2975</v>
      </c>
      <c r="B2976" s="4">
        <v>7</v>
      </c>
      <c r="C2976" s="15">
        <v>6</v>
      </c>
      <c r="D2976" s="16">
        <v>5</v>
      </c>
      <c r="E2976" s="22">
        <v>44483</v>
      </c>
      <c r="F2976" s="19">
        <v>20</v>
      </c>
      <c r="G2976" s="18">
        <v>0.18</v>
      </c>
      <c r="H2976">
        <f>F2976*VLOOKUP(B2976,產品!$A$2:$H$61,7,FALSE)*(1-銷售總表!G2976)</f>
        <v>16400</v>
      </c>
      <c r="I2976" s="35">
        <f>H2976-F2976*VLOOKUP(銷售總表!B2976,產品!$A$2:$H$61,8,FALSE)</f>
        <v>8400</v>
      </c>
      <c r="J2976" s="20">
        <f t="shared" si="46"/>
        <v>0.51219512195121952</v>
      </c>
    </row>
    <row r="2977" spans="1:10" x14ac:dyDescent="0.3">
      <c r="A2977" s="33">
        <v>2976</v>
      </c>
      <c r="B2977" s="4">
        <v>5</v>
      </c>
      <c r="C2977" s="15">
        <v>126</v>
      </c>
      <c r="D2977" s="16">
        <v>6</v>
      </c>
      <c r="E2977" s="22">
        <v>44483</v>
      </c>
      <c r="F2977" s="19">
        <v>30</v>
      </c>
      <c r="G2977" s="18">
        <v>0.19</v>
      </c>
      <c r="H2977">
        <f>F2977*VLOOKUP(B2977,產品!$A$2:$H$61,7,FALSE)*(1-銷售總表!G2977)</f>
        <v>24300</v>
      </c>
      <c r="I2977" s="35">
        <f>H2977-F2977*VLOOKUP(銷售總表!B2977,產品!$A$2:$H$61,8,FALSE)</f>
        <v>12300</v>
      </c>
      <c r="J2977" s="20">
        <f t="shared" si="46"/>
        <v>0.50617283950617287</v>
      </c>
    </row>
    <row r="2978" spans="1:10" x14ac:dyDescent="0.3">
      <c r="A2978" s="33">
        <v>2977</v>
      </c>
      <c r="B2978" s="4">
        <v>59</v>
      </c>
      <c r="C2978" s="15">
        <v>125</v>
      </c>
      <c r="D2978" s="16">
        <v>2</v>
      </c>
      <c r="E2978" s="22">
        <v>44483</v>
      </c>
      <c r="F2978" s="19">
        <v>8</v>
      </c>
      <c r="G2978" s="18">
        <v>0.17</v>
      </c>
      <c r="H2978">
        <f>F2978*VLOOKUP(B2978,產品!$A$2:$H$61,7,FALSE)*(1-銷售總表!G2978)</f>
        <v>159360</v>
      </c>
      <c r="I2978" s="35">
        <f>H2978-F2978*VLOOKUP(銷售總表!B2978,產品!$A$2:$H$61,8,FALSE)</f>
        <v>24960</v>
      </c>
      <c r="J2978" s="20">
        <f t="shared" si="46"/>
        <v>0.15662650602409639</v>
      </c>
    </row>
    <row r="2979" spans="1:10" x14ac:dyDescent="0.3">
      <c r="A2979" s="33">
        <v>2978</v>
      </c>
      <c r="B2979" s="4">
        <v>4</v>
      </c>
      <c r="C2979" s="15">
        <v>264</v>
      </c>
      <c r="D2979" s="16">
        <v>10</v>
      </c>
      <c r="E2979" s="22">
        <v>44483</v>
      </c>
      <c r="F2979" s="17">
        <v>60</v>
      </c>
      <c r="G2979" s="18">
        <v>0.18</v>
      </c>
      <c r="H2979">
        <f>F2979*VLOOKUP(B2979,產品!$A$2:$H$61,7,FALSE)*(1-銷售總表!G2979)</f>
        <v>49200.000000000007</v>
      </c>
      <c r="I2979" s="35">
        <f>H2979-F2979*VLOOKUP(銷售總表!B2979,產品!$A$2:$H$61,8,FALSE)</f>
        <v>25200.000000000007</v>
      </c>
      <c r="J2979" s="20">
        <f t="shared" si="46"/>
        <v>0.51219512195121963</v>
      </c>
    </row>
    <row r="2980" spans="1:10" x14ac:dyDescent="0.3">
      <c r="A2980" s="33">
        <v>2979</v>
      </c>
      <c r="B2980" s="4">
        <v>19</v>
      </c>
      <c r="C2980" s="15">
        <v>139</v>
      </c>
      <c r="D2980" s="16">
        <v>5</v>
      </c>
      <c r="E2980" s="22">
        <v>44483</v>
      </c>
      <c r="F2980" s="19">
        <v>30</v>
      </c>
      <c r="G2980" s="18">
        <v>0.08</v>
      </c>
      <c r="H2980">
        <f>F2980*VLOOKUP(B2980,產品!$A$2:$H$61,7,FALSE)*(1-銷售總表!G2980)</f>
        <v>49680</v>
      </c>
      <c r="I2980" s="35">
        <f>H2980-F2980*VLOOKUP(銷售總表!B2980,產品!$A$2:$H$61,8,FALSE)</f>
        <v>28080</v>
      </c>
      <c r="J2980" s="20">
        <f t="shared" si="46"/>
        <v>0.56521739130434778</v>
      </c>
    </row>
    <row r="2981" spans="1:10" x14ac:dyDescent="0.3">
      <c r="A2981" s="33">
        <v>2980</v>
      </c>
      <c r="B2981" s="4">
        <v>38</v>
      </c>
      <c r="C2981" s="15">
        <v>140</v>
      </c>
      <c r="D2981" s="16">
        <v>9</v>
      </c>
      <c r="E2981" s="22">
        <v>44483</v>
      </c>
      <c r="F2981" s="17">
        <v>11</v>
      </c>
      <c r="G2981" s="18">
        <v>0.13</v>
      </c>
      <c r="H2981">
        <f>F2981*VLOOKUP(B2981,產品!$A$2:$H$61,7,FALSE)*(1-銷售總表!G2981)</f>
        <v>143550</v>
      </c>
      <c r="I2981" s="35">
        <f>H2981-F2981*VLOOKUP(銷售總表!B2981,產品!$A$2:$H$61,8,FALSE)</f>
        <v>36300</v>
      </c>
      <c r="J2981" s="20">
        <f t="shared" si="46"/>
        <v>0.25287356321839083</v>
      </c>
    </row>
    <row r="2982" spans="1:10" x14ac:dyDescent="0.3">
      <c r="A2982" s="33">
        <v>2981</v>
      </c>
      <c r="B2982" s="4">
        <v>14</v>
      </c>
      <c r="C2982" s="15">
        <v>123</v>
      </c>
      <c r="D2982" s="16">
        <v>1</v>
      </c>
      <c r="E2982" s="22">
        <v>44483</v>
      </c>
      <c r="F2982" s="17">
        <v>60</v>
      </c>
      <c r="G2982" s="18">
        <v>0.13</v>
      </c>
      <c r="H2982">
        <f>F2982*VLOOKUP(B2982,產品!$A$2:$H$61,7,FALSE)*(1-銷售總表!G2982)</f>
        <v>93960</v>
      </c>
      <c r="I2982" s="35">
        <f>H2982-F2982*VLOOKUP(銷售總表!B2982,產品!$A$2:$H$61,8,FALSE)</f>
        <v>50760</v>
      </c>
      <c r="J2982" s="20">
        <f t="shared" si="46"/>
        <v>0.54022988505747127</v>
      </c>
    </row>
    <row r="2983" spans="1:10" x14ac:dyDescent="0.3">
      <c r="A2983" s="33">
        <v>2982</v>
      </c>
      <c r="B2983" s="4">
        <v>51</v>
      </c>
      <c r="C2983" s="15">
        <v>9</v>
      </c>
      <c r="D2983" s="16">
        <v>1</v>
      </c>
      <c r="E2983" s="22">
        <v>44483</v>
      </c>
      <c r="F2983" s="19">
        <v>15</v>
      </c>
      <c r="G2983" s="18">
        <v>0.08</v>
      </c>
      <c r="H2983">
        <f>F2983*VLOOKUP(B2983,產品!$A$2:$H$61,7,FALSE)*(1-銷售總表!G2983)</f>
        <v>276000</v>
      </c>
      <c r="I2983" s="35">
        <f>H2983-F2983*VLOOKUP(銷售總表!B2983,產品!$A$2:$H$61,8,FALSE)</f>
        <v>66000</v>
      </c>
      <c r="J2983" s="20">
        <f t="shared" si="46"/>
        <v>0.2391304347826087</v>
      </c>
    </row>
    <row r="2984" spans="1:10" x14ac:dyDescent="0.3">
      <c r="A2984" s="33">
        <v>2983</v>
      </c>
      <c r="B2984" s="4">
        <v>21</v>
      </c>
      <c r="C2984" s="15">
        <v>10</v>
      </c>
      <c r="D2984" s="16">
        <v>5</v>
      </c>
      <c r="E2984" s="22">
        <v>44483</v>
      </c>
      <c r="F2984" s="19">
        <v>105</v>
      </c>
      <c r="G2984" s="18">
        <v>0.1</v>
      </c>
      <c r="H2984">
        <f>F2984*VLOOKUP(B2984,產品!$A$2:$H$61,7,FALSE)*(1-銷售總表!G2984)</f>
        <v>170100</v>
      </c>
      <c r="I2984" s="35">
        <f>H2984-F2984*VLOOKUP(銷售總表!B2984,產品!$A$2:$H$61,8,FALSE)</f>
        <v>94500</v>
      </c>
      <c r="J2984" s="20">
        <f t="shared" si="46"/>
        <v>0.55555555555555558</v>
      </c>
    </row>
    <row r="2985" spans="1:10" x14ac:dyDescent="0.3">
      <c r="A2985" s="33">
        <v>2984</v>
      </c>
      <c r="B2985" s="4">
        <v>34</v>
      </c>
      <c r="C2985" s="15">
        <v>10</v>
      </c>
      <c r="D2985" s="16">
        <v>10</v>
      </c>
      <c r="E2985" s="22">
        <v>44484</v>
      </c>
      <c r="F2985" s="19">
        <v>11</v>
      </c>
      <c r="G2985" s="18">
        <v>0.16</v>
      </c>
      <c r="H2985">
        <f>F2985*VLOOKUP(B2985,產品!$A$2:$H$61,7,FALSE)*(1-銷售總表!G2985)</f>
        <v>73920</v>
      </c>
      <c r="I2985" s="35">
        <f>H2985-F2985*VLOOKUP(銷售總表!B2985,產品!$A$2:$H$61,8,FALSE)</f>
        <v>21120</v>
      </c>
      <c r="J2985" s="20">
        <f t="shared" si="46"/>
        <v>0.2857142857142857</v>
      </c>
    </row>
    <row r="2986" spans="1:10" x14ac:dyDescent="0.3">
      <c r="A2986" s="33">
        <v>2985</v>
      </c>
      <c r="B2986" s="4">
        <v>25</v>
      </c>
      <c r="C2986" s="15">
        <v>7</v>
      </c>
      <c r="D2986" s="16">
        <v>10</v>
      </c>
      <c r="E2986" s="22">
        <v>44484</v>
      </c>
      <c r="F2986" s="17">
        <v>25</v>
      </c>
      <c r="G2986" s="18">
        <v>0.09</v>
      </c>
      <c r="H2986">
        <f>F2986*VLOOKUP(B2986,產品!$A$2:$H$61,7,FALSE)*(1-銷售總表!G2986)</f>
        <v>136500</v>
      </c>
      <c r="I2986" s="35">
        <f>H2986-F2986*VLOOKUP(銷售總表!B2986,產品!$A$2:$H$61,8,FALSE)</f>
        <v>46500</v>
      </c>
      <c r="J2986" s="20">
        <f t="shared" si="46"/>
        <v>0.34065934065934067</v>
      </c>
    </row>
    <row r="2987" spans="1:10" x14ac:dyDescent="0.3">
      <c r="A2987" s="33">
        <v>2986</v>
      </c>
      <c r="B2987" s="4">
        <v>15</v>
      </c>
      <c r="C2987" s="15">
        <v>116</v>
      </c>
      <c r="D2987" s="16">
        <v>2</v>
      </c>
      <c r="E2987" s="22">
        <v>44484</v>
      </c>
      <c r="F2987" s="19">
        <v>60</v>
      </c>
      <c r="G2987" s="18">
        <v>0.14000000000000001</v>
      </c>
      <c r="H2987">
        <f>F2987*VLOOKUP(B2987,產品!$A$2:$H$61,7,FALSE)*(1-銷售總表!G2987)</f>
        <v>92880</v>
      </c>
      <c r="I2987" s="35">
        <f>H2987-F2987*VLOOKUP(銷售總表!B2987,產品!$A$2:$H$61,8,FALSE)</f>
        <v>49680</v>
      </c>
      <c r="J2987" s="20">
        <f t="shared" si="46"/>
        <v>0.53488372093023251</v>
      </c>
    </row>
    <row r="2988" spans="1:10" x14ac:dyDescent="0.3">
      <c r="A2988" s="33">
        <v>2987</v>
      </c>
      <c r="B2988" s="4">
        <v>15</v>
      </c>
      <c r="C2988" s="15">
        <v>12</v>
      </c>
      <c r="D2988" s="16">
        <v>4</v>
      </c>
      <c r="E2988" s="22">
        <v>44484</v>
      </c>
      <c r="F2988" s="17">
        <v>60</v>
      </c>
      <c r="G2988" s="18">
        <v>0.05</v>
      </c>
      <c r="H2988">
        <f>F2988*VLOOKUP(B2988,產品!$A$2:$H$61,7,FALSE)*(1-銷售總表!G2988)</f>
        <v>102600</v>
      </c>
      <c r="I2988" s="35">
        <f>H2988-F2988*VLOOKUP(銷售總表!B2988,產品!$A$2:$H$61,8,FALSE)</f>
        <v>59400</v>
      </c>
      <c r="J2988" s="20">
        <f t="shared" si="46"/>
        <v>0.57894736842105265</v>
      </c>
    </row>
    <row r="2989" spans="1:10" x14ac:dyDescent="0.3">
      <c r="A2989" s="33">
        <v>2988</v>
      </c>
      <c r="B2989" s="4">
        <v>45</v>
      </c>
      <c r="C2989" s="15">
        <v>286</v>
      </c>
      <c r="D2989" s="16">
        <v>6</v>
      </c>
      <c r="E2989" s="22">
        <v>44485</v>
      </c>
      <c r="F2989" s="19">
        <v>4</v>
      </c>
      <c r="G2989" s="18">
        <v>0.1</v>
      </c>
      <c r="H2989">
        <f>F2989*VLOOKUP(B2989,產品!$A$2:$H$61,7,FALSE)*(1-銷售總表!G2989)</f>
        <v>50400</v>
      </c>
      <c r="I2989" s="35">
        <f>H2989-F2989*VLOOKUP(銷售總表!B2989,產品!$A$2:$H$61,8,FALSE)</f>
        <v>14000</v>
      </c>
      <c r="J2989" s="20">
        <f t="shared" si="46"/>
        <v>0.27777777777777779</v>
      </c>
    </row>
    <row r="2990" spans="1:10" x14ac:dyDescent="0.3">
      <c r="A2990" s="33">
        <v>2989</v>
      </c>
      <c r="B2990" s="4">
        <v>27</v>
      </c>
      <c r="C2990" s="15">
        <v>115</v>
      </c>
      <c r="D2990" s="16">
        <v>5</v>
      </c>
      <c r="E2990" s="22">
        <v>44485</v>
      </c>
      <c r="F2990" s="17">
        <v>7</v>
      </c>
      <c r="G2990" s="18">
        <v>0.08</v>
      </c>
      <c r="H2990">
        <f>F2990*VLOOKUP(B2990,產品!$A$2:$H$61,7,FALSE)*(1-銷售總表!G2990)</f>
        <v>45080</v>
      </c>
      <c r="I2990" s="35">
        <f>H2990-F2990*VLOOKUP(銷售總表!B2990,產品!$A$2:$H$61,8,FALSE)</f>
        <v>15680</v>
      </c>
      <c r="J2990" s="20">
        <f t="shared" si="46"/>
        <v>0.34782608695652173</v>
      </c>
    </row>
    <row r="2991" spans="1:10" x14ac:dyDescent="0.3">
      <c r="A2991" s="33">
        <v>2990</v>
      </c>
      <c r="B2991" s="4">
        <v>3</v>
      </c>
      <c r="C2991" s="15">
        <v>268</v>
      </c>
      <c r="D2991" s="16">
        <v>4</v>
      </c>
      <c r="E2991" s="22">
        <v>44485</v>
      </c>
      <c r="F2991" s="19">
        <v>40</v>
      </c>
      <c r="G2991" s="18">
        <v>0.1</v>
      </c>
      <c r="H2991">
        <f>F2991*VLOOKUP(B2991,產品!$A$2:$H$61,7,FALSE)*(1-銷售總表!G2991)</f>
        <v>36000</v>
      </c>
      <c r="I2991" s="35">
        <f>H2991-F2991*VLOOKUP(銷售總表!B2991,產品!$A$2:$H$61,8,FALSE)</f>
        <v>20000</v>
      </c>
      <c r="J2991" s="20">
        <f t="shared" si="46"/>
        <v>0.55555555555555558</v>
      </c>
    </row>
    <row r="2992" spans="1:10" x14ac:dyDescent="0.3">
      <c r="A2992" s="33">
        <v>2991</v>
      </c>
      <c r="B2992" s="4">
        <v>41</v>
      </c>
      <c r="C2992" s="15">
        <v>5</v>
      </c>
      <c r="D2992" s="16">
        <v>10</v>
      </c>
      <c r="E2992" s="22">
        <v>44485</v>
      </c>
      <c r="F2992" s="19">
        <v>18</v>
      </c>
      <c r="G2992" s="18">
        <v>0.18</v>
      </c>
      <c r="H2992">
        <f>F2992*VLOOKUP(B2992,產品!$A$2:$H$61,7,FALSE)*(1-銷售總表!G2992)</f>
        <v>177120</v>
      </c>
      <c r="I2992" s="35">
        <f>H2992-F2992*VLOOKUP(銷售總表!B2992,產品!$A$2:$H$61,8,FALSE)</f>
        <v>36720</v>
      </c>
      <c r="J2992" s="20">
        <f t="shared" si="46"/>
        <v>0.2073170731707317</v>
      </c>
    </row>
    <row r="2993" spans="1:10" x14ac:dyDescent="0.3">
      <c r="A2993" s="33">
        <v>2992</v>
      </c>
      <c r="B2993" s="4">
        <v>56</v>
      </c>
      <c r="C2993" s="15">
        <v>265</v>
      </c>
      <c r="D2993" s="16">
        <v>6</v>
      </c>
      <c r="E2993" s="22">
        <v>44485</v>
      </c>
      <c r="F2993" s="19">
        <v>11</v>
      </c>
      <c r="G2993" s="18">
        <v>7.0000000000000007E-2</v>
      </c>
      <c r="H2993">
        <f>F2993*VLOOKUP(B2993,產品!$A$2:$H$61,7,FALSE)*(1-銷售總表!G2993)</f>
        <v>225059.99999999997</v>
      </c>
      <c r="I2993" s="35">
        <f>H2993-F2993*VLOOKUP(銷售總表!B2993,產品!$A$2:$H$61,8,FALSE)</f>
        <v>55660</v>
      </c>
      <c r="J2993" s="20">
        <f t="shared" si="46"/>
        <v>0.24731182795698928</v>
      </c>
    </row>
    <row r="2994" spans="1:10" x14ac:dyDescent="0.3">
      <c r="A2994" s="33">
        <v>2993</v>
      </c>
      <c r="B2994" s="4">
        <v>46</v>
      </c>
      <c r="C2994" s="15">
        <v>290</v>
      </c>
      <c r="D2994" s="16">
        <v>2</v>
      </c>
      <c r="E2994" s="22">
        <v>44485</v>
      </c>
      <c r="F2994" s="19">
        <v>15</v>
      </c>
      <c r="G2994" s="18">
        <v>0.06</v>
      </c>
      <c r="H2994">
        <f>F2994*VLOOKUP(B2994,產品!$A$2:$H$61,7,FALSE)*(1-銷售總表!G2994)</f>
        <v>239700</v>
      </c>
      <c r="I2994" s="35">
        <f>H2994-F2994*VLOOKUP(銷售總表!B2994,產品!$A$2:$H$61,8,FALSE)</f>
        <v>73950</v>
      </c>
      <c r="J2994" s="20">
        <f t="shared" si="46"/>
        <v>0.30851063829787234</v>
      </c>
    </row>
    <row r="2995" spans="1:10" x14ac:dyDescent="0.3">
      <c r="A2995" s="33">
        <v>2994</v>
      </c>
      <c r="B2995" s="4">
        <v>36</v>
      </c>
      <c r="C2995" s="15">
        <v>2</v>
      </c>
      <c r="D2995" s="16">
        <v>7</v>
      </c>
      <c r="E2995" s="22">
        <v>44486</v>
      </c>
      <c r="F2995" s="19">
        <v>10</v>
      </c>
      <c r="G2995" s="18">
        <v>7.0000000000000007E-2</v>
      </c>
      <c r="H2995">
        <f>F2995*VLOOKUP(B2995,產品!$A$2:$H$61,7,FALSE)*(1-銷售總表!G2995)</f>
        <v>83700</v>
      </c>
      <c r="I2995" s="35">
        <f>H2995-F2995*VLOOKUP(銷售總表!B2995,產品!$A$2:$H$61,8,FALSE)</f>
        <v>29700</v>
      </c>
      <c r="J2995" s="20">
        <f t="shared" si="46"/>
        <v>0.35483870967741937</v>
      </c>
    </row>
    <row r="2996" spans="1:10" x14ac:dyDescent="0.3">
      <c r="A2996" s="33">
        <v>2995</v>
      </c>
      <c r="B2996" s="4">
        <v>58</v>
      </c>
      <c r="C2996" s="15">
        <v>7</v>
      </c>
      <c r="D2996" s="16">
        <v>10</v>
      </c>
      <c r="E2996" s="22">
        <v>44486</v>
      </c>
      <c r="F2996" s="19">
        <v>2</v>
      </c>
      <c r="G2996" s="18">
        <v>0.18</v>
      </c>
      <c r="H2996">
        <f>F2996*VLOOKUP(B2996,產品!$A$2:$H$61,7,FALSE)*(1-銷售總表!G2996)</f>
        <v>34440</v>
      </c>
      <c r="I2996" s="35">
        <f>H2996-F2996*VLOOKUP(銷售總表!B2996,產品!$A$2:$H$61,8,FALSE)</f>
        <v>5040.0000000000036</v>
      </c>
      <c r="J2996" s="20">
        <f t="shared" si="46"/>
        <v>0.14634146341463425</v>
      </c>
    </row>
    <row r="2997" spans="1:10" x14ac:dyDescent="0.3">
      <c r="A2997" s="33">
        <v>2996</v>
      </c>
      <c r="B2997" s="4">
        <v>42</v>
      </c>
      <c r="C2997" s="15">
        <v>259</v>
      </c>
      <c r="D2997" s="16">
        <v>7</v>
      </c>
      <c r="E2997" s="22">
        <v>44486</v>
      </c>
      <c r="F2997" s="17">
        <v>3</v>
      </c>
      <c r="G2997" s="18">
        <v>0.15</v>
      </c>
      <c r="H2997">
        <f>F2997*VLOOKUP(B2997,產品!$A$2:$H$61,7,FALSE)*(1-銷售總表!G2997)</f>
        <v>38250</v>
      </c>
      <c r="I2997" s="35">
        <f>H2997-F2997*VLOOKUP(銷售總表!B2997,產品!$A$2:$H$61,8,FALSE)</f>
        <v>9000</v>
      </c>
      <c r="J2997" s="20">
        <f t="shared" si="46"/>
        <v>0.23529411764705882</v>
      </c>
    </row>
    <row r="2998" spans="1:10" x14ac:dyDescent="0.3">
      <c r="A2998" s="33">
        <v>2997</v>
      </c>
      <c r="B2998" s="4">
        <v>31</v>
      </c>
      <c r="C2998" s="15">
        <v>257</v>
      </c>
      <c r="D2998" s="16">
        <v>10</v>
      </c>
      <c r="E2998" s="22">
        <v>44486</v>
      </c>
      <c r="F2998" s="17">
        <v>9</v>
      </c>
      <c r="G2998" s="18">
        <v>0.08</v>
      </c>
      <c r="H2998">
        <f>F2998*VLOOKUP(B2998,產品!$A$2:$H$61,7,FALSE)*(1-銷售總表!G2998)</f>
        <v>57960</v>
      </c>
      <c r="I2998" s="35">
        <f>H2998-F2998*VLOOKUP(銷售總表!B2998,產品!$A$2:$H$61,8,FALSE)</f>
        <v>20160</v>
      </c>
      <c r="J2998" s="20">
        <f t="shared" si="46"/>
        <v>0.34782608695652173</v>
      </c>
    </row>
    <row r="2999" spans="1:10" x14ac:dyDescent="0.3">
      <c r="A2999" s="33">
        <v>2998</v>
      </c>
      <c r="B2999" s="4">
        <v>48</v>
      </c>
      <c r="C2999" s="15">
        <v>290</v>
      </c>
      <c r="D2999" s="16">
        <v>9</v>
      </c>
      <c r="E2999" s="22">
        <v>44486</v>
      </c>
      <c r="F2999" s="19">
        <v>5</v>
      </c>
      <c r="G2999" s="18">
        <v>0.14000000000000001</v>
      </c>
      <c r="H2999">
        <f>F2999*VLOOKUP(B2999,產品!$A$2:$H$61,7,FALSE)*(1-銷售總表!G2999)</f>
        <v>94600</v>
      </c>
      <c r="I2999" s="35">
        <f>H2999-F2999*VLOOKUP(銷售總表!B2999,產品!$A$2:$H$61,8,FALSE)</f>
        <v>23100</v>
      </c>
      <c r="J2999" s="20">
        <f t="shared" si="46"/>
        <v>0.2441860465116279</v>
      </c>
    </row>
    <row r="3000" spans="1:10" x14ac:dyDescent="0.3">
      <c r="A3000" s="33">
        <v>2999</v>
      </c>
      <c r="B3000" s="4">
        <v>4</v>
      </c>
      <c r="C3000" s="15">
        <v>9</v>
      </c>
      <c r="D3000" s="16">
        <v>4</v>
      </c>
      <c r="E3000" s="22">
        <v>44486</v>
      </c>
      <c r="F3000" s="19">
        <v>60</v>
      </c>
      <c r="G3000" s="18">
        <v>0.2</v>
      </c>
      <c r="H3000">
        <f>F3000*VLOOKUP(B3000,產品!$A$2:$H$61,7,FALSE)*(1-銷售總表!G3000)</f>
        <v>48000</v>
      </c>
      <c r="I3000" s="35">
        <f>H3000-F3000*VLOOKUP(銷售總表!B3000,產品!$A$2:$H$61,8,FALSE)</f>
        <v>24000</v>
      </c>
      <c r="J3000" s="20">
        <f t="shared" si="46"/>
        <v>0.5</v>
      </c>
    </row>
    <row r="3001" spans="1:10" x14ac:dyDescent="0.3">
      <c r="A3001" s="33">
        <v>3000</v>
      </c>
      <c r="B3001" s="4">
        <v>59</v>
      </c>
      <c r="C3001" s="15">
        <v>2</v>
      </c>
      <c r="D3001" s="16">
        <v>10</v>
      </c>
      <c r="E3001" s="22">
        <v>44486</v>
      </c>
      <c r="F3001" s="19">
        <v>9</v>
      </c>
      <c r="G3001" s="18">
        <v>0.17</v>
      </c>
      <c r="H3001">
        <f>F3001*VLOOKUP(B3001,產品!$A$2:$H$61,7,FALSE)*(1-銷售總表!G3001)</f>
        <v>179280</v>
      </c>
      <c r="I3001" s="35">
        <f>H3001-F3001*VLOOKUP(銷售總表!B3001,產品!$A$2:$H$61,8,FALSE)</f>
        <v>28080</v>
      </c>
      <c r="J3001" s="20">
        <f t="shared" si="46"/>
        <v>0.15662650602409639</v>
      </c>
    </row>
    <row r="3002" spans="1:10" x14ac:dyDescent="0.3">
      <c r="A3002" s="33">
        <v>3001</v>
      </c>
      <c r="B3002" s="4">
        <v>40</v>
      </c>
      <c r="C3002" s="15">
        <v>123</v>
      </c>
      <c r="D3002" s="16">
        <v>3</v>
      </c>
      <c r="E3002" s="22">
        <v>44486</v>
      </c>
      <c r="F3002" s="17">
        <v>9</v>
      </c>
      <c r="G3002" s="18">
        <v>0.19</v>
      </c>
      <c r="H3002">
        <f>F3002*VLOOKUP(B3002,產品!$A$2:$H$61,7,FALSE)*(1-銷售總表!G3002)</f>
        <v>145800</v>
      </c>
      <c r="I3002" s="35">
        <f>H3002-F3002*VLOOKUP(銷售總表!B3002,產品!$A$2:$H$61,8,FALSE)</f>
        <v>28800</v>
      </c>
      <c r="J3002" s="20">
        <f t="shared" si="46"/>
        <v>0.19753086419753085</v>
      </c>
    </row>
    <row r="3003" spans="1:10" x14ac:dyDescent="0.3">
      <c r="A3003" s="33">
        <v>3002</v>
      </c>
      <c r="B3003" s="4">
        <v>24</v>
      </c>
      <c r="C3003" s="15">
        <v>282</v>
      </c>
      <c r="D3003" s="16">
        <v>4</v>
      </c>
      <c r="E3003" s="22">
        <v>44486</v>
      </c>
      <c r="F3003" s="17">
        <v>60</v>
      </c>
      <c r="G3003" s="18">
        <v>0.17</v>
      </c>
      <c r="H3003">
        <f>F3003*VLOOKUP(B3003,產品!$A$2:$H$61,7,FALSE)*(1-銷售總表!G3003)</f>
        <v>89640</v>
      </c>
      <c r="I3003" s="35">
        <f>H3003-F3003*VLOOKUP(銷售總表!B3003,產品!$A$2:$H$61,8,FALSE)</f>
        <v>46440</v>
      </c>
      <c r="J3003" s="20">
        <f t="shared" si="46"/>
        <v>0.51807228915662651</v>
      </c>
    </row>
    <row r="3004" spans="1:10" x14ac:dyDescent="0.3">
      <c r="A3004" s="33">
        <v>3003</v>
      </c>
      <c r="B3004" s="4">
        <v>51</v>
      </c>
      <c r="C3004" s="15">
        <v>10</v>
      </c>
      <c r="D3004" s="16">
        <v>5</v>
      </c>
      <c r="E3004" s="22">
        <v>44486</v>
      </c>
      <c r="F3004" s="19">
        <v>10</v>
      </c>
      <c r="G3004" s="18">
        <v>0.06</v>
      </c>
      <c r="H3004">
        <f>F3004*VLOOKUP(B3004,產品!$A$2:$H$61,7,FALSE)*(1-銷售總表!G3004)</f>
        <v>188000</v>
      </c>
      <c r="I3004" s="35">
        <f>H3004-F3004*VLOOKUP(銷售總表!B3004,產品!$A$2:$H$61,8,FALSE)</f>
        <v>48000</v>
      </c>
      <c r="J3004" s="20">
        <f t="shared" si="46"/>
        <v>0.25531914893617019</v>
      </c>
    </row>
    <row r="3005" spans="1:10" x14ac:dyDescent="0.3">
      <c r="A3005" s="33">
        <v>3004</v>
      </c>
      <c r="B3005" s="4">
        <v>9</v>
      </c>
      <c r="C3005" s="15">
        <v>290</v>
      </c>
      <c r="D3005" s="16">
        <v>6</v>
      </c>
      <c r="E3005" s="22">
        <v>44486</v>
      </c>
      <c r="F3005" s="19">
        <v>200</v>
      </c>
      <c r="G3005" s="18">
        <v>0.14000000000000001</v>
      </c>
      <c r="H3005">
        <f>F3005*VLOOKUP(B3005,產品!$A$2:$H$61,7,FALSE)*(1-銷售總表!G3005)</f>
        <v>172000</v>
      </c>
      <c r="I3005" s="35">
        <f>H3005-F3005*VLOOKUP(銷售總表!B3005,產品!$A$2:$H$61,8,FALSE)</f>
        <v>92000</v>
      </c>
      <c r="J3005" s="20">
        <f t="shared" si="46"/>
        <v>0.53488372093023251</v>
      </c>
    </row>
    <row r="3006" spans="1:10" x14ac:dyDescent="0.3">
      <c r="A3006" s="33">
        <v>3005</v>
      </c>
      <c r="B3006" s="4">
        <v>53</v>
      </c>
      <c r="C3006" s="15">
        <v>138</v>
      </c>
      <c r="D3006" s="16">
        <v>10</v>
      </c>
      <c r="E3006" s="22">
        <v>44487</v>
      </c>
      <c r="F3006" s="17">
        <v>1</v>
      </c>
      <c r="G3006" s="18">
        <v>0.05</v>
      </c>
      <c r="H3006">
        <f>F3006*VLOOKUP(B3006,產品!$A$2:$H$61,7,FALSE)*(1-銷售總表!G3006)</f>
        <v>14250</v>
      </c>
      <c r="I3006" s="35">
        <f>H3006-F3006*VLOOKUP(銷售總表!B3006,產品!$A$2:$H$61,8,FALSE)</f>
        <v>3750</v>
      </c>
      <c r="J3006" s="20">
        <f t="shared" si="46"/>
        <v>0.26315789473684209</v>
      </c>
    </row>
    <row r="3007" spans="1:10" x14ac:dyDescent="0.3">
      <c r="A3007" s="33">
        <v>3006</v>
      </c>
      <c r="B3007" s="4">
        <v>29</v>
      </c>
      <c r="C3007" s="15">
        <v>261</v>
      </c>
      <c r="D3007" s="16">
        <v>6</v>
      </c>
      <c r="E3007" s="22">
        <v>44487</v>
      </c>
      <c r="F3007" s="19">
        <v>5</v>
      </c>
      <c r="G3007" s="18">
        <v>0.09</v>
      </c>
      <c r="H3007">
        <f>F3007*VLOOKUP(B3007,產品!$A$2:$H$61,7,FALSE)*(1-銷售總表!G3007)</f>
        <v>27300</v>
      </c>
      <c r="I3007" s="35">
        <f>H3007-F3007*VLOOKUP(銷售總表!B3007,產品!$A$2:$H$61,8,FALSE)</f>
        <v>9300</v>
      </c>
      <c r="J3007" s="20">
        <f t="shared" si="46"/>
        <v>0.34065934065934067</v>
      </c>
    </row>
    <row r="3008" spans="1:10" x14ac:dyDescent="0.3">
      <c r="A3008" s="33">
        <v>3007</v>
      </c>
      <c r="B3008" s="4">
        <v>39</v>
      </c>
      <c r="C3008" s="15">
        <v>11</v>
      </c>
      <c r="D3008" s="16">
        <v>7</v>
      </c>
      <c r="E3008" s="22">
        <v>44487</v>
      </c>
      <c r="F3008" s="17">
        <v>2</v>
      </c>
      <c r="G3008" s="18">
        <v>0.06</v>
      </c>
      <c r="H3008">
        <f>F3008*VLOOKUP(B3008,產品!$A$2:$H$61,7,FALSE)*(1-銷售總表!G3008)</f>
        <v>33840</v>
      </c>
      <c r="I3008" s="35">
        <f>H3008-F3008*VLOOKUP(銷售總表!B3008,產品!$A$2:$H$61,8,FALSE)</f>
        <v>10440</v>
      </c>
      <c r="J3008" s="20">
        <f t="shared" si="46"/>
        <v>0.30851063829787234</v>
      </c>
    </row>
    <row r="3009" spans="1:10" x14ac:dyDescent="0.3">
      <c r="A3009" s="33">
        <v>3008</v>
      </c>
      <c r="B3009" s="4">
        <v>6</v>
      </c>
      <c r="C3009" s="15">
        <v>121</v>
      </c>
      <c r="D3009" s="16">
        <v>8</v>
      </c>
      <c r="E3009" s="22">
        <v>44487</v>
      </c>
      <c r="F3009" s="19">
        <v>30</v>
      </c>
      <c r="G3009" s="18">
        <v>0.08</v>
      </c>
      <c r="H3009">
        <f>F3009*VLOOKUP(B3009,產品!$A$2:$H$61,7,FALSE)*(1-銷售總表!G3009)</f>
        <v>27600</v>
      </c>
      <c r="I3009" s="35">
        <f>H3009-F3009*VLOOKUP(銷售總表!B3009,產品!$A$2:$H$61,8,FALSE)</f>
        <v>15600</v>
      </c>
      <c r="J3009" s="20">
        <f t="shared" si="46"/>
        <v>0.56521739130434778</v>
      </c>
    </row>
    <row r="3010" spans="1:10" x14ac:dyDescent="0.3">
      <c r="A3010" s="33">
        <v>3009</v>
      </c>
      <c r="B3010" s="4">
        <v>44</v>
      </c>
      <c r="C3010" s="15">
        <v>4</v>
      </c>
      <c r="D3010" s="16">
        <v>1</v>
      </c>
      <c r="E3010" s="22">
        <v>44487</v>
      </c>
      <c r="F3010" s="17">
        <v>6</v>
      </c>
      <c r="G3010" s="18">
        <v>0.18</v>
      </c>
      <c r="H3010">
        <f>F3010*VLOOKUP(B3010,產品!$A$2:$H$61,7,FALSE)*(1-銷售總表!G3010)</f>
        <v>98400.000000000015</v>
      </c>
      <c r="I3010" s="35">
        <f>H3010-F3010*VLOOKUP(銷售總表!B3010,產品!$A$2:$H$61,8,FALSE)</f>
        <v>20400.000000000015</v>
      </c>
      <c r="J3010" s="20">
        <f t="shared" si="46"/>
        <v>0.20731707317073184</v>
      </c>
    </row>
    <row r="3011" spans="1:10" x14ac:dyDescent="0.3">
      <c r="A3011" s="33">
        <v>3010</v>
      </c>
      <c r="B3011" s="4">
        <v>30</v>
      </c>
      <c r="C3011" s="15">
        <v>135</v>
      </c>
      <c r="D3011" s="16">
        <v>1</v>
      </c>
      <c r="E3011" s="22">
        <v>44487</v>
      </c>
      <c r="F3011" s="19">
        <v>10</v>
      </c>
      <c r="G3011" s="18">
        <v>0.08</v>
      </c>
      <c r="H3011">
        <f>F3011*VLOOKUP(B3011,產品!$A$2:$H$61,7,FALSE)*(1-銷售總表!G3011)</f>
        <v>59800</v>
      </c>
      <c r="I3011" s="35">
        <f>H3011-F3011*VLOOKUP(銷售總表!B3011,產品!$A$2:$H$61,8,FALSE)</f>
        <v>20800</v>
      </c>
      <c r="J3011" s="20">
        <f t="shared" ref="J3011:J3074" si="47">I3011/H3011</f>
        <v>0.34782608695652173</v>
      </c>
    </row>
    <row r="3012" spans="1:10" x14ac:dyDescent="0.3">
      <c r="A3012" s="33">
        <v>3011</v>
      </c>
      <c r="B3012" s="4">
        <v>9</v>
      </c>
      <c r="C3012" s="15">
        <v>118</v>
      </c>
      <c r="D3012" s="16">
        <v>8</v>
      </c>
      <c r="E3012" s="22">
        <v>44487</v>
      </c>
      <c r="F3012" s="19">
        <v>80</v>
      </c>
      <c r="G3012" s="18">
        <v>0.08</v>
      </c>
      <c r="H3012">
        <f>F3012*VLOOKUP(B3012,產品!$A$2:$H$61,7,FALSE)*(1-銷售總表!G3012)</f>
        <v>73600</v>
      </c>
      <c r="I3012" s="35">
        <f>H3012-F3012*VLOOKUP(銷售總表!B3012,產品!$A$2:$H$61,8,FALSE)</f>
        <v>41600</v>
      </c>
      <c r="J3012" s="20">
        <f t="shared" si="47"/>
        <v>0.56521739130434778</v>
      </c>
    </row>
    <row r="3013" spans="1:10" x14ac:dyDescent="0.3">
      <c r="A3013" s="33">
        <v>3012</v>
      </c>
      <c r="B3013" s="4">
        <v>16</v>
      </c>
      <c r="C3013" s="15">
        <v>294</v>
      </c>
      <c r="D3013" s="16">
        <v>10</v>
      </c>
      <c r="E3013" s="22">
        <v>44487</v>
      </c>
      <c r="F3013" s="19">
        <v>70</v>
      </c>
      <c r="G3013" s="18">
        <v>0.2</v>
      </c>
      <c r="H3013">
        <f>F3013*VLOOKUP(B3013,產品!$A$2:$H$61,7,FALSE)*(1-銷售總表!G3013)</f>
        <v>100800</v>
      </c>
      <c r="I3013" s="35">
        <f>H3013-F3013*VLOOKUP(銷售總表!B3013,產品!$A$2:$H$61,8,FALSE)</f>
        <v>50400</v>
      </c>
      <c r="J3013" s="20">
        <f t="shared" si="47"/>
        <v>0.5</v>
      </c>
    </row>
    <row r="3014" spans="1:10" x14ac:dyDescent="0.3">
      <c r="A3014" s="33">
        <v>3013</v>
      </c>
      <c r="B3014" s="4">
        <v>25</v>
      </c>
      <c r="C3014" s="15">
        <v>281</v>
      </c>
      <c r="D3014" s="16">
        <v>5</v>
      </c>
      <c r="E3014" s="22">
        <v>44488</v>
      </c>
      <c r="F3014" s="19">
        <v>10</v>
      </c>
      <c r="G3014" s="18">
        <v>0.16</v>
      </c>
      <c r="H3014">
        <f>F3014*VLOOKUP(B3014,產品!$A$2:$H$61,7,FALSE)*(1-銷售總表!G3014)</f>
        <v>50400</v>
      </c>
      <c r="I3014" s="35">
        <f>H3014-F3014*VLOOKUP(銷售總表!B3014,產品!$A$2:$H$61,8,FALSE)</f>
        <v>14400</v>
      </c>
      <c r="J3014" s="20">
        <f t="shared" si="47"/>
        <v>0.2857142857142857</v>
      </c>
    </row>
    <row r="3015" spans="1:10" x14ac:dyDescent="0.3">
      <c r="A3015" s="33">
        <v>3014</v>
      </c>
      <c r="B3015" s="4">
        <v>35</v>
      </c>
      <c r="C3015" s="15">
        <v>262</v>
      </c>
      <c r="D3015" s="16">
        <v>7</v>
      </c>
      <c r="E3015" s="22">
        <v>44488</v>
      </c>
      <c r="F3015" s="17">
        <v>3</v>
      </c>
      <c r="G3015" s="18">
        <v>0.2</v>
      </c>
      <c r="H3015">
        <f>F3015*VLOOKUP(B3015,產品!$A$2:$H$61,7,FALSE)*(1-銷售總表!G3015)</f>
        <v>20400</v>
      </c>
      <c r="I3015" s="35">
        <f>H3015-F3015*VLOOKUP(銷售總表!B3015,產品!$A$2:$H$61,8,FALSE)</f>
        <v>5100</v>
      </c>
      <c r="J3015" s="20">
        <f t="shared" si="47"/>
        <v>0.25</v>
      </c>
    </row>
    <row r="3016" spans="1:10" x14ac:dyDescent="0.3">
      <c r="A3016" s="33">
        <v>3015</v>
      </c>
      <c r="B3016" s="4">
        <v>8</v>
      </c>
      <c r="C3016" s="15">
        <v>272</v>
      </c>
      <c r="D3016" s="16">
        <v>7</v>
      </c>
      <c r="E3016" s="22">
        <v>44488</v>
      </c>
      <c r="F3016" s="19">
        <v>14</v>
      </c>
      <c r="G3016" s="18">
        <v>0.06</v>
      </c>
      <c r="H3016">
        <f>F3016*VLOOKUP(B3016,產品!$A$2:$H$61,7,FALSE)*(1-銷售總表!G3016)</f>
        <v>13160</v>
      </c>
      <c r="I3016" s="35">
        <f>H3016-F3016*VLOOKUP(銷售總表!B3016,產品!$A$2:$H$61,8,FALSE)</f>
        <v>7560</v>
      </c>
      <c r="J3016" s="20">
        <f t="shared" si="47"/>
        <v>0.57446808510638303</v>
      </c>
    </row>
    <row r="3017" spans="1:10" x14ac:dyDescent="0.3">
      <c r="A3017" s="33">
        <v>3016</v>
      </c>
      <c r="B3017" s="4">
        <v>17</v>
      </c>
      <c r="C3017" s="15">
        <v>6</v>
      </c>
      <c r="D3017" s="16">
        <v>4</v>
      </c>
      <c r="E3017" s="22">
        <v>44488</v>
      </c>
      <c r="F3017" s="19">
        <v>9</v>
      </c>
      <c r="G3017" s="18">
        <v>0.13</v>
      </c>
      <c r="H3017">
        <f>F3017*VLOOKUP(B3017,產品!$A$2:$H$61,7,FALSE)*(1-銷售總表!G3017)</f>
        <v>14094</v>
      </c>
      <c r="I3017" s="35">
        <f>H3017-F3017*VLOOKUP(銷售總表!B3017,產品!$A$2:$H$61,8,FALSE)</f>
        <v>7614</v>
      </c>
      <c r="J3017" s="20">
        <f t="shared" si="47"/>
        <v>0.54022988505747127</v>
      </c>
    </row>
    <row r="3018" spans="1:10" x14ac:dyDescent="0.3">
      <c r="A3018" s="33">
        <v>3017</v>
      </c>
      <c r="B3018" s="4">
        <v>18</v>
      </c>
      <c r="C3018" s="15">
        <v>138</v>
      </c>
      <c r="D3018" s="16">
        <v>2</v>
      </c>
      <c r="E3018" s="22">
        <v>44488</v>
      </c>
      <c r="F3018" s="17">
        <v>10</v>
      </c>
      <c r="G3018" s="18">
        <v>0.14000000000000001</v>
      </c>
      <c r="H3018">
        <f>F3018*VLOOKUP(B3018,產品!$A$2:$H$61,7,FALSE)*(1-銷售總表!G3018)</f>
        <v>15480</v>
      </c>
      <c r="I3018" s="35">
        <f>H3018-F3018*VLOOKUP(銷售總表!B3018,產品!$A$2:$H$61,8,FALSE)</f>
        <v>8280</v>
      </c>
      <c r="J3018" s="20">
        <f t="shared" si="47"/>
        <v>0.53488372093023251</v>
      </c>
    </row>
    <row r="3019" spans="1:10" x14ac:dyDescent="0.3">
      <c r="A3019" s="33">
        <v>3018</v>
      </c>
      <c r="B3019" s="4">
        <v>49</v>
      </c>
      <c r="C3019" s="15">
        <v>6</v>
      </c>
      <c r="D3019" s="16">
        <v>1</v>
      </c>
      <c r="E3019" s="22">
        <v>44488</v>
      </c>
      <c r="F3019" s="19">
        <v>4</v>
      </c>
      <c r="G3019" s="18">
        <v>0.14000000000000001</v>
      </c>
      <c r="H3019">
        <f>F3019*VLOOKUP(B3019,產品!$A$2:$H$61,7,FALSE)*(1-銷售總表!G3019)</f>
        <v>51600</v>
      </c>
      <c r="I3019" s="35">
        <f>H3019-F3019*VLOOKUP(銷售總表!B3019,產品!$A$2:$H$61,8,FALSE)</f>
        <v>9600</v>
      </c>
      <c r="J3019" s="20">
        <f t="shared" si="47"/>
        <v>0.18604651162790697</v>
      </c>
    </row>
    <row r="3020" spans="1:10" x14ac:dyDescent="0.3">
      <c r="A3020" s="33">
        <v>3019</v>
      </c>
      <c r="B3020" s="4">
        <v>52</v>
      </c>
      <c r="C3020" s="15">
        <v>284</v>
      </c>
      <c r="D3020" s="16">
        <v>9</v>
      </c>
      <c r="E3020" s="22">
        <v>44488</v>
      </c>
      <c r="F3020" s="19">
        <v>5</v>
      </c>
      <c r="G3020" s="18">
        <v>0.18</v>
      </c>
      <c r="H3020">
        <f>F3020*VLOOKUP(B3020,產品!$A$2:$H$61,7,FALSE)*(1-銷售總表!G3020)</f>
        <v>90200</v>
      </c>
      <c r="I3020" s="35">
        <f>H3020-F3020*VLOOKUP(銷售總表!B3020,產品!$A$2:$H$61,8,FALSE)</f>
        <v>13200.000000000015</v>
      </c>
      <c r="J3020" s="20">
        <f t="shared" si="47"/>
        <v>0.1463414634146343</v>
      </c>
    </row>
    <row r="3021" spans="1:10" x14ac:dyDescent="0.3">
      <c r="A3021" s="33">
        <v>3020</v>
      </c>
      <c r="B3021" s="4">
        <v>54</v>
      </c>
      <c r="C3021" s="15">
        <v>6</v>
      </c>
      <c r="D3021" s="16">
        <v>2</v>
      </c>
      <c r="E3021" s="22">
        <v>44488</v>
      </c>
      <c r="F3021" s="19">
        <v>4</v>
      </c>
      <c r="G3021" s="18">
        <v>0.1</v>
      </c>
      <c r="H3021">
        <f>F3021*VLOOKUP(B3021,產品!$A$2:$H$61,7,FALSE)*(1-銷售總表!G3021)</f>
        <v>64800</v>
      </c>
      <c r="I3021" s="35">
        <f>H3021-F3021*VLOOKUP(銷售總表!B3021,產品!$A$2:$H$61,8,FALSE)</f>
        <v>14400</v>
      </c>
      <c r="J3021" s="20">
        <f t="shared" si="47"/>
        <v>0.22222222222222221</v>
      </c>
    </row>
    <row r="3022" spans="1:10" x14ac:dyDescent="0.3">
      <c r="A3022" s="33">
        <v>3021</v>
      </c>
      <c r="B3022" s="4">
        <v>10</v>
      </c>
      <c r="C3022" s="15">
        <v>5</v>
      </c>
      <c r="D3022" s="16">
        <v>2</v>
      </c>
      <c r="E3022" s="22">
        <v>44488</v>
      </c>
      <c r="F3022" s="17">
        <v>40</v>
      </c>
      <c r="G3022" s="18">
        <v>0.09</v>
      </c>
      <c r="H3022">
        <f>F3022*VLOOKUP(B3022,產品!$A$2:$H$61,7,FALSE)*(1-銷售總表!G3022)</f>
        <v>36400</v>
      </c>
      <c r="I3022" s="35">
        <f>H3022-F3022*VLOOKUP(銷售總表!B3022,產品!$A$2:$H$61,8,FALSE)</f>
        <v>20400</v>
      </c>
      <c r="J3022" s="20">
        <f t="shared" si="47"/>
        <v>0.56043956043956045</v>
      </c>
    </row>
    <row r="3023" spans="1:10" x14ac:dyDescent="0.3">
      <c r="A3023" s="33">
        <v>3022</v>
      </c>
      <c r="B3023" s="4">
        <v>2</v>
      </c>
      <c r="C3023" s="15">
        <v>257</v>
      </c>
      <c r="D3023" s="16">
        <v>4</v>
      </c>
      <c r="E3023" s="22">
        <v>44488</v>
      </c>
      <c r="F3023" s="17">
        <v>50</v>
      </c>
      <c r="G3023" s="18">
        <v>0.08</v>
      </c>
      <c r="H3023">
        <f>F3023*VLOOKUP(B3023,產品!$A$2:$H$61,7,FALSE)*(1-銷售總表!G3023)</f>
        <v>46000</v>
      </c>
      <c r="I3023" s="35">
        <f>H3023-F3023*VLOOKUP(銷售總表!B3023,產品!$A$2:$H$61,8,FALSE)</f>
        <v>26000</v>
      </c>
      <c r="J3023" s="20">
        <f t="shared" si="47"/>
        <v>0.56521739130434778</v>
      </c>
    </row>
    <row r="3024" spans="1:10" x14ac:dyDescent="0.3">
      <c r="A3024" s="33">
        <v>3023</v>
      </c>
      <c r="B3024" s="4">
        <v>58</v>
      </c>
      <c r="C3024" s="15">
        <v>11</v>
      </c>
      <c r="D3024" s="16">
        <v>10</v>
      </c>
      <c r="E3024" s="22">
        <v>44488</v>
      </c>
      <c r="F3024" s="19">
        <v>7</v>
      </c>
      <c r="G3024" s="18">
        <v>7.0000000000000007E-2</v>
      </c>
      <c r="H3024">
        <f>F3024*VLOOKUP(B3024,產品!$A$2:$H$61,7,FALSE)*(1-銷售總表!G3024)</f>
        <v>136710</v>
      </c>
      <c r="I3024" s="35">
        <f>H3024-F3024*VLOOKUP(銷售總表!B3024,產品!$A$2:$H$61,8,FALSE)</f>
        <v>33810.000000000015</v>
      </c>
      <c r="J3024" s="20">
        <f t="shared" si="47"/>
        <v>0.24731182795698936</v>
      </c>
    </row>
    <row r="3025" spans="1:10" x14ac:dyDescent="0.3">
      <c r="A3025" s="33">
        <v>3024</v>
      </c>
      <c r="B3025" s="4">
        <v>55</v>
      </c>
      <c r="C3025" s="15">
        <v>288</v>
      </c>
      <c r="D3025" s="16">
        <v>1</v>
      </c>
      <c r="E3025" s="22">
        <v>44488</v>
      </c>
      <c r="F3025" s="19">
        <v>12</v>
      </c>
      <c r="G3025" s="18">
        <v>0.12</v>
      </c>
      <c r="H3025">
        <f>F3025*VLOOKUP(B3025,產品!$A$2:$H$61,7,FALSE)*(1-銷售總表!G3025)</f>
        <v>211200</v>
      </c>
      <c r="I3025" s="35">
        <f>H3025-F3025*VLOOKUP(銷售總表!B3025,產品!$A$2:$H$61,8,FALSE)</f>
        <v>43200</v>
      </c>
      <c r="J3025" s="20">
        <f t="shared" si="47"/>
        <v>0.20454545454545456</v>
      </c>
    </row>
    <row r="3026" spans="1:10" x14ac:dyDescent="0.3">
      <c r="A3026" s="33">
        <v>3025</v>
      </c>
      <c r="B3026" s="4">
        <v>36</v>
      </c>
      <c r="C3026" s="15">
        <v>290</v>
      </c>
      <c r="D3026" s="16">
        <v>9</v>
      </c>
      <c r="E3026" s="22">
        <v>44488</v>
      </c>
      <c r="F3026" s="19">
        <v>30</v>
      </c>
      <c r="G3026" s="18">
        <v>0.2</v>
      </c>
      <c r="H3026">
        <f>F3026*VLOOKUP(B3026,產品!$A$2:$H$61,7,FALSE)*(1-銷售總表!G3026)</f>
        <v>216000</v>
      </c>
      <c r="I3026" s="35">
        <f>H3026-F3026*VLOOKUP(銷售總表!B3026,產品!$A$2:$H$61,8,FALSE)</f>
        <v>54000</v>
      </c>
      <c r="J3026" s="20">
        <f t="shared" si="47"/>
        <v>0.25</v>
      </c>
    </row>
    <row r="3027" spans="1:10" x14ac:dyDescent="0.3">
      <c r="A3027" s="33">
        <v>3026</v>
      </c>
      <c r="B3027" s="4">
        <v>16</v>
      </c>
      <c r="C3027" s="15">
        <v>264</v>
      </c>
      <c r="D3027" s="16">
        <v>5</v>
      </c>
      <c r="E3027" s="22">
        <v>44488</v>
      </c>
      <c r="F3027" s="19">
        <v>80</v>
      </c>
      <c r="G3027" s="18">
        <v>0.11</v>
      </c>
      <c r="H3027">
        <f>F3027*VLOOKUP(B3027,產品!$A$2:$H$61,7,FALSE)*(1-銷售總表!G3027)</f>
        <v>128160</v>
      </c>
      <c r="I3027" s="35">
        <f>H3027-F3027*VLOOKUP(銷售總表!B3027,產品!$A$2:$H$61,8,FALSE)</f>
        <v>70560</v>
      </c>
      <c r="J3027" s="20">
        <f t="shared" si="47"/>
        <v>0.550561797752809</v>
      </c>
    </row>
    <row r="3028" spans="1:10" x14ac:dyDescent="0.3">
      <c r="A3028" s="33">
        <v>3027</v>
      </c>
      <c r="B3028" s="4">
        <v>30</v>
      </c>
      <c r="C3028" s="15">
        <v>293</v>
      </c>
      <c r="D3028" s="16">
        <v>5</v>
      </c>
      <c r="E3028" s="22">
        <v>44489</v>
      </c>
      <c r="F3028" s="17">
        <v>3</v>
      </c>
      <c r="G3028" s="18">
        <v>7.0000000000000007E-2</v>
      </c>
      <c r="H3028">
        <f>F3028*VLOOKUP(B3028,產品!$A$2:$H$61,7,FALSE)*(1-銷售總表!G3028)</f>
        <v>18135</v>
      </c>
      <c r="I3028" s="35">
        <f>H3028-F3028*VLOOKUP(銷售總表!B3028,產品!$A$2:$H$61,8,FALSE)</f>
        <v>6435</v>
      </c>
      <c r="J3028" s="20">
        <f t="shared" si="47"/>
        <v>0.35483870967741937</v>
      </c>
    </row>
    <row r="3029" spans="1:10" x14ac:dyDescent="0.3">
      <c r="A3029" s="33">
        <v>3028</v>
      </c>
      <c r="B3029" s="4">
        <v>43</v>
      </c>
      <c r="C3029" s="15">
        <v>116</v>
      </c>
      <c r="D3029" s="16">
        <v>9</v>
      </c>
      <c r="E3029" s="22">
        <v>44489</v>
      </c>
      <c r="F3029" s="19">
        <v>3</v>
      </c>
      <c r="G3029" s="18">
        <v>0.18</v>
      </c>
      <c r="H3029">
        <f>F3029*VLOOKUP(B3029,產品!$A$2:$H$61,7,FALSE)*(1-銷售總表!G3029)</f>
        <v>44280</v>
      </c>
      <c r="I3029" s="35">
        <f>H3029-F3029*VLOOKUP(銷售總表!B3029,產品!$A$2:$H$61,8,FALSE)</f>
        <v>9180</v>
      </c>
      <c r="J3029" s="20">
        <f t="shared" si="47"/>
        <v>0.2073170731707317</v>
      </c>
    </row>
    <row r="3030" spans="1:10" x14ac:dyDescent="0.3">
      <c r="A3030" s="33">
        <v>3029</v>
      </c>
      <c r="B3030" s="4">
        <v>38</v>
      </c>
      <c r="C3030" s="15">
        <v>272</v>
      </c>
      <c r="D3030" s="16">
        <v>5</v>
      </c>
      <c r="E3030" s="22">
        <v>44489</v>
      </c>
      <c r="F3030" s="19">
        <v>4</v>
      </c>
      <c r="G3030" s="18">
        <v>0.08</v>
      </c>
      <c r="H3030">
        <f>F3030*VLOOKUP(B3030,產品!$A$2:$H$61,7,FALSE)*(1-銷售總表!G3030)</f>
        <v>55200</v>
      </c>
      <c r="I3030" s="35">
        <f>H3030-F3030*VLOOKUP(銷售總表!B3030,產品!$A$2:$H$61,8,FALSE)</f>
        <v>16200</v>
      </c>
      <c r="J3030" s="20">
        <f t="shared" si="47"/>
        <v>0.29347826086956524</v>
      </c>
    </row>
    <row r="3031" spans="1:10" x14ac:dyDescent="0.3">
      <c r="A3031" s="33">
        <v>3030</v>
      </c>
      <c r="B3031" s="4">
        <v>21</v>
      </c>
      <c r="C3031" s="15">
        <v>135</v>
      </c>
      <c r="D3031" s="16">
        <v>1</v>
      </c>
      <c r="E3031" s="22">
        <v>44489</v>
      </c>
      <c r="F3031" s="19">
        <v>50</v>
      </c>
      <c r="G3031" s="18">
        <v>0.06</v>
      </c>
      <c r="H3031">
        <f>F3031*VLOOKUP(B3031,產品!$A$2:$H$61,7,FALSE)*(1-銷售總表!G3031)</f>
        <v>84600</v>
      </c>
      <c r="I3031" s="35">
        <f>H3031-F3031*VLOOKUP(銷售總表!B3031,產品!$A$2:$H$61,8,FALSE)</f>
        <v>48600</v>
      </c>
      <c r="J3031" s="20">
        <f t="shared" si="47"/>
        <v>0.57446808510638303</v>
      </c>
    </row>
    <row r="3032" spans="1:10" x14ac:dyDescent="0.3">
      <c r="A3032" s="33">
        <v>3031</v>
      </c>
      <c r="B3032" s="4">
        <v>35</v>
      </c>
      <c r="C3032" s="15">
        <v>7</v>
      </c>
      <c r="D3032" s="16">
        <v>1</v>
      </c>
      <c r="E3032" s="22">
        <v>44490</v>
      </c>
      <c r="F3032" s="19">
        <v>4</v>
      </c>
      <c r="G3032" s="18">
        <v>0.12</v>
      </c>
      <c r="H3032">
        <f>F3032*VLOOKUP(B3032,產品!$A$2:$H$61,7,FALSE)*(1-銷售總表!G3032)</f>
        <v>29920</v>
      </c>
      <c r="I3032" s="35">
        <f>H3032-F3032*VLOOKUP(銷售總表!B3032,產品!$A$2:$H$61,8,FALSE)</f>
        <v>9520</v>
      </c>
      <c r="J3032" s="20">
        <f t="shared" si="47"/>
        <v>0.31818181818181818</v>
      </c>
    </row>
    <row r="3033" spans="1:10" x14ac:dyDescent="0.3">
      <c r="A3033" s="33">
        <v>3032</v>
      </c>
      <c r="B3033" s="4">
        <v>11</v>
      </c>
      <c r="C3033" s="15">
        <v>271</v>
      </c>
      <c r="D3033" s="16">
        <v>6</v>
      </c>
      <c r="E3033" s="22">
        <v>44490</v>
      </c>
      <c r="F3033" s="17">
        <v>30</v>
      </c>
      <c r="G3033" s="18">
        <v>0.13</v>
      </c>
      <c r="H3033">
        <f>F3033*VLOOKUP(B3033,產品!$A$2:$H$61,7,FALSE)*(1-銷售總表!G3033)</f>
        <v>26100</v>
      </c>
      <c r="I3033" s="35">
        <f>H3033-F3033*VLOOKUP(銷售總表!B3033,產品!$A$2:$H$61,8,FALSE)</f>
        <v>14100</v>
      </c>
      <c r="J3033" s="20">
        <f t="shared" si="47"/>
        <v>0.54022988505747127</v>
      </c>
    </row>
    <row r="3034" spans="1:10" x14ac:dyDescent="0.3">
      <c r="A3034" s="33">
        <v>3033</v>
      </c>
      <c r="B3034" s="4">
        <v>24</v>
      </c>
      <c r="C3034" s="15">
        <v>114</v>
      </c>
      <c r="D3034" s="16">
        <v>1</v>
      </c>
      <c r="E3034" s="22">
        <v>44490</v>
      </c>
      <c r="F3034" s="19">
        <v>40</v>
      </c>
      <c r="G3034" s="18">
        <v>7.0000000000000007E-2</v>
      </c>
      <c r="H3034">
        <f>F3034*VLOOKUP(B3034,產品!$A$2:$H$61,7,FALSE)*(1-銷售總表!G3034)</f>
        <v>66960</v>
      </c>
      <c r="I3034" s="35">
        <f>H3034-F3034*VLOOKUP(銷售總表!B3034,產品!$A$2:$H$61,8,FALSE)</f>
        <v>38160</v>
      </c>
      <c r="J3034" s="20">
        <f t="shared" si="47"/>
        <v>0.56989247311827962</v>
      </c>
    </row>
    <row r="3035" spans="1:10" x14ac:dyDescent="0.3">
      <c r="A3035" s="33">
        <v>3034</v>
      </c>
      <c r="B3035" s="4">
        <v>8</v>
      </c>
      <c r="C3035" s="15">
        <v>9</v>
      </c>
      <c r="D3035" s="16">
        <v>2</v>
      </c>
      <c r="E3035" s="22">
        <v>44490</v>
      </c>
      <c r="F3035" s="19">
        <v>300</v>
      </c>
      <c r="G3035" s="18">
        <v>0.19</v>
      </c>
      <c r="H3035">
        <f>F3035*VLOOKUP(B3035,產品!$A$2:$H$61,7,FALSE)*(1-銷售總表!G3035)</f>
        <v>243000.00000000003</v>
      </c>
      <c r="I3035" s="35">
        <f>H3035-F3035*VLOOKUP(銷售總表!B3035,產品!$A$2:$H$61,8,FALSE)</f>
        <v>123000.00000000003</v>
      </c>
      <c r="J3035" s="20">
        <f t="shared" si="47"/>
        <v>0.50617283950617287</v>
      </c>
    </row>
    <row r="3036" spans="1:10" x14ac:dyDescent="0.3">
      <c r="A3036" s="33">
        <v>3035</v>
      </c>
      <c r="B3036" s="4">
        <v>29</v>
      </c>
      <c r="C3036" s="15">
        <v>137</v>
      </c>
      <c r="D3036" s="16">
        <v>8</v>
      </c>
      <c r="E3036" s="22">
        <v>44491</v>
      </c>
      <c r="F3036" s="17">
        <v>10</v>
      </c>
      <c r="G3036" s="18">
        <v>0.2</v>
      </c>
      <c r="H3036">
        <f>F3036*VLOOKUP(B3036,產品!$A$2:$H$61,7,FALSE)*(1-銷售總表!G3036)</f>
        <v>48000</v>
      </c>
      <c r="I3036" s="35">
        <f>H3036-F3036*VLOOKUP(銷售總表!B3036,產品!$A$2:$H$61,8,FALSE)</f>
        <v>12000</v>
      </c>
      <c r="J3036" s="20">
        <f t="shared" si="47"/>
        <v>0.25</v>
      </c>
    </row>
    <row r="3037" spans="1:10" x14ac:dyDescent="0.3">
      <c r="A3037" s="33">
        <v>3036</v>
      </c>
      <c r="B3037" s="4">
        <v>9</v>
      </c>
      <c r="C3037" s="15">
        <v>286</v>
      </c>
      <c r="D3037" s="16">
        <v>2</v>
      </c>
      <c r="E3037" s="22">
        <v>44491</v>
      </c>
      <c r="F3037" s="17">
        <v>10</v>
      </c>
      <c r="G3037" s="18">
        <v>0.08</v>
      </c>
      <c r="H3037">
        <f>F3037*VLOOKUP(B3037,產品!$A$2:$H$61,7,FALSE)*(1-銷售總表!G3037)</f>
        <v>9200</v>
      </c>
      <c r="I3037" s="35">
        <f>H3037-F3037*VLOOKUP(銷售總表!B3037,產品!$A$2:$H$61,8,FALSE)</f>
        <v>5200</v>
      </c>
      <c r="J3037" s="20">
        <f t="shared" si="47"/>
        <v>0.56521739130434778</v>
      </c>
    </row>
    <row r="3038" spans="1:10" x14ac:dyDescent="0.3">
      <c r="A3038" s="33">
        <v>3037</v>
      </c>
      <c r="B3038" s="4">
        <v>27</v>
      </c>
      <c r="C3038" s="15">
        <v>118</v>
      </c>
      <c r="D3038" s="16">
        <v>2</v>
      </c>
      <c r="E3038" s="22">
        <v>44491</v>
      </c>
      <c r="F3038" s="19">
        <v>3</v>
      </c>
      <c r="G3038" s="18">
        <v>0.15</v>
      </c>
      <c r="H3038">
        <f>F3038*VLOOKUP(B3038,產品!$A$2:$H$61,7,FALSE)*(1-銷售總表!G3038)</f>
        <v>17850</v>
      </c>
      <c r="I3038" s="35">
        <f>H3038-F3038*VLOOKUP(銷售總表!B3038,產品!$A$2:$H$61,8,FALSE)</f>
        <v>5250</v>
      </c>
      <c r="J3038" s="20">
        <f t="shared" si="47"/>
        <v>0.29411764705882354</v>
      </c>
    </row>
    <row r="3039" spans="1:10" x14ac:dyDescent="0.3">
      <c r="A3039" s="33">
        <v>3038</v>
      </c>
      <c r="B3039" s="4">
        <v>49</v>
      </c>
      <c r="C3039" s="15">
        <v>122</v>
      </c>
      <c r="D3039" s="16">
        <v>8</v>
      </c>
      <c r="E3039" s="22">
        <v>44491</v>
      </c>
      <c r="F3039" s="19">
        <v>3</v>
      </c>
      <c r="G3039" s="18">
        <v>0.17</v>
      </c>
      <c r="H3039">
        <f>F3039*VLOOKUP(B3039,產品!$A$2:$H$61,7,FALSE)*(1-銷售總表!G3039)</f>
        <v>37350</v>
      </c>
      <c r="I3039" s="35">
        <f>H3039-F3039*VLOOKUP(銷售總表!B3039,產品!$A$2:$H$61,8,FALSE)</f>
        <v>5850</v>
      </c>
      <c r="J3039" s="20">
        <f t="shared" si="47"/>
        <v>0.15662650602409639</v>
      </c>
    </row>
    <row r="3040" spans="1:10" x14ac:dyDescent="0.3">
      <c r="A3040" s="33">
        <v>3039</v>
      </c>
      <c r="B3040" s="4">
        <v>30</v>
      </c>
      <c r="C3040" s="15">
        <v>282</v>
      </c>
      <c r="D3040" s="16">
        <v>3</v>
      </c>
      <c r="E3040" s="22">
        <v>44491</v>
      </c>
      <c r="F3040" s="17">
        <v>4</v>
      </c>
      <c r="G3040" s="18">
        <v>0.12</v>
      </c>
      <c r="H3040">
        <f>F3040*VLOOKUP(B3040,產品!$A$2:$H$61,7,FALSE)*(1-銷售總表!G3040)</f>
        <v>22880</v>
      </c>
      <c r="I3040" s="35">
        <f>H3040-F3040*VLOOKUP(銷售總表!B3040,產品!$A$2:$H$61,8,FALSE)</f>
        <v>7280</v>
      </c>
      <c r="J3040" s="20">
        <f t="shared" si="47"/>
        <v>0.31818181818181818</v>
      </c>
    </row>
    <row r="3041" spans="1:10" x14ac:dyDescent="0.3">
      <c r="A3041" s="33">
        <v>3040</v>
      </c>
      <c r="B3041" s="4">
        <v>24</v>
      </c>
      <c r="C3041" s="15">
        <v>294</v>
      </c>
      <c r="D3041" s="16">
        <v>3</v>
      </c>
      <c r="E3041" s="22">
        <v>44491</v>
      </c>
      <c r="F3041" s="19">
        <v>15</v>
      </c>
      <c r="G3041" s="18">
        <v>0.19</v>
      </c>
      <c r="H3041">
        <f>F3041*VLOOKUP(B3041,產品!$A$2:$H$61,7,FALSE)*(1-銷售總表!G3041)</f>
        <v>21870</v>
      </c>
      <c r="I3041" s="35">
        <f>H3041-F3041*VLOOKUP(銷售總表!B3041,產品!$A$2:$H$61,8,FALSE)</f>
        <v>11070</v>
      </c>
      <c r="J3041" s="20">
        <f t="shared" si="47"/>
        <v>0.50617283950617287</v>
      </c>
    </row>
    <row r="3042" spans="1:10" x14ac:dyDescent="0.3">
      <c r="A3042" s="33">
        <v>3041</v>
      </c>
      <c r="B3042" s="4">
        <v>7</v>
      </c>
      <c r="C3042" s="15">
        <v>273</v>
      </c>
      <c r="D3042" s="16">
        <v>4</v>
      </c>
      <c r="E3042" s="22">
        <v>44491</v>
      </c>
      <c r="F3042" s="19">
        <v>30</v>
      </c>
      <c r="G3042" s="18">
        <v>0.18</v>
      </c>
      <c r="H3042">
        <f>F3042*VLOOKUP(B3042,產品!$A$2:$H$61,7,FALSE)*(1-銷售總表!G3042)</f>
        <v>24600.000000000004</v>
      </c>
      <c r="I3042" s="35">
        <f>H3042-F3042*VLOOKUP(銷售總表!B3042,產品!$A$2:$H$61,8,FALSE)</f>
        <v>12600.000000000004</v>
      </c>
      <c r="J3042" s="20">
        <f t="shared" si="47"/>
        <v>0.51219512195121963</v>
      </c>
    </row>
    <row r="3043" spans="1:10" x14ac:dyDescent="0.3">
      <c r="A3043" s="33">
        <v>3042</v>
      </c>
      <c r="B3043" s="4">
        <v>60</v>
      </c>
      <c r="C3043" s="15">
        <v>113</v>
      </c>
      <c r="D3043" s="16">
        <v>4</v>
      </c>
      <c r="E3043" s="22">
        <v>44491</v>
      </c>
      <c r="F3043" s="19">
        <v>3</v>
      </c>
      <c r="G3043" s="18">
        <v>0.09</v>
      </c>
      <c r="H3043">
        <f>F3043*VLOOKUP(B3043,產品!$A$2:$H$61,7,FALSE)*(1-銷售總表!G3043)</f>
        <v>68250</v>
      </c>
      <c r="I3043" s="35">
        <f>H3043-F3043*VLOOKUP(銷售總表!B3043,產品!$A$2:$H$61,8,FALSE)</f>
        <v>15750</v>
      </c>
      <c r="J3043" s="20">
        <f t="shared" si="47"/>
        <v>0.23076923076923078</v>
      </c>
    </row>
    <row r="3044" spans="1:10" x14ac:dyDescent="0.3">
      <c r="A3044" s="33">
        <v>3043</v>
      </c>
      <c r="B3044" s="4">
        <v>49</v>
      </c>
      <c r="C3044" s="15">
        <v>283</v>
      </c>
      <c r="D3044" s="16">
        <v>3</v>
      </c>
      <c r="E3044" s="22">
        <v>44491</v>
      </c>
      <c r="F3044" s="19">
        <v>22</v>
      </c>
      <c r="G3044" s="18">
        <v>0.19</v>
      </c>
      <c r="H3044">
        <f>F3044*VLOOKUP(B3044,產品!$A$2:$H$61,7,FALSE)*(1-銷售總表!G3044)</f>
        <v>267300</v>
      </c>
      <c r="I3044" s="35">
        <f>H3044-F3044*VLOOKUP(銷售總表!B3044,產品!$A$2:$H$61,8,FALSE)</f>
        <v>36300</v>
      </c>
      <c r="J3044" s="20">
        <f t="shared" si="47"/>
        <v>0.13580246913580246</v>
      </c>
    </row>
    <row r="3045" spans="1:10" x14ac:dyDescent="0.3">
      <c r="A3045" s="33">
        <v>3044</v>
      </c>
      <c r="B3045" s="4">
        <v>54</v>
      </c>
      <c r="C3045" s="15">
        <v>276</v>
      </c>
      <c r="D3045" s="16">
        <v>5</v>
      </c>
      <c r="E3045" s="22">
        <v>44491</v>
      </c>
      <c r="F3045" s="19">
        <v>17</v>
      </c>
      <c r="G3045" s="18">
        <v>0.16</v>
      </c>
      <c r="H3045">
        <f>F3045*VLOOKUP(B3045,產品!$A$2:$H$61,7,FALSE)*(1-銷售總表!G3045)</f>
        <v>257040</v>
      </c>
      <c r="I3045" s="35">
        <f>H3045-F3045*VLOOKUP(銷售總表!B3045,產品!$A$2:$H$61,8,FALSE)</f>
        <v>42840</v>
      </c>
      <c r="J3045" s="20">
        <f t="shared" si="47"/>
        <v>0.16666666666666666</v>
      </c>
    </row>
    <row r="3046" spans="1:10" x14ac:dyDescent="0.3">
      <c r="A3046" s="33">
        <v>3045</v>
      </c>
      <c r="B3046" s="4">
        <v>40</v>
      </c>
      <c r="C3046" s="15">
        <v>124</v>
      </c>
      <c r="D3046" s="16">
        <v>2</v>
      </c>
      <c r="E3046" s="22">
        <v>44491</v>
      </c>
      <c r="F3046" s="17">
        <v>13</v>
      </c>
      <c r="G3046" s="18">
        <v>0.18</v>
      </c>
      <c r="H3046">
        <f>F3046*VLOOKUP(B3046,產品!$A$2:$H$61,7,FALSE)*(1-銷售總表!G3046)</f>
        <v>213200.00000000003</v>
      </c>
      <c r="I3046" s="35">
        <f>H3046-F3046*VLOOKUP(銷售總表!B3046,產品!$A$2:$H$61,8,FALSE)</f>
        <v>44200.000000000029</v>
      </c>
      <c r="J3046" s="20">
        <f t="shared" si="47"/>
        <v>0.20731707317073181</v>
      </c>
    </row>
    <row r="3047" spans="1:10" x14ac:dyDescent="0.3">
      <c r="A3047" s="33">
        <v>3046</v>
      </c>
      <c r="B3047" s="4">
        <v>15</v>
      </c>
      <c r="C3047" s="15">
        <v>275</v>
      </c>
      <c r="D3047" s="16">
        <v>5</v>
      </c>
      <c r="E3047" s="22">
        <v>44491</v>
      </c>
      <c r="F3047" s="19">
        <v>100</v>
      </c>
      <c r="G3047" s="18">
        <v>0.06</v>
      </c>
      <c r="H3047">
        <f>F3047*VLOOKUP(B3047,產品!$A$2:$H$61,7,FALSE)*(1-銷售總表!G3047)</f>
        <v>169200</v>
      </c>
      <c r="I3047" s="35">
        <f>H3047-F3047*VLOOKUP(銷售總表!B3047,產品!$A$2:$H$61,8,FALSE)</f>
        <v>97200</v>
      </c>
      <c r="J3047" s="20">
        <f t="shared" si="47"/>
        <v>0.57446808510638303</v>
      </c>
    </row>
    <row r="3048" spans="1:10" x14ac:dyDescent="0.3">
      <c r="A3048" s="33">
        <v>3047</v>
      </c>
      <c r="B3048" s="4">
        <v>25</v>
      </c>
      <c r="C3048" s="15">
        <v>279</v>
      </c>
      <c r="D3048" s="16">
        <v>2</v>
      </c>
      <c r="E3048" s="22">
        <v>44492</v>
      </c>
      <c r="F3048" s="19">
        <v>10</v>
      </c>
      <c r="G3048" s="18">
        <v>0.16</v>
      </c>
      <c r="H3048">
        <f>F3048*VLOOKUP(B3048,產品!$A$2:$H$61,7,FALSE)*(1-銷售總表!G3048)</f>
        <v>50400</v>
      </c>
      <c r="I3048" s="35">
        <f>H3048-F3048*VLOOKUP(銷售總表!B3048,產品!$A$2:$H$61,8,FALSE)</f>
        <v>14400</v>
      </c>
      <c r="J3048" s="20">
        <f t="shared" si="47"/>
        <v>0.2857142857142857</v>
      </c>
    </row>
    <row r="3049" spans="1:10" x14ac:dyDescent="0.3">
      <c r="A3049" s="33">
        <v>3048</v>
      </c>
      <c r="B3049" s="4">
        <v>10</v>
      </c>
      <c r="C3049" s="15">
        <v>276</v>
      </c>
      <c r="D3049" s="16">
        <v>2</v>
      </c>
      <c r="E3049" s="22">
        <v>44492</v>
      </c>
      <c r="F3049" s="17">
        <v>10</v>
      </c>
      <c r="G3049" s="18">
        <v>0.09</v>
      </c>
      <c r="H3049">
        <f>F3049*VLOOKUP(B3049,產品!$A$2:$H$61,7,FALSE)*(1-銷售總表!G3049)</f>
        <v>9100</v>
      </c>
      <c r="I3049" s="35">
        <f>H3049-F3049*VLOOKUP(銷售總表!B3049,產品!$A$2:$H$61,8,FALSE)</f>
        <v>5100</v>
      </c>
      <c r="J3049" s="20">
        <f t="shared" si="47"/>
        <v>0.56043956043956045</v>
      </c>
    </row>
    <row r="3050" spans="1:10" x14ac:dyDescent="0.3">
      <c r="A3050" s="33">
        <v>3049</v>
      </c>
      <c r="B3050" s="4">
        <v>30</v>
      </c>
      <c r="C3050" s="15">
        <v>139</v>
      </c>
      <c r="D3050" s="16">
        <v>5</v>
      </c>
      <c r="E3050" s="22">
        <v>44492</v>
      </c>
      <c r="F3050" s="17">
        <v>4</v>
      </c>
      <c r="G3050" s="18">
        <v>0.05</v>
      </c>
      <c r="H3050">
        <f>F3050*VLOOKUP(B3050,產品!$A$2:$H$61,7,FALSE)*(1-銷售總表!G3050)</f>
        <v>24700</v>
      </c>
      <c r="I3050" s="35">
        <f>H3050-F3050*VLOOKUP(銷售總表!B3050,產品!$A$2:$H$61,8,FALSE)</f>
        <v>9100</v>
      </c>
      <c r="J3050" s="20">
        <f t="shared" si="47"/>
        <v>0.36842105263157893</v>
      </c>
    </row>
    <row r="3051" spans="1:10" x14ac:dyDescent="0.3">
      <c r="A3051" s="33">
        <v>3050</v>
      </c>
      <c r="B3051" s="4">
        <v>52</v>
      </c>
      <c r="C3051" s="15">
        <v>261</v>
      </c>
      <c r="D3051" s="16">
        <v>8</v>
      </c>
      <c r="E3051" s="22">
        <v>44492</v>
      </c>
      <c r="F3051" s="17">
        <v>6</v>
      </c>
      <c r="G3051" s="18">
        <v>0.18</v>
      </c>
      <c r="H3051">
        <f>F3051*VLOOKUP(B3051,產品!$A$2:$H$61,7,FALSE)*(1-銷售總表!G3051)</f>
        <v>108240.00000000001</v>
      </c>
      <c r="I3051" s="35">
        <f>H3051-F3051*VLOOKUP(銷售總表!B3051,產品!$A$2:$H$61,8,FALSE)</f>
        <v>15840.000000000029</v>
      </c>
      <c r="J3051" s="20">
        <f t="shared" si="47"/>
        <v>0.14634146341463439</v>
      </c>
    </row>
    <row r="3052" spans="1:10" x14ac:dyDescent="0.3">
      <c r="A3052" s="33">
        <v>3051</v>
      </c>
      <c r="B3052" s="4">
        <v>51</v>
      </c>
      <c r="C3052" s="15">
        <v>112</v>
      </c>
      <c r="D3052" s="16">
        <v>8</v>
      </c>
      <c r="E3052" s="22">
        <v>44492</v>
      </c>
      <c r="F3052" s="19">
        <v>11</v>
      </c>
      <c r="G3052" s="18">
        <v>0.14000000000000001</v>
      </c>
      <c r="H3052">
        <f>F3052*VLOOKUP(B3052,產品!$A$2:$H$61,7,FALSE)*(1-銷售總表!G3052)</f>
        <v>189200</v>
      </c>
      <c r="I3052" s="35">
        <f>H3052-F3052*VLOOKUP(銷售總表!B3052,產品!$A$2:$H$61,8,FALSE)</f>
        <v>35200</v>
      </c>
      <c r="J3052" s="20">
        <f t="shared" si="47"/>
        <v>0.18604651162790697</v>
      </c>
    </row>
    <row r="3053" spans="1:10" x14ac:dyDescent="0.3">
      <c r="A3053" s="33">
        <v>3052</v>
      </c>
      <c r="B3053" s="4">
        <v>25</v>
      </c>
      <c r="C3053" s="15">
        <v>269</v>
      </c>
      <c r="D3053" s="16">
        <v>1</v>
      </c>
      <c r="E3053" s="22">
        <v>44493</v>
      </c>
      <c r="F3053" s="19">
        <v>3</v>
      </c>
      <c r="G3053" s="18">
        <v>0.1</v>
      </c>
      <c r="H3053">
        <f>F3053*VLOOKUP(B3053,產品!$A$2:$H$61,7,FALSE)*(1-銷售總表!G3053)</f>
        <v>16200</v>
      </c>
      <c r="I3053" s="35">
        <f>H3053-F3053*VLOOKUP(銷售總表!B3053,產品!$A$2:$H$61,8,FALSE)</f>
        <v>5400</v>
      </c>
      <c r="J3053" s="20">
        <f t="shared" si="47"/>
        <v>0.33333333333333331</v>
      </c>
    </row>
    <row r="3054" spans="1:10" x14ac:dyDescent="0.3">
      <c r="A3054" s="33">
        <v>3053</v>
      </c>
      <c r="B3054" s="4">
        <v>58</v>
      </c>
      <c r="C3054" s="15">
        <v>258</v>
      </c>
      <c r="D3054" s="16">
        <v>8</v>
      </c>
      <c r="E3054" s="22">
        <v>44493</v>
      </c>
      <c r="F3054" s="17">
        <v>2</v>
      </c>
      <c r="G3054" s="18">
        <v>0.13</v>
      </c>
      <c r="H3054">
        <f>F3054*VLOOKUP(B3054,產品!$A$2:$H$61,7,FALSE)*(1-銷售總表!G3054)</f>
        <v>36540</v>
      </c>
      <c r="I3054" s="35">
        <f>H3054-F3054*VLOOKUP(銷售總表!B3054,產品!$A$2:$H$61,8,FALSE)</f>
        <v>7140.0000000000036</v>
      </c>
      <c r="J3054" s="20">
        <f t="shared" si="47"/>
        <v>0.19540229885057481</v>
      </c>
    </row>
    <row r="3055" spans="1:10" x14ac:dyDescent="0.3">
      <c r="A3055" s="33">
        <v>3054</v>
      </c>
      <c r="B3055" s="4">
        <v>51</v>
      </c>
      <c r="C3055" s="15">
        <v>277</v>
      </c>
      <c r="D3055" s="16">
        <v>1</v>
      </c>
      <c r="E3055" s="22">
        <v>44493</v>
      </c>
      <c r="F3055" s="19">
        <v>3</v>
      </c>
      <c r="G3055" s="18">
        <v>0.11</v>
      </c>
      <c r="H3055">
        <f>F3055*VLOOKUP(B3055,產品!$A$2:$H$61,7,FALSE)*(1-銷售總表!G3055)</f>
        <v>53400</v>
      </c>
      <c r="I3055" s="35">
        <f>H3055-F3055*VLOOKUP(銷售總表!B3055,產品!$A$2:$H$61,8,FALSE)</f>
        <v>11400</v>
      </c>
      <c r="J3055" s="20">
        <f t="shared" si="47"/>
        <v>0.21348314606741572</v>
      </c>
    </row>
    <row r="3056" spans="1:10" x14ac:dyDescent="0.3">
      <c r="A3056" s="33">
        <v>3055</v>
      </c>
      <c r="B3056" s="4">
        <v>58</v>
      </c>
      <c r="C3056" s="15">
        <v>12</v>
      </c>
      <c r="D3056" s="16">
        <v>1</v>
      </c>
      <c r="E3056" s="22">
        <v>44493</v>
      </c>
      <c r="F3056" s="17">
        <v>10</v>
      </c>
      <c r="G3056" s="18">
        <v>0.14000000000000001</v>
      </c>
      <c r="H3056">
        <f>F3056*VLOOKUP(B3056,產品!$A$2:$H$61,7,FALSE)*(1-銷售總表!G3056)</f>
        <v>180600</v>
      </c>
      <c r="I3056" s="35">
        <f>H3056-F3056*VLOOKUP(銷售總表!B3056,產品!$A$2:$H$61,8,FALSE)</f>
        <v>33600.000000000029</v>
      </c>
      <c r="J3056" s="20">
        <f t="shared" si="47"/>
        <v>0.18604651162790714</v>
      </c>
    </row>
    <row r="3057" spans="1:10" x14ac:dyDescent="0.3">
      <c r="A3057" s="33">
        <v>3056</v>
      </c>
      <c r="B3057" s="4">
        <v>47</v>
      </c>
      <c r="C3057" s="15">
        <v>277</v>
      </c>
      <c r="D3057" s="16">
        <v>7</v>
      </c>
      <c r="E3057" s="22">
        <v>44494</v>
      </c>
      <c r="F3057" s="17">
        <v>10</v>
      </c>
      <c r="G3057" s="18">
        <v>0.18</v>
      </c>
      <c r="H3057">
        <f>F3057*VLOOKUP(B3057,產品!$A$2:$H$61,7,FALSE)*(1-銷售總表!G3057)</f>
        <v>164000</v>
      </c>
      <c r="I3057" s="35">
        <f>H3057-F3057*VLOOKUP(銷售總表!B3057,產品!$A$2:$H$61,8,FALSE)</f>
        <v>34000</v>
      </c>
      <c r="J3057" s="20">
        <f t="shared" si="47"/>
        <v>0.2073170731707317</v>
      </c>
    </row>
    <row r="3058" spans="1:10" x14ac:dyDescent="0.3">
      <c r="A3058" s="33">
        <v>3057</v>
      </c>
      <c r="B3058" s="4">
        <v>14</v>
      </c>
      <c r="C3058" s="15">
        <v>281</v>
      </c>
      <c r="D3058" s="16">
        <v>8</v>
      </c>
      <c r="E3058" s="22">
        <v>44494</v>
      </c>
      <c r="F3058" s="17">
        <v>10</v>
      </c>
      <c r="G3058" s="18">
        <v>0.16</v>
      </c>
      <c r="H3058">
        <f>F3058*VLOOKUP(B3058,產品!$A$2:$H$61,7,FALSE)*(1-銷售總表!G3058)</f>
        <v>15120</v>
      </c>
      <c r="I3058" s="35">
        <f>H3058-F3058*VLOOKUP(銷售總表!B3058,產品!$A$2:$H$61,8,FALSE)</f>
        <v>7920</v>
      </c>
      <c r="J3058" s="20">
        <f t="shared" si="47"/>
        <v>0.52380952380952384</v>
      </c>
    </row>
    <row r="3059" spans="1:10" x14ac:dyDescent="0.3">
      <c r="A3059" s="33">
        <v>3058</v>
      </c>
      <c r="B3059" s="4">
        <v>12</v>
      </c>
      <c r="C3059" s="15">
        <v>262</v>
      </c>
      <c r="D3059" s="16">
        <v>3</v>
      </c>
      <c r="E3059" s="22">
        <v>44494</v>
      </c>
      <c r="F3059" s="19">
        <v>100</v>
      </c>
      <c r="G3059" s="18">
        <v>0.17</v>
      </c>
      <c r="H3059">
        <f>F3059*VLOOKUP(B3059,產品!$A$2:$H$61,7,FALSE)*(1-銷售總表!G3059)</f>
        <v>83000</v>
      </c>
      <c r="I3059" s="35">
        <f>H3059-F3059*VLOOKUP(銷售總表!B3059,產品!$A$2:$H$61,8,FALSE)</f>
        <v>43000</v>
      </c>
      <c r="J3059" s="20">
        <f t="shared" si="47"/>
        <v>0.51807228915662651</v>
      </c>
    </row>
    <row r="3060" spans="1:10" x14ac:dyDescent="0.3">
      <c r="A3060" s="33">
        <v>3059</v>
      </c>
      <c r="B3060" s="4">
        <v>4</v>
      </c>
      <c r="C3060" s="15">
        <v>284</v>
      </c>
      <c r="D3060" s="16">
        <v>4</v>
      </c>
      <c r="E3060" s="22">
        <v>44494</v>
      </c>
      <c r="F3060" s="19">
        <v>90</v>
      </c>
      <c r="G3060" s="18">
        <v>0.12</v>
      </c>
      <c r="H3060">
        <f>F3060*VLOOKUP(B3060,產品!$A$2:$H$61,7,FALSE)*(1-銷售總表!G3060)</f>
        <v>79200</v>
      </c>
      <c r="I3060" s="35">
        <f>H3060-F3060*VLOOKUP(銷售總表!B3060,產品!$A$2:$H$61,8,FALSE)</f>
        <v>43200</v>
      </c>
      <c r="J3060" s="20">
        <f t="shared" si="47"/>
        <v>0.54545454545454541</v>
      </c>
    </row>
    <row r="3061" spans="1:10" x14ac:dyDescent="0.3">
      <c r="A3061" s="33">
        <v>3060</v>
      </c>
      <c r="B3061" s="4">
        <v>2</v>
      </c>
      <c r="C3061" s="15">
        <v>1</v>
      </c>
      <c r="D3061" s="16">
        <v>9</v>
      </c>
      <c r="E3061" s="22">
        <v>44495</v>
      </c>
      <c r="F3061" s="17">
        <v>10</v>
      </c>
      <c r="G3061" s="18">
        <v>0.06</v>
      </c>
      <c r="H3061">
        <f>F3061*VLOOKUP(B3061,產品!$A$2:$H$61,7,FALSE)*(1-銷售總表!G3061)</f>
        <v>9400</v>
      </c>
      <c r="I3061" s="35">
        <f>H3061-F3061*VLOOKUP(銷售總表!B3061,產品!$A$2:$H$61,8,FALSE)</f>
        <v>5400</v>
      </c>
      <c r="J3061" s="20">
        <f t="shared" si="47"/>
        <v>0.57446808510638303</v>
      </c>
    </row>
    <row r="3062" spans="1:10" x14ac:dyDescent="0.3">
      <c r="A3062" s="33">
        <v>3061</v>
      </c>
      <c r="B3062" s="4">
        <v>31</v>
      </c>
      <c r="C3062" s="15">
        <v>259</v>
      </c>
      <c r="D3062" s="16">
        <v>6</v>
      </c>
      <c r="E3062" s="22">
        <v>44495</v>
      </c>
      <c r="F3062" s="17">
        <v>6</v>
      </c>
      <c r="G3062" s="18">
        <v>0.2</v>
      </c>
      <c r="H3062">
        <f>F3062*VLOOKUP(B3062,產品!$A$2:$H$61,7,FALSE)*(1-銷售總表!G3062)</f>
        <v>33600</v>
      </c>
      <c r="I3062" s="35">
        <f>H3062-F3062*VLOOKUP(銷售總表!B3062,產品!$A$2:$H$61,8,FALSE)</f>
        <v>8400</v>
      </c>
      <c r="J3062" s="20">
        <f t="shared" si="47"/>
        <v>0.25</v>
      </c>
    </row>
    <row r="3063" spans="1:10" x14ac:dyDescent="0.3">
      <c r="A3063" s="33">
        <v>3062</v>
      </c>
      <c r="B3063" s="4">
        <v>1</v>
      </c>
      <c r="C3063" s="15">
        <v>2</v>
      </c>
      <c r="D3063" s="16">
        <v>3</v>
      </c>
      <c r="E3063" s="22">
        <v>44495</v>
      </c>
      <c r="F3063" s="17">
        <v>20</v>
      </c>
      <c r="G3063" s="18">
        <v>0.17</v>
      </c>
      <c r="H3063">
        <f>F3063*VLOOKUP(B3063,產品!$A$2:$H$61,7,FALSE)*(1-銷售總表!G3063)</f>
        <v>16600</v>
      </c>
      <c r="I3063" s="35">
        <f>H3063-F3063*VLOOKUP(銷售總表!B3063,產品!$A$2:$H$61,8,FALSE)</f>
        <v>8600</v>
      </c>
      <c r="J3063" s="20">
        <f t="shared" si="47"/>
        <v>0.51807228915662651</v>
      </c>
    </row>
    <row r="3064" spans="1:10" x14ac:dyDescent="0.3">
      <c r="A3064" s="33">
        <v>3063</v>
      </c>
      <c r="B3064" s="4">
        <v>59</v>
      </c>
      <c r="C3064" s="15">
        <v>119</v>
      </c>
      <c r="D3064" s="16">
        <v>7</v>
      </c>
      <c r="E3064" s="22">
        <v>44495</v>
      </c>
      <c r="F3064" s="19">
        <v>2</v>
      </c>
      <c r="G3064" s="18">
        <v>0.12</v>
      </c>
      <c r="H3064">
        <f>F3064*VLOOKUP(B3064,產品!$A$2:$H$61,7,FALSE)*(1-銷售總表!G3064)</f>
        <v>42240</v>
      </c>
      <c r="I3064" s="35">
        <f>H3064-F3064*VLOOKUP(銷售總表!B3064,產品!$A$2:$H$61,8,FALSE)</f>
        <v>8640</v>
      </c>
      <c r="J3064" s="20">
        <f t="shared" si="47"/>
        <v>0.20454545454545456</v>
      </c>
    </row>
    <row r="3065" spans="1:10" x14ac:dyDescent="0.3">
      <c r="A3065" s="33">
        <v>3064</v>
      </c>
      <c r="B3065" s="4">
        <v>33</v>
      </c>
      <c r="C3065" s="15">
        <v>257</v>
      </c>
      <c r="D3065" s="16">
        <v>7</v>
      </c>
      <c r="E3065" s="22">
        <v>44495</v>
      </c>
      <c r="F3065" s="19">
        <v>4</v>
      </c>
      <c r="G3065" s="18">
        <v>0.09</v>
      </c>
      <c r="H3065">
        <f>F3065*VLOOKUP(B3065,產品!$A$2:$H$61,7,FALSE)*(1-銷售總表!G3065)</f>
        <v>27300</v>
      </c>
      <c r="I3065" s="35">
        <f>H3065-F3065*VLOOKUP(銷售總表!B3065,產品!$A$2:$H$61,8,FALSE)</f>
        <v>9300</v>
      </c>
      <c r="J3065" s="20">
        <f t="shared" si="47"/>
        <v>0.34065934065934067</v>
      </c>
    </row>
    <row r="3066" spans="1:10" x14ac:dyDescent="0.3">
      <c r="A3066" s="33">
        <v>3065</v>
      </c>
      <c r="B3066" s="4">
        <v>53</v>
      </c>
      <c r="C3066" s="15">
        <v>116</v>
      </c>
      <c r="D3066" s="16">
        <v>7</v>
      </c>
      <c r="E3066" s="22">
        <v>44495</v>
      </c>
      <c r="F3066" s="19">
        <v>7</v>
      </c>
      <c r="G3066" s="18">
        <v>0.17</v>
      </c>
      <c r="H3066">
        <f>F3066*VLOOKUP(B3066,產品!$A$2:$H$61,7,FALSE)*(1-銷售總表!G3066)</f>
        <v>87150</v>
      </c>
      <c r="I3066" s="35">
        <f>H3066-F3066*VLOOKUP(銷售總表!B3066,產品!$A$2:$H$61,8,FALSE)</f>
        <v>13650</v>
      </c>
      <c r="J3066" s="20">
        <f t="shared" si="47"/>
        <v>0.15662650602409639</v>
      </c>
    </row>
    <row r="3067" spans="1:10" x14ac:dyDescent="0.3">
      <c r="A3067" s="33">
        <v>3066</v>
      </c>
      <c r="B3067" s="4">
        <v>21</v>
      </c>
      <c r="C3067" s="15">
        <v>1</v>
      </c>
      <c r="D3067" s="16">
        <v>9</v>
      </c>
      <c r="E3067" s="22">
        <v>44495</v>
      </c>
      <c r="F3067" s="19">
        <v>17</v>
      </c>
      <c r="G3067" s="18">
        <v>0.12</v>
      </c>
      <c r="H3067">
        <f>F3067*VLOOKUP(B3067,產品!$A$2:$H$61,7,FALSE)*(1-銷售總表!G3067)</f>
        <v>26928</v>
      </c>
      <c r="I3067" s="35">
        <f>H3067-F3067*VLOOKUP(銷售總表!B3067,產品!$A$2:$H$61,8,FALSE)</f>
        <v>14688</v>
      </c>
      <c r="J3067" s="20">
        <f t="shared" si="47"/>
        <v>0.54545454545454541</v>
      </c>
    </row>
    <row r="3068" spans="1:10" x14ac:dyDescent="0.3">
      <c r="A3068" s="33">
        <v>3067</v>
      </c>
      <c r="B3068" s="4">
        <v>3</v>
      </c>
      <c r="C3068" s="15">
        <v>8</v>
      </c>
      <c r="D3068" s="16">
        <v>4</v>
      </c>
      <c r="E3068" s="22">
        <v>44495</v>
      </c>
      <c r="F3068" s="17">
        <v>30</v>
      </c>
      <c r="G3068" s="18">
        <v>0.1</v>
      </c>
      <c r="H3068">
        <f>F3068*VLOOKUP(B3068,產品!$A$2:$H$61,7,FALSE)*(1-銷售總表!G3068)</f>
        <v>27000</v>
      </c>
      <c r="I3068" s="35">
        <f>H3068-F3068*VLOOKUP(銷售總表!B3068,產品!$A$2:$H$61,8,FALSE)</f>
        <v>15000</v>
      </c>
      <c r="J3068" s="20">
        <f t="shared" si="47"/>
        <v>0.55555555555555558</v>
      </c>
    </row>
    <row r="3069" spans="1:10" x14ac:dyDescent="0.3">
      <c r="A3069" s="33">
        <v>3068</v>
      </c>
      <c r="B3069" s="4">
        <v>38</v>
      </c>
      <c r="C3069" s="15">
        <v>122</v>
      </c>
      <c r="D3069" s="16">
        <v>2</v>
      </c>
      <c r="E3069" s="22">
        <v>44495</v>
      </c>
      <c r="F3069" s="19">
        <v>7</v>
      </c>
      <c r="G3069" s="18">
        <v>0.1</v>
      </c>
      <c r="H3069">
        <f>F3069*VLOOKUP(B3069,產品!$A$2:$H$61,7,FALSE)*(1-銷售總表!G3069)</f>
        <v>94500</v>
      </c>
      <c r="I3069" s="35">
        <f>H3069-F3069*VLOOKUP(銷售總表!B3069,產品!$A$2:$H$61,8,FALSE)</f>
        <v>26250</v>
      </c>
      <c r="J3069" s="20">
        <f t="shared" si="47"/>
        <v>0.27777777777777779</v>
      </c>
    </row>
    <row r="3070" spans="1:10" x14ac:dyDescent="0.3">
      <c r="A3070" s="33">
        <v>3069</v>
      </c>
      <c r="B3070" s="4">
        <v>42</v>
      </c>
      <c r="C3070" s="15">
        <v>117</v>
      </c>
      <c r="D3070" s="16">
        <v>6</v>
      </c>
      <c r="E3070" s="22">
        <v>44495</v>
      </c>
      <c r="F3070" s="17">
        <v>12</v>
      </c>
      <c r="G3070" s="18">
        <v>0.15</v>
      </c>
      <c r="H3070">
        <f>F3070*VLOOKUP(B3070,產品!$A$2:$H$61,7,FALSE)*(1-銷售總表!G3070)</f>
        <v>153000</v>
      </c>
      <c r="I3070" s="35">
        <f>H3070-F3070*VLOOKUP(銷售總表!B3070,產品!$A$2:$H$61,8,FALSE)</f>
        <v>36000</v>
      </c>
      <c r="J3070" s="20">
        <f t="shared" si="47"/>
        <v>0.23529411764705882</v>
      </c>
    </row>
    <row r="3071" spans="1:10" x14ac:dyDescent="0.3">
      <c r="A3071" s="33">
        <v>3070</v>
      </c>
      <c r="B3071" s="4">
        <v>14</v>
      </c>
      <c r="C3071" s="15">
        <v>11</v>
      </c>
      <c r="D3071" s="16">
        <v>1</v>
      </c>
      <c r="E3071" s="22">
        <v>44496</v>
      </c>
      <c r="F3071" s="19">
        <v>10</v>
      </c>
      <c r="G3071" s="18">
        <v>0.14000000000000001</v>
      </c>
      <c r="H3071">
        <f>F3071*VLOOKUP(B3071,產品!$A$2:$H$61,7,FALSE)*(1-銷售總表!G3071)</f>
        <v>15480</v>
      </c>
      <c r="I3071" s="35">
        <f>H3071-F3071*VLOOKUP(銷售總表!B3071,產品!$A$2:$H$61,8,FALSE)</f>
        <v>8280</v>
      </c>
      <c r="J3071" s="20">
        <f t="shared" si="47"/>
        <v>0.53488372093023251</v>
      </c>
    </row>
    <row r="3072" spans="1:10" x14ac:dyDescent="0.3">
      <c r="A3072" s="33">
        <v>3071</v>
      </c>
      <c r="B3072" s="4">
        <v>26</v>
      </c>
      <c r="C3072" s="15">
        <v>135</v>
      </c>
      <c r="D3072" s="16">
        <v>7</v>
      </c>
      <c r="E3072" s="22">
        <v>44496</v>
      </c>
      <c r="F3072" s="17">
        <v>6</v>
      </c>
      <c r="G3072" s="18">
        <v>0.11</v>
      </c>
      <c r="H3072">
        <f>F3072*VLOOKUP(B3072,產品!$A$2:$H$61,7,FALSE)*(1-銷售總表!G3072)</f>
        <v>34710</v>
      </c>
      <c r="I3072" s="35">
        <f>H3072-F3072*VLOOKUP(銷售總表!B3072,產品!$A$2:$H$61,8,FALSE)</f>
        <v>11310</v>
      </c>
      <c r="J3072" s="20">
        <f t="shared" si="47"/>
        <v>0.3258426966292135</v>
      </c>
    </row>
    <row r="3073" spans="1:10" x14ac:dyDescent="0.3">
      <c r="A3073" s="33">
        <v>3072</v>
      </c>
      <c r="B3073" s="4">
        <v>38</v>
      </c>
      <c r="C3073" s="15">
        <v>139</v>
      </c>
      <c r="D3073" s="16">
        <v>4</v>
      </c>
      <c r="E3073" s="22">
        <v>44496</v>
      </c>
      <c r="F3073" s="19">
        <v>3</v>
      </c>
      <c r="G3073" s="18">
        <v>0.08</v>
      </c>
      <c r="H3073">
        <f>F3073*VLOOKUP(B3073,產品!$A$2:$H$61,7,FALSE)*(1-銷售總表!G3073)</f>
        <v>41400</v>
      </c>
      <c r="I3073" s="35">
        <f>H3073-F3073*VLOOKUP(銷售總表!B3073,產品!$A$2:$H$61,8,FALSE)</f>
        <v>12150</v>
      </c>
      <c r="J3073" s="20">
        <f t="shared" si="47"/>
        <v>0.29347826086956524</v>
      </c>
    </row>
    <row r="3074" spans="1:10" x14ac:dyDescent="0.3">
      <c r="A3074" s="33">
        <v>3073</v>
      </c>
      <c r="B3074" s="4">
        <v>32</v>
      </c>
      <c r="C3074" s="15">
        <v>3</v>
      </c>
      <c r="D3074" s="16">
        <v>5</v>
      </c>
      <c r="E3074" s="22">
        <v>44496</v>
      </c>
      <c r="F3074" s="19">
        <v>7</v>
      </c>
      <c r="G3074" s="18">
        <v>0.14000000000000001</v>
      </c>
      <c r="H3074">
        <f>F3074*VLOOKUP(B3074,產品!$A$2:$H$61,7,FALSE)*(1-銷售總表!G3074)</f>
        <v>45150</v>
      </c>
      <c r="I3074" s="35">
        <f>H3074-F3074*VLOOKUP(銷售總表!B3074,產品!$A$2:$H$61,8,FALSE)</f>
        <v>13650</v>
      </c>
      <c r="J3074" s="20">
        <f t="shared" si="47"/>
        <v>0.30232558139534882</v>
      </c>
    </row>
    <row r="3075" spans="1:10" x14ac:dyDescent="0.3">
      <c r="A3075" s="33">
        <v>3074</v>
      </c>
      <c r="B3075" s="4">
        <v>15</v>
      </c>
      <c r="C3075" s="15">
        <v>9</v>
      </c>
      <c r="D3075" s="16">
        <v>6</v>
      </c>
      <c r="E3075" s="22">
        <v>44496</v>
      </c>
      <c r="F3075" s="17">
        <v>90</v>
      </c>
      <c r="G3075" s="18">
        <v>0.17</v>
      </c>
      <c r="H3075">
        <f>F3075*VLOOKUP(B3075,產品!$A$2:$H$61,7,FALSE)*(1-銷售總表!G3075)</f>
        <v>134460</v>
      </c>
      <c r="I3075" s="35">
        <f>H3075-F3075*VLOOKUP(銷售總表!B3075,產品!$A$2:$H$61,8,FALSE)</f>
        <v>69660</v>
      </c>
      <c r="J3075" s="20">
        <f t="shared" ref="J3075:J3138" si="48">I3075/H3075</f>
        <v>0.51807228915662651</v>
      </c>
    </row>
    <row r="3076" spans="1:10" x14ac:dyDescent="0.3">
      <c r="A3076" s="33">
        <v>3075</v>
      </c>
      <c r="B3076" s="4">
        <v>37</v>
      </c>
      <c r="C3076" s="15">
        <v>12</v>
      </c>
      <c r="D3076" s="16">
        <v>5</v>
      </c>
      <c r="E3076" s="22">
        <v>44496</v>
      </c>
      <c r="F3076" s="17">
        <v>25</v>
      </c>
      <c r="G3076" s="18">
        <v>0.05</v>
      </c>
      <c r="H3076">
        <f>F3076*VLOOKUP(B3076,產品!$A$2:$H$61,7,FALSE)*(1-銷售總表!G3076)</f>
        <v>285000</v>
      </c>
      <c r="I3076" s="35">
        <f>H3076-F3076*VLOOKUP(銷售總表!B3076,產品!$A$2:$H$61,8,FALSE)</f>
        <v>90000</v>
      </c>
      <c r="J3076" s="20">
        <f t="shared" si="48"/>
        <v>0.31578947368421051</v>
      </c>
    </row>
    <row r="3077" spans="1:10" x14ac:dyDescent="0.3">
      <c r="A3077" s="33">
        <v>3076</v>
      </c>
      <c r="B3077" s="4">
        <v>31</v>
      </c>
      <c r="C3077" s="15">
        <v>8</v>
      </c>
      <c r="D3077" s="16">
        <v>9</v>
      </c>
      <c r="E3077" s="22">
        <v>44497</v>
      </c>
      <c r="F3077" s="19">
        <v>3</v>
      </c>
      <c r="G3077" s="18">
        <v>0.14000000000000001</v>
      </c>
      <c r="H3077">
        <f>F3077*VLOOKUP(B3077,產品!$A$2:$H$61,7,FALSE)*(1-銷售總表!G3077)</f>
        <v>18060</v>
      </c>
      <c r="I3077" s="35">
        <f>H3077-F3077*VLOOKUP(銷售總表!B3077,產品!$A$2:$H$61,8,FALSE)</f>
        <v>5460</v>
      </c>
      <c r="J3077" s="20">
        <f t="shared" si="48"/>
        <v>0.30232558139534882</v>
      </c>
    </row>
    <row r="3078" spans="1:10" x14ac:dyDescent="0.3">
      <c r="A3078" s="33">
        <v>3077</v>
      </c>
      <c r="B3078" s="4">
        <v>51</v>
      </c>
      <c r="C3078" s="15">
        <v>5</v>
      </c>
      <c r="D3078" s="16">
        <v>3</v>
      </c>
      <c r="E3078" s="22">
        <v>44497</v>
      </c>
      <c r="F3078" s="17">
        <v>3</v>
      </c>
      <c r="G3078" s="18">
        <v>0.19</v>
      </c>
      <c r="H3078">
        <f>F3078*VLOOKUP(B3078,產品!$A$2:$H$61,7,FALSE)*(1-銷售總表!G3078)</f>
        <v>48600</v>
      </c>
      <c r="I3078" s="35">
        <f>H3078-F3078*VLOOKUP(銷售總表!B3078,產品!$A$2:$H$61,8,FALSE)</f>
        <v>6600</v>
      </c>
      <c r="J3078" s="20">
        <f t="shared" si="48"/>
        <v>0.13580246913580246</v>
      </c>
    </row>
    <row r="3079" spans="1:10" x14ac:dyDescent="0.3">
      <c r="A3079" s="33">
        <v>3078</v>
      </c>
      <c r="B3079" s="4">
        <v>35</v>
      </c>
      <c r="C3079" s="15">
        <v>12</v>
      </c>
      <c r="D3079" s="16">
        <v>9</v>
      </c>
      <c r="E3079" s="22">
        <v>44497</v>
      </c>
      <c r="F3079" s="17">
        <v>3</v>
      </c>
      <c r="G3079" s="18">
        <v>0.12</v>
      </c>
      <c r="H3079">
        <f>F3079*VLOOKUP(B3079,產品!$A$2:$H$61,7,FALSE)*(1-銷售總表!G3079)</f>
        <v>22440</v>
      </c>
      <c r="I3079" s="35">
        <f>H3079-F3079*VLOOKUP(銷售總表!B3079,產品!$A$2:$H$61,8,FALSE)</f>
        <v>7140</v>
      </c>
      <c r="J3079" s="20">
        <f t="shared" si="48"/>
        <v>0.31818181818181818</v>
      </c>
    </row>
    <row r="3080" spans="1:10" x14ac:dyDescent="0.3">
      <c r="A3080" s="33">
        <v>3079</v>
      </c>
      <c r="B3080" s="4">
        <v>23</v>
      </c>
      <c r="C3080" s="15">
        <v>115</v>
      </c>
      <c r="D3080" s="16">
        <v>4</v>
      </c>
      <c r="E3080" s="22">
        <v>44497</v>
      </c>
      <c r="F3080" s="19">
        <v>11</v>
      </c>
      <c r="G3080" s="18">
        <v>0.1</v>
      </c>
      <c r="H3080">
        <f>F3080*VLOOKUP(B3080,產品!$A$2:$H$61,7,FALSE)*(1-銷售總表!G3080)</f>
        <v>17820</v>
      </c>
      <c r="I3080" s="35">
        <f>H3080-F3080*VLOOKUP(銷售總表!B3080,產品!$A$2:$H$61,8,FALSE)</f>
        <v>9900</v>
      </c>
      <c r="J3080" s="20">
        <f t="shared" si="48"/>
        <v>0.55555555555555558</v>
      </c>
    </row>
    <row r="3081" spans="1:10" x14ac:dyDescent="0.3">
      <c r="A3081" s="33">
        <v>3080</v>
      </c>
      <c r="B3081" s="4">
        <v>16</v>
      </c>
      <c r="C3081" s="15">
        <v>283</v>
      </c>
      <c r="D3081" s="16">
        <v>1</v>
      </c>
      <c r="E3081" s="22">
        <v>44497</v>
      </c>
      <c r="F3081" s="17">
        <v>20</v>
      </c>
      <c r="G3081" s="18">
        <v>0.06</v>
      </c>
      <c r="H3081">
        <f>F3081*VLOOKUP(B3081,產品!$A$2:$H$61,7,FALSE)*(1-銷售總表!G3081)</f>
        <v>33840</v>
      </c>
      <c r="I3081" s="35">
        <f>H3081-F3081*VLOOKUP(銷售總表!B3081,產品!$A$2:$H$61,8,FALSE)</f>
        <v>19440</v>
      </c>
      <c r="J3081" s="20">
        <f t="shared" si="48"/>
        <v>0.57446808510638303</v>
      </c>
    </row>
    <row r="3082" spans="1:10" x14ac:dyDescent="0.3">
      <c r="A3082" s="33">
        <v>3081</v>
      </c>
      <c r="B3082" s="4">
        <v>30</v>
      </c>
      <c r="C3082" s="15">
        <v>6</v>
      </c>
      <c r="D3082" s="16">
        <v>1</v>
      </c>
      <c r="E3082" s="22">
        <v>44497</v>
      </c>
      <c r="F3082" s="19">
        <v>15</v>
      </c>
      <c r="G3082" s="18">
        <v>0.2</v>
      </c>
      <c r="H3082">
        <f>F3082*VLOOKUP(B3082,產品!$A$2:$H$61,7,FALSE)*(1-銷售總表!G3082)</f>
        <v>78000</v>
      </c>
      <c r="I3082" s="35">
        <f>H3082-F3082*VLOOKUP(銷售總表!B3082,產品!$A$2:$H$61,8,FALSE)</f>
        <v>19500</v>
      </c>
      <c r="J3082" s="20">
        <f t="shared" si="48"/>
        <v>0.25</v>
      </c>
    </row>
    <row r="3083" spans="1:10" x14ac:dyDescent="0.3">
      <c r="A3083" s="33">
        <v>3082</v>
      </c>
      <c r="B3083" s="4">
        <v>4</v>
      </c>
      <c r="C3083" s="15">
        <v>136</v>
      </c>
      <c r="D3083" s="16">
        <v>10</v>
      </c>
      <c r="E3083" s="22">
        <v>44497</v>
      </c>
      <c r="F3083" s="19">
        <v>70</v>
      </c>
      <c r="G3083" s="18">
        <v>0.14000000000000001</v>
      </c>
      <c r="H3083">
        <f>F3083*VLOOKUP(B3083,產品!$A$2:$H$61,7,FALSE)*(1-銷售總表!G3083)</f>
        <v>60200</v>
      </c>
      <c r="I3083" s="35">
        <f>H3083-F3083*VLOOKUP(銷售總表!B3083,產品!$A$2:$H$61,8,FALSE)</f>
        <v>32200</v>
      </c>
      <c r="J3083" s="20">
        <f t="shared" si="48"/>
        <v>0.53488372093023251</v>
      </c>
    </row>
    <row r="3084" spans="1:10" x14ac:dyDescent="0.3">
      <c r="A3084" s="33">
        <v>3083</v>
      </c>
      <c r="B3084" s="4">
        <v>39</v>
      </c>
      <c r="C3084" s="15">
        <v>258</v>
      </c>
      <c r="D3084" s="16">
        <v>2</v>
      </c>
      <c r="E3084" s="22">
        <v>44497</v>
      </c>
      <c r="F3084" s="19">
        <v>10</v>
      </c>
      <c r="G3084" s="18">
        <v>0.05</v>
      </c>
      <c r="H3084">
        <f>F3084*VLOOKUP(B3084,產品!$A$2:$H$61,7,FALSE)*(1-銷售總表!G3084)</f>
        <v>171000</v>
      </c>
      <c r="I3084" s="35">
        <f>H3084-F3084*VLOOKUP(銷售總表!B3084,產品!$A$2:$H$61,8,FALSE)</f>
        <v>54000</v>
      </c>
      <c r="J3084" s="20">
        <f t="shared" si="48"/>
        <v>0.31578947368421051</v>
      </c>
    </row>
    <row r="3085" spans="1:10" x14ac:dyDescent="0.3">
      <c r="A3085" s="33">
        <v>3084</v>
      </c>
      <c r="B3085" s="4">
        <v>27</v>
      </c>
      <c r="C3085" s="15">
        <v>263</v>
      </c>
      <c r="D3085" s="16">
        <v>6</v>
      </c>
      <c r="E3085" s="22">
        <v>44498</v>
      </c>
      <c r="F3085" s="19">
        <v>3</v>
      </c>
      <c r="G3085" s="18">
        <v>0.16</v>
      </c>
      <c r="H3085">
        <f>F3085*VLOOKUP(B3085,產品!$A$2:$H$61,7,FALSE)*(1-銷售總表!G3085)</f>
        <v>17640</v>
      </c>
      <c r="I3085" s="35">
        <f>H3085-F3085*VLOOKUP(銷售總表!B3085,產品!$A$2:$H$61,8,FALSE)</f>
        <v>5040</v>
      </c>
      <c r="J3085" s="20">
        <f t="shared" si="48"/>
        <v>0.2857142857142857</v>
      </c>
    </row>
    <row r="3086" spans="1:10" x14ac:dyDescent="0.3">
      <c r="A3086" s="33">
        <v>3085</v>
      </c>
      <c r="B3086" s="4">
        <v>46</v>
      </c>
      <c r="C3086" s="15">
        <v>5</v>
      </c>
      <c r="D3086" s="16">
        <v>1</v>
      </c>
      <c r="E3086" s="22">
        <v>44498</v>
      </c>
      <c r="F3086" s="17">
        <v>2</v>
      </c>
      <c r="G3086" s="18">
        <v>0.2</v>
      </c>
      <c r="H3086">
        <f>F3086*VLOOKUP(B3086,產品!$A$2:$H$61,7,FALSE)*(1-銷售總表!G3086)</f>
        <v>27200</v>
      </c>
      <c r="I3086" s="35">
        <f>H3086-F3086*VLOOKUP(銷售總表!B3086,產品!$A$2:$H$61,8,FALSE)</f>
        <v>5100</v>
      </c>
      <c r="J3086" s="20">
        <f t="shared" si="48"/>
        <v>0.1875</v>
      </c>
    </row>
    <row r="3087" spans="1:10" x14ac:dyDescent="0.3">
      <c r="A3087" s="33">
        <v>3086</v>
      </c>
      <c r="B3087" s="4">
        <v>40</v>
      </c>
      <c r="C3087" s="15">
        <v>113</v>
      </c>
      <c r="D3087" s="16">
        <v>5</v>
      </c>
      <c r="E3087" s="22">
        <v>44498</v>
      </c>
      <c r="F3087" s="19">
        <v>4</v>
      </c>
      <c r="G3087" s="18">
        <v>0.18</v>
      </c>
      <c r="H3087">
        <f>F3087*VLOOKUP(B3087,產品!$A$2:$H$61,7,FALSE)*(1-銷售總表!G3087)</f>
        <v>65600</v>
      </c>
      <c r="I3087" s="35">
        <f>H3087-F3087*VLOOKUP(銷售總表!B3087,產品!$A$2:$H$61,8,FALSE)</f>
        <v>13600</v>
      </c>
      <c r="J3087" s="20">
        <f t="shared" si="48"/>
        <v>0.2073170731707317</v>
      </c>
    </row>
    <row r="3088" spans="1:10" x14ac:dyDescent="0.3">
      <c r="A3088" s="33">
        <v>3087</v>
      </c>
      <c r="B3088" s="4">
        <v>55</v>
      </c>
      <c r="C3088" s="15">
        <v>1</v>
      </c>
      <c r="D3088" s="16">
        <v>10</v>
      </c>
      <c r="E3088" s="22">
        <v>44498</v>
      </c>
      <c r="F3088" s="19">
        <v>8</v>
      </c>
      <c r="G3088" s="18">
        <v>0.2</v>
      </c>
      <c r="H3088">
        <f>F3088*VLOOKUP(B3088,產品!$A$2:$H$61,7,FALSE)*(1-銷售總表!G3088)</f>
        <v>128000</v>
      </c>
      <c r="I3088" s="35">
        <f>H3088-F3088*VLOOKUP(銷售總表!B3088,產品!$A$2:$H$61,8,FALSE)</f>
        <v>16000</v>
      </c>
      <c r="J3088" s="20">
        <f t="shared" si="48"/>
        <v>0.125</v>
      </c>
    </row>
    <row r="3089" spans="1:10" x14ac:dyDescent="0.3">
      <c r="A3089" s="33">
        <v>3088</v>
      </c>
      <c r="B3089" s="4">
        <v>16</v>
      </c>
      <c r="C3089" s="15">
        <v>281</v>
      </c>
      <c r="D3089" s="16">
        <v>6</v>
      </c>
      <c r="E3089" s="22">
        <v>44498</v>
      </c>
      <c r="F3089" s="19">
        <v>20</v>
      </c>
      <c r="G3089" s="18">
        <v>0.13</v>
      </c>
      <c r="H3089">
        <f>F3089*VLOOKUP(B3089,產品!$A$2:$H$61,7,FALSE)*(1-銷售總表!G3089)</f>
        <v>31320</v>
      </c>
      <c r="I3089" s="35">
        <f>H3089-F3089*VLOOKUP(銷售總表!B3089,產品!$A$2:$H$61,8,FALSE)</f>
        <v>16920</v>
      </c>
      <c r="J3089" s="20">
        <f t="shared" si="48"/>
        <v>0.54022988505747127</v>
      </c>
    </row>
    <row r="3090" spans="1:10" x14ac:dyDescent="0.3">
      <c r="A3090" s="33">
        <v>3089</v>
      </c>
      <c r="B3090" s="4">
        <v>47</v>
      </c>
      <c r="C3090" s="15">
        <v>3</v>
      </c>
      <c r="D3090" s="16">
        <v>9</v>
      </c>
      <c r="E3090" s="22">
        <v>44498</v>
      </c>
      <c r="F3090" s="19">
        <v>5</v>
      </c>
      <c r="G3090" s="18">
        <v>0.17</v>
      </c>
      <c r="H3090">
        <f>F3090*VLOOKUP(B3090,產品!$A$2:$H$61,7,FALSE)*(1-銷售總表!G3090)</f>
        <v>83000</v>
      </c>
      <c r="I3090" s="35">
        <f>H3090-F3090*VLOOKUP(銷售總表!B3090,產品!$A$2:$H$61,8,FALSE)</f>
        <v>18000</v>
      </c>
      <c r="J3090" s="20">
        <f t="shared" si="48"/>
        <v>0.21686746987951808</v>
      </c>
    </row>
    <row r="3091" spans="1:10" x14ac:dyDescent="0.3">
      <c r="A3091" s="33">
        <v>3090</v>
      </c>
      <c r="B3091" s="4">
        <v>43</v>
      </c>
      <c r="C3091" s="15">
        <v>265</v>
      </c>
      <c r="D3091" s="16">
        <v>8</v>
      </c>
      <c r="E3091" s="22">
        <v>44498</v>
      </c>
      <c r="F3091" s="19">
        <v>4</v>
      </c>
      <c r="G3091" s="18">
        <v>0.06</v>
      </c>
      <c r="H3091">
        <f>F3091*VLOOKUP(B3091,產品!$A$2:$H$61,7,FALSE)*(1-銷售總表!G3091)</f>
        <v>67680</v>
      </c>
      <c r="I3091" s="35">
        <f>H3091-F3091*VLOOKUP(銷售總表!B3091,產品!$A$2:$H$61,8,FALSE)</f>
        <v>20880</v>
      </c>
      <c r="J3091" s="20">
        <f t="shared" si="48"/>
        <v>0.30851063829787234</v>
      </c>
    </row>
    <row r="3092" spans="1:10" x14ac:dyDescent="0.3">
      <c r="A3092" s="33">
        <v>3091</v>
      </c>
      <c r="B3092" s="4">
        <v>53</v>
      </c>
      <c r="C3092" s="15">
        <v>124</v>
      </c>
      <c r="D3092" s="16">
        <v>7</v>
      </c>
      <c r="E3092" s="22">
        <v>44498</v>
      </c>
      <c r="F3092" s="19">
        <v>7</v>
      </c>
      <c r="G3092" s="18">
        <v>0.1</v>
      </c>
      <c r="H3092">
        <f>F3092*VLOOKUP(B3092,產品!$A$2:$H$61,7,FALSE)*(1-銷售總表!G3092)</f>
        <v>94500</v>
      </c>
      <c r="I3092" s="35">
        <f>H3092-F3092*VLOOKUP(銷售總表!B3092,產品!$A$2:$H$61,8,FALSE)</f>
        <v>21000</v>
      </c>
      <c r="J3092" s="20">
        <f t="shared" si="48"/>
        <v>0.22222222222222221</v>
      </c>
    </row>
    <row r="3093" spans="1:10" x14ac:dyDescent="0.3">
      <c r="A3093" s="33">
        <v>3092</v>
      </c>
      <c r="B3093" s="4">
        <v>21</v>
      </c>
      <c r="C3093" s="15">
        <v>258</v>
      </c>
      <c r="D3093" s="16">
        <v>4</v>
      </c>
      <c r="E3093" s="22">
        <v>44498</v>
      </c>
      <c r="F3093" s="17">
        <v>30</v>
      </c>
      <c r="G3093" s="18">
        <v>0.17</v>
      </c>
      <c r="H3093">
        <f>F3093*VLOOKUP(B3093,產品!$A$2:$H$61,7,FALSE)*(1-銷售總表!G3093)</f>
        <v>44820</v>
      </c>
      <c r="I3093" s="35">
        <f>H3093-F3093*VLOOKUP(銷售總表!B3093,產品!$A$2:$H$61,8,FALSE)</f>
        <v>23220</v>
      </c>
      <c r="J3093" s="20">
        <f t="shared" si="48"/>
        <v>0.51807228915662651</v>
      </c>
    </row>
    <row r="3094" spans="1:10" x14ac:dyDescent="0.3">
      <c r="A3094" s="33">
        <v>3093</v>
      </c>
      <c r="B3094" s="4">
        <v>11</v>
      </c>
      <c r="C3094" s="15">
        <v>6</v>
      </c>
      <c r="D3094" s="16">
        <v>5</v>
      </c>
      <c r="E3094" s="22">
        <v>44498</v>
      </c>
      <c r="F3094" s="19">
        <v>70</v>
      </c>
      <c r="G3094" s="18">
        <v>0.05</v>
      </c>
      <c r="H3094">
        <f>F3094*VLOOKUP(B3094,產品!$A$2:$H$61,7,FALSE)*(1-銷售總表!G3094)</f>
        <v>66500</v>
      </c>
      <c r="I3094" s="35">
        <f>H3094-F3094*VLOOKUP(銷售總表!B3094,產品!$A$2:$H$61,8,FALSE)</f>
        <v>38500</v>
      </c>
      <c r="J3094" s="20">
        <f t="shared" si="48"/>
        <v>0.57894736842105265</v>
      </c>
    </row>
    <row r="3095" spans="1:10" x14ac:dyDescent="0.3">
      <c r="A3095" s="33">
        <v>3094</v>
      </c>
      <c r="B3095" s="4">
        <v>5</v>
      </c>
      <c r="C3095" s="15">
        <v>292</v>
      </c>
      <c r="D3095" s="16">
        <v>7</v>
      </c>
      <c r="E3095" s="22">
        <v>44499</v>
      </c>
      <c r="F3095" s="19">
        <v>30</v>
      </c>
      <c r="G3095" s="18">
        <v>0.11</v>
      </c>
      <c r="H3095">
        <f>F3095*VLOOKUP(B3095,產品!$A$2:$H$61,7,FALSE)*(1-銷售總表!G3095)</f>
        <v>26700</v>
      </c>
      <c r="I3095" s="35">
        <f>H3095-F3095*VLOOKUP(銷售總表!B3095,產品!$A$2:$H$61,8,FALSE)</f>
        <v>14700</v>
      </c>
      <c r="J3095" s="20">
        <f t="shared" si="48"/>
        <v>0.550561797752809</v>
      </c>
    </row>
    <row r="3096" spans="1:10" x14ac:dyDescent="0.3">
      <c r="A3096" s="33">
        <v>3095</v>
      </c>
      <c r="B3096" s="4">
        <v>10</v>
      </c>
      <c r="C3096" s="15">
        <v>293</v>
      </c>
      <c r="D3096" s="16">
        <v>1</v>
      </c>
      <c r="E3096" s="22">
        <v>44499</v>
      </c>
      <c r="F3096" s="19">
        <v>30</v>
      </c>
      <c r="G3096" s="18">
        <v>0.09</v>
      </c>
      <c r="H3096">
        <f>F3096*VLOOKUP(B3096,產品!$A$2:$H$61,7,FALSE)*(1-銷售總表!G3096)</f>
        <v>27300</v>
      </c>
      <c r="I3096" s="35">
        <f>H3096-F3096*VLOOKUP(銷售總表!B3096,產品!$A$2:$H$61,8,FALSE)</f>
        <v>15300</v>
      </c>
      <c r="J3096" s="20">
        <f t="shared" si="48"/>
        <v>0.56043956043956045</v>
      </c>
    </row>
    <row r="3097" spans="1:10" x14ac:dyDescent="0.3">
      <c r="A3097" s="33">
        <v>3096</v>
      </c>
      <c r="B3097" s="4">
        <v>10</v>
      </c>
      <c r="C3097" s="15">
        <v>124</v>
      </c>
      <c r="D3097" s="16">
        <v>7</v>
      </c>
      <c r="E3097" s="22">
        <v>44499</v>
      </c>
      <c r="F3097" s="19">
        <v>60</v>
      </c>
      <c r="G3097" s="18">
        <v>0.11</v>
      </c>
      <c r="H3097">
        <f>F3097*VLOOKUP(B3097,產品!$A$2:$H$61,7,FALSE)*(1-銷售總表!G3097)</f>
        <v>53400</v>
      </c>
      <c r="I3097" s="35">
        <f>H3097-F3097*VLOOKUP(銷售總表!B3097,產品!$A$2:$H$61,8,FALSE)</f>
        <v>29400</v>
      </c>
      <c r="J3097" s="20">
        <f t="shared" si="48"/>
        <v>0.550561797752809</v>
      </c>
    </row>
    <row r="3098" spans="1:10" x14ac:dyDescent="0.3">
      <c r="A3098" s="33">
        <v>3097</v>
      </c>
      <c r="B3098" s="4">
        <v>24</v>
      </c>
      <c r="C3098" s="15">
        <v>140</v>
      </c>
      <c r="D3098" s="16">
        <v>5</v>
      </c>
      <c r="E3098" s="22">
        <v>44499</v>
      </c>
      <c r="F3098" s="19">
        <v>30</v>
      </c>
      <c r="G3098" s="18">
        <v>0.05</v>
      </c>
      <c r="H3098">
        <f>F3098*VLOOKUP(B3098,產品!$A$2:$H$61,7,FALSE)*(1-銷售總表!G3098)</f>
        <v>51300</v>
      </c>
      <c r="I3098" s="35">
        <f>H3098-F3098*VLOOKUP(銷售總表!B3098,產品!$A$2:$H$61,8,FALSE)</f>
        <v>29700</v>
      </c>
      <c r="J3098" s="20">
        <f t="shared" si="48"/>
        <v>0.57894736842105265</v>
      </c>
    </row>
    <row r="3099" spans="1:10" x14ac:dyDescent="0.3">
      <c r="A3099" s="33">
        <v>3098</v>
      </c>
      <c r="B3099" s="4">
        <v>47</v>
      </c>
      <c r="C3099" s="15">
        <v>134</v>
      </c>
      <c r="D3099" s="16">
        <v>10</v>
      </c>
      <c r="E3099" s="22">
        <v>44499</v>
      </c>
      <c r="F3099" s="19">
        <v>10</v>
      </c>
      <c r="G3099" s="18">
        <v>0.12</v>
      </c>
      <c r="H3099">
        <f>F3099*VLOOKUP(B3099,產品!$A$2:$H$61,7,FALSE)*(1-銷售總表!G3099)</f>
        <v>176000</v>
      </c>
      <c r="I3099" s="35">
        <f>H3099-F3099*VLOOKUP(銷售總表!B3099,產品!$A$2:$H$61,8,FALSE)</f>
        <v>46000</v>
      </c>
      <c r="J3099" s="20">
        <f t="shared" si="48"/>
        <v>0.26136363636363635</v>
      </c>
    </row>
    <row r="3100" spans="1:10" x14ac:dyDescent="0.3">
      <c r="A3100" s="33">
        <v>3099</v>
      </c>
      <c r="B3100" s="4">
        <v>26</v>
      </c>
      <c r="C3100" s="15">
        <v>286</v>
      </c>
      <c r="D3100" s="16">
        <v>2</v>
      </c>
      <c r="E3100" s="22">
        <v>44500</v>
      </c>
      <c r="F3100" s="17">
        <v>10</v>
      </c>
      <c r="G3100" s="18">
        <v>0.06</v>
      </c>
      <c r="H3100">
        <f>F3100*VLOOKUP(B3100,產品!$A$2:$H$61,7,FALSE)*(1-銷售總表!G3100)</f>
        <v>61100</v>
      </c>
      <c r="I3100" s="35">
        <f>H3100-F3100*VLOOKUP(銷售總表!B3100,產品!$A$2:$H$61,8,FALSE)</f>
        <v>22100</v>
      </c>
      <c r="J3100" s="20">
        <f t="shared" si="48"/>
        <v>0.36170212765957449</v>
      </c>
    </row>
    <row r="3101" spans="1:10" x14ac:dyDescent="0.3">
      <c r="A3101" s="33">
        <v>3100</v>
      </c>
      <c r="B3101" s="4">
        <v>57</v>
      </c>
      <c r="C3101" s="15">
        <v>123</v>
      </c>
      <c r="D3101" s="16">
        <v>6</v>
      </c>
      <c r="E3101" s="22">
        <v>44500</v>
      </c>
      <c r="F3101" s="19">
        <v>5</v>
      </c>
      <c r="G3101" s="18">
        <v>0.2</v>
      </c>
      <c r="H3101">
        <f>F3101*VLOOKUP(B3101,產品!$A$2:$H$61,7,FALSE)*(1-銷售總表!G3101)</f>
        <v>72000</v>
      </c>
      <c r="I3101" s="35">
        <f>H3101-F3101*VLOOKUP(銷售總表!B3101,產品!$A$2:$H$61,8,FALSE)</f>
        <v>9000</v>
      </c>
      <c r="J3101" s="20">
        <f t="shared" si="48"/>
        <v>0.125</v>
      </c>
    </row>
    <row r="3102" spans="1:10" x14ac:dyDescent="0.3">
      <c r="A3102" s="33">
        <v>3101</v>
      </c>
      <c r="B3102" s="4">
        <v>25</v>
      </c>
      <c r="C3102" s="15">
        <v>271</v>
      </c>
      <c r="D3102" s="16">
        <v>1</v>
      </c>
      <c r="E3102" s="22">
        <v>44500</v>
      </c>
      <c r="F3102" s="19">
        <v>7</v>
      </c>
      <c r="G3102" s="18">
        <v>0.11</v>
      </c>
      <c r="H3102">
        <f>F3102*VLOOKUP(B3102,產品!$A$2:$H$61,7,FALSE)*(1-銷售總表!G3102)</f>
        <v>37380</v>
      </c>
      <c r="I3102" s="35">
        <f>H3102-F3102*VLOOKUP(銷售總表!B3102,產品!$A$2:$H$61,8,FALSE)</f>
        <v>12180</v>
      </c>
      <c r="J3102" s="20">
        <f t="shared" si="48"/>
        <v>0.3258426966292135</v>
      </c>
    </row>
    <row r="3103" spans="1:10" x14ac:dyDescent="0.3">
      <c r="A3103" s="33">
        <v>3102</v>
      </c>
      <c r="B3103" s="4">
        <v>15</v>
      </c>
      <c r="C3103" s="15">
        <v>267</v>
      </c>
      <c r="D3103" s="16">
        <v>6</v>
      </c>
      <c r="E3103" s="22">
        <v>44500</v>
      </c>
      <c r="F3103" s="19">
        <v>20</v>
      </c>
      <c r="G3103" s="18">
        <v>0.19</v>
      </c>
      <c r="H3103">
        <f>F3103*VLOOKUP(B3103,產品!$A$2:$H$61,7,FALSE)*(1-銷售總表!G3103)</f>
        <v>29160.000000000004</v>
      </c>
      <c r="I3103" s="35">
        <f>H3103-F3103*VLOOKUP(銷售總表!B3103,產品!$A$2:$H$61,8,FALSE)</f>
        <v>14760.000000000004</v>
      </c>
      <c r="J3103" s="20">
        <f t="shared" si="48"/>
        <v>0.50617283950617287</v>
      </c>
    </row>
    <row r="3104" spans="1:10" x14ac:dyDescent="0.3">
      <c r="A3104" s="33">
        <v>3103</v>
      </c>
      <c r="B3104" s="4">
        <v>60</v>
      </c>
      <c r="C3104" s="15">
        <v>280</v>
      </c>
      <c r="D3104" s="16">
        <v>3</v>
      </c>
      <c r="E3104" s="22">
        <v>44500</v>
      </c>
      <c r="F3104" s="19">
        <v>3</v>
      </c>
      <c r="G3104" s="18">
        <v>0.08</v>
      </c>
      <c r="H3104">
        <f>F3104*VLOOKUP(B3104,產品!$A$2:$H$61,7,FALSE)*(1-銷售總表!G3104)</f>
        <v>69000</v>
      </c>
      <c r="I3104" s="35">
        <f>H3104-F3104*VLOOKUP(銷售總表!B3104,產品!$A$2:$H$61,8,FALSE)</f>
        <v>16500</v>
      </c>
      <c r="J3104" s="20">
        <f t="shared" si="48"/>
        <v>0.2391304347826087</v>
      </c>
    </row>
    <row r="3105" spans="1:10" x14ac:dyDescent="0.3">
      <c r="A3105" s="33">
        <v>3104</v>
      </c>
      <c r="B3105" s="4">
        <v>58</v>
      </c>
      <c r="C3105" s="15">
        <v>263</v>
      </c>
      <c r="D3105" s="16">
        <v>5</v>
      </c>
      <c r="E3105" s="22">
        <v>44500</v>
      </c>
      <c r="F3105" s="17">
        <v>4</v>
      </c>
      <c r="G3105" s="18">
        <v>7.0000000000000007E-2</v>
      </c>
      <c r="H3105">
        <f>F3105*VLOOKUP(B3105,產品!$A$2:$H$61,7,FALSE)*(1-銷售總表!G3105)</f>
        <v>78120</v>
      </c>
      <c r="I3105" s="35">
        <f>H3105-F3105*VLOOKUP(銷售總表!B3105,產品!$A$2:$H$61,8,FALSE)</f>
        <v>19320.000000000007</v>
      </c>
      <c r="J3105" s="20">
        <f t="shared" si="48"/>
        <v>0.24731182795698933</v>
      </c>
    </row>
    <row r="3106" spans="1:10" x14ac:dyDescent="0.3">
      <c r="A3106" s="33">
        <v>3105</v>
      </c>
      <c r="B3106" s="4">
        <v>22</v>
      </c>
      <c r="C3106" s="15">
        <v>118</v>
      </c>
      <c r="D3106" s="16">
        <v>4</v>
      </c>
      <c r="E3106" s="22">
        <v>44500</v>
      </c>
      <c r="F3106" s="19">
        <v>150</v>
      </c>
      <c r="G3106" s="18">
        <v>0.06</v>
      </c>
      <c r="H3106">
        <f>F3106*VLOOKUP(B3106,產品!$A$2:$H$61,7,FALSE)*(1-銷售總表!G3106)</f>
        <v>253800</v>
      </c>
      <c r="I3106" s="35">
        <f>H3106-F3106*VLOOKUP(銷售總表!B3106,產品!$A$2:$H$61,8,FALSE)</f>
        <v>145800</v>
      </c>
      <c r="J3106" s="20">
        <f t="shared" si="48"/>
        <v>0.57446808510638303</v>
      </c>
    </row>
    <row r="3107" spans="1:10" x14ac:dyDescent="0.3">
      <c r="A3107" s="33">
        <v>3106</v>
      </c>
      <c r="B3107" s="4">
        <v>29</v>
      </c>
      <c r="C3107" s="15">
        <v>279</v>
      </c>
      <c r="D3107" s="16">
        <v>6</v>
      </c>
      <c r="E3107" s="22">
        <v>44501</v>
      </c>
      <c r="F3107" s="17">
        <v>10</v>
      </c>
      <c r="G3107" s="18">
        <v>0.16</v>
      </c>
      <c r="H3107">
        <f>F3107*VLOOKUP(B3107,產品!$A$2:$H$61,7,FALSE)*(1-銷售總表!G3107)</f>
        <v>50400</v>
      </c>
      <c r="I3107" s="35">
        <f>H3107-F3107*VLOOKUP(銷售總表!B3107,產品!$A$2:$H$61,8,FALSE)</f>
        <v>14400</v>
      </c>
      <c r="J3107" s="20">
        <f t="shared" si="48"/>
        <v>0.2857142857142857</v>
      </c>
    </row>
    <row r="3108" spans="1:10" x14ac:dyDescent="0.3">
      <c r="A3108" s="33">
        <v>3107</v>
      </c>
      <c r="B3108" s="4">
        <v>31</v>
      </c>
      <c r="C3108" s="15">
        <v>281</v>
      </c>
      <c r="D3108" s="16">
        <v>2</v>
      </c>
      <c r="E3108" s="22">
        <v>44501</v>
      </c>
      <c r="F3108" s="19">
        <v>6</v>
      </c>
      <c r="G3108" s="18">
        <v>0.1</v>
      </c>
      <c r="H3108">
        <f>F3108*VLOOKUP(B3108,產品!$A$2:$H$61,7,FALSE)*(1-銷售總表!G3108)</f>
        <v>37800</v>
      </c>
      <c r="I3108" s="35">
        <f>H3108-F3108*VLOOKUP(銷售總表!B3108,產品!$A$2:$H$61,8,FALSE)</f>
        <v>12600</v>
      </c>
      <c r="J3108" s="20">
        <f t="shared" si="48"/>
        <v>0.33333333333333331</v>
      </c>
    </row>
    <row r="3109" spans="1:10" x14ac:dyDescent="0.3">
      <c r="A3109" s="33">
        <v>3108</v>
      </c>
      <c r="B3109" s="4">
        <v>41</v>
      </c>
      <c r="C3109" s="15">
        <v>282</v>
      </c>
      <c r="D3109" s="16">
        <v>1</v>
      </c>
      <c r="E3109" s="22">
        <v>44501</v>
      </c>
      <c r="F3109" s="19">
        <v>5</v>
      </c>
      <c r="G3109" s="18">
        <v>0.06</v>
      </c>
      <c r="H3109">
        <f>F3109*VLOOKUP(B3109,產品!$A$2:$H$61,7,FALSE)*(1-銷售總表!G3109)</f>
        <v>56400</v>
      </c>
      <c r="I3109" s="35">
        <f>H3109-F3109*VLOOKUP(銷售總表!B3109,產品!$A$2:$H$61,8,FALSE)</f>
        <v>17400</v>
      </c>
      <c r="J3109" s="20">
        <f t="shared" si="48"/>
        <v>0.30851063829787234</v>
      </c>
    </row>
    <row r="3110" spans="1:10" x14ac:dyDescent="0.3">
      <c r="A3110" s="33">
        <v>3109</v>
      </c>
      <c r="B3110" s="4">
        <v>21</v>
      </c>
      <c r="C3110" s="15">
        <v>270</v>
      </c>
      <c r="D3110" s="16">
        <v>5</v>
      </c>
      <c r="E3110" s="22">
        <v>44501</v>
      </c>
      <c r="F3110" s="19">
        <v>30</v>
      </c>
      <c r="G3110" s="18">
        <v>0.1</v>
      </c>
      <c r="H3110">
        <f>F3110*VLOOKUP(B3110,產品!$A$2:$H$61,7,FALSE)*(1-銷售總表!G3110)</f>
        <v>48600</v>
      </c>
      <c r="I3110" s="35">
        <f>H3110-F3110*VLOOKUP(銷售總表!B3110,產品!$A$2:$H$61,8,FALSE)</f>
        <v>27000</v>
      </c>
      <c r="J3110" s="20">
        <f t="shared" si="48"/>
        <v>0.55555555555555558</v>
      </c>
    </row>
    <row r="3111" spans="1:10" x14ac:dyDescent="0.3">
      <c r="A3111" s="33">
        <v>3110</v>
      </c>
      <c r="B3111" s="4">
        <v>36</v>
      </c>
      <c r="C3111" s="15">
        <v>268</v>
      </c>
      <c r="D3111" s="16">
        <v>1</v>
      </c>
      <c r="E3111" s="22">
        <v>44501</v>
      </c>
      <c r="F3111" s="19">
        <v>14</v>
      </c>
      <c r="G3111" s="18">
        <v>0.12</v>
      </c>
      <c r="H3111">
        <f>F3111*VLOOKUP(B3111,產品!$A$2:$H$61,7,FALSE)*(1-銷售總表!G3111)</f>
        <v>110880</v>
      </c>
      <c r="I3111" s="35">
        <f>H3111-F3111*VLOOKUP(銷售總表!B3111,產品!$A$2:$H$61,8,FALSE)</f>
        <v>35280</v>
      </c>
      <c r="J3111" s="20">
        <f t="shared" si="48"/>
        <v>0.31818181818181818</v>
      </c>
    </row>
    <row r="3112" spans="1:10" x14ac:dyDescent="0.3">
      <c r="A3112" s="33">
        <v>3111</v>
      </c>
      <c r="B3112" s="4">
        <v>16</v>
      </c>
      <c r="C3112" s="15">
        <v>270</v>
      </c>
      <c r="D3112" s="16">
        <v>6</v>
      </c>
      <c r="E3112" s="22">
        <v>44501</v>
      </c>
      <c r="F3112" s="19">
        <v>50</v>
      </c>
      <c r="G3112" s="18">
        <v>0.05</v>
      </c>
      <c r="H3112">
        <f>F3112*VLOOKUP(B3112,產品!$A$2:$H$61,7,FALSE)*(1-銷售總表!G3112)</f>
        <v>85500</v>
      </c>
      <c r="I3112" s="35">
        <f>H3112-F3112*VLOOKUP(銷售總表!B3112,產品!$A$2:$H$61,8,FALSE)</f>
        <v>49500</v>
      </c>
      <c r="J3112" s="20">
        <f t="shared" si="48"/>
        <v>0.57894736842105265</v>
      </c>
    </row>
    <row r="3113" spans="1:10" x14ac:dyDescent="0.3">
      <c r="A3113" s="33">
        <v>3112</v>
      </c>
      <c r="B3113" s="4">
        <v>53</v>
      </c>
      <c r="C3113" s="15">
        <v>257</v>
      </c>
      <c r="D3113" s="16">
        <v>2</v>
      </c>
      <c r="E3113" s="22">
        <v>44502</v>
      </c>
      <c r="F3113" s="19">
        <v>4</v>
      </c>
      <c r="G3113" s="18">
        <v>0.18</v>
      </c>
      <c r="H3113">
        <f>F3113*VLOOKUP(B3113,產品!$A$2:$H$61,7,FALSE)*(1-銷售總表!G3113)</f>
        <v>49200.000000000007</v>
      </c>
      <c r="I3113" s="35">
        <f>H3113-F3113*VLOOKUP(銷售總表!B3113,產品!$A$2:$H$61,8,FALSE)</f>
        <v>7200.0000000000073</v>
      </c>
      <c r="J3113" s="20">
        <f t="shared" si="48"/>
        <v>0.14634146341463428</v>
      </c>
    </row>
    <row r="3114" spans="1:10" x14ac:dyDescent="0.3">
      <c r="A3114" s="33">
        <v>3113</v>
      </c>
      <c r="B3114" s="4">
        <v>19</v>
      </c>
      <c r="C3114" s="15">
        <v>11</v>
      </c>
      <c r="D3114" s="16">
        <v>3</v>
      </c>
      <c r="E3114" s="22">
        <v>44502</v>
      </c>
      <c r="F3114" s="17">
        <v>10</v>
      </c>
      <c r="G3114" s="18">
        <v>0.12</v>
      </c>
      <c r="H3114">
        <f>F3114*VLOOKUP(B3114,產品!$A$2:$H$61,7,FALSE)*(1-銷售總表!G3114)</f>
        <v>15840</v>
      </c>
      <c r="I3114" s="35">
        <f>H3114-F3114*VLOOKUP(銷售總表!B3114,產品!$A$2:$H$61,8,FALSE)</f>
        <v>8640</v>
      </c>
      <c r="J3114" s="20">
        <f t="shared" si="48"/>
        <v>0.54545454545454541</v>
      </c>
    </row>
    <row r="3115" spans="1:10" x14ac:dyDescent="0.3">
      <c r="A3115" s="33">
        <v>3114</v>
      </c>
      <c r="B3115" s="4">
        <v>43</v>
      </c>
      <c r="C3115" s="15">
        <v>272</v>
      </c>
      <c r="D3115" s="16">
        <v>1</v>
      </c>
      <c r="E3115" s="22">
        <v>44502</v>
      </c>
      <c r="F3115" s="19">
        <v>4</v>
      </c>
      <c r="G3115" s="18">
        <v>0.19</v>
      </c>
      <c r="H3115">
        <f>F3115*VLOOKUP(B3115,產品!$A$2:$H$61,7,FALSE)*(1-銷售總表!G3115)</f>
        <v>58320.000000000007</v>
      </c>
      <c r="I3115" s="35">
        <f>H3115-F3115*VLOOKUP(銷售總表!B3115,產品!$A$2:$H$61,8,FALSE)</f>
        <v>11520.000000000007</v>
      </c>
      <c r="J3115" s="20">
        <f t="shared" si="48"/>
        <v>0.19753086419753096</v>
      </c>
    </row>
    <row r="3116" spans="1:10" x14ac:dyDescent="0.3">
      <c r="A3116" s="33">
        <v>3115</v>
      </c>
      <c r="B3116" s="4">
        <v>42</v>
      </c>
      <c r="C3116" s="15">
        <v>113</v>
      </c>
      <c r="D3116" s="16">
        <v>3</v>
      </c>
      <c r="E3116" s="22">
        <v>44502</v>
      </c>
      <c r="F3116" s="19">
        <v>3</v>
      </c>
      <c r="G3116" s="18">
        <v>7.0000000000000007E-2</v>
      </c>
      <c r="H3116">
        <f>F3116*VLOOKUP(B3116,產品!$A$2:$H$61,7,FALSE)*(1-銷售總表!G3116)</f>
        <v>41850</v>
      </c>
      <c r="I3116" s="35">
        <f>H3116-F3116*VLOOKUP(銷售總表!B3116,產品!$A$2:$H$61,8,FALSE)</f>
        <v>12600</v>
      </c>
      <c r="J3116" s="20">
        <f t="shared" si="48"/>
        <v>0.30107526881720431</v>
      </c>
    </row>
    <row r="3117" spans="1:10" x14ac:dyDescent="0.3">
      <c r="A3117" s="33">
        <v>3116</v>
      </c>
      <c r="B3117" s="4">
        <v>14</v>
      </c>
      <c r="C3117" s="15">
        <v>124</v>
      </c>
      <c r="D3117" s="16">
        <v>8</v>
      </c>
      <c r="E3117" s="22">
        <v>44502</v>
      </c>
      <c r="F3117" s="17">
        <v>30</v>
      </c>
      <c r="G3117" s="18">
        <v>0.05</v>
      </c>
      <c r="H3117">
        <f>F3117*VLOOKUP(B3117,產品!$A$2:$H$61,7,FALSE)*(1-銷售總表!G3117)</f>
        <v>51300</v>
      </c>
      <c r="I3117" s="35">
        <f>H3117-F3117*VLOOKUP(銷售總表!B3117,產品!$A$2:$H$61,8,FALSE)</f>
        <v>29700</v>
      </c>
      <c r="J3117" s="20">
        <f t="shared" si="48"/>
        <v>0.57894736842105265</v>
      </c>
    </row>
    <row r="3118" spans="1:10" x14ac:dyDescent="0.3">
      <c r="A3118" s="33">
        <v>3117</v>
      </c>
      <c r="B3118" s="4">
        <v>17</v>
      </c>
      <c r="C3118" s="15">
        <v>5</v>
      </c>
      <c r="D3118" s="16">
        <v>5</v>
      </c>
      <c r="E3118" s="22">
        <v>44502</v>
      </c>
      <c r="F3118" s="19">
        <v>70</v>
      </c>
      <c r="G3118" s="18">
        <v>0.18</v>
      </c>
      <c r="H3118">
        <f>F3118*VLOOKUP(B3118,產品!$A$2:$H$61,7,FALSE)*(1-銷售總表!G3118)</f>
        <v>103320.00000000001</v>
      </c>
      <c r="I3118" s="35">
        <f>H3118-F3118*VLOOKUP(銷售總表!B3118,產品!$A$2:$H$61,8,FALSE)</f>
        <v>52920.000000000015</v>
      </c>
      <c r="J3118" s="20">
        <f t="shared" si="48"/>
        <v>0.51219512195121963</v>
      </c>
    </row>
    <row r="3119" spans="1:10" x14ac:dyDescent="0.3">
      <c r="A3119" s="33">
        <v>3118</v>
      </c>
      <c r="B3119" s="4">
        <v>5</v>
      </c>
      <c r="C3119" s="15">
        <v>114</v>
      </c>
      <c r="D3119" s="16">
        <v>3</v>
      </c>
      <c r="E3119" s="22">
        <v>44502</v>
      </c>
      <c r="F3119" s="17">
        <v>200</v>
      </c>
      <c r="G3119" s="18">
        <v>0.17</v>
      </c>
      <c r="H3119">
        <f>F3119*VLOOKUP(B3119,產品!$A$2:$H$61,7,FALSE)*(1-銷售總表!G3119)</f>
        <v>166000</v>
      </c>
      <c r="I3119" s="35">
        <f>H3119-F3119*VLOOKUP(銷售總表!B3119,產品!$A$2:$H$61,8,FALSE)</f>
        <v>86000</v>
      </c>
      <c r="J3119" s="20">
        <f t="shared" si="48"/>
        <v>0.51807228915662651</v>
      </c>
    </row>
    <row r="3120" spans="1:10" x14ac:dyDescent="0.3">
      <c r="A3120" s="33">
        <v>3119</v>
      </c>
      <c r="B3120" s="4">
        <v>11</v>
      </c>
      <c r="C3120" s="15">
        <v>10</v>
      </c>
      <c r="D3120" s="16">
        <v>1</v>
      </c>
      <c r="E3120" s="22">
        <v>44502</v>
      </c>
      <c r="F3120" s="19">
        <v>250</v>
      </c>
      <c r="G3120" s="18">
        <v>0.11</v>
      </c>
      <c r="H3120">
        <f>F3120*VLOOKUP(B3120,產品!$A$2:$H$61,7,FALSE)*(1-銷售總表!G3120)</f>
        <v>222500</v>
      </c>
      <c r="I3120" s="35">
        <f>H3120-F3120*VLOOKUP(銷售總表!B3120,產品!$A$2:$H$61,8,FALSE)</f>
        <v>122500</v>
      </c>
      <c r="J3120" s="20">
        <f t="shared" si="48"/>
        <v>0.550561797752809</v>
      </c>
    </row>
    <row r="3121" spans="1:10" x14ac:dyDescent="0.3">
      <c r="A3121" s="33">
        <v>3120</v>
      </c>
      <c r="B3121" s="4">
        <v>38</v>
      </c>
      <c r="C3121" s="15">
        <v>276</v>
      </c>
      <c r="D3121" s="16">
        <v>3</v>
      </c>
      <c r="E3121" s="22">
        <v>44503</v>
      </c>
      <c r="F3121" s="17">
        <v>10</v>
      </c>
      <c r="G3121" s="18">
        <v>0.14000000000000001</v>
      </c>
      <c r="H3121">
        <f>F3121*VLOOKUP(B3121,產品!$A$2:$H$61,7,FALSE)*(1-銷售總表!G3121)</f>
        <v>129000</v>
      </c>
      <c r="I3121" s="35">
        <f>H3121-F3121*VLOOKUP(銷售總表!B3121,產品!$A$2:$H$61,8,FALSE)</f>
        <v>31500</v>
      </c>
      <c r="J3121" s="20">
        <f t="shared" si="48"/>
        <v>0.2441860465116279</v>
      </c>
    </row>
    <row r="3122" spans="1:10" x14ac:dyDescent="0.3">
      <c r="A3122" s="33">
        <v>3121</v>
      </c>
      <c r="B3122" s="4">
        <v>53</v>
      </c>
      <c r="C3122" s="15">
        <v>139</v>
      </c>
      <c r="D3122" s="16">
        <v>5</v>
      </c>
      <c r="E3122" s="22">
        <v>44503</v>
      </c>
      <c r="F3122" s="17">
        <v>2</v>
      </c>
      <c r="G3122" s="18">
        <v>0.06</v>
      </c>
      <c r="H3122">
        <f>F3122*VLOOKUP(B3122,產品!$A$2:$H$61,7,FALSE)*(1-銷售總表!G3122)</f>
        <v>28200</v>
      </c>
      <c r="I3122" s="35">
        <f>H3122-F3122*VLOOKUP(銷售總表!B3122,產品!$A$2:$H$61,8,FALSE)</f>
        <v>7200</v>
      </c>
      <c r="J3122" s="20">
        <f t="shared" si="48"/>
        <v>0.25531914893617019</v>
      </c>
    </row>
    <row r="3123" spans="1:10" x14ac:dyDescent="0.3">
      <c r="A3123" s="33">
        <v>3122</v>
      </c>
      <c r="B3123" s="4">
        <v>31</v>
      </c>
      <c r="C3123" s="15">
        <v>286</v>
      </c>
      <c r="D3123" s="16">
        <v>1</v>
      </c>
      <c r="E3123" s="22">
        <v>44503</v>
      </c>
      <c r="F3123" s="19">
        <v>4</v>
      </c>
      <c r="G3123" s="18">
        <v>0.05</v>
      </c>
      <c r="H3123">
        <f>F3123*VLOOKUP(B3123,產品!$A$2:$H$61,7,FALSE)*(1-銷售總表!G3123)</f>
        <v>26600</v>
      </c>
      <c r="I3123" s="35">
        <f>H3123-F3123*VLOOKUP(銷售總表!B3123,產品!$A$2:$H$61,8,FALSE)</f>
        <v>9800</v>
      </c>
      <c r="J3123" s="20">
        <f t="shared" si="48"/>
        <v>0.36842105263157893</v>
      </c>
    </row>
    <row r="3124" spans="1:10" x14ac:dyDescent="0.3">
      <c r="A3124" s="33">
        <v>3123</v>
      </c>
      <c r="B3124" s="4">
        <v>25</v>
      </c>
      <c r="C3124" s="15">
        <v>5</v>
      </c>
      <c r="D3124" s="16">
        <v>5</v>
      </c>
      <c r="E3124" s="22">
        <v>44503</v>
      </c>
      <c r="F3124" s="19">
        <v>11</v>
      </c>
      <c r="G3124" s="18">
        <v>0.17</v>
      </c>
      <c r="H3124">
        <f>F3124*VLOOKUP(B3124,產品!$A$2:$H$61,7,FALSE)*(1-銷售總表!G3124)</f>
        <v>54780</v>
      </c>
      <c r="I3124" s="35">
        <f>H3124-F3124*VLOOKUP(銷售總表!B3124,產品!$A$2:$H$61,8,FALSE)</f>
        <v>15180</v>
      </c>
      <c r="J3124" s="20">
        <f t="shared" si="48"/>
        <v>0.27710843373493976</v>
      </c>
    </row>
    <row r="3125" spans="1:10" x14ac:dyDescent="0.3">
      <c r="A3125" s="33">
        <v>3124</v>
      </c>
      <c r="B3125" s="4">
        <v>22</v>
      </c>
      <c r="C3125" s="15">
        <v>269</v>
      </c>
      <c r="D3125" s="16">
        <v>8</v>
      </c>
      <c r="E3125" s="22">
        <v>44503</v>
      </c>
      <c r="F3125" s="19">
        <v>20</v>
      </c>
      <c r="G3125" s="18">
        <v>0.12</v>
      </c>
      <c r="H3125">
        <f>F3125*VLOOKUP(B3125,產品!$A$2:$H$61,7,FALSE)*(1-銷售總表!G3125)</f>
        <v>31680</v>
      </c>
      <c r="I3125" s="35">
        <f>H3125-F3125*VLOOKUP(銷售總表!B3125,產品!$A$2:$H$61,8,FALSE)</f>
        <v>17280</v>
      </c>
      <c r="J3125" s="20">
        <f t="shared" si="48"/>
        <v>0.54545454545454541</v>
      </c>
    </row>
    <row r="3126" spans="1:10" x14ac:dyDescent="0.3">
      <c r="A3126" s="33">
        <v>3125</v>
      </c>
      <c r="B3126" s="4">
        <v>50</v>
      </c>
      <c r="C3126" s="15">
        <v>2</v>
      </c>
      <c r="D3126" s="16">
        <v>7</v>
      </c>
      <c r="E3126" s="22">
        <v>44503</v>
      </c>
      <c r="F3126" s="19">
        <v>8</v>
      </c>
      <c r="G3126" s="18">
        <v>0.18</v>
      </c>
      <c r="H3126">
        <f>F3126*VLOOKUP(B3126,產品!$A$2:$H$61,7,FALSE)*(1-銷售總表!G3126)</f>
        <v>118080.00000000001</v>
      </c>
      <c r="I3126" s="35">
        <f>H3126-F3126*VLOOKUP(銷售總表!B3126,產品!$A$2:$H$61,8,FALSE)</f>
        <v>17280.000000000015</v>
      </c>
      <c r="J3126" s="20">
        <f t="shared" si="48"/>
        <v>0.14634146341463425</v>
      </c>
    </row>
    <row r="3127" spans="1:10" x14ac:dyDescent="0.3">
      <c r="A3127" s="33">
        <v>3126</v>
      </c>
      <c r="B3127" s="4">
        <v>23</v>
      </c>
      <c r="C3127" s="15">
        <v>263</v>
      </c>
      <c r="D3127" s="16">
        <v>8</v>
      </c>
      <c r="E3127" s="22">
        <v>44503</v>
      </c>
      <c r="F3127" s="19">
        <v>40</v>
      </c>
      <c r="G3127" s="18">
        <v>0.17</v>
      </c>
      <c r="H3127">
        <f>F3127*VLOOKUP(B3127,產品!$A$2:$H$61,7,FALSE)*(1-銷售總表!G3127)</f>
        <v>59760</v>
      </c>
      <c r="I3127" s="35">
        <f>H3127-F3127*VLOOKUP(銷售總表!B3127,產品!$A$2:$H$61,8,FALSE)</f>
        <v>30960</v>
      </c>
      <c r="J3127" s="20">
        <f t="shared" si="48"/>
        <v>0.51807228915662651</v>
      </c>
    </row>
    <row r="3128" spans="1:10" x14ac:dyDescent="0.3">
      <c r="A3128" s="33">
        <v>3127</v>
      </c>
      <c r="B3128" s="4">
        <v>47</v>
      </c>
      <c r="C3128" s="15">
        <v>113</v>
      </c>
      <c r="D3128" s="16">
        <v>10</v>
      </c>
      <c r="E3128" s="22">
        <v>44503</v>
      </c>
      <c r="F3128" s="19">
        <v>9</v>
      </c>
      <c r="G3128" s="18">
        <v>0.14000000000000001</v>
      </c>
      <c r="H3128">
        <f>F3128*VLOOKUP(B3128,產品!$A$2:$H$61,7,FALSE)*(1-銷售總表!G3128)</f>
        <v>154800</v>
      </c>
      <c r="I3128" s="35">
        <f>H3128-F3128*VLOOKUP(銷售總表!B3128,產品!$A$2:$H$61,8,FALSE)</f>
        <v>37800</v>
      </c>
      <c r="J3128" s="20">
        <f t="shared" si="48"/>
        <v>0.2441860465116279</v>
      </c>
    </row>
    <row r="3129" spans="1:10" x14ac:dyDescent="0.3">
      <c r="A3129" s="33">
        <v>3128</v>
      </c>
      <c r="B3129" s="4">
        <v>31</v>
      </c>
      <c r="C3129" s="15">
        <v>12</v>
      </c>
      <c r="D3129" s="16">
        <v>4</v>
      </c>
      <c r="E3129" s="22">
        <v>44503</v>
      </c>
      <c r="F3129" s="19">
        <v>40</v>
      </c>
      <c r="G3129" s="18">
        <v>0.18</v>
      </c>
      <c r="H3129">
        <f>F3129*VLOOKUP(B3129,產品!$A$2:$H$61,7,FALSE)*(1-銷售總表!G3129)</f>
        <v>229600.00000000003</v>
      </c>
      <c r="I3129" s="35">
        <f>H3129-F3129*VLOOKUP(銷售總表!B3129,產品!$A$2:$H$61,8,FALSE)</f>
        <v>61600.000000000029</v>
      </c>
      <c r="J3129" s="20">
        <f t="shared" si="48"/>
        <v>0.26829268292682934</v>
      </c>
    </row>
    <row r="3130" spans="1:10" x14ac:dyDescent="0.3">
      <c r="A3130" s="33">
        <v>3129</v>
      </c>
      <c r="B3130" s="4">
        <v>17</v>
      </c>
      <c r="C3130" s="15">
        <v>257</v>
      </c>
      <c r="D3130" s="16">
        <v>1</v>
      </c>
      <c r="E3130" s="22">
        <v>44503</v>
      </c>
      <c r="F3130" s="19">
        <v>100</v>
      </c>
      <c r="G3130" s="18">
        <v>0.15</v>
      </c>
      <c r="H3130">
        <f>F3130*VLOOKUP(B3130,產品!$A$2:$H$61,7,FALSE)*(1-銷售總表!G3130)</f>
        <v>153000</v>
      </c>
      <c r="I3130" s="35">
        <f>H3130-F3130*VLOOKUP(銷售總表!B3130,產品!$A$2:$H$61,8,FALSE)</f>
        <v>81000</v>
      </c>
      <c r="J3130" s="20">
        <f t="shared" si="48"/>
        <v>0.52941176470588236</v>
      </c>
    </row>
    <row r="3131" spans="1:10" x14ac:dyDescent="0.3">
      <c r="A3131" s="33">
        <v>3130</v>
      </c>
      <c r="B3131" s="4">
        <v>25</v>
      </c>
      <c r="C3131" s="15">
        <v>282</v>
      </c>
      <c r="D3131" s="16">
        <v>1</v>
      </c>
      <c r="E3131" s="22">
        <v>44504</v>
      </c>
      <c r="F3131" s="19">
        <v>5</v>
      </c>
      <c r="G3131" s="18">
        <v>0.19</v>
      </c>
      <c r="H3131">
        <f>F3131*VLOOKUP(B3131,產品!$A$2:$H$61,7,FALSE)*(1-銷售總表!G3131)</f>
        <v>24300</v>
      </c>
      <c r="I3131" s="35">
        <f>H3131-F3131*VLOOKUP(銷售總表!B3131,產品!$A$2:$H$61,8,FALSE)</f>
        <v>6300</v>
      </c>
      <c r="J3131" s="20">
        <f t="shared" si="48"/>
        <v>0.25925925925925924</v>
      </c>
    </row>
    <row r="3132" spans="1:10" x14ac:dyDescent="0.3">
      <c r="A3132" s="33">
        <v>3131</v>
      </c>
      <c r="B3132" s="4">
        <v>43</v>
      </c>
      <c r="C3132" s="15">
        <v>286</v>
      </c>
      <c r="D3132" s="16">
        <v>4</v>
      </c>
      <c r="E3132" s="22">
        <v>44504</v>
      </c>
      <c r="F3132" s="17">
        <v>18</v>
      </c>
      <c r="G3132" s="18">
        <v>0.17</v>
      </c>
      <c r="H3132">
        <f>F3132*VLOOKUP(B3132,產品!$A$2:$H$61,7,FALSE)*(1-銷售總表!G3132)</f>
        <v>268920</v>
      </c>
      <c r="I3132" s="35">
        <f>H3132-F3132*VLOOKUP(銷售總表!B3132,產品!$A$2:$H$61,8,FALSE)</f>
        <v>58320</v>
      </c>
      <c r="J3132" s="20">
        <f t="shared" si="48"/>
        <v>0.21686746987951808</v>
      </c>
    </row>
    <row r="3133" spans="1:10" x14ac:dyDescent="0.3">
      <c r="A3133" s="33">
        <v>3132</v>
      </c>
      <c r="B3133" s="4">
        <v>3</v>
      </c>
      <c r="C3133" s="15">
        <v>284</v>
      </c>
      <c r="D3133" s="16">
        <v>8</v>
      </c>
      <c r="E3133" s="22">
        <v>44505</v>
      </c>
      <c r="F3133" s="19">
        <v>13</v>
      </c>
      <c r="G3133" s="18">
        <v>0.05</v>
      </c>
      <c r="H3133">
        <f>F3133*VLOOKUP(B3133,產品!$A$2:$H$61,7,FALSE)*(1-銷售總表!G3133)</f>
        <v>12350</v>
      </c>
      <c r="I3133" s="35">
        <f>H3133-F3133*VLOOKUP(銷售總表!B3133,產品!$A$2:$H$61,8,FALSE)</f>
        <v>7150</v>
      </c>
      <c r="J3133" s="20">
        <f t="shared" si="48"/>
        <v>0.57894736842105265</v>
      </c>
    </row>
    <row r="3134" spans="1:10" x14ac:dyDescent="0.3">
      <c r="A3134" s="33">
        <v>3133</v>
      </c>
      <c r="B3134" s="4">
        <v>30</v>
      </c>
      <c r="C3134" s="15">
        <v>285</v>
      </c>
      <c r="D3134" s="16">
        <v>3</v>
      </c>
      <c r="E3134" s="22">
        <v>44505</v>
      </c>
      <c r="F3134" s="19">
        <v>4</v>
      </c>
      <c r="G3134" s="18">
        <v>0.05</v>
      </c>
      <c r="H3134">
        <f>F3134*VLOOKUP(B3134,產品!$A$2:$H$61,7,FALSE)*(1-銷售總表!G3134)</f>
        <v>24700</v>
      </c>
      <c r="I3134" s="35">
        <f>H3134-F3134*VLOOKUP(銷售總表!B3134,產品!$A$2:$H$61,8,FALSE)</f>
        <v>9100</v>
      </c>
      <c r="J3134" s="20">
        <f t="shared" si="48"/>
        <v>0.36842105263157893</v>
      </c>
    </row>
    <row r="3135" spans="1:10" x14ac:dyDescent="0.3">
      <c r="A3135" s="33">
        <v>3134</v>
      </c>
      <c r="B3135" s="4">
        <v>41</v>
      </c>
      <c r="C3135" s="15">
        <v>9</v>
      </c>
      <c r="D3135" s="16">
        <v>3</v>
      </c>
      <c r="E3135" s="22">
        <v>44505</v>
      </c>
      <c r="F3135" s="19">
        <v>5</v>
      </c>
      <c r="G3135" s="18">
        <v>0.15</v>
      </c>
      <c r="H3135">
        <f>F3135*VLOOKUP(B3135,產品!$A$2:$H$61,7,FALSE)*(1-銷售總表!G3135)</f>
        <v>51000</v>
      </c>
      <c r="I3135" s="35">
        <f>H3135-F3135*VLOOKUP(銷售總表!B3135,產品!$A$2:$H$61,8,FALSE)</f>
        <v>12000</v>
      </c>
      <c r="J3135" s="20">
        <f t="shared" si="48"/>
        <v>0.23529411764705882</v>
      </c>
    </row>
    <row r="3136" spans="1:10" x14ac:dyDescent="0.3">
      <c r="A3136" s="33">
        <v>3135</v>
      </c>
      <c r="B3136" s="4">
        <v>47</v>
      </c>
      <c r="C3136" s="15">
        <v>272</v>
      </c>
      <c r="D3136" s="16">
        <v>3</v>
      </c>
      <c r="E3136" s="22">
        <v>44505</v>
      </c>
      <c r="F3136" s="17">
        <v>5</v>
      </c>
      <c r="G3136" s="18">
        <v>0.08</v>
      </c>
      <c r="H3136">
        <f>F3136*VLOOKUP(B3136,產品!$A$2:$H$61,7,FALSE)*(1-銷售總表!G3136)</f>
        <v>92000</v>
      </c>
      <c r="I3136" s="35">
        <f>H3136-F3136*VLOOKUP(銷售總表!B3136,產品!$A$2:$H$61,8,FALSE)</f>
        <v>27000</v>
      </c>
      <c r="J3136" s="20">
        <f t="shared" si="48"/>
        <v>0.29347826086956524</v>
      </c>
    </row>
    <row r="3137" spans="1:10" x14ac:dyDescent="0.3">
      <c r="A3137" s="33">
        <v>3136</v>
      </c>
      <c r="B3137" s="4">
        <v>60</v>
      </c>
      <c r="C3137" s="15">
        <v>123</v>
      </c>
      <c r="D3137" s="16">
        <v>10</v>
      </c>
      <c r="E3137" s="22">
        <v>44505</v>
      </c>
      <c r="F3137" s="17">
        <v>6</v>
      </c>
      <c r="G3137" s="18">
        <v>7.0000000000000007E-2</v>
      </c>
      <c r="H3137">
        <f>F3137*VLOOKUP(B3137,產品!$A$2:$H$61,7,FALSE)*(1-銷售總表!G3137)</f>
        <v>139500</v>
      </c>
      <c r="I3137" s="35">
        <f>H3137-F3137*VLOOKUP(銷售總表!B3137,產品!$A$2:$H$61,8,FALSE)</f>
        <v>34500</v>
      </c>
      <c r="J3137" s="20">
        <f t="shared" si="48"/>
        <v>0.24731182795698925</v>
      </c>
    </row>
    <row r="3138" spans="1:10" x14ac:dyDescent="0.3">
      <c r="A3138" s="33">
        <v>3137</v>
      </c>
      <c r="B3138" s="4">
        <v>48</v>
      </c>
      <c r="C3138" s="15">
        <v>257</v>
      </c>
      <c r="D3138" s="16">
        <v>5</v>
      </c>
      <c r="E3138" s="22">
        <v>44505</v>
      </c>
      <c r="F3138" s="17">
        <v>9</v>
      </c>
      <c r="G3138" s="18">
        <v>0.11</v>
      </c>
      <c r="H3138">
        <f>F3138*VLOOKUP(B3138,產品!$A$2:$H$61,7,FALSE)*(1-銷售總表!G3138)</f>
        <v>176220</v>
      </c>
      <c r="I3138" s="35">
        <f>H3138-F3138*VLOOKUP(銷售總表!B3138,產品!$A$2:$H$61,8,FALSE)</f>
        <v>47520</v>
      </c>
      <c r="J3138" s="20">
        <f t="shared" si="48"/>
        <v>0.2696629213483146</v>
      </c>
    </row>
    <row r="3139" spans="1:10" x14ac:dyDescent="0.3">
      <c r="A3139" s="33">
        <v>3138</v>
      </c>
      <c r="B3139" s="4">
        <v>32</v>
      </c>
      <c r="C3139" s="15">
        <v>123</v>
      </c>
      <c r="D3139" s="16">
        <v>1</v>
      </c>
      <c r="E3139" s="22">
        <v>44505</v>
      </c>
      <c r="F3139" s="19">
        <v>40</v>
      </c>
      <c r="G3139" s="18">
        <v>0.15</v>
      </c>
      <c r="H3139">
        <f>F3139*VLOOKUP(B3139,產品!$A$2:$H$61,7,FALSE)*(1-銷售總表!G3139)</f>
        <v>255000</v>
      </c>
      <c r="I3139" s="35">
        <f>H3139-F3139*VLOOKUP(銷售總表!B3139,產品!$A$2:$H$61,8,FALSE)</f>
        <v>75000</v>
      </c>
      <c r="J3139" s="20">
        <f t="shared" ref="J3139:J3202" si="49">I3139/H3139</f>
        <v>0.29411764705882354</v>
      </c>
    </row>
    <row r="3140" spans="1:10" x14ac:dyDescent="0.3">
      <c r="A3140" s="33">
        <v>3139</v>
      </c>
      <c r="B3140" s="4">
        <v>53</v>
      </c>
      <c r="C3140" s="15">
        <v>281</v>
      </c>
      <c r="D3140" s="16">
        <v>2</v>
      </c>
      <c r="E3140" s="22">
        <v>44506</v>
      </c>
      <c r="F3140" s="19">
        <v>5</v>
      </c>
      <c r="G3140" s="18">
        <v>0.19</v>
      </c>
      <c r="H3140">
        <f>F3140*VLOOKUP(B3140,產品!$A$2:$H$61,7,FALSE)*(1-銷售總表!G3140)</f>
        <v>60750.000000000007</v>
      </c>
      <c r="I3140" s="35">
        <f>H3140-F3140*VLOOKUP(銷售總表!B3140,產品!$A$2:$H$61,8,FALSE)</f>
        <v>8250.0000000000073</v>
      </c>
      <c r="J3140" s="20">
        <f t="shared" si="49"/>
        <v>0.13580246913580257</v>
      </c>
    </row>
    <row r="3141" spans="1:10" x14ac:dyDescent="0.3">
      <c r="A3141" s="33">
        <v>3140</v>
      </c>
      <c r="B3141" s="4">
        <v>4</v>
      </c>
      <c r="C3141" s="15">
        <v>136</v>
      </c>
      <c r="D3141" s="16">
        <v>1</v>
      </c>
      <c r="E3141" s="22">
        <v>44506</v>
      </c>
      <c r="F3141" s="19">
        <v>50</v>
      </c>
      <c r="G3141" s="18">
        <v>0.1</v>
      </c>
      <c r="H3141">
        <f>F3141*VLOOKUP(B3141,產品!$A$2:$H$61,7,FALSE)*(1-銷售總表!G3141)</f>
        <v>45000</v>
      </c>
      <c r="I3141" s="35">
        <f>H3141-F3141*VLOOKUP(銷售總表!B3141,產品!$A$2:$H$61,8,FALSE)</f>
        <v>25000</v>
      </c>
      <c r="J3141" s="20">
        <f t="shared" si="49"/>
        <v>0.55555555555555558</v>
      </c>
    </row>
    <row r="3142" spans="1:10" x14ac:dyDescent="0.3">
      <c r="A3142" s="33">
        <v>3141</v>
      </c>
      <c r="B3142" s="4">
        <v>36</v>
      </c>
      <c r="C3142" s="15">
        <v>287</v>
      </c>
      <c r="D3142" s="16">
        <v>5</v>
      </c>
      <c r="E3142" s="22">
        <v>44506</v>
      </c>
      <c r="F3142" s="17">
        <v>15</v>
      </c>
      <c r="G3142" s="18">
        <v>0.13</v>
      </c>
      <c r="H3142">
        <f>F3142*VLOOKUP(B3142,產品!$A$2:$H$61,7,FALSE)*(1-銷售總表!G3142)</f>
        <v>117450</v>
      </c>
      <c r="I3142" s="35">
        <f>H3142-F3142*VLOOKUP(銷售總表!B3142,產品!$A$2:$H$61,8,FALSE)</f>
        <v>36450</v>
      </c>
      <c r="J3142" s="20">
        <f t="shared" si="49"/>
        <v>0.31034482758620691</v>
      </c>
    </row>
    <row r="3143" spans="1:10" x14ac:dyDescent="0.3">
      <c r="A3143" s="33">
        <v>3142</v>
      </c>
      <c r="B3143" s="4">
        <v>8</v>
      </c>
      <c r="C3143" s="15">
        <v>112</v>
      </c>
      <c r="D3143" s="16">
        <v>2</v>
      </c>
      <c r="E3143" s="22">
        <v>44506</v>
      </c>
      <c r="F3143" s="19">
        <v>105</v>
      </c>
      <c r="G3143" s="18">
        <v>7.0000000000000007E-2</v>
      </c>
      <c r="H3143">
        <f>F3143*VLOOKUP(B3143,產品!$A$2:$H$61,7,FALSE)*(1-銷售總表!G3143)</f>
        <v>97650</v>
      </c>
      <c r="I3143" s="35">
        <f>H3143-F3143*VLOOKUP(銷售總表!B3143,產品!$A$2:$H$61,8,FALSE)</f>
        <v>55650</v>
      </c>
      <c r="J3143" s="20">
        <f t="shared" si="49"/>
        <v>0.56989247311827962</v>
      </c>
    </row>
    <row r="3144" spans="1:10" x14ac:dyDescent="0.3">
      <c r="A3144" s="33">
        <v>3143</v>
      </c>
      <c r="B3144" s="4">
        <v>36</v>
      </c>
      <c r="C3144" s="15">
        <v>137</v>
      </c>
      <c r="D3144" s="16">
        <v>7</v>
      </c>
      <c r="E3144" s="22">
        <v>44507</v>
      </c>
      <c r="F3144" s="19">
        <v>10</v>
      </c>
      <c r="G3144" s="18">
        <v>0.16</v>
      </c>
      <c r="H3144">
        <f>F3144*VLOOKUP(B3144,產品!$A$2:$H$61,7,FALSE)*(1-銷售總表!G3144)</f>
        <v>75600</v>
      </c>
      <c r="I3144" s="35">
        <f>H3144-F3144*VLOOKUP(銷售總表!B3144,產品!$A$2:$H$61,8,FALSE)</f>
        <v>21600</v>
      </c>
      <c r="J3144" s="20">
        <f t="shared" si="49"/>
        <v>0.2857142857142857</v>
      </c>
    </row>
    <row r="3145" spans="1:10" x14ac:dyDescent="0.3">
      <c r="A3145" s="33">
        <v>3144</v>
      </c>
      <c r="B3145" s="4">
        <v>60</v>
      </c>
      <c r="C3145" s="15">
        <v>9</v>
      </c>
      <c r="D3145" s="16">
        <v>5</v>
      </c>
      <c r="E3145" s="22">
        <v>44507</v>
      </c>
      <c r="F3145" s="19">
        <v>3</v>
      </c>
      <c r="G3145" s="18">
        <v>0.17</v>
      </c>
      <c r="H3145">
        <f>F3145*VLOOKUP(B3145,產品!$A$2:$H$61,7,FALSE)*(1-銷售總表!G3145)</f>
        <v>62250</v>
      </c>
      <c r="I3145" s="35">
        <f>H3145-F3145*VLOOKUP(銷售總表!B3145,產品!$A$2:$H$61,8,FALSE)</f>
        <v>9750</v>
      </c>
      <c r="J3145" s="20">
        <f t="shared" si="49"/>
        <v>0.15662650602409639</v>
      </c>
    </row>
    <row r="3146" spans="1:10" x14ac:dyDescent="0.3">
      <c r="A3146" s="33">
        <v>3145</v>
      </c>
      <c r="B3146" s="4">
        <v>54</v>
      </c>
      <c r="C3146" s="15">
        <v>283</v>
      </c>
      <c r="D3146" s="16">
        <v>8</v>
      </c>
      <c r="E3146" s="22">
        <v>44507</v>
      </c>
      <c r="F3146" s="19">
        <v>6</v>
      </c>
      <c r="G3146" s="18">
        <v>0.18</v>
      </c>
      <c r="H3146">
        <f>F3146*VLOOKUP(B3146,產品!$A$2:$H$61,7,FALSE)*(1-銷售總表!G3146)</f>
        <v>88560</v>
      </c>
      <c r="I3146" s="35">
        <f>H3146-F3146*VLOOKUP(銷售總表!B3146,產品!$A$2:$H$61,8,FALSE)</f>
        <v>12960</v>
      </c>
      <c r="J3146" s="20">
        <f t="shared" si="49"/>
        <v>0.14634146341463414</v>
      </c>
    </row>
    <row r="3147" spans="1:10" x14ac:dyDescent="0.3">
      <c r="A3147" s="33">
        <v>3146</v>
      </c>
      <c r="B3147" s="4">
        <v>16</v>
      </c>
      <c r="C3147" s="15">
        <v>8</v>
      </c>
      <c r="D3147" s="16">
        <v>2</v>
      </c>
      <c r="E3147" s="22">
        <v>44507</v>
      </c>
      <c r="F3147" s="19">
        <v>40</v>
      </c>
      <c r="G3147" s="18">
        <v>0.2</v>
      </c>
      <c r="H3147">
        <f>F3147*VLOOKUP(B3147,產品!$A$2:$H$61,7,FALSE)*(1-銷售總表!G3147)</f>
        <v>57600</v>
      </c>
      <c r="I3147" s="35">
        <f>H3147-F3147*VLOOKUP(銷售總表!B3147,產品!$A$2:$H$61,8,FALSE)</f>
        <v>28800</v>
      </c>
      <c r="J3147" s="20">
        <f t="shared" si="49"/>
        <v>0.5</v>
      </c>
    </row>
    <row r="3148" spans="1:10" x14ac:dyDescent="0.3">
      <c r="A3148" s="33">
        <v>3147</v>
      </c>
      <c r="B3148" s="4">
        <v>1</v>
      </c>
      <c r="C3148" s="15">
        <v>283</v>
      </c>
      <c r="D3148" s="16">
        <v>1</v>
      </c>
      <c r="E3148" s="22">
        <v>44507</v>
      </c>
      <c r="F3148" s="19">
        <v>100</v>
      </c>
      <c r="G3148" s="18">
        <v>0.16</v>
      </c>
      <c r="H3148">
        <f>F3148*VLOOKUP(B3148,產品!$A$2:$H$61,7,FALSE)*(1-銷售總表!G3148)</f>
        <v>84000</v>
      </c>
      <c r="I3148" s="35">
        <f>H3148-F3148*VLOOKUP(銷售總表!B3148,產品!$A$2:$H$61,8,FALSE)</f>
        <v>44000</v>
      </c>
      <c r="J3148" s="20">
        <f t="shared" si="49"/>
        <v>0.52380952380952384</v>
      </c>
    </row>
    <row r="3149" spans="1:10" x14ac:dyDescent="0.3">
      <c r="A3149" s="33">
        <v>3148</v>
      </c>
      <c r="B3149" s="4">
        <v>37</v>
      </c>
      <c r="C3149" s="15">
        <v>3</v>
      </c>
      <c r="D3149" s="16">
        <v>4</v>
      </c>
      <c r="E3149" s="22">
        <v>44507</v>
      </c>
      <c r="F3149" s="19">
        <v>20</v>
      </c>
      <c r="G3149" s="18">
        <v>0.14000000000000001</v>
      </c>
      <c r="H3149">
        <f>F3149*VLOOKUP(B3149,產品!$A$2:$H$61,7,FALSE)*(1-銷售總表!G3149)</f>
        <v>206400</v>
      </c>
      <c r="I3149" s="35">
        <f>H3149-F3149*VLOOKUP(銷售總表!B3149,產品!$A$2:$H$61,8,FALSE)</f>
        <v>50400</v>
      </c>
      <c r="J3149" s="20">
        <f t="shared" si="49"/>
        <v>0.2441860465116279</v>
      </c>
    </row>
    <row r="3150" spans="1:10" x14ac:dyDescent="0.3">
      <c r="A3150" s="33">
        <v>3149</v>
      </c>
      <c r="B3150" s="4">
        <v>23</v>
      </c>
      <c r="C3150" s="15">
        <v>259</v>
      </c>
      <c r="D3150" s="16">
        <v>7</v>
      </c>
      <c r="E3150" s="22">
        <v>44507</v>
      </c>
      <c r="F3150" s="19">
        <v>150</v>
      </c>
      <c r="G3150" s="18">
        <v>0.17</v>
      </c>
      <c r="H3150">
        <f>F3150*VLOOKUP(B3150,產品!$A$2:$H$61,7,FALSE)*(1-銷售總表!G3150)</f>
        <v>224100</v>
      </c>
      <c r="I3150" s="35">
        <f>H3150-F3150*VLOOKUP(銷售總表!B3150,產品!$A$2:$H$61,8,FALSE)</f>
        <v>116100</v>
      </c>
      <c r="J3150" s="20">
        <f t="shared" si="49"/>
        <v>0.51807228915662651</v>
      </c>
    </row>
    <row r="3151" spans="1:10" x14ac:dyDescent="0.3">
      <c r="A3151" s="33">
        <v>3150</v>
      </c>
      <c r="B3151" s="4">
        <v>11</v>
      </c>
      <c r="C3151" s="15">
        <v>268</v>
      </c>
      <c r="D3151" s="16">
        <v>10</v>
      </c>
      <c r="E3151" s="22">
        <v>44508</v>
      </c>
      <c r="F3151" s="19">
        <v>60</v>
      </c>
      <c r="G3151" s="18">
        <v>7.0000000000000007E-2</v>
      </c>
      <c r="H3151">
        <f>F3151*VLOOKUP(B3151,產品!$A$2:$H$61,7,FALSE)*(1-銷售總表!G3151)</f>
        <v>55799.999999999993</v>
      </c>
      <c r="I3151" s="35">
        <f>H3151-F3151*VLOOKUP(銷售總表!B3151,產品!$A$2:$H$61,8,FALSE)</f>
        <v>31799.999999999993</v>
      </c>
      <c r="J3151" s="20">
        <f t="shared" si="49"/>
        <v>0.56989247311827951</v>
      </c>
    </row>
    <row r="3152" spans="1:10" x14ac:dyDescent="0.3">
      <c r="A3152" s="33">
        <v>3151</v>
      </c>
      <c r="B3152" s="4">
        <v>15</v>
      </c>
      <c r="C3152" s="15">
        <v>4</v>
      </c>
      <c r="D3152" s="16">
        <v>7</v>
      </c>
      <c r="E3152" s="22">
        <v>44508</v>
      </c>
      <c r="F3152" s="19">
        <v>40</v>
      </c>
      <c r="G3152" s="18">
        <v>0.15</v>
      </c>
      <c r="H3152">
        <f>F3152*VLOOKUP(B3152,產品!$A$2:$H$61,7,FALSE)*(1-銷售總表!G3152)</f>
        <v>61200</v>
      </c>
      <c r="I3152" s="35">
        <f>H3152-F3152*VLOOKUP(銷售總表!B3152,產品!$A$2:$H$61,8,FALSE)</f>
        <v>32400</v>
      </c>
      <c r="J3152" s="20">
        <f t="shared" si="49"/>
        <v>0.52941176470588236</v>
      </c>
    </row>
    <row r="3153" spans="1:10" x14ac:dyDescent="0.3">
      <c r="A3153" s="33">
        <v>3152</v>
      </c>
      <c r="B3153" s="4">
        <v>4</v>
      </c>
      <c r="C3153" s="15">
        <v>261</v>
      </c>
      <c r="D3153" s="16">
        <v>3</v>
      </c>
      <c r="E3153" s="22">
        <v>44508</v>
      </c>
      <c r="F3153" s="19">
        <v>70</v>
      </c>
      <c r="G3153" s="18">
        <v>0.13</v>
      </c>
      <c r="H3153">
        <f>F3153*VLOOKUP(B3153,產品!$A$2:$H$61,7,FALSE)*(1-銷售總表!G3153)</f>
        <v>60900</v>
      </c>
      <c r="I3153" s="35">
        <f>H3153-F3153*VLOOKUP(銷售總表!B3153,產品!$A$2:$H$61,8,FALSE)</f>
        <v>32900</v>
      </c>
      <c r="J3153" s="20">
        <f t="shared" si="49"/>
        <v>0.54022988505747127</v>
      </c>
    </row>
    <row r="3154" spans="1:10" x14ac:dyDescent="0.3">
      <c r="A3154" s="33">
        <v>3153</v>
      </c>
      <c r="B3154" s="4">
        <v>18</v>
      </c>
      <c r="C3154" s="15">
        <v>258</v>
      </c>
      <c r="D3154" s="16">
        <v>5</v>
      </c>
      <c r="E3154" s="22">
        <v>44508</v>
      </c>
      <c r="F3154" s="17">
        <v>40</v>
      </c>
      <c r="G3154" s="18">
        <v>0.08</v>
      </c>
      <c r="H3154">
        <f>F3154*VLOOKUP(B3154,產品!$A$2:$H$61,7,FALSE)*(1-銷售總表!G3154)</f>
        <v>66240</v>
      </c>
      <c r="I3154" s="35">
        <f>H3154-F3154*VLOOKUP(銷售總表!B3154,產品!$A$2:$H$61,8,FALSE)</f>
        <v>37440</v>
      </c>
      <c r="J3154" s="20">
        <f t="shared" si="49"/>
        <v>0.56521739130434778</v>
      </c>
    </row>
    <row r="3155" spans="1:10" x14ac:dyDescent="0.3">
      <c r="A3155" s="33">
        <v>3154</v>
      </c>
      <c r="B3155" s="4">
        <v>60</v>
      </c>
      <c r="C3155" s="15">
        <v>2</v>
      </c>
      <c r="D3155" s="16">
        <v>6</v>
      </c>
      <c r="E3155" s="22">
        <v>44508</v>
      </c>
      <c r="F3155" s="17">
        <v>8</v>
      </c>
      <c r="G3155" s="18">
        <v>0.08</v>
      </c>
      <c r="H3155">
        <f>F3155*VLOOKUP(B3155,產品!$A$2:$H$61,7,FALSE)*(1-銷售總表!G3155)</f>
        <v>184000</v>
      </c>
      <c r="I3155" s="35">
        <f>H3155-F3155*VLOOKUP(銷售總表!B3155,產品!$A$2:$H$61,8,FALSE)</f>
        <v>44000</v>
      </c>
      <c r="J3155" s="20">
        <f t="shared" si="49"/>
        <v>0.2391304347826087</v>
      </c>
    </row>
    <row r="3156" spans="1:10" x14ac:dyDescent="0.3">
      <c r="A3156" s="33">
        <v>3155</v>
      </c>
      <c r="B3156" s="4">
        <v>59</v>
      </c>
      <c r="C3156" s="15">
        <v>2</v>
      </c>
      <c r="D3156" s="16">
        <v>6</v>
      </c>
      <c r="E3156" s="22">
        <v>44509</v>
      </c>
      <c r="F3156" s="19">
        <v>10</v>
      </c>
      <c r="G3156" s="18">
        <v>0.18</v>
      </c>
      <c r="H3156">
        <f>F3156*VLOOKUP(B3156,產品!$A$2:$H$61,7,FALSE)*(1-銷售總表!G3156)</f>
        <v>196800.00000000003</v>
      </c>
      <c r="I3156" s="35">
        <f>H3156-F3156*VLOOKUP(銷售總表!B3156,產品!$A$2:$H$61,8,FALSE)</f>
        <v>28800.000000000029</v>
      </c>
      <c r="J3156" s="20">
        <f t="shared" si="49"/>
        <v>0.14634146341463428</v>
      </c>
    </row>
    <row r="3157" spans="1:10" x14ac:dyDescent="0.3">
      <c r="A3157" s="33">
        <v>3156</v>
      </c>
      <c r="B3157" s="4">
        <v>41</v>
      </c>
      <c r="C3157" s="15">
        <v>135</v>
      </c>
      <c r="D3157" s="16">
        <v>1</v>
      </c>
      <c r="E3157" s="22">
        <v>44509</v>
      </c>
      <c r="F3157" s="17">
        <v>3</v>
      </c>
      <c r="G3157" s="18">
        <v>0.18</v>
      </c>
      <c r="H3157">
        <f>F3157*VLOOKUP(B3157,產品!$A$2:$H$61,7,FALSE)*(1-銷售總表!G3157)</f>
        <v>29520.000000000004</v>
      </c>
      <c r="I3157" s="35">
        <f>H3157-F3157*VLOOKUP(銷售總表!B3157,產品!$A$2:$H$61,8,FALSE)</f>
        <v>6120.0000000000036</v>
      </c>
      <c r="J3157" s="20">
        <f t="shared" si="49"/>
        <v>0.20731707317073181</v>
      </c>
    </row>
    <row r="3158" spans="1:10" x14ac:dyDescent="0.3">
      <c r="A3158" s="33">
        <v>3157</v>
      </c>
      <c r="B3158" s="4">
        <v>8</v>
      </c>
      <c r="C3158" s="15">
        <v>9</v>
      </c>
      <c r="D3158" s="16">
        <v>8</v>
      </c>
      <c r="E3158" s="22">
        <v>44509</v>
      </c>
      <c r="F3158" s="19">
        <v>15</v>
      </c>
      <c r="G3158" s="18">
        <v>0.17</v>
      </c>
      <c r="H3158">
        <f>F3158*VLOOKUP(B3158,產品!$A$2:$H$61,7,FALSE)*(1-銷售總表!G3158)</f>
        <v>12450</v>
      </c>
      <c r="I3158" s="35">
        <f>H3158-F3158*VLOOKUP(銷售總表!B3158,產品!$A$2:$H$61,8,FALSE)</f>
        <v>6450</v>
      </c>
      <c r="J3158" s="20">
        <f t="shared" si="49"/>
        <v>0.51807228915662651</v>
      </c>
    </row>
    <row r="3159" spans="1:10" x14ac:dyDescent="0.3">
      <c r="A3159" s="33">
        <v>3158</v>
      </c>
      <c r="B3159" s="4">
        <v>30</v>
      </c>
      <c r="C3159" s="15">
        <v>272</v>
      </c>
      <c r="D3159" s="16">
        <v>10</v>
      </c>
      <c r="E3159" s="22">
        <v>44509</v>
      </c>
      <c r="F3159" s="19">
        <v>7</v>
      </c>
      <c r="G3159" s="18">
        <v>0.17</v>
      </c>
      <c r="H3159">
        <f>F3159*VLOOKUP(B3159,產品!$A$2:$H$61,7,FALSE)*(1-銷售總表!G3159)</f>
        <v>37765</v>
      </c>
      <c r="I3159" s="35">
        <f>H3159-F3159*VLOOKUP(銷售總表!B3159,產品!$A$2:$H$61,8,FALSE)</f>
        <v>10465</v>
      </c>
      <c r="J3159" s="20">
        <f t="shared" si="49"/>
        <v>0.27710843373493976</v>
      </c>
    </row>
    <row r="3160" spans="1:10" x14ac:dyDescent="0.3">
      <c r="A3160" s="33">
        <v>3159</v>
      </c>
      <c r="B3160" s="4">
        <v>12</v>
      </c>
      <c r="C3160" s="15">
        <v>270</v>
      </c>
      <c r="D3160" s="16">
        <v>2</v>
      </c>
      <c r="E3160" s="22">
        <v>44509</v>
      </c>
      <c r="F3160" s="19">
        <v>60</v>
      </c>
      <c r="G3160" s="18">
        <v>0.15</v>
      </c>
      <c r="H3160">
        <f>F3160*VLOOKUP(B3160,產品!$A$2:$H$61,7,FALSE)*(1-銷售總表!G3160)</f>
        <v>51000</v>
      </c>
      <c r="I3160" s="35">
        <f>H3160-F3160*VLOOKUP(銷售總表!B3160,產品!$A$2:$H$61,8,FALSE)</f>
        <v>27000</v>
      </c>
      <c r="J3160" s="20">
        <f t="shared" si="49"/>
        <v>0.52941176470588236</v>
      </c>
    </row>
    <row r="3161" spans="1:10" x14ac:dyDescent="0.3">
      <c r="A3161" s="33">
        <v>3160</v>
      </c>
      <c r="B3161" s="4">
        <v>4</v>
      </c>
      <c r="C3161" s="15">
        <v>282</v>
      </c>
      <c r="D3161" s="16">
        <v>7</v>
      </c>
      <c r="E3161" s="22">
        <v>44509</v>
      </c>
      <c r="F3161" s="19">
        <v>60</v>
      </c>
      <c r="G3161" s="18">
        <v>0.11</v>
      </c>
      <c r="H3161">
        <f>F3161*VLOOKUP(B3161,產品!$A$2:$H$61,7,FALSE)*(1-銷售總表!G3161)</f>
        <v>53400</v>
      </c>
      <c r="I3161" s="35">
        <f>H3161-F3161*VLOOKUP(銷售總表!B3161,產品!$A$2:$H$61,8,FALSE)</f>
        <v>29400</v>
      </c>
      <c r="J3161" s="20">
        <f t="shared" si="49"/>
        <v>0.550561797752809</v>
      </c>
    </row>
    <row r="3162" spans="1:10" x14ac:dyDescent="0.3">
      <c r="A3162" s="33">
        <v>3161</v>
      </c>
      <c r="B3162" s="4">
        <v>46</v>
      </c>
      <c r="C3162" s="15">
        <v>136</v>
      </c>
      <c r="D3162" s="16">
        <v>3</v>
      </c>
      <c r="E3162" s="22">
        <v>44509</v>
      </c>
      <c r="F3162" s="19">
        <v>8</v>
      </c>
      <c r="G3162" s="18">
        <v>0.12</v>
      </c>
      <c r="H3162">
        <f>F3162*VLOOKUP(B3162,產品!$A$2:$H$61,7,FALSE)*(1-銷售總表!G3162)</f>
        <v>119680</v>
      </c>
      <c r="I3162" s="35">
        <f>H3162-F3162*VLOOKUP(銷售總表!B3162,產品!$A$2:$H$61,8,FALSE)</f>
        <v>31280</v>
      </c>
      <c r="J3162" s="20">
        <f t="shared" si="49"/>
        <v>0.26136363636363635</v>
      </c>
    </row>
    <row r="3163" spans="1:10" x14ac:dyDescent="0.3">
      <c r="A3163" s="33">
        <v>3162</v>
      </c>
      <c r="B3163" s="4">
        <v>21</v>
      </c>
      <c r="C3163" s="15">
        <v>7</v>
      </c>
      <c r="D3163" s="16">
        <v>8</v>
      </c>
      <c r="E3163" s="22">
        <v>44509</v>
      </c>
      <c r="F3163" s="19">
        <v>100</v>
      </c>
      <c r="G3163" s="18">
        <v>0.14000000000000001</v>
      </c>
      <c r="H3163">
        <f>F3163*VLOOKUP(B3163,產品!$A$2:$H$61,7,FALSE)*(1-銷售總表!G3163)</f>
        <v>154800</v>
      </c>
      <c r="I3163" s="35">
        <f>H3163-F3163*VLOOKUP(銷售總表!B3163,產品!$A$2:$H$61,8,FALSE)</f>
        <v>82800</v>
      </c>
      <c r="J3163" s="20">
        <f t="shared" si="49"/>
        <v>0.53488372093023251</v>
      </c>
    </row>
    <row r="3164" spans="1:10" x14ac:dyDescent="0.3">
      <c r="A3164" s="33">
        <v>3163</v>
      </c>
      <c r="B3164" s="4">
        <v>10</v>
      </c>
      <c r="C3164" s="15">
        <v>257</v>
      </c>
      <c r="D3164" s="16">
        <v>3</v>
      </c>
      <c r="E3164" s="22">
        <v>44510</v>
      </c>
      <c r="F3164" s="19">
        <v>14</v>
      </c>
      <c r="G3164" s="18">
        <v>0.18</v>
      </c>
      <c r="H3164">
        <f>F3164*VLOOKUP(B3164,產品!$A$2:$H$61,7,FALSE)*(1-銷售總表!G3164)</f>
        <v>11480</v>
      </c>
      <c r="I3164" s="35">
        <f>H3164-F3164*VLOOKUP(銷售總表!B3164,產品!$A$2:$H$61,8,FALSE)</f>
        <v>5880</v>
      </c>
      <c r="J3164" s="20">
        <f t="shared" si="49"/>
        <v>0.51219512195121952</v>
      </c>
    </row>
    <row r="3165" spans="1:10" x14ac:dyDescent="0.3">
      <c r="A3165" s="33">
        <v>3164</v>
      </c>
      <c r="B3165" s="4">
        <v>55</v>
      </c>
      <c r="C3165" s="15">
        <v>3</v>
      </c>
      <c r="D3165" s="16">
        <v>6</v>
      </c>
      <c r="E3165" s="22">
        <v>44510</v>
      </c>
      <c r="F3165" s="17">
        <v>3</v>
      </c>
      <c r="G3165" s="18">
        <v>0.18</v>
      </c>
      <c r="H3165">
        <f>F3165*VLOOKUP(B3165,產品!$A$2:$H$61,7,FALSE)*(1-銷售總表!G3165)</f>
        <v>49200.000000000007</v>
      </c>
      <c r="I3165" s="35">
        <f>H3165-F3165*VLOOKUP(銷售總表!B3165,產品!$A$2:$H$61,8,FALSE)</f>
        <v>7200.0000000000073</v>
      </c>
      <c r="J3165" s="20">
        <f t="shared" si="49"/>
        <v>0.14634146341463428</v>
      </c>
    </row>
    <row r="3166" spans="1:10" x14ac:dyDescent="0.3">
      <c r="A3166" s="33">
        <v>3165</v>
      </c>
      <c r="B3166" s="4">
        <v>32</v>
      </c>
      <c r="C3166" s="15">
        <v>265</v>
      </c>
      <c r="D3166" s="16">
        <v>7</v>
      </c>
      <c r="E3166" s="22">
        <v>44510</v>
      </c>
      <c r="F3166" s="19">
        <v>4</v>
      </c>
      <c r="G3166" s="18">
        <v>0.14000000000000001</v>
      </c>
      <c r="H3166">
        <f>F3166*VLOOKUP(B3166,產品!$A$2:$H$61,7,FALSE)*(1-銷售總表!G3166)</f>
        <v>25800</v>
      </c>
      <c r="I3166" s="35">
        <f>H3166-F3166*VLOOKUP(銷售總表!B3166,產品!$A$2:$H$61,8,FALSE)</f>
        <v>7800</v>
      </c>
      <c r="J3166" s="20">
        <f t="shared" si="49"/>
        <v>0.30232558139534882</v>
      </c>
    </row>
    <row r="3167" spans="1:10" x14ac:dyDescent="0.3">
      <c r="A3167" s="33">
        <v>3166</v>
      </c>
      <c r="B3167" s="4">
        <v>53</v>
      </c>
      <c r="C3167" s="15">
        <v>136</v>
      </c>
      <c r="D3167" s="16">
        <v>8</v>
      </c>
      <c r="E3167" s="22">
        <v>44510</v>
      </c>
      <c r="F3167" s="17">
        <v>3</v>
      </c>
      <c r="G3167" s="18">
        <v>0.06</v>
      </c>
      <c r="H3167">
        <f>F3167*VLOOKUP(B3167,產品!$A$2:$H$61,7,FALSE)*(1-銷售總表!G3167)</f>
        <v>42300</v>
      </c>
      <c r="I3167" s="35">
        <f>H3167-F3167*VLOOKUP(銷售總表!B3167,產品!$A$2:$H$61,8,FALSE)</f>
        <v>10800</v>
      </c>
      <c r="J3167" s="20">
        <f t="shared" si="49"/>
        <v>0.25531914893617019</v>
      </c>
    </row>
    <row r="3168" spans="1:10" x14ac:dyDescent="0.3">
      <c r="A3168" s="33">
        <v>3167</v>
      </c>
      <c r="B3168" s="4">
        <v>17</v>
      </c>
      <c r="C3168" s="15">
        <v>2</v>
      </c>
      <c r="D3168" s="16">
        <v>5</v>
      </c>
      <c r="E3168" s="22">
        <v>44510</v>
      </c>
      <c r="F3168" s="19">
        <v>20</v>
      </c>
      <c r="G3168" s="18">
        <v>0.12</v>
      </c>
      <c r="H3168">
        <f>F3168*VLOOKUP(B3168,產品!$A$2:$H$61,7,FALSE)*(1-銷售總表!G3168)</f>
        <v>31680</v>
      </c>
      <c r="I3168" s="35">
        <f>H3168-F3168*VLOOKUP(銷售總表!B3168,產品!$A$2:$H$61,8,FALSE)</f>
        <v>17280</v>
      </c>
      <c r="J3168" s="20">
        <f t="shared" si="49"/>
        <v>0.54545454545454541</v>
      </c>
    </row>
    <row r="3169" spans="1:10" x14ac:dyDescent="0.3">
      <c r="A3169" s="33">
        <v>3168</v>
      </c>
      <c r="B3169" s="4">
        <v>51</v>
      </c>
      <c r="C3169" s="15">
        <v>276</v>
      </c>
      <c r="D3169" s="16">
        <v>5</v>
      </c>
      <c r="E3169" s="22">
        <v>44510</v>
      </c>
      <c r="F3169" s="17">
        <v>6</v>
      </c>
      <c r="G3169" s="18">
        <v>0.15</v>
      </c>
      <c r="H3169">
        <f>F3169*VLOOKUP(B3169,產品!$A$2:$H$61,7,FALSE)*(1-銷售總表!G3169)</f>
        <v>102000</v>
      </c>
      <c r="I3169" s="35">
        <f>H3169-F3169*VLOOKUP(銷售總表!B3169,產品!$A$2:$H$61,8,FALSE)</f>
        <v>18000</v>
      </c>
      <c r="J3169" s="20">
        <f t="shared" si="49"/>
        <v>0.17647058823529413</v>
      </c>
    </row>
    <row r="3170" spans="1:10" x14ac:dyDescent="0.3">
      <c r="A3170" s="33">
        <v>3169</v>
      </c>
      <c r="B3170" s="4">
        <v>7</v>
      </c>
      <c r="C3170" s="15">
        <v>286</v>
      </c>
      <c r="D3170" s="16">
        <v>7</v>
      </c>
      <c r="E3170" s="22">
        <v>44510</v>
      </c>
      <c r="F3170" s="19">
        <v>70</v>
      </c>
      <c r="G3170" s="18">
        <v>0.06</v>
      </c>
      <c r="H3170">
        <f>F3170*VLOOKUP(B3170,產品!$A$2:$H$61,7,FALSE)*(1-銷售總表!G3170)</f>
        <v>65800</v>
      </c>
      <c r="I3170" s="35">
        <f>H3170-F3170*VLOOKUP(銷售總表!B3170,產品!$A$2:$H$61,8,FALSE)</f>
        <v>37800</v>
      </c>
      <c r="J3170" s="20">
        <f t="shared" si="49"/>
        <v>0.57446808510638303</v>
      </c>
    </row>
    <row r="3171" spans="1:10" x14ac:dyDescent="0.3">
      <c r="A3171" s="33">
        <v>3170</v>
      </c>
      <c r="B3171" s="4">
        <v>58</v>
      </c>
      <c r="C3171" s="15">
        <v>116</v>
      </c>
      <c r="D3171" s="16">
        <v>6</v>
      </c>
      <c r="E3171" s="22">
        <v>44510</v>
      </c>
      <c r="F3171" s="19">
        <v>10</v>
      </c>
      <c r="G3171" s="18">
        <v>0.11</v>
      </c>
      <c r="H3171">
        <f>F3171*VLOOKUP(B3171,產品!$A$2:$H$61,7,FALSE)*(1-銷售總表!G3171)</f>
        <v>186900</v>
      </c>
      <c r="I3171" s="35">
        <f>H3171-F3171*VLOOKUP(銷售總表!B3171,產品!$A$2:$H$61,8,FALSE)</f>
        <v>39900.000000000029</v>
      </c>
      <c r="J3171" s="20">
        <f t="shared" si="49"/>
        <v>0.21348314606741589</v>
      </c>
    </row>
    <row r="3172" spans="1:10" x14ac:dyDescent="0.3">
      <c r="A3172" s="33">
        <v>3171</v>
      </c>
      <c r="B3172" s="4">
        <v>52</v>
      </c>
      <c r="C3172" s="15">
        <v>268</v>
      </c>
      <c r="D3172" s="16">
        <v>6</v>
      </c>
      <c r="E3172" s="22">
        <v>44510</v>
      </c>
      <c r="F3172" s="19">
        <v>14</v>
      </c>
      <c r="G3172" s="18">
        <v>0.08</v>
      </c>
      <c r="H3172">
        <f>F3172*VLOOKUP(B3172,產品!$A$2:$H$61,7,FALSE)*(1-銷售總表!G3172)</f>
        <v>283360</v>
      </c>
      <c r="I3172" s="35">
        <f>H3172-F3172*VLOOKUP(銷售總表!B3172,產品!$A$2:$H$61,8,FALSE)</f>
        <v>67760.000000000029</v>
      </c>
      <c r="J3172" s="20">
        <f t="shared" si="49"/>
        <v>0.23913043478260879</v>
      </c>
    </row>
    <row r="3173" spans="1:10" x14ac:dyDescent="0.3">
      <c r="A3173" s="33">
        <v>3172</v>
      </c>
      <c r="B3173" s="4">
        <v>14</v>
      </c>
      <c r="C3173" s="15">
        <v>286</v>
      </c>
      <c r="D3173" s="16">
        <v>6</v>
      </c>
      <c r="E3173" s="22">
        <v>44510</v>
      </c>
      <c r="F3173" s="19">
        <v>70</v>
      </c>
      <c r="G3173" s="18">
        <v>0.05</v>
      </c>
      <c r="H3173">
        <f>F3173*VLOOKUP(B3173,產品!$A$2:$H$61,7,FALSE)*(1-銷售總表!G3173)</f>
        <v>119700</v>
      </c>
      <c r="I3173" s="35">
        <f>H3173-F3173*VLOOKUP(銷售總表!B3173,產品!$A$2:$H$61,8,FALSE)</f>
        <v>69300</v>
      </c>
      <c r="J3173" s="20">
        <f t="shared" si="49"/>
        <v>0.57894736842105265</v>
      </c>
    </row>
    <row r="3174" spans="1:10" x14ac:dyDescent="0.3">
      <c r="A3174" s="33">
        <v>3173</v>
      </c>
      <c r="B3174" s="4">
        <v>33</v>
      </c>
      <c r="C3174" s="15">
        <v>288</v>
      </c>
      <c r="D3174" s="16">
        <v>6</v>
      </c>
      <c r="E3174" s="22">
        <v>44510</v>
      </c>
      <c r="F3174" s="19">
        <v>30</v>
      </c>
      <c r="G3174" s="18">
        <v>7.0000000000000007E-2</v>
      </c>
      <c r="H3174">
        <f>F3174*VLOOKUP(B3174,產品!$A$2:$H$61,7,FALSE)*(1-銷售總表!G3174)</f>
        <v>209250</v>
      </c>
      <c r="I3174" s="35">
        <f>H3174-F3174*VLOOKUP(銷售總表!B3174,產品!$A$2:$H$61,8,FALSE)</f>
        <v>74250</v>
      </c>
      <c r="J3174" s="20">
        <f t="shared" si="49"/>
        <v>0.35483870967741937</v>
      </c>
    </row>
    <row r="3175" spans="1:10" x14ac:dyDescent="0.3">
      <c r="A3175" s="33">
        <v>3174</v>
      </c>
      <c r="B3175" s="4">
        <v>38</v>
      </c>
      <c r="C3175" s="15">
        <v>12</v>
      </c>
      <c r="D3175" s="16">
        <v>10</v>
      </c>
      <c r="E3175" s="22">
        <v>44511</v>
      </c>
      <c r="F3175" s="19">
        <v>10</v>
      </c>
      <c r="G3175" s="18">
        <v>0.17</v>
      </c>
      <c r="H3175">
        <f>F3175*VLOOKUP(B3175,產品!$A$2:$H$61,7,FALSE)*(1-銷售總表!G3175)</f>
        <v>124500</v>
      </c>
      <c r="I3175" s="35">
        <f>H3175-F3175*VLOOKUP(銷售總表!B3175,產品!$A$2:$H$61,8,FALSE)</f>
        <v>27000</v>
      </c>
      <c r="J3175" s="20">
        <f t="shared" si="49"/>
        <v>0.21686746987951808</v>
      </c>
    </row>
    <row r="3176" spans="1:10" x14ac:dyDescent="0.3">
      <c r="A3176" s="33">
        <v>3175</v>
      </c>
      <c r="B3176" s="4">
        <v>55</v>
      </c>
      <c r="C3176" s="15">
        <v>126</v>
      </c>
      <c r="D3176" s="16">
        <v>8</v>
      </c>
      <c r="E3176" s="22">
        <v>44511</v>
      </c>
      <c r="F3176" s="19">
        <v>2</v>
      </c>
      <c r="G3176" s="18">
        <v>0.06</v>
      </c>
      <c r="H3176">
        <f>F3176*VLOOKUP(B3176,產品!$A$2:$H$61,7,FALSE)*(1-銷售總表!G3176)</f>
        <v>37600</v>
      </c>
      <c r="I3176" s="35">
        <f>H3176-F3176*VLOOKUP(銷售總表!B3176,產品!$A$2:$H$61,8,FALSE)</f>
        <v>9600</v>
      </c>
      <c r="J3176" s="20">
        <f t="shared" si="49"/>
        <v>0.25531914893617019</v>
      </c>
    </row>
    <row r="3177" spans="1:10" x14ac:dyDescent="0.3">
      <c r="A3177" s="33">
        <v>3176</v>
      </c>
      <c r="B3177" s="4">
        <v>60</v>
      </c>
      <c r="C3177" s="15">
        <v>269</v>
      </c>
      <c r="D3177" s="16">
        <v>9</v>
      </c>
      <c r="E3177" s="22">
        <v>44511</v>
      </c>
      <c r="F3177" s="19">
        <v>3</v>
      </c>
      <c r="G3177" s="18">
        <v>0.15</v>
      </c>
      <c r="H3177">
        <f>F3177*VLOOKUP(B3177,產品!$A$2:$H$61,7,FALSE)*(1-銷售總表!G3177)</f>
        <v>63750</v>
      </c>
      <c r="I3177" s="35">
        <f>H3177-F3177*VLOOKUP(銷售總表!B3177,產品!$A$2:$H$61,8,FALSE)</f>
        <v>11250</v>
      </c>
      <c r="J3177" s="20">
        <f t="shared" si="49"/>
        <v>0.17647058823529413</v>
      </c>
    </row>
    <row r="3178" spans="1:10" x14ac:dyDescent="0.3">
      <c r="A3178" s="33">
        <v>3177</v>
      </c>
      <c r="B3178" s="4">
        <v>32</v>
      </c>
      <c r="C3178" s="15">
        <v>272</v>
      </c>
      <c r="D3178" s="16">
        <v>9</v>
      </c>
      <c r="E3178" s="22">
        <v>44511</v>
      </c>
      <c r="F3178" s="19">
        <v>6</v>
      </c>
      <c r="G3178" s="18">
        <v>0.12</v>
      </c>
      <c r="H3178">
        <f>F3178*VLOOKUP(B3178,產品!$A$2:$H$61,7,FALSE)*(1-銷售總表!G3178)</f>
        <v>39600</v>
      </c>
      <c r="I3178" s="35">
        <f>H3178-F3178*VLOOKUP(銷售總表!B3178,產品!$A$2:$H$61,8,FALSE)</f>
        <v>12600</v>
      </c>
      <c r="J3178" s="20">
        <f t="shared" si="49"/>
        <v>0.31818181818181818</v>
      </c>
    </row>
    <row r="3179" spans="1:10" x14ac:dyDescent="0.3">
      <c r="A3179" s="33">
        <v>3178</v>
      </c>
      <c r="B3179" s="4">
        <v>9</v>
      </c>
      <c r="C3179" s="15">
        <v>293</v>
      </c>
      <c r="D3179" s="16">
        <v>1</v>
      </c>
      <c r="E3179" s="22">
        <v>44511</v>
      </c>
      <c r="F3179" s="19">
        <v>40</v>
      </c>
      <c r="G3179" s="18">
        <v>0.16</v>
      </c>
      <c r="H3179">
        <f>F3179*VLOOKUP(B3179,產品!$A$2:$H$61,7,FALSE)*(1-銷售總表!G3179)</f>
        <v>33600</v>
      </c>
      <c r="I3179" s="35">
        <f>H3179-F3179*VLOOKUP(銷售總表!B3179,產品!$A$2:$H$61,8,FALSE)</f>
        <v>17600</v>
      </c>
      <c r="J3179" s="20">
        <f t="shared" si="49"/>
        <v>0.52380952380952384</v>
      </c>
    </row>
    <row r="3180" spans="1:10" x14ac:dyDescent="0.3">
      <c r="A3180" s="33">
        <v>3179</v>
      </c>
      <c r="B3180" s="4">
        <v>15</v>
      </c>
      <c r="C3180" s="15">
        <v>117</v>
      </c>
      <c r="D3180" s="16">
        <v>1</v>
      </c>
      <c r="E3180" s="22">
        <v>44511</v>
      </c>
      <c r="F3180" s="17">
        <v>20</v>
      </c>
      <c r="G3180" s="18">
        <v>7.0000000000000007E-2</v>
      </c>
      <c r="H3180">
        <f>F3180*VLOOKUP(B3180,產品!$A$2:$H$61,7,FALSE)*(1-銷售總表!G3180)</f>
        <v>33480</v>
      </c>
      <c r="I3180" s="35">
        <f>H3180-F3180*VLOOKUP(銷售總表!B3180,產品!$A$2:$H$61,8,FALSE)</f>
        <v>19080</v>
      </c>
      <c r="J3180" s="20">
        <f t="shared" si="49"/>
        <v>0.56989247311827962</v>
      </c>
    </row>
    <row r="3181" spans="1:10" x14ac:dyDescent="0.3">
      <c r="A3181" s="33">
        <v>3180</v>
      </c>
      <c r="B3181" s="4">
        <v>2</v>
      </c>
      <c r="C3181" s="15">
        <v>277</v>
      </c>
      <c r="D3181" s="16">
        <v>5</v>
      </c>
      <c r="E3181" s="22">
        <v>44511</v>
      </c>
      <c r="F3181" s="17">
        <v>40</v>
      </c>
      <c r="G3181" s="18">
        <v>0.06</v>
      </c>
      <c r="H3181">
        <f>F3181*VLOOKUP(B3181,產品!$A$2:$H$61,7,FALSE)*(1-銷售總表!G3181)</f>
        <v>37600</v>
      </c>
      <c r="I3181" s="35">
        <f>H3181-F3181*VLOOKUP(銷售總表!B3181,產品!$A$2:$H$61,8,FALSE)</f>
        <v>21600</v>
      </c>
      <c r="J3181" s="20">
        <f t="shared" si="49"/>
        <v>0.57446808510638303</v>
      </c>
    </row>
    <row r="3182" spans="1:10" x14ac:dyDescent="0.3">
      <c r="A3182" s="33">
        <v>3181</v>
      </c>
      <c r="B3182" s="4">
        <v>43</v>
      </c>
      <c r="C3182" s="15">
        <v>122</v>
      </c>
      <c r="D3182" s="16">
        <v>10</v>
      </c>
      <c r="E3182" s="22">
        <v>44511</v>
      </c>
      <c r="F3182" s="19">
        <v>7</v>
      </c>
      <c r="G3182" s="18">
        <v>0.06</v>
      </c>
      <c r="H3182">
        <f>F3182*VLOOKUP(B3182,產品!$A$2:$H$61,7,FALSE)*(1-銷售總表!G3182)</f>
        <v>118440</v>
      </c>
      <c r="I3182" s="35">
        <f>H3182-F3182*VLOOKUP(銷售總表!B3182,產品!$A$2:$H$61,8,FALSE)</f>
        <v>36540</v>
      </c>
      <c r="J3182" s="20">
        <f t="shared" si="49"/>
        <v>0.30851063829787234</v>
      </c>
    </row>
    <row r="3183" spans="1:10" x14ac:dyDescent="0.3">
      <c r="A3183" s="33">
        <v>3182</v>
      </c>
      <c r="B3183" s="4">
        <v>14</v>
      </c>
      <c r="C3183" s="15">
        <v>9</v>
      </c>
      <c r="D3183" s="16">
        <v>6</v>
      </c>
      <c r="E3183" s="22">
        <v>44511</v>
      </c>
      <c r="F3183" s="19">
        <v>50</v>
      </c>
      <c r="G3183" s="18">
        <v>0.12</v>
      </c>
      <c r="H3183">
        <f>F3183*VLOOKUP(B3183,產品!$A$2:$H$61,7,FALSE)*(1-銷售總表!G3183)</f>
        <v>79200</v>
      </c>
      <c r="I3183" s="35">
        <f>H3183-F3183*VLOOKUP(銷售總表!B3183,產品!$A$2:$H$61,8,FALSE)</f>
        <v>43200</v>
      </c>
      <c r="J3183" s="20">
        <f t="shared" si="49"/>
        <v>0.54545454545454541</v>
      </c>
    </row>
    <row r="3184" spans="1:10" x14ac:dyDescent="0.3">
      <c r="A3184" s="33">
        <v>3183</v>
      </c>
      <c r="B3184" s="4">
        <v>35</v>
      </c>
      <c r="C3184" s="15">
        <v>271</v>
      </c>
      <c r="D3184" s="16">
        <v>6</v>
      </c>
      <c r="E3184" s="22">
        <v>44512</v>
      </c>
      <c r="F3184" s="17">
        <v>3</v>
      </c>
      <c r="G3184" s="18">
        <v>0.17</v>
      </c>
      <c r="H3184">
        <f>F3184*VLOOKUP(B3184,產品!$A$2:$H$61,7,FALSE)*(1-銷售總表!G3184)</f>
        <v>21165</v>
      </c>
      <c r="I3184" s="35">
        <f>H3184-F3184*VLOOKUP(銷售總表!B3184,產品!$A$2:$H$61,8,FALSE)</f>
        <v>5865</v>
      </c>
      <c r="J3184" s="20">
        <f t="shared" si="49"/>
        <v>0.27710843373493976</v>
      </c>
    </row>
    <row r="3185" spans="1:10" x14ac:dyDescent="0.3">
      <c r="A3185" s="33">
        <v>3184</v>
      </c>
      <c r="B3185" s="4">
        <v>25</v>
      </c>
      <c r="C3185" s="15">
        <v>7</v>
      </c>
      <c r="D3185" s="16">
        <v>2</v>
      </c>
      <c r="E3185" s="22">
        <v>44512</v>
      </c>
      <c r="F3185" s="19">
        <v>6</v>
      </c>
      <c r="G3185" s="18">
        <v>0.13</v>
      </c>
      <c r="H3185">
        <f>F3185*VLOOKUP(B3185,產品!$A$2:$H$61,7,FALSE)*(1-銷售總表!G3185)</f>
        <v>31320</v>
      </c>
      <c r="I3185" s="35">
        <f>H3185-F3185*VLOOKUP(銷售總表!B3185,產品!$A$2:$H$61,8,FALSE)</f>
        <v>9720</v>
      </c>
      <c r="J3185" s="20">
        <f t="shared" si="49"/>
        <v>0.31034482758620691</v>
      </c>
    </row>
    <row r="3186" spans="1:10" x14ac:dyDescent="0.3">
      <c r="A3186" s="33">
        <v>3185</v>
      </c>
      <c r="B3186" s="4">
        <v>1</v>
      </c>
      <c r="C3186" s="15">
        <v>293</v>
      </c>
      <c r="D3186" s="16">
        <v>10</v>
      </c>
      <c r="E3186" s="22">
        <v>44512</v>
      </c>
      <c r="F3186" s="19">
        <v>20</v>
      </c>
      <c r="G3186" s="18">
        <v>0.08</v>
      </c>
      <c r="H3186">
        <f>F3186*VLOOKUP(B3186,產品!$A$2:$H$61,7,FALSE)*(1-銷售總表!G3186)</f>
        <v>18400</v>
      </c>
      <c r="I3186" s="35">
        <f>H3186-F3186*VLOOKUP(銷售總表!B3186,產品!$A$2:$H$61,8,FALSE)</f>
        <v>10400</v>
      </c>
      <c r="J3186" s="20">
        <f t="shared" si="49"/>
        <v>0.56521739130434778</v>
      </c>
    </row>
    <row r="3187" spans="1:10" x14ac:dyDescent="0.3">
      <c r="A3187" s="33">
        <v>3186</v>
      </c>
      <c r="B3187" s="4">
        <v>20</v>
      </c>
      <c r="C3187" s="15">
        <v>258</v>
      </c>
      <c r="D3187" s="16">
        <v>3</v>
      </c>
      <c r="E3187" s="22">
        <v>44512</v>
      </c>
      <c r="F3187" s="19">
        <v>30</v>
      </c>
      <c r="G3187" s="18">
        <v>0.08</v>
      </c>
      <c r="H3187">
        <f>F3187*VLOOKUP(B3187,產品!$A$2:$H$61,7,FALSE)*(1-銷售總表!G3187)</f>
        <v>49680</v>
      </c>
      <c r="I3187" s="35">
        <f>H3187-F3187*VLOOKUP(銷售總表!B3187,產品!$A$2:$H$61,8,FALSE)</f>
        <v>28080</v>
      </c>
      <c r="J3187" s="20">
        <f t="shared" si="49"/>
        <v>0.56521739130434778</v>
      </c>
    </row>
    <row r="3188" spans="1:10" x14ac:dyDescent="0.3">
      <c r="A3188" s="33">
        <v>3187</v>
      </c>
      <c r="B3188" s="4">
        <v>22</v>
      </c>
      <c r="C3188" s="15">
        <v>11</v>
      </c>
      <c r="D3188" s="16">
        <v>7</v>
      </c>
      <c r="E3188" s="22">
        <v>44512</v>
      </c>
      <c r="F3188" s="17">
        <v>60</v>
      </c>
      <c r="G3188" s="18">
        <v>0.2</v>
      </c>
      <c r="H3188">
        <f>F3188*VLOOKUP(B3188,產品!$A$2:$H$61,7,FALSE)*(1-銷售總表!G3188)</f>
        <v>86400</v>
      </c>
      <c r="I3188" s="35">
        <f>H3188-F3188*VLOOKUP(銷售總表!B3188,產品!$A$2:$H$61,8,FALSE)</f>
        <v>43200</v>
      </c>
      <c r="J3188" s="20">
        <f t="shared" si="49"/>
        <v>0.5</v>
      </c>
    </row>
    <row r="3189" spans="1:10" x14ac:dyDescent="0.3">
      <c r="A3189" s="33">
        <v>3188</v>
      </c>
      <c r="B3189" s="4">
        <v>7</v>
      </c>
      <c r="C3189" s="15">
        <v>115</v>
      </c>
      <c r="D3189" s="16">
        <v>3</v>
      </c>
      <c r="E3189" s="22">
        <v>44512</v>
      </c>
      <c r="F3189" s="17">
        <v>90</v>
      </c>
      <c r="G3189" s="18">
        <v>0.09</v>
      </c>
      <c r="H3189">
        <f>F3189*VLOOKUP(B3189,產品!$A$2:$H$61,7,FALSE)*(1-銷售總表!G3189)</f>
        <v>81900</v>
      </c>
      <c r="I3189" s="35">
        <f>H3189-F3189*VLOOKUP(銷售總表!B3189,產品!$A$2:$H$61,8,FALSE)</f>
        <v>45900</v>
      </c>
      <c r="J3189" s="20">
        <f t="shared" si="49"/>
        <v>0.56043956043956045</v>
      </c>
    </row>
    <row r="3190" spans="1:10" x14ac:dyDescent="0.3">
      <c r="A3190" s="33">
        <v>3189</v>
      </c>
      <c r="B3190" s="4">
        <v>20</v>
      </c>
      <c r="C3190" s="15">
        <v>137</v>
      </c>
      <c r="D3190" s="16">
        <v>7</v>
      </c>
      <c r="E3190" s="22">
        <v>44512</v>
      </c>
      <c r="F3190" s="19">
        <v>50</v>
      </c>
      <c r="G3190" s="18">
        <v>0.08</v>
      </c>
      <c r="H3190">
        <f>F3190*VLOOKUP(B3190,產品!$A$2:$H$61,7,FALSE)*(1-銷售總表!G3190)</f>
        <v>82800</v>
      </c>
      <c r="I3190" s="35">
        <f>H3190-F3190*VLOOKUP(銷售總表!B3190,產品!$A$2:$H$61,8,FALSE)</f>
        <v>46800</v>
      </c>
      <c r="J3190" s="20">
        <f t="shared" si="49"/>
        <v>0.56521739130434778</v>
      </c>
    </row>
    <row r="3191" spans="1:10" x14ac:dyDescent="0.3">
      <c r="A3191" s="33">
        <v>3190</v>
      </c>
      <c r="B3191" s="4">
        <v>21</v>
      </c>
      <c r="C3191" s="15">
        <v>264</v>
      </c>
      <c r="D3191" s="16">
        <v>10</v>
      </c>
      <c r="E3191" s="22">
        <v>44512</v>
      </c>
      <c r="F3191" s="19">
        <v>100</v>
      </c>
      <c r="G3191" s="18">
        <v>0.14000000000000001</v>
      </c>
      <c r="H3191">
        <f>F3191*VLOOKUP(B3191,產品!$A$2:$H$61,7,FALSE)*(1-銷售總表!G3191)</f>
        <v>154800</v>
      </c>
      <c r="I3191" s="35">
        <f>H3191-F3191*VLOOKUP(銷售總表!B3191,產品!$A$2:$H$61,8,FALSE)</f>
        <v>82800</v>
      </c>
      <c r="J3191" s="20">
        <f t="shared" si="49"/>
        <v>0.53488372093023251</v>
      </c>
    </row>
    <row r="3192" spans="1:10" x14ac:dyDescent="0.3">
      <c r="A3192" s="33">
        <v>3191</v>
      </c>
      <c r="B3192" s="4">
        <v>23</v>
      </c>
      <c r="C3192" s="15">
        <v>287</v>
      </c>
      <c r="D3192" s="16">
        <v>2</v>
      </c>
      <c r="E3192" s="22">
        <v>44512</v>
      </c>
      <c r="F3192" s="19">
        <v>125</v>
      </c>
      <c r="G3192" s="18">
        <v>7.0000000000000007E-2</v>
      </c>
      <c r="H3192">
        <f>F3192*VLOOKUP(B3192,產品!$A$2:$H$61,7,FALSE)*(1-銷售總表!G3192)</f>
        <v>209250</v>
      </c>
      <c r="I3192" s="35">
        <f>H3192-F3192*VLOOKUP(銷售總表!B3192,產品!$A$2:$H$61,8,FALSE)</f>
        <v>119250</v>
      </c>
      <c r="J3192" s="20">
        <f t="shared" si="49"/>
        <v>0.56989247311827962</v>
      </c>
    </row>
    <row r="3193" spans="1:10" x14ac:dyDescent="0.3">
      <c r="A3193" s="33">
        <v>3192</v>
      </c>
      <c r="B3193" s="4">
        <v>14</v>
      </c>
      <c r="C3193" s="15">
        <v>124</v>
      </c>
      <c r="D3193" s="16">
        <v>3</v>
      </c>
      <c r="E3193" s="22">
        <v>44512</v>
      </c>
      <c r="F3193" s="17">
        <v>150</v>
      </c>
      <c r="G3193" s="18">
        <v>0.09</v>
      </c>
      <c r="H3193">
        <f>F3193*VLOOKUP(B3193,產品!$A$2:$H$61,7,FALSE)*(1-銷售總表!G3193)</f>
        <v>245700</v>
      </c>
      <c r="I3193" s="35">
        <f>H3193-F3193*VLOOKUP(銷售總表!B3193,產品!$A$2:$H$61,8,FALSE)</f>
        <v>137700</v>
      </c>
      <c r="J3193" s="20">
        <f t="shared" si="49"/>
        <v>0.56043956043956045</v>
      </c>
    </row>
    <row r="3194" spans="1:10" x14ac:dyDescent="0.3">
      <c r="A3194" s="33">
        <v>3193</v>
      </c>
      <c r="B3194" s="4">
        <v>38</v>
      </c>
      <c r="C3194" s="15">
        <v>269</v>
      </c>
      <c r="D3194" s="16">
        <v>8</v>
      </c>
      <c r="E3194" s="22">
        <v>44513</v>
      </c>
      <c r="F3194" s="17">
        <v>2</v>
      </c>
      <c r="G3194" s="18">
        <v>0.18</v>
      </c>
      <c r="H3194">
        <f>F3194*VLOOKUP(B3194,產品!$A$2:$H$61,7,FALSE)*(1-銷售總表!G3194)</f>
        <v>24600.000000000004</v>
      </c>
      <c r="I3194" s="35">
        <f>H3194-F3194*VLOOKUP(銷售總表!B3194,產品!$A$2:$H$61,8,FALSE)</f>
        <v>5100.0000000000036</v>
      </c>
      <c r="J3194" s="20">
        <f t="shared" si="49"/>
        <v>0.20731707317073184</v>
      </c>
    </row>
    <row r="3195" spans="1:10" x14ac:dyDescent="0.3">
      <c r="A3195" s="33">
        <v>3194</v>
      </c>
      <c r="B3195" s="4">
        <v>29</v>
      </c>
      <c r="C3195" s="15">
        <v>271</v>
      </c>
      <c r="D3195" s="16">
        <v>9</v>
      </c>
      <c r="E3195" s="22">
        <v>44513</v>
      </c>
      <c r="F3195" s="19">
        <v>4</v>
      </c>
      <c r="G3195" s="18">
        <v>0.06</v>
      </c>
      <c r="H3195">
        <f>F3195*VLOOKUP(B3195,產品!$A$2:$H$61,7,FALSE)*(1-銷售總表!G3195)</f>
        <v>22560</v>
      </c>
      <c r="I3195" s="35">
        <f>H3195-F3195*VLOOKUP(銷售總表!B3195,產品!$A$2:$H$61,8,FALSE)</f>
        <v>8160</v>
      </c>
      <c r="J3195" s="20">
        <f t="shared" si="49"/>
        <v>0.36170212765957449</v>
      </c>
    </row>
    <row r="3196" spans="1:10" x14ac:dyDescent="0.3">
      <c r="A3196" s="33">
        <v>3195</v>
      </c>
      <c r="B3196" s="4">
        <v>33</v>
      </c>
      <c r="C3196" s="15">
        <v>262</v>
      </c>
      <c r="D3196" s="16">
        <v>7</v>
      </c>
      <c r="E3196" s="22">
        <v>44513</v>
      </c>
      <c r="F3196" s="17">
        <v>5</v>
      </c>
      <c r="G3196" s="18">
        <v>0.13</v>
      </c>
      <c r="H3196">
        <f>F3196*VLOOKUP(B3196,產品!$A$2:$H$61,7,FALSE)*(1-銷售總表!G3196)</f>
        <v>32625</v>
      </c>
      <c r="I3196" s="35">
        <f>H3196-F3196*VLOOKUP(銷售總表!B3196,產品!$A$2:$H$61,8,FALSE)</f>
        <v>10125</v>
      </c>
      <c r="J3196" s="20">
        <f t="shared" si="49"/>
        <v>0.31034482758620691</v>
      </c>
    </row>
    <row r="3197" spans="1:10" x14ac:dyDescent="0.3">
      <c r="A3197" s="33">
        <v>3196</v>
      </c>
      <c r="B3197" s="4">
        <v>27</v>
      </c>
      <c r="C3197" s="15">
        <v>282</v>
      </c>
      <c r="D3197" s="16">
        <v>1</v>
      </c>
      <c r="E3197" s="22">
        <v>44513</v>
      </c>
      <c r="F3197" s="19">
        <v>7</v>
      </c>
      <c r="G3197" s="18">
        <v>0.14000000000000001</v>
      </c>
      <c r="H3197">
        <f>F3197*VLOOKUP(B3197,產品!$A$2:$H$61,7,FALSE)*(1-銷售總表!G3197)</f>
        <v>42140</v>
      </c>
      <c r="I3197" s="35">
        <f>H3197-F3197*VLOOKUP(銷售總表!B3197,產品!$A$2:$H$61,8,FALSE)</f>
        <v>12740</v>
      </c>
      <c r="J3197" s="20">
        <f t="shared" si="49"/>
        <v>0.30232558139534882</v>
      </c>
    </row>
    <row r="3198" spans="1:10" x14ac:dyDescent="0.3">
      <c r="A3198" s="33">
        <v>3197</v>
      </c>
      <c r="B3198" s="4">
        <v>24</v>
      </c>
      <c r="C3198" s="15">
        <v>4</v>
      </c>
      <c r="D3198" s="16">
        <v>8</v>
      </c>
      <c r="E3198" s="22">
        <v>44513</v>
      </c>
      <c r="F3198" s="19">
        <v>25</v>
      </c>
      <c r="G3198" s="18">
        <v>0.08</v>
      </c>
      <c r="H3198">
        <f>F3198*VLOOKUP(B3198,產品!$A$2:$H$61,7,FALSE)*(1-銷售總表!G3198)</f>
        <v>41400</v>
      </c>
      <c r="I3198" s="35">
        <f>H3198-F3198*VLOOKUP(銷售總表!B3198,產品!$A$2:$H$61,8,FALSE)</f>
        <v>23400</v>
      </c>
      <c r="J3198" s="20">
        <f t="shared" si="49"/>
        <v>0.56521739130434778</v>
      </c>
    </row>
    <row r="3199" spans="1:10" x14ac:dyDescent="0.3">
      <c r="A3199" s="33">
        <v>3198</v>
      </c>
      <c r="B3199" s="4">
        <v>59</v>
      </c>
      <c r="C3199" s="15">
        <v>118</v>
      </c>
      <c r="D3199" s="16">
        <v>1</v>
      </c>
      <c r="E3199" s="22">
        <v>44513</v>
      </c>
      <c r="F3199" s="19">
        <v>8</v>
      </c>
      <c r="G3199" s="18">
        <v>0.16</v>
      </c>
      <c r="H3199">
        <f>F3199*VLOOKUP(B3199,產品!$A$2:$H$61,7,FALSE)*(1-銷售總表!G3199)</f>
        <v>161280</v>
      </c>
      <c r="I3199" s="35">
        <f>H3199-F3199*VLOOKUP(銷售總表!B3199,產品!$A$2:$H$61,8,FALSE)</f>
        <v>26880</v>
      </c>
      <c r="J3199" s="20">
        <f t="shared" si="49"/>
        <v>0.16666666666666666</v>
      </c>
    </row>
    <row r="3200" spans="1:10" x14ac:dyDescent="0.3">
      <c r="A3200" s="33">
        <v>3199</v>
      </c>
      <c r="B3200" s="4">
        <v>40</v>
      </c>
      <c r="C3200" s="15">
        <v>140</v>
      </c>
      <c r="D3200" s="16">
        <v>3</v>
      </c>
      <c r="E3200" s="22">
        <v>44513</v>
      </c>
      <c r="F3200" s="19">
        <v>9</v>
      </c>
      <c r="G3200" s="18">
        <v>0.15</v>
      </c>
      <c r="H3200">
        <f>F3200*VLOOKUP(B3200,產品!$A$2:$H$61,7,FALSE)*(1-銷售總表!G3200)</f>
        <v>153000</v>
      </c>
      <c r="I3200" s="35">
        <f>H3200-F3200*VLOOKUP(銷售總表!B3200,產品!$A$2:$H$61,8,FALSE)</f>
        <v>36000</v>
      </c>
      <c r="J3200" s="20">
        <f t="shared" si="49"/>
        <v>0.23529411764705882</v>
      </c>
    </row>
    <row r="3201" spans="1:10" x14ac:dyDescent="0.3">
      <c r="A3201" s="33">
        <v>3200</v>
      </c>
      <c r="B3201" s="4">
        <v>8</v>
      </c>
      <c r="C3201" s="15">
        <v>283</v>
      </c>
      <c r="D3201" s="16">
        <v>9</v>
      </c>
      <c r="E3201" s="22">
        <v>44514</v>
      </c>
      <c r="F3201" s="19">
        <v>13</v>
      </c>
      <c r="G3201" s="18">
        <v>0.06</v>
      </c>
      <c r="H3201">
        <f>F3201*VLOOKUP(B3201,產品!$A$2:$H$61,7,FALSE)*(1-銷售總表!G3201)</f>
        <v>12220</v>
      </c>
      <c r="I3201" s="35">
        <f>H3201-F3201*VLOOKUP(銷售總表!B3201,產品!$A$2:$H$61,8,FALSE)</f>
        <v>7020</v>
      </c>
      <c r="J3201" s="20">
        <f t="shared" si="49"/>
        <v>0.57446808510638303</v>
      </c>
    </row>
    <row r="3202" spans="1:10" x14ac:dyDescent="0.3">
      <c r="A3202" s="33">
        <v>3201</v>
      </c>
      <c r="B3202" s="4">
        <v>50</v>
      </c>
      <c r="C3202" s="15">
        <v>281</v>
      </c>
      <c r="D3202" s="16">
        <v>5</v>
      </c>
      <c r="E3202" s="22">
        <v>44514</v>
      </c>
      <c r="F3202" s="19">
        <v>8</v>
      </c>
      <c r="G3202" s="18">
        <v>0.19</v>
      </c>
      <c r="H3202">
        <f>F3202*VLOOKUP(B3202,產品!$A$2:$H$61,7,FALSE)*(1-銷售總表!G3202)</f>
        <v>116640.00000000001</v>
      </c>
      <c r="I3202" s="35">
        <f>H3202-F3202*VLOOKUP(銷售總表!B3202,產品!$A$2:$H$61,8,FALSE)</f>
        <v>15840.000000000015</v>
      </c>
      <c r="J3202" s="20">
        <f t="shared" si="49"/>
        <v>0.13580246913580257</v>
      </c>
    </row>
    <row r="3203" spans="1:10" x14ac:dyDescent="0.3">
      <c r="A3203" s="33">
        <v>3202</v>
      </c>
      <c r="B3203" s="4">
        <v>7</v>
      </c>
      <c r="C3203" s="15">
        <v>284</v>
      </c>
      <c r="D3203" s="16">
        <v>7</v>
      </c>
      <c r="E3203" s="22">
        <v>44514</v>
      </c>
      <c r="F3203" s="19">
        <v>30</v>
      </c>
      <c r="G3203" s="18">
        <v>0.06</v>
      </c>
      <c r="H3203">
        <f>F3203*VLOOKUP(B3203,產品!$A$2:$H$61,7,FALSE)*(1-銷售總表!G3203)</f>
        <v>28200</v>
      </c>
      <c r="I3203" s="35">
        <f>H3203-F3203*VLOOKUP(銷售總表!B3203,產品!$A$2:$H$61,8,FALSE)</f>
        <v>16200</v>
      </c>
      <c r="J3203" s="20">
        <f t="shared" ref="J3203:J3266" si="50">I3203/H3203</f>
        <v>0.57446808510638303</v>
      </c>
    </row>
    <row r="3204" spans="1:10" x14ac:dyDescent="0.3">
      <c r="A3204" s="33">
        <v>3203</v>
      </c>
      <c r="B3204" s="4">
        <v>41</v>
      </c>
      <c r="C3204" s="15">
        <v>273</v>
      </c>
      <c r="D3204" s="16">
        <v>1</v>
      </c>
      <c r="E3204" s="22">
        <v>44514</v>
      </c>
      <c r="F3204" s="19">
        <v>6</v>
      </c>
      <c r="G3204" s="18">
        <v>0.1</v>
      </c>
      <c r="H3204">
        <f>F3204*VLOOKUP(B3204,產品!$A$2:$H$61,7,FALSE)*(1-銷售總表!G3204)</f>
        <v>64800</v>
      </c>
      <c r="I3204" s="35">
        <f>H3204-F3204*VLOOKUP(銷售總表!B3204,產品!$A$2:$H$61,8,FALSE)</f>
        <v>18000</v>
      </c>
      <c r="J3204" s="20">
        <f t="shared" si="50"/>
        <v>0.27777777777777779</v>
      </c>
    </row>
    <row r="3205" spans="1:10" x14ac:dyDescent="0.3">
      <c r="A3205" s="33">
        <v>3204</v>
      </c>
      <c r="B3205" s="4">
        <v>2</v>
      </c>
      <c r="C3205" s="15">
        <v>4</v>
      </c>
      <c r="D3205" s="16">
        <v>10</v>
      </c>
      <c r="E3205" s="22">
        <v>44514</v>
      </c>
      <c r="F3205" s="19">
        <v>60</v>
      </c>
      <c r="G3205" s="18">
        <v>7.0000000000000007E-2</v>
      </c>
      <c r="H3205">
        <f>F3205*VLOOKUP(B3205,產品!$A$2:$H$61,7,FALSE)*(1-銷售總表!G3205)</f>
        <v>55799.999999999993</v>
      </c>
      <c r="I3205" s="35">
        <f>H3205-F3205*VLOOKUP(銷售總表!B3205,產品!$A$2:$H$61,8,FALSE)</f>
        <v>31799.999999999993</v>
      </c>
      <c r="J3205" s="20">
        <f t="shared" si="50"/>
        <v>0.56989247311827951</v>
      </c>
    </row>
    <row r="3206" spans="1:10" x14ac:dyDescent="0.3">
      <c r="A3206" s="33">
        <v>3205</v>
      </c>
      <c r="B3206" s="4">
        <v>40</v>
      </c>
      <c r="C3206" s="15">
        <v>276</v>
      </c>
      <c r="D3206" s="16">
        <v>4</v>
      </c>
      <c r="E3206" s="22">
        <v>44514</v>
      </c>
      <c r="F3206" s="19">
        <v>15</v>
      </c>
      <c r="G3206" s="18">
        <v>0.05</v>
      </c>
      <c r="H3206">
        <f>F3206*VLOOKUP(B3206,產品!$A$2:$H$61,7,FALSE)*(1-銷售總表!G3206)</f>
        <v>285000</v>
      </c>
      <c r="I3206" s="35">
        <f>H3206-F3206*VLOOKUP(銷售總表!B3206,產品!$A$2:$H$61,8,FALSE)</f>
        <v>90000</v>
      </c>
      <c r="J3206" s="20">
        <f t="shared" si="50"/>
        <v>0.31578947368421051</v>
      </c>
    </row>
    <row r="3207" spans="1:10" x14ac:dyDescent="0.3">
      <c r="A3207" s="33">
        <v>3206</v>
      </c>
      <c r="B3207" s="4">
        <v>23</v>
      </c>
      <c r="C3207" s="15">
        <v>264</v>
      </c>
      <c r="D3207" s="16">
        <v>9</v>
      </c>
      <c r="E3207" s="22">
        <v>44514</v>
      </c>
      <c r="F3207" s="17">
        <v>150</v>
      </c>
      <c r="G3207" s="18">
        <v>0.14000000000000001</v>
      </c>
      <c r="H3207">
        <f>F3207*VLOOKUP(B3207,產品!$A$2:$H$61,7,FALSE)*(1-銷售總表!G3207)</f>
        <v>232200</v>
      </c>
      <c r="I3207" s="35">
        <f>H3207-F3207*VLOOKUP(銷售總表!B3207,產品!$A$2:$H$61,8,FALSE)</f>
        <v>124200</v>
      </c>
      <c r="J3207" s="20">
        <f t="shared" si="50"/>
        <v>0.53488372093023251</v>
      </c>
    </row>
    <row r="3208" spans="1:10" x14ac:dyDescent="0.3">
      <c r="A3208" s="33">
        <v>3207</v>
      </c>
      <c r="B3208" s="4">
        <v>39</v>
      </c>
      <c r="C3208" s="15">
        <v>283</v>
      </c>
      <c r="D3208" s="16">
        <v>6</v>
      </c>
      <c r="E3208" s="22">
        <v>44515</v>
      </c>
      <c r="F3208" s="19">
        <v>2</v>
      </c>
      <c r="G3208" s="18">
        <v>0.18</v>
      </c>
      <c r="H3208">
        <f>F3208*VLOOKUP(B3208,產品!$A$2:$H$61,7,FALSE)*(1-銷售總表!G3208)</f>
        <v>29520.000000000004</v>
      </c>
      <c r="I3208" s="35">
        <f>H3208-F3208*VLOOKUP(銷售總表!B3208,產品!$A$2:$H$61,8,FALSE)</f>
        <v>6120.0000000000036</v>
      </c>
      <c r="J3208" s="20">
        <f t="shared" si="50"/>
        <v>0.20731707317073181</v>
      </c>
    </row>
    <row r="3209" spans="1:10" x14ac:dyDescent="0.3">
      <c r="A3209" s="33">
        <v>3208</v>
      </c>
      <c r="B3209" s="4">
        <v>30</v>
      </c>
      <c r="C3209" s="15">
        <v>140</v>
      </c>
      <c r="D3209" s="16">
        <v>1</v>
      </c>
      <c r="E3209" s="22">
        <v>44515</v>
      </c>
      <c r="F3209" s="19">
        <v>6</v>
      </c>
      <c r="G3209" s="18">
        <v>0.2</v>
      </c>
      <c r="H3209">
        <f>F3209*VLOOKUP(B3209,產品!$A$2:$H$61,7,FALSE)*(1-銷售總表!G3209)</f>
        <v>31200</v>
      </c>
      <c r="I3209" s="35">
        <f>H3209-F3209*VLOOKUP(銷售總表!B3209,產品!$A$2:$H$61,8,FALSE)</f>
        <v>7800</v>
      </c>
      <c r="J3209" s="20">
        <f t="shared" si="50"/>
        <v>0.25</v>
      </c>
    </row>
    <row r="3210" spans="1:10" x14ac:dyDescent="0.3">
      <c r="A3210" s="33">
        <v>3209</v>
      </c>
      <c r="B3210" s="4">
        <v>57</v>
      </c>
      <c r="C3210" s="15">
        <v>285</v>
      </c>
      <c r="D3210" s="16">
        <v>7</v>
      </c>
      <c r="E3210" s="22">
        <v>44515</v>
      </c>
      <c r="F3210" s="19">
        <v>2</v>
      </c>
      <c r="G3210" s="18">
        <v>0.08</v>
      </c>
      <c r="H3210">
        <f>F3210*VLOOKUP(B3210,產品!$A$2:$H$61,7,FALSE)*(1-銷售總表!G3210)</f>
        <v>33120</v>
      </c>
      <c r="I3210" s="35">
        <f>H3210-F3210*VLOOKUP(銷售總表!B3210,產品!$A$2:$H$61,8,FALSE)</f>
        <v>7920</v>
      </c>
      <c r="J3210" s="20">
        <f t="shared" si="50"/>
        <v>0.2391304347826087</v>
      </c>
    </row>
    <row r="3211" spans="1:10" x14ac:dyDescent="0.3">
      <c r="A3211" s="33">
        <v>3210</v>
      </c>
      <c r="B3211" s="4">
        <v>25</v>
      </c>
      <c r="C3211" s="15">
        <v>257</v>
      </c>
      <c r="D3211" s="16">
        <v>7</v>
      </c>
      <c r="E3211" s="22">
        <v>44515</v>
      </c>
      <c r="F3211" s="17">
        <v>7</v>
      </c>
      <c r="G3211" s="18">
        <v>0.2</v>
      </c>
      <c r="H3211">
        <f>F3211*VLOOKUP(B3211,產品!$A$2:$H$61,7,FALSE)*(1-銷售總表!G3211)</f>
        <v>33600</v>
      </c>
      <c r="I3211" s="35">
        <f>H3211-F3211*VLOOKUP(銷售總表!B3211,產品!$A$2:$H$61,8,FALSE)</f>
        <v>8400</v>
      </c>
      <c r="J3211" s="20">
        <f t="shared" si="50"/>
        <v>0.25</v>
      </c>
    </row>
    <row r="3212" spans="1:10" x14ac:dyDescent="0.3">
      <c r="A3212" s="33">
        <v>3211</v>
      </c>
      <c r="B3212" s="4">
        <v>41</v>
      </c>
      <c r="C3212" s="15">
        <v>115</v>
      </c>
      <c r="D3212" s="16">
        <v>6</v>
      </c>
      <c r="E3212" s="22">
        <v>44515</v>
      </c>
      <c r="F3212" s="19">
        <v>4</v>
      </c>
      <c r="G3212" s="18">
        <v>0.05</v>
      </c>
      <c r="H3212">
        <f>F3212*VLOOKUP(B3212,產品!$A$2:$H$61,7,FALSE)*(1-銷售總表!G3212)</f>
        <v>45600</v>
      </c>
      <c r="I3212" s="35">
        <f>H3212-F3212*VLOOKUP(銷售總表!B3212,產品!$A$2:$H$61,8,FALSE)</f>
        <v>14400</v>
      </c>
      <c r="J3212" s="20">
        <f t="shared" si="50"/>
        <v>0.31578947368421051</v>
      </c>
    </row>
    <row r="3213" spans="1:10" x14ac:dyDescent="0.3">
      <c r="A3213" s="33">
        <v>3212</v>
      </c>
      <c r="B3213" s="4">
        <v>15</v>
      </c>
      <c r="C3213" s="15">
        <v>281</v>
      </c>
      <c r="D3213" s="16">
        <v>5</v>
      </c>
      <c r="E3213" s="22">
        <v>44515</v>
      </c>
      <c r="F3213" s="19">
        <v>20</v>
      </c>
      <c r="G3213" s="18">
        <v>0.14000000000000001</v>
      </c>
      <c r="H3213">
        <f>F3213*VLOOKUP(B3213,產品!$A$2:$H$61,7,FALSE)*(1-銷售總表!G3213)</f>
        <v>30960</v>
      </c>
      <c r="I3213" s="35">
        <f>H3213-F3213*VLOOKUP(銷售總表!B3213,產品!$A$2:$H$61,8,FALSE)</f>
        <v>16560</v>
      </c>
      <c r="J3213" s="20">
        <f t="shared" si="50"/>
        <v>0.53488372093023251</v>
      </c>
    </row>
    <row r="3214" spans="1:10" x14ac:dyDescent="0.3">
      <c r="A3214" s="33">
        <v>3213</v>
      </c>
      <c r="B3214" s="4">
        <v>46</v>
      </c>
      <c r="C3214" s="15">
        <v>283</v>
      </c>
      <c r="D3214" s="16">
        <v>10</v>
      </c>
      <c r="E3214" s="22">
        <v>44515</v>
      </c>
      <c r="F3214" s="19">
        <v>7</v>
      </c>
      <c r="G3214" s="18">
        <v>0.15</v>
      </c>
      <c r="H3214">
        <f>F3214*VLOOKUP(B3214,產品!$A$2:$H$61,7,FALSE)*(1-銷售總表!G3214)</f>
        <v>101150</v>
      </c>
      <c r="I3214" s="35">
        <f>H3214-F3214*VLOOKUP(銷售總表!B3214,產品!$A$2:$H$61,8,FALSE)</f>
        <v>23800</v>
      </c>
      <c r="J3214" s="20">
        <f t="shared" si="50"/>
        <v>0.23529411764705882</v>
      </c>
    </row>
    <row r="3215" spans="1:10" x14ac:dyDescent="0.3">
      <c r="A3215" s="33">
        <v>3214</v>
      </c>
      <c r="B3215" s="4">
        <v>51</v>
      </c>
      <c r="C3215" s="15">
        <v>281</v>
      </c>
      <c r="D3215" s="16">
        <v>5</v>
      </c>
      <c r="E3215" s="22">
        <v>44516</v>
      </c>
      <c r="F3215" s="17">
        <v>3</v>
      </c>
      <c r="G3215" s="18">
        <v>0.19</v>
      </c>
      <c r="H3215">
        <f>F3215*VLOOKUP(B3215,產品!$A$2:$H$61,7,FALSE)*(1-銷售總表!G3215)</f>
        <v>48600</v>
      </c>
      <c r="I3215" s="35">
        <f>H3215-F3215*VLOOKUP(銷售總表!B3215,產品!$A$2:$H$61,8,FALSE)</f>
        <v>6600</v>
      </c>
      <c r="J3215" s="20">
        <f t="shared" si="50"/>
        <v>0.13580246913580246</v>
      </c>
    </row>
    <row r="3216" spans="1:10" x14ac:dyDescent="0.3">
      <c r="A3216" s="33">
        <v>3215</v>
      </c>
      <c r="B3216" s="4">
        <v>9</v>
      </c>
      <c r="C3216" s="15">
        <v>3</v>
      </c>
      <c r="D3216" s="16">
        <v>10</v>
      </c>
      <c r="E3216" s="22">
        <v>44516</v>
      </c>
      <c r="F3216" s="17">
        <v>17</v>
      </c>
      <c r="G3216" s="18">
        <v>0.14000000000000001</v>
      </c>
      <c r="H3216">
        <f>F3216*VLOOKUP(B3216,產品!$A$2:$H$61,7,FALSE)*(1-銷售總表!G3216)</f>
        <v>14620</v>
      </c>
      <c r="I3216" s="35">
        <f>H3216-F3216*VLOOKUP(銷售總表!B3216,產品!$A$2:$H$61,8,FALSE)</f>
        <v>7820</v>
      </c>
      <c r="J3216" s="20">
        <f t="shared" si="50"/>
        <v>0.53488372093023251</v>
      </c>
    </row>
    <row r="3217" spans="1:10" x14ac:dyDescent="0.3">
      <c r="A3217" s="33">
        <v>3216</v>
      </c>
      <c r="B3217" s="4">
        <v>51</v>
      </c>
      <c r="C3217" s="15">
        <v>2</v>
      </c>
      <c r="D3217" s="16">
        <v>7</v>
      </c>
      <c r="E3217" s="22">
        <v>44516</v>
      </c>
      <c r="F3217" s="19">
        <v>3</v>
      </c>
      <c r="G3217" s="18">
        <v>0.15</v>
      </c>
      <c r="H3217">
        <f>F3217*VLOOKUP(B3217,產品!$A$2:$H$61,7,FALSE)*(1-銷售總表!G3217)</f>
        <v>51000</v>
      </c>
      <c r="I3217" s="35">
        <f>H3217-F3217*VLOOKUP(銷售總表!B3217,產品!$A$2:$H$61,8,FALSE)</f>
        <v>9000</v>
      </c>
      <c r="J3217" s="20">
        <f t="shared" si="50"/>
        <v>0.17647058823529413</v>
      </c>
    </row>
    <row r="3218" spans="1:10" x14ac:dyDescent="0.3">
      <c r="A3218" s="33">
        <v>3217</v>
      </c>
      <c r="B3218" s="4">
        <v>60</v>
      </c>
      <c r="C3218" s="15">
        <v>115</v>
      </c>
      <c r="D3218" s="16">
        <v>10</v>
      </c>
      <c r="E3218" s="22">
        <v>44516</v>
      </c>
      <c r="F3218" s="17">
        <v>4</v>
      </c>
      <c r="G3218" s="18">
        <v>0.14000000000000001</v>
      </c>
      <c r="H3218">
        <f>F3218*VLOOKUP(B3218,產品!$A$2:$H$61,7,FALSE)*(1-銷售總表!G3218)</f>
        <v>86000</v>
      </c>
      <c r="I3218" s="35">
        <f>H3218-F3218*VLOOKUP(銷售總表!B3218,產品!$A$2:$H$61,8,FALSE)</f>
        <v>16000</v>
      </c>
      <c r="J3218" s="20">
        <f t="shared" si="50"/>
        <v>0.18604651162790697</v>
      </c>
    </row>
    <row r="3219" spans="1:10" x14ac:dyDescent="0.3">
      <c r="A3219" s="33">
        <v>3218</v>
      </c>
      <c r="B3219" s="4">
        <v>31</v>
      </c>
      <c r="C3219" s="15">
        <v>271</v>
      </c>
      <c r="D3219" s="16">
        <v>4</v>
      </c>
      <c r="E3219" s="22">
        <v>44516</v>
      </c>
      <c r="F3219" s="19">
        <v>9</v>
      </c>
      <c r="G3219" s="18">
        <v>0.09</v>
      </c>
      <c r="H3219">
        <f>F3219*VLOOKUP(B3219,產品!$A$2:$H$61,7,FALSE)*(1-銷售總表!G3219)</f>
        <v>57330</v>
      </c>
      <c r="I3219" s="35">
        <f>H3219-F3219*VLOOKUP(銷售總表!B3219,產品!$A$2:$H$61,8,FALSE)</f>
        <v>19530</v>
      </c>
      <c r="J3219" s="20">
        <f t="shared" si="50"/>
        <v>0.34065934065934067</v>
      </c>
    </row>
    <row r="3220" spans="1:10" x14ac:dyDescent="0.3">
      <c r="A3220" s="33">
        <v>3219</v>
      </c>
      <c r="B3220" s="4">
        <v>58</v>
      </c>
      <c r="C3220" s="15">
        <v>123</v>
      </c>
      <c r="D3220" s="16">
        <v>7</v>
      </c>
      <c r="E3220" s="22">
        <v>44516</v>
      </c>
      <c r="F3220" s="19">
        <v>13</v>
      </c>
      <c r="G3220" s="18">
        <v>0.18</v>
      </c>
      <c r="H3220">
        <f>F3220*VLOOKUP(B3220,產品!$A$2:$H$61,7,FALSE)*(1-銷售總表!G3220)</f>
        <v>223860.00000000003</v>
      </c>
      <c r="I3220" s="35">
        <f>H3220-F3220*VLOOKUP(銷售總表!B3220,產品!$A$2:$H$61,8,FALSE)</f>
        <v>32760.000000000058</v>
      </c>
      <c r="J3220" s="20">
        <f t="shared" si="50"/>
        <v>0.14634146341463439</v>
      </c>
    </row>
    <row r="3221" spans="1:10" x14ac:dyDescent="0.3">
      <c r="A3221" s="33">
        <v>3220</v>
      </c>
      <c r="B3221" s="4">
        <v>33</v>
      </c>
      <c r="C3221" s="15">
        <v>267</v>
      </c>
      <c r="D3221" s="16">
        <v>7</v>
      </c>
      <c r="E3221" s="22">
        <v>44516</v>
      </c>
      <c r="F3221" s="17">
        <v>13</v>
      </c>
      <c r="G3221" s="18">
        <v>0.05</v>
      </c>
      <c r="H3221">
        <f>F3221*VLOOKUP(B3221,產品!$A$2:$H$61,7,FALSE)*(1-銷售總表!G3221)</f>
        <v>92625</v>
      </c>
      <c r="I3221" s="35">
        <f>H3221-F3221*VLOOKUP(銷售總表!B3221,產品!$A$2:$H$61,8,FALSE)</f>
        <v>34125</v>
      </c>
      <c r="J3221" s="20">
        <f t="shared" si="50"/>
        <v>0.36842105263157893</v>
      </c>
    </row>
    <row r="3222" spans="1:10" x14ac:dyDescent="0.3">
      <c r="A3222" s="33">
        <v>3221</v>
      </c>
      <c r="B3222" s="4">
        <v>48</v>
      </c>
      <c r="C3222" s="15">
        <v>265</v>
      </c>
      <c r="D3222" s="16">
        <v>3</v>
      </c>
      <c r="E3222" s="22">
        <v>44516</v>
      </c>
      <c r="F3222" s="17">
        <v>12</v>
      </c>
      <c r="G3222" s="18">
        <v>0.06</v>
      </c>
      <c r="H3222">
        <f>F3222*VLOOKUP(B3222,產品!$A$2:$H$61,7,FALSE)*(1-銷售總表!G3222)</f>
        <v>248160</v>
      </c>
      <c r="I3222" s="35">
        <f>H3222-F3222*VLOOKUP(銷售總表!B3222,產品!$A$2:$H$61,8,FALSE)</f>
        <v>76560</v>
      </c>
      <c r="J3222" s="20">
        <f t="shared" si="50"/>
        <v>0.30851063829787234</v>
      </c>
    </row>
    <row r="3223" spans="1:10" x14ac:dyDescent="0.3">
      <c r="A3223" s="33">
        <v>3222</v>
      </c>
      <c r="B3223" s="4">
        <v>27</v>
      </c>
      <c r="C3223" s="15">
        <v>265</v>
      </c>
      <c r="D3223" s="16">
        <v>8</v>
      </c>
      <c r="E3223" s="22">
        <v>44517</v>
      </c>
      <c r="F3223" s="19">
        <v>3</v>
      </c>
      <c r="G3223" s="18">
        <v>0.06</v>
      </c>
      <c r="H3223">
        <f>F3223*VLOOKUP(B3223,產品!$A$2:$H$61,7,FALSE)*(1-銷售總表!G3223)</f>
        <v>19740</v>
      </c>
      <c r="I3223" s="35">
        <f>H3223-F3223*VLOOKUP(銷售總表!B3223,產品!$A$2:$H$61,8,FALSE)</f>
        <v>7140</v>
      </c>
      <c r="J3223" s="20">
        <f t="shared" si="50"/>
        <v>0.36170212765957449</v>
      </c>
    </row>
    <row r="3224" spans="1:10" x14ac:dyDescent="0.3">
      <c r="A3224" s="33">
        <v>3223</v>
      </c>
      <c r="B3224" s="4">
        <v>4</v>
      </c>
      <c r="C3224" s="15">
        <v>262</v>
      </c>
      <c r="D3224" s="16">
        <v>3</v>
      </c>
      <c r="E3224" s="22">
        <v>44517</v>
      </c>
      <c r="F3224" s="19">
        <v>17</v>
      </c>
      <c r="G3224" s="18">
        <v>0.05</v>
      </c>
      <c r="H3224">
        <f>F3224*VLOOKUP(B3224,產品!$A$2:$H$61,7,FALSE)*(1-銷售總表!G3224)</f>
        <v>16150</v>
      </c>
      <c r="I3224" s="35">
        <f>H3224-F3224*VLOOKUP(銷售總表!B3224,產品!$A$2:$H$61,8,FALSE)</f>
        <v>9350</v>
      </c>
      <c r="J3224" s="20">
        <f t="shared" si="50"/>
        <v>0.57894736842105265</v>
      </c>
    </row>
    <row r="3225" spans="1:10" x14ac:dyDescent="0.3">
      <c r="A3225" s="33">
        <v>3224</v>
      </c>
      <c r="B3225" s="4">
        <v>39</v>
      </c>
      <c r="C3225" s="15">
        <v>140</v>
      </c>
      <c r="D3225" s="16">
        <v>7</v>
      </c>
      <c r="E3225" s="22">
        <v>44517</v>
      </c>
      <c r="F3225" s="19">
        <v>3</v>
      </c>
      <c r="G3225" s="18">
        <v>0.12</v>
      </c>
      <c r="H3225">
        <f>F3225*VLOOKUP(B3225,產品!$A$2:$H$61,7,FALSE)*(1-銷售總表!G3225)</f>
        <v>47520</v>
      </c>
      <c r="I3225" s="35">
        <f>H3225-F3225*VLOOKUP(銷售總表!B3225,產品!$A$2:$H$61,8,FALSE)</f>
        <v>12420</v>
      </c>
      <c r="J3225" s="20">
        <f t="shared" si="50"/>
        <v>0.26136363636363635</v>
      </c>
    </row>
    <row r="3226" spans="1:10" x14ac:dyDescent="0.3">
      <c r="A3226" s="33">
        <v>3225</v>
      </c>
      <c r="B3226" s="4">
        <v>55</v>
      </c>
      <c r="C3226" s="15">
        <v>8</v>
      </c>
      <c r="D3226" s="16">
        <v>7</v>
      </c>
      <c r="E3226" s="22">
        <v>44517</v>
      </c>
      <c r="F3226" s="17">
        <v>13</v>
      </c>
      <c r="G3226" s="18">
        <v>7.0000000000000007E-2</v>
      </c>
      <c r="H3226">
        <f>F3226*VLOOKUP(B3226,產品!$A$2:$H$61,7,FALSE)*(1-銷售總表!G3226)</f>
        <v>241799.99999999997</v>
      </c>
      <c r="I3226" s="35">
        <f>H3226-F3226*VLOOKUP(銷售總表!B3226,產品!$A$2:$H$61,8,FALSE)</f>
        <v>59799.999999999971</v>
      </c>
      <c r="J3226" s="20">
        <f t="shared" si="50"/>
        <v>0.24731182795698917</v>
      </c>
    </row>
    <row r="3227" spans="1:10" x14ac:dyDescent="0.3">
      <c r="A3227" s="33">
        <v>3226</v>
      </c>
      <c r="B3227" s="4">
        <v>18</v>
      </c>
      <c r="C3227" s="15">
        <v>4</v>
      </c>
      <c r="D3227" s="16">
        <v>8</v>
      </c>
      <c r="E3227" s="22">
        <v>44517</v>
      </c>
      <c r="F3227" s="19">
        <v>150</v>
      </c>
      <c r="G3227" s="18">
        <v>0.17</v>
      </c>
      <c r="H3227">
        <f>F3227*VLOOKUP(B3227,產品!$A$2:$H$61,7,FALSE)*(1-銷售總表!G3227)</f>
        <v>224100</v>
      </c>
      <c r="I3227" s="35">
        <f>H3227-F3227*VLOOKUP(銷售總表!B3227,產品!$A$2:$H$61,8,FALSE)</f>
        <v>116100</v>
      </c>
      <c r="J3227" s="20">
        <f t="shared" si="50"/>
        <v>0.51807228915662651</v>
      </c>
    </row>
    <row r="3228" spans="1:10" x14ac:dyDescent="0.3">
      <c r="A3228" s="33">
        <v>3227</v>
      </c>
      <c r="B3228" s="4">
        <v>25</v>
      </c>
      <c r="C3228" s="15">
        <v>279</v>
      </c>
      <c r="D3228" s="16">
        <v>3</v>
      </c>
      <c r="E3228" s="22">
        <v>44518</v>
      </c>
      <c r="F3228" s="17">
        <v>10</v>
      </c>
      <c r="G3228" s="18">
        <v>0.14000000000000001</v>
      </c>
      <c r="H3228">
        <f>F3228*VLOOKUP(B3228,產品!$A$2:$H$61,7,FALSE)*(1-銷售總表!G3228)</f>
        <v>51600</v>
      </c>
      <c r="I3228" s="35">
        <f>H3228-F3228*VLOOKUP(銷售總表!B3228,產品!$A$2:$H$61,8,FALSE)</f>
        <v>15600</v>
      </c>
      <c r="J3228" s="20">
        <f t="shared" si="50"/>
        <v>0.30232558139534882</v>
      </c>
    </row>
    <row r="3229" spans="1:10" x14ac:dyDescent="0.3">
      <c r="A3229" s="33">
        <v>3228</v>
      </c>
      <c r="B3229" s="4">
        <v>29</v>
      </c>
      <c r="C3229" s="15">
        <v>138</v>
      </c>
      <c r="D3229" s="16">
        <v>3</v>
      </c>
      <c r="E3229" s="22">
        <v>44518</v>
      </c>
      <c r="F3229" s="17">
        <v>2</v>
      </c>
      <c r="G3229" s="18">
        <v>0.06</v>
      </c>
      <c r="H3229">
        <f>F3229*VLOOKUP(B3229,產品!$A$2:$H$61,7,FALSE)*(1-銷售總表!G3229)</f>
        <v>11280</v>
      </c>
      <c r="I3229" s="35">
        <f>H3229-F3229*VLOOKUP(銷售總表!B3229,產品!$A$2:$H$61,8,FALSE)</f>
        <v>4080</v>
      </c>
      <c r="J3229" s="20">
        <f t="shared" si="50"/>
        <v>0.36170212765957449</v>
      </c>
    </row>
    <row r="3230" spans="1:10" x14ac:dyDescent="0.3">
      <c r="A3230" s="33">
        <v>3229</v>
      </c>
      <c r="B3230" s="4">
        <v>46</v>
      </c>
      <c r="C3230" s="15">
        <v>8</v>
      </c>
      <c r="D3230" s="16">
        <v>4</v>
      </c>
      <c r="E3230" s="22">
        <v>44518</v>
      </c>
      <c r="F3230" s="19">
        <v>2</v>
      </c>
      <c r="G3230" s="18">
        <v>0.2</v>
      </c>
      <c r="H3230">
        <f>F3230*VLOOKUP(B3230,產品!$A$2:$H$61,7,FALSE)*(1-銷售總表!G3230)</f>
        <v>27200</v>
      </c>
      <c r="I3230" s="35">
        <f>H3230-F3230*VLOOKUP(銷售總表!B3230,產品!$A$2:$H$61,8,FALSE)</f>
        <v>5100</v>
      </c>
      <c r="J3230" s="20">
        <f t="shared" si="50"/>
        <v>0.1875</v>
      </c>
    </row>
    <row r="3231" spans="1:10" x14ac:dyDescent="0.3">
      <c r="A3231" s="33">
        <v>3230</v>
      </c>
      <c r="B3231" s="4">
        <v>44</v>
      </c>
      <c r="C3231" s="15">
        <v>290</v>
      </c>
      <c r="D3231" s="16">
        <v>6</v>
      </c>
      <c r="E3231" s="22">
        <v>44518</v>
      </c>
      <c r="F3231" s="19">
        <v>2</v>
      </c>
      <c r="G3231" s="18">
        <v>0.2</v>
      </c>
      <c r="H3231">
        <f>F3231*VLOOKUP(B3231,產品!$A$2:$H$61,7,FALSE)*(1-銷售總表!G3231)</f>
        <v>32000</v>
      </c>
      <c r="I3231" s="35">
        <f>H3231-F3231*VLOOKUP(銷售總表!B3231,產品!$A$2:$H$61,8,FALSE)</f>
        <v>6000</v>
      </c>
      <c r="J3231" s="20">
        <f t="shared" si="50"/>
        <v>0.1875</v>
      </c>
    </row>
    <row r="3232" spans="1:10" x14ac:dyDescent="0.3">
      <c r="A3232" s="33">
        <v>3231</v>
      </c>
      <c r="B3232" s="4">
        <v>26</v>
      </c>
      <c r="C3232" s="15">
        <v>11</v>
      </c>
      <c r="D3232" s="16">
        <v>6</v>
      </c>
      <c r="E3232" s="22">
        <v>44518</v>
      </c>
      <c r="F3232" s="19">
        <v>9</v>
      </c>
      <c r="G3232" s="18">
        <v>0.2</v>
      </c>
      <c r="H3232">
        <f>F3232*VLOOKUP(B3232,產品!$A$2:$H$61,7,FALSE)*(1-銷售總表!G3232)</f>
        <v>46800</v>
      </c>
      <c r="I3232" s="35">
        <f>H3232-F3232*VLOOKUP(銷售總表!B3232,產品!$A$2:$H$61,8,FALSE)</f>
        <v>11700</v>
      </c>
      <c r="J3232" s="20">
        <f t="shared" si="50"/>
        <v>0.25</v>
      </c>
    </row>
    <row r="3233" spans="1:10" x14ac:dyDescent="0.3">
      <c r="A3233" s="33">
        <v>3232</v>
      </c>
      <c r="B3233" s="4">
        <v>44</v>
      </c>
      <c r="C3233" s="15">
        <v>12</v>
      </c>
      <c r="D3233" s="16">
        <v>7</v>
      </c>
      <c r="E3233" s="22">
        <v>44518</v>
      </c>
      <c r="F3233" s="19">
        <v>6</v>
      </c>
      <c r="G3233" s="18">
        <v>0.06</v>
      </c>
      <c r="H3233">
        <f>F3233*VLOOKUP(B3233,產品!$A$2:$H$61,7,FALSE)*(1-銷售總表!G3233)</f>
        <v>112800</v>
      </c>
      <c r="I3233" s="35">
        <f>H3233-F3233*VLOOKUP(銷售總表!B3233,產品!$A$2:$H$61,8,FALSE)</f>
        <v>34800</v>
      </c>
      <c r="J3233" s="20">
        <f t="shared" si="50"/>
        <v>0.30851063829787234</v>
      </c>
    </row>
    <row r="3234" spans="1:10" x14ac:dyDescent="0.3">
      <c r="A3234" s="33">
        <v>3233</v>
      </c>
      <c r="B3234" s="4">
        <v>34</v>
      </c>
      <c r="C3234" s="15">
        <v>290</v>
      </c>
      <c r="D3234" s="16">
        <v>10</v>
      </c>
      <c r="E3234" s="22">
        <v>44518</v>
      </c>
      <c r="F3234" s="19">
        <v>20</v>
      </c>
      <c r="G3234" s="18">
        <v>0.17</v>
      </c>
      <c r="H3234">
        <f>F3234*VLOOKUP(B3234,產品!$A$2:$H$61,7,FALSE)*(1-銷售總表!G3234)</f>
        <v>132800</v>
      </c>
      <c r="I3234" s="35">
        <f>H3234-F3234*VLOOKUP(銷售總表!B3234,產品!$A$2:$H$61,8,FALSE)</f>
        <v>36800</v>
      </c>
      <c r="J3234" s="20">
        <f t="shared" si="50"/>
        <v>0.27710843373493976</v>
      </c>
    </row>
    <row r="3235" spans="1:10" x14ac:dyDescent="0.3">
      <c r="A3235" s="33">
        <v>3234</v>
      </c>
      <c r="B3235" s="4">
        <v>10</v>
      </c>
      <c r="C3235" s="15">
        <v>7</v>
      </c>
      <c r="D3235" s="16">
        <v>4</v>
      </c>
      <c r="E3235" s="22">
        <v>44519</v>
      </c>
      <c r="F3235" s="19">
        <v>60</v>
      </c>
      <c r="G3235" s="18">
        <v>0.14000000000000001</v>
      </c>
      <c r="H3235">
        <f>F3235*VLOOKUP(B3235,產品!$A$2:$H$61,7,FALSE)*(1-銷售總表!G3235)</f>
        <v>51600</v>
      </c>
      <c r="I3235" s="35">
        <f>H3235-F3235*VLOOKUP(銷售總表!B3235,產品!$A$2:$H$61,8,FALSE)</f>
        <v>27600</v>
      </c>
      <c r="J3235" s="20">
        <f t="shared" si="50"/>
        <v>0.53488372093023251</v>
      </c>
    </row>
    <row r="3236" spans="1:10" x14ac:dyDescent="0.3">
      <c r="A3236" s="33">
        <v>3235</v>
      </c>
      <c r="B3236" s="4">
        <v>1</v>
      </c>
      <c r="C3236" s="15">
        <v>294</v>
      </c>
      <c r="D3236" s="16">
        <v>7</v>
      </c>
      <c r="E3236" s="22">
        <v>44519</v>
      </c>
      <c r="F3236" s="19">
        <v>75</v>
      </c>
      <c r="G3236" s="18">
        <v>0.09</v>
      </c>
      <c r="H3236">
        <f>F3236*VLOOKUP(B3236,產品!$A$2:$H$61,7,FALSE)*(1-銷售總表!G3236)</f>
        <v>68250</v>
      </c>
      <c r="I3236" s="35">
        <f>H3236-F3236*VLOOKUP(銷售總表!B3236,產品!$A$2:$H$61,8,FALSE)</f>
        <v>38250</v>
      </c>
      <c r="J3236" s="20">
        <f t="shared" si="50"/>
        <v>0.56043956043956045</v>
      </c>
    </row>
    <row r="3237" spans="1:10" x14ac:dyDescent="0.3">
      <c r="A3237" s="33">
        <v>3236</v>
      </c>
      <c r="B3237" s="4">
        <v>10</v>
      </c>
      <c r="C3237" s="15">
        <v>292</v>
      </c>
      <c r="D3237" s="16">
        <v>4</v>
      </c>
      <c r="E3237" s="22">
        <v>44519</v>
      </c>
      <c r="F3237" s="19">
        <v>150</v>
      </c>
      <c r="G3237" s="18">
        <v>0.16</v>
      </c>
      <c r="H3237">
        <f>F3237*VLOOKUP(B3237,產品!$A$2:$H$61,7,FALSE)*(1-銷售總表!G3237)</f>
        <v>126000</v>
      </c>
      <c r="I3237" s="35">
        <f>H3237-F3237*VLOOKUP(銷售總表!B3237,產品!$A$2:$H$61,8,FALSE)</f>
        <v>66000</v>
      </c>
      <c r="J3237" s="20">
        <f t="shared" si="50"/>
        <v>0.52380952380952384</v>
      </c>
    </row>
    <row r="3238" spans="1:10" x14ac:dyDescent="0.3">
      <c r="A3238" s="33">
        <v>3237</v>
      </c>
      <c r="B3238" s="4">
        <v>16</v>
      </c>
      <c r="C3238" s="15">
        <v>271</v>
      </c>
      <c r="D3238" s="16">
        <v>5</v>
      </c>
      <c r="E3238" s="22">
        <v>44519</v>
      </c>
      <c r="F3238" s="19">
        <v>100</v>
      </c>
      <c r="G3238" s="18">
        <v>0.19</v>
      </c>
      <c r="H3238">
        <f>F3238*VLOOKUP(B3238,產品!$A$2:$H$61,7,FALSE)*(1-銷售總表!G3238)</f>
        <v>145800</v>
      </c>
      <c r="I3238" s="35">
        <f>H3238-F3238*VLOOKUP(銷售總表!B3238,產品!$A$2:$H$61,8,FALSE)</f>
        <v>73800</v>
      </c>
      <c r="J3238" s="20">
        <f t="shared" si="50"/>
        <v>0.50617283950617287</v>
      </c>
    </row>
    <row r="3239" spans="1:10" x14ac:dyDescent="0.3">
      <c r="A3239" s="33">
        <v>3238</v>
      </c>
      <c r="B3239" s="4">
        <v>51</v>
      </c>
      <c r="C3239" s="15">
        <v>140</v>
      </c>
      <c r="D3239" s="16">
        <v>7</v>
      </c>
      <c r="E3239" s="22">
        <v>44520</v>
      </c>
      <c r="F3239" s="17">
        <v>10</v>
      </c>
      <c r="G3239" s="18">
        <v>0.17</v>
      </c>
      <c r="H3239">
        <f>F3239*VLOOKUP(B3239,產品!$A$2:$H$61,7,FALSE)*(1-銷售總表!G3239)</f>
        <v>166000</v>
      </c>
      <c r="I3239" s="35">
        <f>H3239-F3239*VLOOKUP(銷售總表!B3239,產品!$A$2:$H$61,8,FALSE)</f>
        <v>26000</v>
      </c>
      <c r="J3239" s="20">
        <f t="shared" si="50"/>
        <v>0.15662650602409639</v>
      </c>
    </row>
    <row r="3240" spans="1:10" x14ac:dyDescent="0.3">
      <c r="A3240" s="33">
        <v>3239</v>
      </c>
      <c r="B3240" s="4">
        <v>55</v>
      </c>
      <c r="C3240" s="15">
        <v>5</v>
      </c>
      <c r="D3240" s="16">
        <v>7</v>
      </c>
      <c r="E3240" s="22">
        <v>44520</v>
      </c>
      <c r="F3240" s="19">
        <v>1</v>
      </c>
      <c r="G3240" s="18">
        <v>0.05</v>
      </c>
      <c r="H3240">
        <f>F3240*VLOOKUP(B3240,產品!$A$2:$H$61,7,FALSE)*(1-銷售總表!G3240)</f>
        <v>19000</v>
      </c>
      <c r="I3240" s="35">
        <f>H3240-F3240*VLOOKUP(銷售總表!B3240,產品!$A$2:$H$61,8,FALSE)</f>
        <v>5000</v>
      </c>
      <c r="J3240" s="20">
        <f t="shared" si="50"/>
        <v>0.26315789473684209</v>
      </c>
    </row>
    <row r="3241" spans="1:10" x14ac:dyDescent="0.3">
      <c r="A3241" s="33">
        <v>3240</v>
      </c>
      <c r="B3241" s="4">
        <v>36</v>
      </c>
      <c r="C3241" s="15">
        <v>8</v>
      </c>
      <c r="D3241" s="16">
        <v>8</v>
      </c>
      <c r="E3241" s="22">
        <v>44520</v>
      </c>
      <c r="F3241" s="19">
        <v>3</v>
      </c>
      <c r="G3241" s="18">
        <v>0.18</v>
      </c>
      <c r="H3241">
        <f>F3241*VLOOKUP(B3241,產品!$A$2:$H$61,7,FALSE)*(1-銷售總表!G3241)</f>
        <v>22140</v>
      </c>
      <c r="I3241" s="35">
        <f>H3241-F3241*VLOOKUP(銷售總表!B3241,產品!$A$2:$H$61,8,FALSE)</f>
        <v>5940</v>
      </c>
      <c r="J3241" s="20">
        <f t="shared" si="50"/>
        <v>0.26829268292682928</v>
      </c>
    </row>
    <row r="3242" spans="1:10" x14ac:dyDescent="0.3">
      <c r="A3242" s="33">
        <v>3241</v>
      </c>
      <c r="B3242" s="4">
        <v>14</v>
      </c>
      <c r="C3242" s="15">
        <v>9</v>
      </c>
      <c r="D3242" s="16">
        <v>8</v>
      </c>
      <c r="E3242" s="22">
        <v>44520</v>
      </c>
      <c r="F3242" s="17">
        <v>10</v>
      </c>
      <c r="G3242" s="18">
        <v>0.18</v>
      </c>
      <c r="H3242">
        <f>F3242*VLOOKUP(B3242,產品!$A$2:$H$61,7,FALSE)*(1-銷售總表!G3242)</f>
        <v>14760.000000000002</v>
      </c>
      <c r="I3242" s="35">
        <f>H3242-F3242*VLOOKUP(銷售總表!B3242,產品!$A$2:$H$61,8,FALSE)</f>
        <v>7560.0000000000018</v>
      </c>
      <c r="J3242" s="20">
        <f t="shared" si="50"/>
        <v>0.51219512195121952</v>
      </c>
    </row>
    <row r="3243" spans="1:10" x14ac:dyDescent="0.3">
      <c r="A3243" s="33">
        <v>3242</v>
      </c>
      <c r="B3243" s="4">
        <v>47</v>
      </c>
      <c r="C3243" s="15">
        <v>292</v>
      </c>
      <c r="D3243" s="16">
        <v>10</v>
      </c>
      <c r="E3243" s="22">
        <v>44520</v>
      </c>
      <c r="F3243" s="17">
        <v>5</v>
      </c>
      <c r="G3243" s="18">
        <v>0.18</v>
      </c>
      <c r="H3243">
        <f>F3243*VLOOKUP(B3243,產品!$A$2:$H$61,7,FALSE)*(1-銷售總表!G3243)</f>
        <v>82000</v>
      </c>
      <c r="I3243" s="35">
        <f>H3243-F3243*VLOOKUP(銷售總表!B3243,產品!$A$2:$H$61,8,FALSE)</f>
        <v>17000</v>
      </c>
      <c r="J3243" s="20">
        <f t="shared" si="50"/>
        <v>0.2073170731707317</v>
      </c>
    </row>
    <row r="3244" spans="1:10" x14ac:dyDescent="0.3">
      <c r="A3244" s="33">
        <v>3243</v>
      </c>
      <c r="B3244" s="4">
        <v>47</v>
      </c>
      <c r="C3244" s="15">
        <v>5</v>
      </c>
      <c r="D3244" s="16">
        <v>7</v>
      </c>
      <c r="E3244" s="22">
        <v>44520</v>
      </c>
      <c r="F3244" s="17">
        <v>5</v>
      </c>
      <c r="G3244" s="18">
        <v>0.16</v>
      </c>
      <c r="H3244">
        <f>F3244*VLOOKUP(B3244,產品!$A$2:$H$61,7,FALSE)*(1-銷售總表!G3244)</f>
        <v>84000</v>
      </c>
      <c r="I3244" s="35">
        <f>H3244-F3244*VLOOKUP(銷售總表!B3244,產品!$A$2:$H$61,8,FALSE)</f>
        <v>19000</v>
      </c>
      <c r="J3244" s="20">
        <f t="shared" si="50"/>
        <v>0.22619047619047619</v>
      </c>
    </row>
    <row r="3245" spans="1:10" x14ac:dyDescent="0.3">
      <c r="A3245" s="33">
        <v>3244</v>
      </c>
      <c r="B3245" s="4">
        <v>8</v>
      </c>
      <c r="C3245" s="15">
        <v>273</v>
      </c>
      <c r="D3245" s="16">
        <v>6</v>
      </c>
      <c r="E3245" s="22">
        <v>44520</v>
      </c>
      <c r="F3245" s="17">
        <v>70</v>
      </c>
      <c r="G3245" s="18">
        <v>0.12</v>
      </c>
      <c r="H3245">
        <f>F3245*VLOOKUP(B3245,產品!$A$2:$H$61,7,FALSE)*(1-銷售總表!G3245)</f>
        <v>61600</v>
      </c>
      <c r="I3245" s="35">
        <f>H3245-F3245*VLOOKUP(銷售總表!B3245,產品!$A$2:$H$61,8,FALSE)</f>
        <v>33600</v>
      </c>
      <c r="J3245" s="20">
        <f t="shared" si="50"/>
        <v>0.54545454545454541</v>
      </c>
    </row>
    <row r="3246" spans="1:10" x14ac:dyDescent="0.3">
      <c r="A3246" s="33">
        <v>3245</v>
      </c>
      <c r="B3246" s="4">
        <v>2</v>
      </c>
      <c r="C3246" s="15">
        <v>260</v>
      </c>
      <c r="D3246" s="16">
        <v>2</v>
      </c>
      <c r="E3246" s="22">
        <v>44520</v>
      </c>
      <c r="F3246" s="19">
        <v>105</v>
      </c>
      <c r="G3246" s="18">
        <v>0.19</v>
      </c>
      <c r="H3246">
        <f>F3246*VLOOKUP(B3246,產品!$A$2:$H$61,7,FALSE)*(1-銷售總表!G3246)</f>
        <v>85050</v>
      </c>
      <c r="I3246" s="35">
        <f>H3246-F3246*VLOOKUP(銷售總表!B3246,產品!$A$2:$H$61,8,FALSE)</f>
        <v>43050</v>
      </c>
      <c r="J3246" s="20">
        <f t="shared" si="50"/>
        <v>0.50617283950617287</v>
      </c>
    </row>
    <row r="3247" spans="1:10" x14ac:dyDescent="0.3">
      <c r="A3247" s="33">
        <v>3246</v>
      </c>
      <c r="B3247" s="4">
        <v>60</v>
      </c>
      <c r="C3247" s="15">
        <v>268</v>
      </c>
      <c r="D3247" s="16">
        <v>6</v>
      </c>
      <c r="E3247" s="22">
        <v>44521</v>
      </c>
      <c r="F3247" s="19">
        <v>2</v>
      </c>
      <c r="G3247" s="18">
        <v>0.17</v>
      </c>
      <c r="H3247">
        <f>F3247*VLOOKUP(B3247,產品!$A$2:$H$61,7,FALSE)*(1-銷售總表!G3247)</f>
        <v>41500</v>
      </c>
      <c r="I3247" s="35">
        <f>H3247-F3247*VLOOKUP(銷售總表!B3247,產品!$A$2:$H$61,8,FALSE)</f>
        <v>6500</v>
      </c>
      <c r="J3247" s="20">
        <f t="shared" si="50"/>
        <v>0.15662650602409639</v>
      </c>
    </row>
    <row r="3248" spans="1:10" x14ac:dyDescent="0.3">
      <c r="A3248" s="33">
        <v>3247</v>
      </c>
      <c r="B3248" s="4">
        <v>33</v>
      </c>
      <c r="C3248" s="15">
        <v>288</v>
      </c>
      <c r="D3248" s="16">
        <v>7</v>
      </c>
      <c r="E3248" s="22">
        <v>44521</v>
      </c>
      <c r="F3248" s="19">
        <v>3</v>
      </c>
      <c r="G3248" s="18">
        <v>0.06</v>
      </c>
      <c r="H3248">
        <f>F3248*VLOOKUP(B3248,產品!$A$2:$H$61,7,FALSE)*(1-銷售總表!G3248)</f>
        <v>21150</v>
      </c>
      <c r="I3248" s="35">
        <f>H3248-F3248*VLOOKUP(銷售總表!B3248,產品!$A$2:$H$61,8,FALSE)</f>
        <v>7650</v>
      </c>
      <c r="J3248" s="20">
        <f t="shared" si="50"/>
        <v>0.36170212765957449</v>
      </c>
    </row>
    <row r="3249" spans="1:10" x14ac:dyDescent="0.3">
      <c r="A3249" s="33">
        <v>3248</v>
      </c>
      <c r="B3249" s="4">
        <v>6</v>
      </c>
      <c r="C3249" s="15">
        <v>118</v>
      </c>
      <c r="D3249" s="16">
        <v>6</v>
      </c>
      <c r="E3249" s="22">
        <v>44521</v>
      </c>
      <c r="F3249" s="19">
        <v>20</v>
      </c>
      <c r="G3249" s="18">
        <v>0.19</v>
      </c>
      <c r="H3249">
        <f>F3249*VLOOKUP(B3249,產品!$A$2:$H$61,7,FALSE)*(1-銷售總表!G3249)</f>
        <v>16200.000000000002</v>
      </c>
      <c r="I3249" s="35">
        <f>H3249-F3249*VLOOKUP(銷售總表!B3249,產品!$A$2:$H$61,8,FALSE)</f>
        <v>8200.0000000000018</v>
      </c>
      <c r="J3249" s="20">
        <f t="shared" si="50"/>
        <v>0.50617283950617287</v>
      </c>
    </row>
    <row r="3250" spans="1:10" x14ac:dyDescent="0.3">
      <c r="A3250" s="33">
        <v>3249</v>
      </c>
      <c r="B3250" s="4">
        <v>37</v>
      </c>
      <c r="C3250" s="15">
        <v>4</v>
      </c>
      <c r="D3250" s="16">
        <v>8</v>
      </c>
      <c r="E3250" s="22">
        <v>44521</v>
      </c>
      <c r="F3250" s="17">
        <v>4</v>
      </c>
      <c r="G3250" s="18">
        <v>0.14000000000000001</v>
      </c>
      <c r="H3250">
        <f>F3250*VLOOKUP(B3250,產品!$A$2:$H$61,7,FALSE)*(1-銷售總表!G3250)</f>
        <v>41280</v>
      </c>
      <c r="I3250" s="35">
        <f>H3250-F3250*VLOOKUP(銷售總表!B3250,產品!$A$2:$H$61,8,FALSE)</f>
        <v>10080</v>
      </c>
      <c r="J3250" s="20">
        <f t="shared" si="50"/>
        <v>0.2441860465116279</v>
      </c>
    </row>
    <row r="3251" spans="1:10" x14ac:dyDescent="0.3">
      <c r="A3251" s="33">
        <v>3250</v>
      </c>
      <c r="B3251" s="4">
        <v>41</v>
      </c>
      <c r="C3251" s="15">
        <v>112</v>
      </c>
      <c r="D3251" s="16">
        <v>6</v>
      </c>
      <c r="E3251" s="22">
        <v>44521</v>
      </c>
      <c r="F3251" s="19">
        <v>7</v>
      </c>
      <c r="G3251" s="18">
        <v>0.19</v>
      </c>
      <c r="H3251">
        <f>F3251*VLOOKUP(B3251,產品!$A$2:$H$61,7,FALSE)*(1-銷售總表!G3251)</f>
        <v>68040</v>
      </c>
      <c r="I3251" s="35">
        <f>H3251-F3251*VLOOKUP(銷售總表!B3251,產品!$A$2:$H$61,8,FALSE)</f>
        <v>13440</v>
      </c>
      <c r="J3251" s="20">
        <f t="shared" si="50"/>
        <v>0.19753086419753085</v>
      </c>
    </row>
    <row r="3252" spans="1:10" x14ac:dyDescent="0.3">
      <c r="A3252" s="33">
        <v>3251</v>
      </c>
      <c r="B3252" s="4">
        <v>55</v>
      </c>
      <c r="C3252" s="15">
        <v>290</v>
      </c>
      <c r="D3252" s="16">
        <v>9</v>
      </c>
      <c r="E3252" s="22">
        <v>44521</v>
      </c>
      <c r="F3252" s="19">
        <v>4</v>
      </c>
      <c r="G3252" s="18">
        <v>7.0000000000000007E-2</v>
      </c>
      <c r="H3252">
        <f>F3252*VLOOKUP(B3252,產品!$A$2:$H$61,7,FALSE)*(1-銷售總表!G3252)</f>
        <v>74400</v>
      </c>
      <c r="I3252" s="35">
        <f>H3252-F3252*VLOOKUP(銷售總表!B3252,產品!$A$2:$H$61,8,FALSE)</f>
        <v>18400</v>
      </c>
      <c r="J3252" s="20">
        <f t="shared" si="50"/>
        <v>0.24731182795698925</v>
      </c>
    </row>
    <row r="3253" spans="1:10" x14ac:dyDescent="0.3">
      <c r="A3253" s="33">
        <v>3252</v>
      </c>
      <c r="B3253" s="4">
        <v>11</v>
      </c>
      <c r="C3253" s="15">
        <v>275</v>
      </c>
      <c r="D3253" s="16">
        <v>9</v>
      </c>
      <c r="E3253" s="22">
        <v>44521</v>
      </c>
      <c r="F3253" s="19">
        <v>100</v>
      </c>
      <c r="G3253" s="18">
        <v>0.19</v>
      </c>
      <c r="H3253">
        <f>F3253*VLOOKUP(B3253,產品!$A$2:$H$61,7,FALSE)*(1-銷售總表!G3253)</f>
        <v>81000</v>
      </c>
      <c r="I3253" s="35">
        <f>H3253-F3253*VLOOKUP(銷售總表!B3253,產品!$A$2:$H$61,8,FALSE)</f>
        <v>41000</v>
      </c>
      <c r="J3253" s="20">
        <f t="shared" si="50"/>
        <v>0.50617283950617287</v>
      </c>
    </row>
    <row r="3254" spans="1:10" x14ac:dyDescent="0.3">
      <c r="A3254" s="33">
        <v>3253</v>
      </c>
      <c r="B3254" s="4">
        <v>9</v>
      </c>
      <c r="C3254" s="15">
        <v>121</v>
      </c>
      <c r="D3254" s="16">
        <v>6</v>
      </c>
      <c r="E3254" s="22">
        <v>44521</v>
      </c>
      <c r="F3254" s="19">
        <v>100</v>
      </c>
      <c r="G3254" s="18">
        <v>0.14000000000000001</v>
      </c>
      <c r="H3254">
        <f>F3254*VLOOKUP(B3254,產品!$A$2:$H$61,7,FALSE)*(1-銷售總表!G3254)</f>
        <v>86000</v>
      </c>
      <c r="I3254" s="35">
        <f>H3254-F3254*VLOOKUP(銷售總表!B3254,產品!$A$2:$H$61,8,FALSE)</f>
        <v>46000</v>
      </c>
      <c r="J3254" s="20">
        <f t="shared" si="50"/>
        <v>0.53488372093023251</v>
      </c>
    </row>
    <row r="3255" spans="1:10" x14ac:dyDescent="0.3">
      <c r="A3255" s="33">
        <v>3254</v>
      </c>
      <c r="B3255" s="4">
        <v>42</v>
      </c>
      <c r="C3255" s="15">
        <v>135</v>
      </c>
      <c r="D3255" s="16">
        <v>5</v>
      </c>
      <c r="E3255" s="22">
        <v>44521</v>
      </c>
      <c r="F3255" s="19">
        <v>18</v>
      </c>
      <c r="G3255" s="18">
        <v>0.1</v>
      </c>
      <c r="H3255">
        <f>F3255*VLOOKUP(B3255,產品!$A$2:$H$61,7,FALSE)*(1-銷售總表!G3255)</f>
        <v>243000</v>
      </c>
      <c r="I3255" s="35">
        <f>H3255-F3255*VLOOKUP(銷售總表!B3255,產品!$A$2:$H$61,8,FALSE)</f>
        <v>67500</v>
      </c>
      <c r="J3255" s="20">
        <f t="shared" si="50"/>
        <v>0.27777777777777779</v>
      </c>
    </row>
    <row r="3256" spans="1:10" x14ac:dyDescent="0.3">
      <c r="A3256" s="33">
        <v>3255</v>
      </c>
      <c r="B3256" s="4">
        <v>53</v>
      </c>
      <c r="C3256" s="15">
        <v>268</v>
      </c>
      <c r="D3256" s="16">
        <v>10</v>
      </c>
      <c r="E3256" s="22">
        <v>44522</v>
      </c>
      <c r="F3256" s="17">
        <v>10</v>
      </c>
      <c r="G3256" s="18">
        <v>0.18</v>
      </c>
      <c r="H3256">
        <f>F3256*VLOOKUP(B3256,產品!$A$2:$H$61,7,FALSE)*(1-銷售總表!G3256)</f>
        <v>123000.00000000001</v>
      </c>
      <c r="I3256" s="35">
        <f>H3256-F3256*VLOOKUP(銷售總表!B3256,產品!$A$2:$H$61,8,FALSE)</f>
        <v>18000.000000000015</v>
      </c>
      <c r="J3256" s="20">
        <f t="shared" si="50"/>
        <v>0.14634146341463425</v>
      </c>
    </row>
    <row r="3257" spans="1:10" x14ac:dyDescent="0.3">
      <c r="A3257" s="33">
        <v>3256</v>
      </c>
      <c r="B3257" s="4">
        <v>55</v>
      </c>
      <c r="C3257" s="15">
        <v>5</v>
      </c>
      <c r="D3257" s="16">
        <v>9</v>
      </c>
      <c r="E3257" s="22">
        <v>44522</v>
      </c>
      <c r="F3257" s="17">
        <v>1</v>
      </c>
      <c r="G3257" s="18">
        <v>0.11</v>
      </c>
      <c r="H3257">
        <f>F3257*VLOOKUP(B3257,產品!$A$2:$H$61,7,FALSE)*(1-銷售總表!G3257)</f>
        <v>17800</v>
      </c>
      <c r="I3257" s="35">
        <f>H3257-F3257*VLOOKUP(銷售總表!B3257,產品!$A$2:$H$61,8,FALSE)</f>
        <v>3800</v>
      </c>
      <c r="J3257" s="20">
        <f t="shared" si="50"/>
        <v>0.21348314606741572</v>
      </c>
    </row>
    <row r="3258" spans="1:10" x14ac:dyDescent="0.3">
      <c r="A3258" s="33">
        <v>3257</v>
      </c>
      <c r="B3258" s="4">
        <v>11</v>
      </c>
      <c r="C3258" s="15">
        <v>123</v>
      </c>
      <c r="D3258" s="16">
        <v>2</v>
      </c>
      <c r="E3258" s="22">
        <v>44522</v>
      </c>
      <c r="F3258" s="19">
        <v>15</v>
      </c>
      <c r="G3258" s="18">
        <v>0.11</v>
      </c>
      <c r="H3258">
        <f>F3258*VLOOKUP(B3258,產品!$A$2:$H$61,7,FALSE)*(1-銷售總表!G3258)</f>
        <v>13350</v>
      </c>
      <c r="I3258" s="35">
        <f>H3258-F3258*VLOOKUP(銷售總表!B3258,產品!$A$2:$H$61,8,FALSE)</f>
        <v>7350</v>
      </c>
      <c r="J3258" s="20">
        <f t="shared" si="50"/>
        <v>0.550561797752809</v>
      </c>
    </row>
    <row r="3259" spans="1:10" x14ac:dyDescent="0.3">
      <c r="A3259" s="33">
        <v>3258</v>
      </c>
      <c r="B3259" s="4">
        <v>24</v>
      </c>
      <c r="C3259" s="15">
        <v>123</v>
      </c>
      <c r="D3259" s="16">
        <v>2</v>
      </c>
      <c r="E3259" s="22">
        <v>44522</v>
      </c>
      <c r="F3259" s="19">
        <v>13</v>
      </c>
      <c r="G3259" s="18">
        <v>0.19</v>
      </c>
      <c r="H3259">
        <f>F3259*VLOOKUP(B3259,產品!$A$2:$H$61,7,FALSE)*(1-銷售總表!G3259)</f>
        <v>18954</v>
      </c>
      <c r="I3259" s="35">
        <f>H3259-F3259*VLOOKUP(銷售總表!B3259,產品!$A$2:$H$61,8,FALSE)</f>
        <v>9594</v>
      </c>
      <c r="J3259" s="20">
        <f t="shared" si="50"/>
        <v>0.50617283950617287</v>
      </c>
    </row>
    <row r="3260" spans="1:10" x14ac:dyDescent="0.3">
      <c r="A3260" s="33">
        <v>3259</v>
      </c>
      <c r="B3260" s="4">
        <v>3</v>
      </c>
      <c r="C3260" s="15">
        <v>277</v>
      </c>
      <c r="D3260" s="16">
        <v>7</v>
      </c>
      <c r="E3260" s="22">
        <v>44522</v>
      </c>
      <c r="F3260" s="19">
        <v>20</v>
      </c>
      <c r="G3260" s="18">
        <v>7.0000000000000007E-2</v>
      </c>
      <c r="H3260">
        <f>F3260*VLOOKUP(B3260,產品!$A$2:$H$61,7,FALSE)*(1-銷售總表!G3260)</f>
        <v>18600</v>
      </c>
      <c r="I3260" s="35">
        <f>H3260-F3260*VLOOKUP(銷售總表!B3260,產品!$A$2:$H$61,8,FALSE)</f>
        <v>10600</v>
      </c>
      <c r="J3260" s="20">
        <f t="shared" si="50"/>
        <v>0.56989247311827962</v>
      </c>
    </row>
    <row r="3261" spans="1:10" x14ac:dyDescent="0.3">
      <c r="A3261" s="33">
        <v>3260</v>
      </c>
      <c r="B3261" s="4">
        <v>34</v>
      </c>
      <c r="C3261" s="15">
        <v>274</v>
      </c>
      <c r="D3261" s="16">
        <v>9</v>
      </c>
      <c r="E3261" s="22">
        <v>44522</v>
      </c>
      <c r="F3261" s="19">
        <v>12</v>
      </c>
      <c r="G3261" s="18">
        <v>0.08</v>
      </c>
      <c r="H3261">
        <f>F3261*VLOOKUP(B3261,產品!$A$2:$H$61,7,FALSE)*(1-銷售總表!G3261)</f>
        <v>88320</v>
      </c>
      <c r="I3261" s="35">
        <f>H3261-F3261*VLOOKUP(銷售總表!B3261,產品!$A$2:$H$61,8,FALSE)</f>
        <v>30720</v>
      </c>
      <c r="J3261" s="20">
        <f t="shared" si="50"/>
        <v>0.34782608695652173</v>
      </c>
    </row>
    <row r="3262" spans="1:10" x14ac:dyDescent="0.3">
      <c r="A3262" s="33">
        <v>3261</v>
      </c>
      <c r="B3262" s="4">
        <v>19</v>
      </c>
      <c r="C3262" s="15">
        <v>116</v>
      </c>
      <c r="D3262" s="16">
        <v>4</v>
      </c>
      <c r="E3262" s="22">
        <v>44522</v>
      </c>
      <c r="F3262" s="19">
        <v>40</v>
      </c>
      <c r="G3262" s="18">
        <v>0.08</v>
      </c>
      <c r="H3262">
        <f>F3262*VLOOKUP(B3262,產品!$A$2:$H$61,7,FALSE)*(1-銷售總表!G3262)</f>
        <v>66240</v>
      </c>
      <c r="I3262" s="35">
        <f>H3262-F3262*VLOOKUP(銷售總表!B3262,產品!$A$2:$H$61,8,FALSE)</f>
        <v>37440</v>
      </c>
      <c r="J3262" s="20">
        <f t="shared" si="50"/>
        <v>0.56521739130434778</v>
      </c>
    </row>
    <row r="3263" spans="1:10" x14ac:dyDescent="0.3">
      <c r="A3263" s="33">
        <v>3262</v>
      </c>
      <c r="B3263" s="4">
        <v>2</v>
      </c>
      <c r="C3263" s="15">
        <v>5</v>
      </c>
      <c r="D3263" s="16">
        <v>7</v>
      </c>
      <c r="E3263" s="22">
        <v>44522</v>
      </c>
      <c r="F3263" s="19">
        <v>90</v>
      </c>
      <c r="G3263" s="18">
        <v>0.06</v>
      </c>
      <c r="H3263">
        <f>F3263*VLOOKUP(B3263,產品!$A$2:$H$61,7,FALSE)*(1-銷售總表!G3263)</f>
        <v>84600</v>
      </c>
      <c r="I3263" s="35">
        <f>H3263-F3263*VLOOKUP(銷售總表!B3263,產品!$A$2:$H$61,8,FALSE)</f>
        <v>48600</v>
      </c>
      <c r="J3263" s="20">
        <f t="shared" si="50"/>
        <v>0.57446808510638303</v>
      </c>
    </row>
    <row r="3264" spans="1:10" x14ac:dyDescent="0.3">
      <c r="A3264" s="33">
        <v>3263</v>
      </c>
      <c r="B3264" s="4">
        <v>45</v>
      </c>
      <c r="C3264" s="15">
        <v>8</v>
      </c>
      <c r="D3264" s="16">
        <v>6</v>
      </c>
      <c r="E3264" s="22">
        <v>44522</v>
      </c>
      <c r="F3264" s="19">
        <v>25</v>
      </c>
      <c r="G3264" s="18">
        <v>0.18</v>
      </c>
      <c r="H3264">
        <f>F3264*VLOOKUP(B3264,產品!$A$2:$H$61,7,FALSE)*(1-銷售總表!G3264)</f>
        <v>287000</v>
      </c>
      <c r="I3264" s="35">
        <f>H3264-F3264*VLOOKUP(銷售總表!B3264,產品!$A$2:$H$61,8,FALSE)</f>
        <v>59500</v>
      </c>
      <c r="J3264" s="20">
        <f t="shared" si="50"/>
        <v>0.2073170731707317</v>
      </c>
    </row>
    <row r="3265" spans="1:10" x14ac:dyDescent="0.3">
      <c r="A3265" s="33">
        <v>3264</v>
      </c>
      <c r="B3265" s="4">
        <v>6</v>
      </c>
      <c r="C3265" s="15">
        <v>269</v>
      </c>
      <c r="D3265" s="16">
        <v>8</v>
      </c>
      <c r="E3265" s="22">
        <v>44522</v>
      </c>
      <c r="F3265" s="19">
        <v>135</v>
      </c>
      <c r="G3265" s="18">
        <v>0.14000000000000001</v>
      </c>
      <c r="H3265">
        <f>F3265*VLOOKUP(B3265,產品!$A$2:$H$61,7,FALSE)*(1-銷售總表!G3265)</f>
        <v>116100</v>
      </c>
      <c r="I3265" s="35">
        <f>H3265-F3265*VLOOKUP(銷售總表!B3265,產品!$A$2:$H$61,8,FALSE)</f>
        <v>62100</v>
      </c>
      <c r="J3265" s="20">
        <f t="shared" si="50"/>
        <v>0.53488372093023251</v>
      </c>
    </row>
    <row r="3266" spans="1:10" x14ac:dyDescent="0.3">
      <c r="A3266" s="33">
        <v>3265</v>
      </c>
      <c r="B3266" s="4">
        <v>39</v>
      </c>
      <c r="C3266" s="15">
        <v>267</v>
      </c>
      <c r="D3266" s="16">
        <v>5</v>
      </c>
      <c r="E3266" s="22">
        <v>44522</v>
      </c>
      <c r="F3266" s="17">
        <v>15</v>
      </c>
      <c r="G3266" s="18">
        <v>7.0000000000000007E-2</v>
      </c>
      <c r="H3266">
        <f>F3266*VLOOKUP(B3266,產品!$A$2:$H$61,7,FALSE)*(1-銷售總表!G3266)</f>
        <v>251099.99999999997</v>
      </c>
      <c r="I3266" s="35">
        <f>H3266-F3266*VLOOKUP(銷售總表!B3266,產品!$A$2:$H$61,8,FALSE)</f>
        <v>75599.999999999971</v>
      </c>
      <c r="J3266" s="20">
        <f t="shared" si="50"/>
        <v>0.3010752688172042</v>
      </c>
    </row>
    <row r="3267" spans="1:10" x14ac:dyDescent="0.3">
      <c r="A3267" s="33">
        <v>3266</v>
      </c>
      <c r="B3267" s="4">
        <v>35</v>
      </c>
      <c r="C3267" s="15">
        <v>2</v>
      </c>
      <c r="D3267" s="16">
        <v>1</v>
      </c>
      <c r="E3267" s="22">
        <v>44523</v>
      </c>
      <c r="F3267" s="19">
        <v>10</v>
      </c>
      <c r="G3267" s="18">
        <v>0.17</v>
      </c>
      <c r="H3267">
        <f>F3267*VLOOKUP(B3267,產品!$A$2:$H$61,7,FALSE)*(1-銷售總表!G3267)</f>
        <v>70550</v>
      </c>
      <c r="I3267" s="35">
        <f>H3267-F3267*VLOOKUP(銷售總表!B3267,產品!$A$2:$H$61,8,FALSE)</f>
        <v>19550</v>
      </c>
      <c r="J3267" s="20">
        <f t="shared" ref="J3267:J3330" si="51">I3267/H3267</f>
        <v>0.27710843373493976</v>
      </c>
    </row>
    <row r="3268" spans="1:10" x14ac:dyDescent="0.3">
      <c r="A3268" s="33">
        <v>3267</v>
      </c>
      <c r="B3268" s="4">
        <v>37</v>
      </c>
      <c r="C3268" s="15">
        <v>121</v>
      </c>
      <c r="D3268" s="16">
        <v>2</v>
      </c>
      <c r="E3268" s="22">
        <v>44523</v>
      </c>
      <c r="F3268" s="17">
        <v>2</v>
      </c>
      <c r="G3268" s="18">
        <v>0.18</v>
      </c>
      <c r="H3268">
        <f>F3268*VLOOKUP(B3268,產品!$A$2:$H$61,7,FALSE)*(1-銷售總表!G3268)</f>
        <v>19680</v>
      </c>
      <c r="I3268" s="35">
        <f>H3268-F3268*VLOOKUP(銷售總表!B3268,產品!$A$2:$H$61,8,FALSE)</f>
        <v>4080</v>
      </c>
      <c r="J3268" s="20">
        <f t="shared" si="51"/>
        <v>0.2073170731707317</v>
      </c>
    </row>
    <row r="3269" spans="1:10" x14ac:dyDescent="0.3">
      <c r="A3269" s="33">
        <v>3268</v>
      </c>
      <c r="B3269" s="4">
        <v>48</v>
      </c>
      <c r="C3269" s="15">
        <v>135</v>
      </c>
      <c r="D3269" s="16">
        <v>4</v>
      </c>
      <c r="E3269" s="22">
        <v>44523</v>
      </c>
      <c r="F3269" s="19">
        <v>2</v>
      </c>
      <c r="G3269" s="18">
        <v>0.18</v>
      </c>
      <c r="H3269">
        <f>F3269*VLOOKUP(B3269,產品!$A$2:$H$61,7,FALSE)*(1-銷售總表!G3269)</f>
        <v>36080</v>
      </c>
      <c r="I3269" s="35">
        <f>H3269-F3269*VLOOKUP(銷售總表!B3269,產品!$A$2:$H$61,8,FALSE)</f>
        <v>7480</v>
      </c>
      <c r="J3269" s="20">
        <f t="shared" si="51"/>
        <v>0.2073170731707317</v>
      </c>
    </row>
    <row r="3270" spans="1:10" x14ac:dyDescent="0.3">
      <c r="A3270" s="33">
        <v>3269</v>
      </c>
      <c r="B3270" s="4">
        <v>3</v>
      </c>
      <c r="C3270" s="15">
        <v>291</v>
      </c>
      <c r="D3270" s="16">
        <v>5</v>
      </c>
      <c r="E3270" s="22">
        <v>44523</v>
      </c>
      <c r="F3270" s="19">
        <v>30</v>
      </c>
      <c r="G3270" s="18">
        <v>0.19</v>
      </c>
      <c r="H3270">
        <f>F3270*VLOOKUP(B3270,產品!$A$2:$H$61,7,FALSE)*(1-銷售總表!G3270)</f>
        <v>24300</v>
      </c>
      <c r="I3270" s="35">
        <f>H3270-F3270*VLOOKUP(銷售總表!B3270,產品!$A$2:$H$61,8,FALSE)</f>
        <v>12300</v>
      </c>
      <c r="J3270" s="20">
        <f t="shared" si="51"/>
        <v>0.50617283950617287</v>
      </c>
    </row>
    <row r="3271" spans="1:10" x14ac:dyDescent="0.3">
      <c r="A3271" s="33">
        <v>3270</v>
      </c>
      <c r="B3271" s="4">
        <v>29</v>
      </c>
      <c r="C3271" s="15">
        <v>258</v>
      </c>
      <c r="D3271" s="16">
        <v>9</v>
      </c>
      <c r="E3271" s="22">
        <v>44523</v>
      </c>
      <c r="F3271" s="19">
        <v>10</v>
      </c>
      <c r="G3271" s="18">
        <v>0.18</v>
      </c>
      <c r="H3271">
        <f>F3271*VLOOKUP(B3271,產品!$A$2:$H$61,7,FALSE)*(1-銷售總表!G3271)</f>
        <v>49200.000000000007</v>
      </c>
      <c r="I3271" s="35">
        <f>H3271-F3271*VLOOKUP(銷售總表!B3271,產品!$A$2:$H$61,8,FALSE)</f>
        <v>13200.000000000007</v>
      </c>
      <c r="J3271" s="20">
        <f t="shared" si="51"/>
        <v>0.2682926829268294</v>
      </c>
    </row>
    <row r="3272" spans="1:10" x14ac:dyDescent="0.3">
      <c r="A3272" s="33">
        <v>3271</v>
      </c>
      <c r="B3272" s="4">
        <v>57</v>
      </c>
      <c r="C3272" s="15">
        <v>264</v>
      </c>
      <c r="D3272" s="16">
        <v>8</v>
      </c>
      <c r="E3272" s="22">
        <v>44523</v>
      </c>
      <c r="F3272" s="19">
        <v>5</v>
      </c>
      <c r="G3272" s="18">
        <v>0.05</v>
      </c>
      <c r="H3272">
        <f>F3272*VLOOKUP(B3272,產品!$A$2:$H$61,7,FALSE)*(1-銷售總表!G3272)</f>
        <v>85500</v>
      </c>
      <c r="I3272" s="35">
        <f>H3272-F3272*VLOOKUP(銷售總表!B3272,產品!$A$2:$H$61,8,FALSE)</f>
        <v>22500</v>
      </c>
      <c r="J3272" s="20">
        <f t="shared" si="51"/>
        <v>0.26315789473684209</v>
      </c>
    </row>
    <row r="3273" spans="1:10" x14ac:dyDescent="0.3">
      <c r="A3273" s="33">
        <v>3272</v>
      </c>
      <c r="B3273" s="4">
        <v>46</v>
      </c>
      <c r="C3273" s="15">
        <v>136</v>
      </c>
      <c r="D3273" s="16">
        <v>5</v>
      </c>
      <c r="E3273" s="22">
        <v>44523</v>
      </c>
      <c r="F3273" s="19">
        <v>7</v>
      </c>
      <c r="G3273" s="18">
        <v>0.14000000000000001</v>
      </c>
      <c r="H3273">
        <f>F3273*VLOOKUP(B3273,產品!$A$2:$H$61,7,FALSE)*(1-銷售總表!G3273)</f>
        <v>102340</v>
      </c>
      <c r="I3273" s="35">
        <f>H3273-F3273*VLOOKUP(銷售總表!B3273,產品!$A$2:$H$61,8,FALSE)</f>
        <v>24990</v>
      </c>
      <c r="J3273" s="20">
        <f t="shared" si="51"/>
        <v>0.2441860465116279</v>
      </c>
    </row>
    <row r="3274" spans="1:10" x14ac:dyDescent="0.3">
      <c r="A3274" s="33">
        <v>3273</v>
      </c>
      <c r="B3274" s="4">
        <v>31</v>
      </c>
      <c r="C3274" s="15">
        <v>7</v>
      </c>
      <c r="D3274" s="16">
        <v>4</v>
      </c>
      <c r="E3274" s="22">
        <v>44523</v>
      </c>
      <c r="F3274" s="19">
        <v>13</v>
      </c>
      <c r="G3274" s="18">
        <v>0.05</v>
      </c>
      <c r="H3274">
        <f>F3274*VLOOKUP(B3274,產品!$A$2:$H$61,7,FALSE)*(1-銷售總表!G3274)</f>
        <v>86450</v>
      </c>
      <c r="I3274" s="35">
        <f>H3274-F3274*VLOOKUP(銷售總表!B3274,產品!$A$2:$H$61,8,FALSE)</f>
        <v>31850</v>
      </c>
      <c r="J3274" s="20">
        <f t="shared" si="51"/>
        <v>0.36842105263157893</v>
      </c>
    </row>
    <row r="3275" spans="1:10" x14ac:dyDescent="0.3">
      <c r="A3275" s="33">
        <v>3274</v>
      </c>
      <c r="B3275" s="4">
        <v>3</v>
      </c>
      <c r="C3275" s="15">
        <v>282</v>
      </c>
      <c r="D3275" s="16">
        <v>8</v>
      </c>
      <c r="E3275" s="22">
        <v>44523</v>
      </c>
      <c r="F3275" s="19">
        <v>70</v>
      </c>
      <c r="G3275" s="18">
        <v>0.06</v>
      </c>
      <c r="H3275">
        <f>F3275*VLOOKUP(B3275,產品!$A$2:$H$61,7,FALSE)*(1-銷售總表!G3275)</f>
        <v>65800</v>
      </c>
      <c r="I3275" s="35">
        <f>H3275-F3275*VLOOKUP(銷售總表!B3275,產品!$A$2:$H$61,8,FALSE)</f>
        <v>37800</v>
      </c>
      <c r="J3275" s="20">
        <f t="shared" si="51"/>
        <v>0.57446808510638303</v>
      </c>
    </row>
    <row r="3276" spans="1:10" x14ac:dyDescent="0.3">
      <c r="A3276" s="33">
        <v>3275</v>
      </c>
      <c r="B3276" s="4">
        <v>21</v>
      </c>
      <c r="C3276" s="15">
        <v>4</v>
      </c>
      <c r="D3276" s="16">
        <v>9</v>
      </c>
      <c r="E3276" s="22">
        <v>44523</v>
      </c>
      <c r="F3276" s="19">
        <v>80</v>
      </c>
      <c r="G3276" s="18">
        <v>7.0000000000000007E-2</v>
      </c>
      <c r="H3276">
        <f>F3276*VLOOKUP(B3276,產品!$A$2:$H$61,7,FALSE)*(1-銷售總表!G3276)</f>
        <v>133920</v>
      </c>
      <c r="I3276" s="35">
        <f>H3276-F3276*VLOOKUP(銷售總表!B3276,產品!$A$2:$H$61,8,FALSE)</f>
        <v>76320</v>
      </c>
      <c r="J3276" s="20">
        <f t="shared" si="51"/>
        <v>0.56989247311827962</v>
      </c>
    </row>
    <row r="3277" spans="1:10" x14ac:dyDescent="0.3">
      <c r="A3277" s="33">
        <v>3276</v>
      </c>
      <c r="B3277" s="4">
        <v>6</v>
      </c>
      <c r="C3277" s="15">
        <v>11</v>
      </c>
      <c r="D3277" s="16">
        <v>7</v>
      </c>
      <c r="E3277" s="22">
        <v>44524</v>
      </c>
      <c r="F3277" s="19">
        <v>75</v>
      </c>
      <c r="G3277" s="18">
        <v>0.1</v>
      </c>
      <c r="H3277">
        <f>F3277*VLOOKUP(B3277,產品!$A$2:$H$61,7,FALSE)*(1-銷售總表!G3277)</f>
        <v>67500</v>
      </c>
      <c r="I3277" s="35">
        <f>H3277-F3277*VLOOKUP(銷售總表!B3277,產品!$A$2:$H$61,8,FALSE)</f>
        <v>37500</v>
      </c>
      <c r="J3277" s="20">
        <f t="shared" si="51"/>
        <v>0.55555555555555558</v>
      </c>
    </row>
    <row r="3278" spans="1:10" x14ac:dyDescent="0.3">
      <c r="A3278" s="33">
        <v>3277</v>
      </c>
      <c r="B3278" s="4">
        <v>39</v>
      </c>
      <c r="C3278" s="15">
        <v>267</v>
      </c>
      <c r="D3278" s="16">
        <v>2</v>
      </c>
      <c r="E3278" s="22">
        <v>44524</v>
      </c>
      <c r="F3278" s="19">
        <v>7</v>
      </c>
      <c r="G3278" s="18">
        <v>0.05</v>
      </c>
      <c r="H3278">
        <f>F3278*VLOOKUP(B3278,產品!$A$2:$H$61,7,FALSE)*(1-銷售總表!G3278)</f>
        <v>119700</v>
      </c>
      <c r="I3278" s="35">
        <f>H3278-F3278*VLOOKUP(銷售總表!B3278,產品!$A$2:$H$61,8,FALSE)</f>
        <v>37800</v>
      </c>
      <c r="J3278" s="20">
        <f t="shared" si="51"/>
        <v>0.31578947368421051</v>
      </c>
    </row>
    <row r="3279" spans="1:10" x14ac:dyDescent="0.3">
      <c r="A3279" s="33">
        <v>3278</v>
      </c>
      <c r="B3279" s="4">
        <v>13</v>
      </c>
      <c r="C3279" s="15">
        <v>283</v>
      </c>
      <c r="D3279" s="16">
        <v>9</v>
      </c>
      <c r="E3279" s="22">
        <v>44524</v>
      </c>
      <c r="F3279" s="19">
        <v>90</v>
      </c>
      <c r="G3279" s="18">
        <v>0.14000000000000001</v>
      </c>
      <c r="H3279">
        <f>F3279*VLOOKUP(B3279,產品!$A$2:$H$61,7,FALSE)*(1-銷售總表!G3279)</f>
        <v>139320</v>
      </c>
      <c r="I3279" s="35">
        <f>H3279-F3279*VLOOKUP(銷售總表!B3279,產品!$A$2:$H$61,8,FALSE)</f>
        <v>74520</v>
      </c>
      <c r="J3279" s="20">
        <f t="shared" si="51"/>
        <v>0.53488372093023251</v>
      </c>
    </row>
    <row r="3280" spans="1:10" x14ac:dyDescent="0.3">
      <c r="A3280" s="33">
        <v>3279</v>
      </c>
      <c r="B3280" s="4">
        <v>21</v>
      </c>
      <c r="C3280" s="15">
        <v>284</v>
      </c>
      <c r="D3280" s="16">
        <v>2</v>
      </c>
      <c r="E3280" s="22">
        <v>44525</v>
      </c>
      <c r="F3280" s="17">
        <v>10</v>
      </c>
      <c r="G3280" s="18">
        <v>0.06</v>
      </c>
      <c r="H3280">
        <f>F3280*VLOOKUP(B3280,產品!$A$2:$H$61,7,FALSE)*(1-銷售總表!G3280)</f>
        <v>16920</v>
      </c>
      <c r="I3280" s="35">
        <f>H3280-F3280*VLOOKUP(銷售總表!B3280,產品!$A$2:$H$61,8,FALSE)</f>
        <v>9720</v>
      </c>
      <c r="J3280" s="20">
        <f t="shared" si="51"/>
        <v>0.57446808510638303</v>
      </c>
    </row>
    <row r="3281" spans="1:10" x14ac:dyDescent="0.3">
      <c r="A3281" s="33">
        <v>3280</v>
      </c>
      <c r="B3281" s="4">
        <v>38</v>
      </c>
      <c r="C3281" s="15">
        <v>289</v>
      </c>
      <c r="D3281" s="16">
        <v>7</v>
      </c>
      <c r="E3281" s="22">
        <v>44525</v>
      </c>
      <c r="F3281" s="17">
        <v>7</v>
      </c>
      <c r="G3281" s="18">
        <v>0.16</v>
      </c>
      <c r="H3281">
        <f>F3281*VLOOKUP(B3281,產品!$A$2:$H$61,7,FALSE)*(1-銷售總表!G3281)</f>
        <v>88200</v>
      </c>
      <c r="I3281" s="35">
        <f>H3281-F3281*VLOOKUP(銷售總表!B3281,產品!$A$2:$H$61,8,FALSE)</f>
        <v>19950</v>
      </c>
      <c r="J3281" s="20">
        <f t="shared" si="51"/>
        <v>0.22619047619047619</v>
      </c>
    </row>
    <row r="3282" spans="1:10" x14ac:dyDescent="0.3">
      <c r="A3282" s="33">
        <v>3281</v>
      </c>
      <c r="B3282" s="4">
        <v>49</v>
      </c>
      <c r="C3282" s="15">
        <v>112</v>
      </c>
      <c r="D3282" s="16">
        <v>2</v>
      </c>
      <c r="E3282" s="22">
        <v>44525</v>
      </c>
      <c r="F3282" s="19">
        <v>12</v>
      </c>
      <c r="G3282" s="18">
        <v>0.15</v>
      </c>
      <c r="H3282">
        <f>F3282*VLOOKUP(B3282,產品!$A$2:$H$61,7,FALSE)*(1-銷售總表!G3282)</f>
        <v>153000</v>
      </c>
      <c r="I3282" s="35">
        <f>H3282-F3282*VLOOKUP(銷售總表!B3282,產品!$A$2:$H$61,8,FALSE)</f>
        <v>27000</v>
      </c>
      <c r="J3282" s="20">
        <f t="shared" si="51"/>
        <v>0.17647058823529413</v>
      </c>
    </row>
    <row r="3283" spans="1:10" x14ac:dyDescent="0.3">
      <c r="A3283" s="33">
        <v>3282</v>
      </c>
      <c r="B3283" s="4">
        <v>40</v>
      </c>
      <c r="C3283" s="15">
        <v>293</v>
      </c>
      <c r="D3283" s="16">
        <v>9</v>
      </c>
      <c r="E3283" s="22">
        <v>44525</v>
      </c>
      <c r="F3283" s="17">
        <v>6</v>
      </c>
      <c r="G3283" s="18">
        <v>0.11</v>
      </c>
      <c r="H3283">
        <f>F3283*VLOOKUP(B3283,產品!$A$2:$H$61,7,FALSE)*(1-銷售總表!G3283)</f>
        <v>106800</v>
      </c>
      <c r="I3283" s="35">
        <f>H3283-F3283*VLOOKUP(銷售總表!B3283,產品!$A$2:$H$61,8,FALSE)</f>
        <v>28800</v>
      </c>
      <c r="J3283" s="20">
        <f t="shared" si="51"/>
        <v>0.2696629213483146</v>
      </c>
    </row>
    <row r="3284" spans="1:10" x14ac:dyDescent="0.3">
      <c r="A3284" s="33">
        <v>3283</v>
      </c>
      <c r="B3284" s="4">
        <v>59</v>
      </c>
      <c r="C3284" s="15">
        <v>7</v>
      </c>
      <c r="D3284" s="16">
        <v>2</v>
      </c>
      <c r="E3284" s="22">
        <v>44525</v>
      </c>
      <c r="F3284" s="19">
        <v>15</v>
      </c>
      <c r="G3284" s="18">
        <v>0.2</v>
      </c>
      <c r="H3284">
        <f>F3284*VLOOKUP(B3284,產品!$A$2:$H$61,7,FALSE)*(1-銷售總表!G3284)</f>
        <v>288000</v>
      </c>
      <c r="I3284" s="35">
        <f>H3284-F3284*VLOOKUP(銷售總表!B3284,產品!$A$2:$H$61,8,FALSE)</f>
        <v>36000</v>
      </c>
      <c r="J3284" s="20">
        <f t="shared" si="51"/>
        <v>0.125</v>
      </c>
    </row>
    <row r="3285" spans="1:10" x14ac:dyDescent="0.3">
      <c r="A3285" s="33">
        <v>3284</v>
      </c>
      <c r="B3285" s="4">
        <v>23</v>
      </c>
      <c r="C3285" s="15">
        <v>134</v>
      </c>
      <c r="D3285" s="16">
        <v>3</v>
      </c>
      <c r="E3285" s="22">
        <v>44526</v>
      </c>
      <c r="F3285" s="17">
        <v>20</v>
      </c>
      <c r="G3285" s="18">
        <v>0.17</v>
      </c>
      <c r="H3285">
        <f>F3285*VLOOKUP(B3285,產品!$A$2:$H$61,7,FALSE)*(1-銷售總表!G3285)</f>
        <v>29880</v>
      </c>
      <c r="I3285" s="35">
        <f>H3285-F3285*VLOOKUP(銷售總表!B3285,產品!$A$2:$H$61,8,FALSE)</f>
        <v>15480</v>
      </c>
      <c r="J3285" s="20">
        <f t="shared" si="51"/>
        <v>0.51807228915662651</v>
      </c>
    </row>
    <row r="3286" spans="1:10" x14ac:dyDescent="0.3">
      <c r="A3286" s="33">
        <v>3285</v>
      </c>
      <c r="B3286" s="4">
        <v>9</v>
      </c>
      <c r="C3286" s="15">
        <v>280</v>
      </c>
      <c r="D3286" s="16">
        <v>7</v>
      </c>
      <c r="E3286" s="22">
        <v>44526</v>
      </c>
      <c r="F3286" s="19">
        <v>40</v>
      </c>
      <c r="G3286" s="18">
        <v>0.18</v>
      </c>
      <c r="H3286">
        <f>F3286*VLOOKUP(B3286,產品!$A$2:$H$61,7,FALSE)*(1-銷售總表!G3286)</f>
        <v>32800</v>
      </c>
      <c r="I3286" s="35">
        <f>H3286-F3286*VLOOKUP(銷售總表!B3286,產品!$A$2:$H$61,8,FALSE)</f>
        <v>16800</v>
      </c>
      <c r="J3286" s="20">
        <f t="shared" si="51"/>
        <v>0.51219512195121952</v>
      </c>
    </row>
    <row r="3287" spans="1:10" x14ac:dyDescent="0.3">
      <c r="A3287" s="33">
        <v>3286</v>
      </c>
      <c r="B3287" s="4">
        <v>42</v>
      </c>
      <c r="C3287" s="15">
        <v>9</v>
      </c>
      <c r="D3287" s="16">
        <v>5</v>
      </c>
      <c r="E3287" s="22">
        <v>44526</v>
      </c>
      <c r="F3287" s="19">
        <v>6</v>
      </c>
      <c r="G3287" s="18">
        <v>7.0000000000000007E-2</v>
      </c>
      <c r="H3287">
        <f>F3287*VLOOKUP(B3287,產品!$A$2:$H$61,7,FALSE)*(1-銷售總表!G3287)</f>
        <v>83700</v>
      </c>
      <c r="I3287" s="35">
        <f>H3287-F3287*VLOOKUP(銷售總表!B3287,產品!$A$2:$H$61,8,FALSE)</f>
        <v>25200</v>
      </c>
      <c r="J3287" s="20">
        <f t="shared" si="51"/>
        <v>0.30107526881720431</v>
      </c>
    </row>
    <row r="3288" spans="1:10" x14ac:dyDescent="0.3">
      <c r="A3288" s="33">
        <v>3287</v>
      </c>
      <c r="B3288" s="4">
        <v>59</v>
      </c>
      <c r="C3288" s="15">
        <v>284</v>
      </c>
      <c r="D3288" s="16">
        <v>8</v>
      </c>
      <c r="E3288" s="22">
        <v>44526</v>
      </c>
      <c r="F3288" s="17">
        <v>8</v>
      </c>
      <c r="G3288" s="18">
        <v>0.14000000000000001</v>
      </c>
      <c r="H3288">
        <f>F3288*VLOOKUP(B3288,產品!$A$2:$H$61,7,FALSE)*(1-銷售總表!G3288)</f>
        <v>165120</v>
      </c>
      <c r="I3288" s="35">
        <f>H3288-F3288*VLOOKUP(銷售總表!B3288,產品!$A$2:$H$61,8,FALSE)</f>
        <v>30720</v>
      </c>
      <c r="J3288" s="20">
        <f t="shared" si="51"/>
        <v>0.18604651162790697</v>
      </c>
    </row>
    <row r="3289" spans="1:10" x14ac:dyDescent="0.3">
      <c r="A3289" s="33">
        <v>3288</v>
      </c>
      <c r="B3289" s="4">
        <v>20</v>
      </c>
      <c r="C3289" s="15">
        <v>267</v>
      </c>
      <c r="D3289" s="16">
        <v>9</v>
      </c>
      <c r="E3289" s="22">
        <v>44526</v>
      </c>
      <c r="F3289" s="19">
        <v>60</v>
      </c>
      <c r="G3289" s="18">
        <v>0.2</v>
      </c>
      <c r="H3289">
        <f>F3289*VLOOKUP(B3289,產品!$A$2:$H$61,7,FALSE)*(1-銷售總表!G3289)</f>
        <v>86400</v>
      </c>
      <c r="I3289" s="35">
        <f>H3289-F3289*VLOOKUP(銷售總表!B3289,產品!$A$2:$H$61,8,FALSE)</f>
        <v>43200</v>
      </c>
      <c r="J3289" s="20">
        <f t="shared" si="51"/>
        <v>0.5</v>
      </c>
    </row>
    <row r="3290" spans="1:10" x14ac:dyDescent="0.3">
      <c r="A3290" s="33">
        <v>3289</v>
      </c>
      <c r="B3290" s="4">
        <v>22</v>
      </c>
      <c r="C3290" s="15">
        <v>262</v>
      </c>
      <c r="D3290" s="16">
        <v>8</v>
      </c>
      <c r="E3290" s="22">
        <v>44526</v>
      </c>
      <c r="F3290" s="19">
        <v>70</v>
      </c>
      <c r="G3290" s="18">
        <v>0.1</v>
      </c>
      <c r="H3290">
        <f>F3290*VLOOKUP(B3290,產品!$A$2:$H$61,7,FALSE)*(1-銷售總表!G3290)</f>
        <v>113400</v>
      </c>
      <c r="I3290" s="35">
        <f>H3290-F3290*VLOOKUP(銷售總表!B3290,產品!$A$2:$H$61,8,FALSE)</f>
        <v>63000</v>
      </c>
      <c r="J3290" s="20">
        <f t="shared" si="51"/>
        <v>0.55555555555555558</v>
      </c>
    </row>
    <row r="3291" spans="1:10" x14ac:dyDescent="0.3">
      <c r="A3291" s="33">
        <v>3290</v>
      </c>
      <c r="B3291" s="4">
        <v>48</v>
      </c>
      <c r="C3291" s="15">
        <v>112</v>
      </c>
      <c r="D3291" s="16">
        <v>7</v>
      </c>
      <c r="E3291" s="22">
        <v>44526</v>
      </c>
      <c r="F3291" s="19">
        <v>13</v>
      </c>
      <c r="G3291" s="18">
        <v>0.08</v>
      </c>
      <c r="H3291">
        <f>F3291*VLOOKUP(B3291,產品!$A$2:$H$61,7,FALSE)*(1-銷售總表!G3291)</f>
        <v>263120</v>
      </c>
      <c r="I3291" s="35">
        <f>H3291-F3291*VLOOKUP(銷售總表!B3291,產品!$A$2:$H$61,8,FALSE)</f>
        <v>77220</v>
      </c>
      <c r="J3291" s="20">
        <f t="shared" si="51"/>
        <v>0.29347826086956524</v>
      </c>
    </row>
    <row r="3292" spans="1:10" x14ac:dyDescent="0.3">
      <c r="A3292" s="33">
        <v>3291</v>
      </c>
      <c r="B3292" s="4">
        <v>42</v>
      </c>
      <c r="C3292" s="15">
        <v>280</v>
      </c>
      <c r="D3292" s="16">
        <v>8</v>
      </c>
      <c r="E3292" s="22">
        <v>44527</v>
      </c>
      <c r="F3292" s="17">
        <v>10</v>
      </c>
      <c r="G3292" s="18">
        <v>0.12</v>
      </c>
      <c r="H3292">
        <f>F3292*VLOOKUP(B3292,產品!$A$2:$H$61,7,FALSE)*(1-銷售總表!G3292)</f>
        <v>132000</v>
      </c>
      <c r="I3292" s="35">
        <f>H3292-F3292*VLOOKUP(銷售總表!B3292,產品!$A$2:$H$61,8,FALSE)</f>
        <v>34500</v>
      </c>
      <c r="J3292" s="20">
        <f t="shared" si="51"/>
        <v>0.26136363636363635</v>
      </c>
    </row>
    <row r="3293" spans="1:10" x14ac:dyDescent="0.3">
      <c r="A3293" s="33">
        <v>3292</v>
      </c>
      <c r="B3293" s="4">
        <v>50</v>
      </c>
      <c r="C3293" s="15">
        <v>294</v>
      </c>
      <c r="D3293" s="16">
        <v>1</v>
      </c>
      <c r="E3293" s="22">
        <v>44527</v>
      </c>
      <c r="F3293" s="17">
        <v>3</v>
      </c>
      <c r="G3293" s="18">
        <v>7.0000000000000007E-2</v>
      </c>
      <c r="H3293">
        <f>F3293*VLOOKUP(B3293,產品!$A$2:$H$61,7,FALSE)*(1-銷售總表!G3293)</f>
        <v>50220</v>
      </c>
      <c r="I3293" s="35">
        <f>H3293-F3293*VLOOKUP(銷售總表!B3293,產品!$A$2:$H$61,8,FALSE)</f>
        <v>12420</v>
      </c>
      <c r="J3293" s="20">
        <f t="shared" si="51"/>
        <v>0.24731182795698925</v>
      </c>
    </row>
    <row r="3294" spans="1:10" x14ac:dyDescent="0.3">
      <c r="A3294" s="33">
        <v>3293</v>
      </c>
      <c r="B3294" s="4">
        <v>8</v>
      </c>
      <c r="C3294" s="15">
        <v>288</v>
      </c>
      <c r="D3294" s="16">
        <v>7</v>
      </c>
      <c r="E3294" s="22">
        <v>44527</v>
      </c>
      <c r="F3294" s="19">
        <v>50</v>
      </c>
      <c r="G3294" s="18">
        <v>0.19</v>
      </c>
      <c r="H3294">
        <f>F3294*VLOOKUP(B3294,產品!$A$2:$H$61,7,FALSE)*(1-銷售總表!G3294)</f>
        <v>40500</v>
      </c>
      <c r="I3294" s="35">
        <f>H3294-F3294*VLOOKUP(銷售總表!B3294,產品!$A$2:$H$61,8,FALSE)</f>
        <v>20500</v>
      </c>
      <c r="J3294" s="20">
        <f t="shared" si="51"/>
        <v>0.50617283950617287</v>
      </c>
    </row>
    <row r="3295" spans="1:10" x14ac:dyDescent="0.3">
      <c r="A3295" s="33">
        <v>3294</v>
      </c>
      <c r="B3295" s="4">
        <v>16</v>
      </c>
      <c r="C3295" s="15">
        <v>263</v>
      </c>
      <c r="D3295" s="16">
        <v>9</v>
      </c>
      <c r="E3295" s="22">
        <v>44527</v>
      </c>
      <c r="F3295" s="17">
        <v>30</v>
      </c>
      <c r="G3295" s="18">
        <v>0.1</v>
      </c>
      <c r="H3295">
        <f>F3295*VLOOKUP(B3295,產品!$A$2:$H$61,7,FALSE)*(1-銷售總表!G3295)</f>
        <v>48600</v>
      </c>
      <c r="I3295" s="35">
        <f>H3295-F3295*VLOOKUP(銷售總表!B3295,產品!$A$2:$H$61,8,FALSE)</f>
        <v>27000</v>
      </c>
      <c r="J3295" s="20">
        <f t="shared" si="51"/>
        <v>0.55555555555555558</v>
      </c>
    </row>
    <row r="3296" spans="1:10" x14ac:dyDescent="0.3">
      <c r="A3296" s="33">
        <v>3295</v>
      </c>
      <c r="B3296" s="4">
        <v>31</v>
      </c>
      <c r="C3296" s="15">
        <v>10</v>
      </c>
      <c r="D3296" s="16">
        <v>9</v>
      </c>
      <c r="E3296" s="22">
        <v>44527</v>
      </c>
      <c r="F3296" s="17">
        <v>20</v>
      </c>
      <c r="G3296" s="18">
        <v>0.19</v>
      </c>
      <c r="H3296">
        <f>F3296*VLOOKUP(B3296,產品!$A$2:$H$61,7,FALSE)*(1-銷售總表!G3296)</f>
        <v>113400.00000000001</v>
      </c>
      <c r="I3296" s="35">
        <f>H3296-F3296*VLOOKUP(銷售總表!B3296,產品!$A$2:$H$61,8,FALSE)</f>
        <v>29400.000000000015</v>
      </c>
      <c r="J3296" s="20">
        <f t="shared" si="51"/>
        <v>0.25925925925925936</v>
      </c>
    </row>
    <row r="3297" spans="1:10" x14ac:dyDescent="0.3">
      <c r="A3297" s="33">
        <v>3296</v>
      </c>
      <c r="B3297" s="4">
        <v>6</v>
      </c>
      <c r="C3297" s="15">
        <v>113</v>
      </c>
      <c r="D3297" s="16">
        <v>6</v>
      </c>
      <c r="E3297" s="22">
        <v>44527</v>
      </c>
      <c r="F3297" s="19">
        <v>80</v>
      </c>
      <c r="G3297" s="18">
        <v>0.06</v>
      </c>
      <c r="H3297">
        <f>F3297*VLOOKUP(B3297,產品!$A$2:$H$61,7,FALSE)*(1-銷售總表!G3297)</f>
        <v>75200</v>
      </c>
      <c r="I3297" s="35">
        <f>H3297-F3297*VLOOKUP(銷售總表!B3297,產品!$A$2:$H$61,8,FALSE)</f>
        <v>43200</v>
      </c>
      <c r="J3297" s="20">
        <f t="shared" si="51"/>
        <v>0.57446808510638303</v>
      </c>
    </row>
    <row r="3298" spans="1:10" x14ac:dyDescent="0.3">
      <c r="A3298" s="33">
        <v>3297</v>
      </c>
      <c r="B3298" s="4">
        <v>18</v>
      </c>
      <c r="C3298" s="15">
        <v>259</v>
      </c>
      <c r="D3298" s="16">
        <v>3</v>
      </c>
      <c r="E3298" s="22">
        <v>44527</v>
      </c>
      <c r="F3298" s="19">
        <v>150</v>
      </c>
      <c r="G3298" s="18">
        <v>0.12</v>
      </c>
      <c r="H3298">
        <f>F3298*VLOOKUP(B3298,產品!$A$2:$H$61,7,FALSE)*(1-銷售總表!G3298)</f>
        <v>237600</v>
      </c>
      <c r="I3298" s="35">
        <f>H3298-F3298*VLOOKUP(銷售總表!B3298,產品!$A$2:$H$61,8,FALSE)</f>
        <v>129600</v>
      </c>
      <c r="J3298" s="20">
        <f t="shared" si="51"/>
        <v>0.54545454545454541</v>
      </c>
    </row>
    <row r="3299" spans="1:10" x14ac:dyDescent="0.3">
      <c r="A3299" s="33">
        <v>3298</v>
      </c>
      <c r="B3299" s="4">
        <v>33</v>
      </c>
      <c r="C3299" s="15">
        <v>284</v>
      </c>
      <c r="D3299" s="16">
        <v>3</v>
      </c>
      <c r="E3299" s="22">
        <v>44528</v>
      </c>
      <c r="F3299" s="17">
        <v>10</v>
      </c>
      <c r="G3299" s="18">
        <v>0.2</v>
      </c>
      <c r="H3299">
        <f>F3299*VLOOKUP(B3299,產品!$A$2:$H$61,7,FALSE)*(1-銷售總表!G3299)</f>
        <v>60000</v>
      </c>
      <c r="I3299" s="35">
        <f>H3299-F3299*VLOOKUP(銷售總表!B3299,產品!$A$2:$H$61,8,FALSE)</f>
        <v>15000</v>
      </c>
      <c r="J3299" s="20">
        <f t="shared" si="51"/>
        <v>0.25</v>
      </c>
    </row>
    <row r="3300" spans="1:10" x14ac:dyDescent="0.3">
      <c r="A3300" s="33">
        <v>3299</v>
      </c>
      <c r="B3300" s="4">
        <v>1</v>
      </c>
      <c r="C3300" s="15">
        <v>5</v>
      </c>
      <c r="D3300" s="16">
        <v>5</v>
      </c>
      <c r="E3300" s="22">
        <v>44528</v>
      </c>
      <c r="F3300" s="19">
        <v>10</v>
      </c>
      <c r="G3300" s="18">
        <v>0.09</v>
      </c>
      <c r="H3300">
        <f>F3300*VLOOKUP(B3300,產品!$A$2:$H$61,7,FALSE)*(1-銷售總表!G3300)</f>
        <v>9100</v>
      </c>
      <c r="I3300" s="35">
        <f>H3300-F3300*VLOOKUP(銷售總表!B3300,產品!$A$2:$H$61,8,FALSE)</f>
        <v>5100</v>
      </c>
      <c r="J3300" s="20">
        <f t="shared" si="51"/>
        <v>0.56043956043956045</v>
      </c>
    </row>
    <row r="3301" spans="1:10" x14ac:dyDescent="0.3">
      <c r="A3301" s="33">
        <v>3300</v>
      </c>
      <c r="B3301" s="4">
        <v>25</v>
      </c>
      <c r="C3301" s="15">
        <v>257</v>
      </c>
      <c r="D3301" s="16">
        <v>5</v>
      </c>
      <c r="E3301" s="22">
        <v>44528</v>
      </c>
      <c r="F3301" s="19">
        <v>4</v>
      </c>
      <c r="G3301" s="18">
        <v>0.14000000000000001</v>
      </c>
      <c r="H3301">
        <f>F3301*VLOOKUP(B3301,產品!$A$2:$H$61,7,FALSE)*(1-銷售總表!G3301)</f>
        <v>20640</v>
      </c>
      <c r="I3301" s="35">
        <f>H3301-F3301*VLOOKUP(銷售總表!B3301,產品!$A$2:$H$61,8,FALSE)</f>
        <v>6240</v>
      </c>
      <c r="J3301" s="20">
        <f t="shared" si="51"/>
        <v>0.30232558139534882</v>
      </c>
    </row>
    <row r="3302" spans="1:10" x14ac:dyDescent="0.3">
      <c r="A3302" s="33">
        <v>3301</v>
      </c>
      <c r="B3302" s="4">
        <v>28</v>
      </c>
      <c r="C3302" s="15">
        <v>1</v>
      </c>
      <c r="D3302" s="16">
        <v>3</v>
      </c>
      <c r="E3302" s="22">
        <v>44528</v>
      </c>
      <c r="F3302" s="19">
        <v>3</v>
      </c>
      <c r="G3302" s="18">
        <v>0.05</v>
      </c>
      <c r="H3302">
        <f>F3302*VLOOKUP(B3302,產品!$A$2:$H$61,7,FALSE)*(1-銷售總表!G3302)</f>
        <v>21375</v>
      </c>
      <c r="I3302" s="35">
        <f>H3302-F3302*VLOOKUP(銷售總表!B3302,產品!$A$2:$H$61,8,FALSE)</f>
        <v>7875</v>
      </c>
      <c r="J3302" s="20">
        <f t="shared" si="51"/>
        <v>0.36842105263157893</v>
      </c>
    </row>
    <row r="3303" spans="1:10" x14ac:dyDescent="0.3">
      <c r="A3303" s="33">
        <v>3302</v>
      </c>
      <c r="B3303" s="4">
        <v>11</v>
      </c>
      <c r="C3303" s="15">
        <v>281</v>
      </c>
      <c r="D3303" s="16">
        <v>3</v>
      </c>
      <c r="E3303" s="22">
        <v>44528</v>
      </c>
      <c r="F3303" s="19">
        <v>20</v>
      </c>
      <c r="G3303" s="18">
        <v>0.18</v>
      </c>
      <c r="H3303">
        <f>F3303*VLOOKUP(B3303,產品!$A$2:$H$61,7,FALSE)*(1-銷售總表!G3303)</f>
        <v>16400</v>
      </c>
      <c r="I3303" s="35">
        <f>H3303-F3303*VLOOKUP(銷售總表!B3303,產品!$A$2:$H$61,8,FALSE)</f>
        <v>8400</v>
      </c>
      <c r="J3303" s="20">
        <f t="shared" si="51"/>
        <v>0.51219512195121952</v>
      </c>
    </row>
    <row r="3304" spans="1:10" x14ac:dyDescent="0.3">
      <c r="A3304" s="33">
        <v>3303</v>
      </c>
      <c r="B3304" s="4">
        <v>38</v>
      </c>
      <c r="C3304" s="15">
        <v>10</v>
      </c>
      <c r="D3304" s="16">
        <v>2</v>
      </c>
      <c r="E3304" s="22">
        <v>44528</v>
      </c>
      <c r="F3304" s="19">
        <v>3</v>
      </c>
      <c r="G3304" s="18">
        <v>0.11</v>
      </c>
      <c r="H3304">
        <f>F3304*VLOOKUP(B3304,產品!$A$2:$H$61,7,FALSE)*(1-銷售總表!G3304)</f>
        <v>40050</v>
      </c>
      <c r="I3304" s="35">
        <f>H3304-F3304*VLOOKUP(銷售總表!B3304,產品!$A$2:$H$61,8,FALSE)</f>
        <v>10800</v>
      </c>
      <c r="J3304" s="20">
        <f t="shared" si="51"/>
        <v>0.2696629213483146</v>
      </c>
    </row>
    <row r="3305" spans="1:10" x14ac:dyDescent="0.3">
      <c r="A3305" s="33">
        <v>3304</v>
      </c>
      <c r="B3305" s="4">
        <v>36</v>
      </c>
      <c r="C3305" s="15">
        <v>3</v>
      </c>
      <c r="D3305" s="16">
        <v>4</v>
      </c>
      <c r="E3305" s="22">
        <v>44528</v>
      </c>
      <c r="F3305" s="19">
        <v>5</v>
      </c>
      <c r="G3305" s="18">
        <v>0.14000000000000001</v>
      </c>
      <c r="H3305">
        <f>F3305*VLOOKUP(B3305,產品!$A$2:$H$61,7,FALSE)*(1-銷售總表!G3305)</f>
        <v>38700</v>
      </c>
      <c r="I3305" s="35">
        <f>H3305-F3305*VLOOKUP(銷售總表!B3305,產品!$A$2:$H$61,8,FALSE)</f>
        <v>11700</v>
      </c>
      <c r="J3305" s="20">
        <f t="shared" si="51"/>
        <v>0.30232558139534882</v>
      </c>
    </row>
    <row r="3306" spans="1:10" x14ac:dyDescent="0.3">
      <c r="A3306" s="33">
        <v>3305</v>
      </c>
      <c r="B3306" s="4">
        <v>3</v>
      </c>
      <c r="C3306" s="15">
        <v>270</v>
      </c>
      <c r="D3306" s="16">
        <v>1</v>
      </c>
      <c r="E3306" s="22">
        <v>44528</v>
      </c>
      <c r="F3306" s="17">
        <v>30</v>
      </c>
      <c r="G3306" s="18">
        <v>0.16</v>
      </c>
      <c r="H3306">
        <f>F3306*VLOOKUP(B3306,產品!$A$2:$H$61,7,FALSE)*(1-銷售總表!G3306)</f>
        <v>25200</v>
      </c>
      <c r="I3306" s="35">
        <f>H3306-F3306*VLOOKUP(銷售總表!B3306,產品!$A$2:$H$61,8,FALSE)</f>
        <v>13200</v>
      </c>
      <c r="J3306" s="20">
        <f t="shared" si="51"/>
        <v>0.52380952380952384</v>
      </c>
    </row>
    <row r="3307" spans="1:10" x14ac:dyDescent="0.3">
      <c r="A3307" s="33">
        <v>3306</v>
      </c>
      <c r="B3307" s="4">
        <v>40</v>
      </c>
      <c r="C3307" s="15">
        <v>119</v>
      </c>
      <c r="D3307" s="16">
        <v>9</v>
      </c>
      <c r="E3307" s="22">
        <v>44528</v>
      </c>
      <c r="F3307" s="17">
        <v>9</v>
      </c>
      <c r="G3307" s="18">
        <v>0.15</v>
      </c>
      <c r="H3307">
        <f>F3307*VLOOKUP(B3307,產品!$A$2:$H$61,7,FALSE)*(1-銷售總表!G3307)</f>
        <v>153000</v>
      </c>
      <c r="I3307" s="35">
        <f>H3307-F3307*VLOOKUP(銷售總表!B3307,產品!$A$2:$H$61,8,FALSE)</f>
        <v>36000</v>
      </c>
      <c r="J3307" s="20">
        <f t="shared" si="51"/>
        <v>0.23529411764705882</v>
      </c>
    </row>
    <row r="3308" spans="1:10" x14ac:dyDescent="0.3">
      <c r="A3308" s="33">
        <v>3307</v>
      </c>
      <c r="B3308" s="4">
        <v>19</v>
      </c>
      <c r="C3308" s="15">
        <v>11</v>
      </c>
      <c r="D3308" s="16">
        <v>7</v>
      </c>
      <c r="E3308" s="22">
        <v>44528</v>
      </c>
      <c r="F3308" s="19">
        <v>40</v>
      </c>
      <c r="G3308" s="18">
        <v>0.08</v>
      </c>
      <c r="H3308">
        <f>F3308*VLOOKUP(B3308,產品!$A$2:$H$61,7,FALSE)*(1-銷售總表!G3308)</f>
        <v>66240</v>
      </c>
      <c r="I3308" s="35">
        <f>H3308-F3308*VLOOKUP(銷售總表!B3308,產品!$A$2:$H$61,8,FALSE)</f>
        <v>37440</v>
      </c>
      <c r="J3308" s="20">
        <f t="shared" si="51"/>
        <v>0.56521739130434778</v>
      </c>
    </row>
    <row r="3309" spans="1:10" x14ac:dyDescent="0.3">
      <c r="A3309" s="33">
        <v>3308</v>
      </c>
      <c r="B3309" s="4">
        <v>55</v>
      </c>
      <c r="C3309" s="15">
        <v>276</v>
      </c>
      <c r="D3309" s="16">
        <v>6</v>
      </c>
      <c r="E3309" s="22">
        <v>44528</v>
      </c>
      <c r="F3309" s="17">
        <v>9</v>
      </c>
      <c r="G3309" s="18">
        <v>7.0000000000000007E-2</v>
      </c>
      <c r="H3309">
        <f>F3309*VLOOKUP(B3309,產品!$A$2:$H$61,7,FALSE)*(1-銷售總表!G3309)</f>
        <v>167400</v>
      </c>
      <c r="I3309" s="35">
        <f>H3309-F3309*VLOOKUP(銷售總表!B3309,產品!$A$2:$H$61,8,FALSE)</f>
        <v>41400</v>
      </c>
      <c r="J3309" s="20">
        <f t="shared" si="51"/>
        <v>0.24731182795698925</v>
      </c>
    </row>
    <row r="3310" spans="1:10" x14ac:dyDescent="0.3">
      <c r="A3310" s="33">
        <v>3309</v>
      </c>
      <c r="B3310" s="4">
        <v>15</v>
      </c>
      <c r="C3310" s="15">
        <v>273</v>
      </c>
      <c r="D3310" s="16">
        <v>6</v>
      </c>
      <c r="E3310" s="22">
        <v>44528</v>
      </c>
      <c r="F3310" s="19">
        <v>100</v>
      </c>
      <c r="G3310" s="18">
        <v>0.11</v>
      </c>
      <c r="H3310">
        <f>F3310*VLOOKUP(B3310,產品!$A$2:$H$61,7,FALSE)*(1-銷售總表!G3310)</f>
        <v>160200</v>
      </c>
      <c r="I3310" s="35">
        <f>H3310-F3310*VLOOKUP(銷售總表!B3310,產品!$A$2:$H$61,8,FALSE)</f>
        <v>88200</v>
      </c>
      <c r="J3310" s="20">
        <f t="shared" si="51"/>
        <v>0.550561797752809</v>
      </c>
    </row>
    <row r="3311" spans="1:10" x14ac:dyDescent="0.3">
      <c r="A3311" s="33">
        <v>3310</v>
      </c>
      <c r="B3311" s="4">
        <v>8</v>
      </c>
      <c r="C3311" s="15">
        <v>112</v>
      </c>
      <c r="D3311" s="16">
        <v>6</v>
      </c>
      <c r="E3311" s="22">
        <v>44528</v>
      </c>
      <c r="F3311" s="19">
        <v>250</v>
      </c>
      <c r="G3311" s="18">
        <v>0.08</v>
      </c>
      <c r="H3311">
        <f>F3311*VLOOKUP(B3311,產品!$A$2:$H$61,7,FALSE)*(1-銷售總表!G3311)</f>
        <v>230000</v>
      </c>
      <c r="I3311" s="35">
        <f>H3311-F3311*VLOOKUP(銷售總表!B3311,產品!$A$2:$H$61,8,FALSE)</f>
        <v>130000</v>
      </c>
      <c r="J3311" s="20">
        <f t="shared" si="51"/>
        <v>0.56521739130434778</v>
      </c>
    </row>
    <row r="3312" spans="1:10" x14ac:dyDescent="0.3">
      <c r="A3312" s="33">
        <v>3311</v>
      </c>
      <c r="B3312" s="4">
        <v>20</v>
      </c>
      <c r="C3312" s="15">
        <v>4</v>
      </c>
      <c r="D3312" s="16">
        <v>8</v>
      </c>
      <c r="E3312" s="22">
        <v>44529</v>
      </c>
      <c r="F3312" s="19">
        <v>30</v>
      </c>
      <c r="G3312" s="18">
        <v>0.18</v>
      </c>
      <c r="H3312">
        <f>F3312*VLOOKUP(B3312,產品!$A$2:$H$61,7,FALSE)*(1-銷售總表!G3312)</f>
        <v>44280</v>
      </c>
      <c r="I3312" s="35">
        <f>H3312-F3312*VLOOKUP(銷售總表!B3312,產品!$A$2:$H$61,8,FALSE)</f>
        <v>22680</v>
      </c>
      <c r="J3312" s="20">
        <f t="shared" si="51"/>
        <v>0.51219512195121952</v>
      </c>
    </row>
    <row r="3313" spans="1:10" x14ac:dyDescent="0.3">
      <c r="A3313" s="33">
        <v>3312</v>
      </c>
      <c r="B3313" s="4">
        <v>10</v>
      </c>
      <c r="C3313" s="15">
        <v>264</v>
      </c>
      <c r="D3313" s="16">
        <v>10</v>
      </c>
      <c r="E3313" s="22">
        <v>44529</v>
      </c>
      <c r="F3313" s="19">
        <v>70</v>
      </c>
      <c r="G3313" s="18">
        <v>0.05</v>
      </c>
      <c r="H3313">
        <f>F3313*VLOOKUP(B3313,產品!$A$2:$H$61,7,FALSE)*(1-銷售總表!G3313)</f>
        <v>66500</v>
      </c>
      <c r="I3313" s="35">
        <f>H3313-F3313*VLOOKUP(銷售總表!B3313,產品!$A$2:$H$61,8,FALSE)</f>
        <v>38500</v>
      </c>
      <c r="J3313" s="20">
        <f t="shared" si="51"/>
        <v>0.57894736842105265</v>
      </c>
    </row>
    <row r="3314" spans="1:10" x14ac:dyDescent="0.3">
      <c r="A3314" s="33">
        <v>3313</v>
      </c>
      <c r="B3314" s="4">
        <v>8</v>
      </c>
      <c r="C3314" s="15">
        <v>272</v>
      </c>
      <c r="D3314" s="16">
        <v>6</v>
      </c>
      <c r="E3314" s="22">
        <v>44529</v>
      </c>
      <c r="F3314" s="19">
        <v>175</v>
      </c>
      <c r="G3314" s="18">
        <v>0.14000000000000001</v>
      </c>
      <c r="H3314">
        <f>F3314*VLOOKUP(B3314,產品!$A$2:$H$61,7,FALSE)*(1-銷售總表!G3314)</f>
        <v>150500</v>
      </c>
      <c r="I3314" s="35">
        <f>H3314-F3314*VLOOKUP(銷售總表!B3314,產品!$A$2:$H$61,8,FALSE)</f>
        <v>80500</v>
      </c>
      <c r="J3314" s="20">
        <f t="shared" si="51"/>
        <v>0.53488372093023251</v>
      </c>
    </row>
    <row r="3315" spans="1:10" x14ac:dyDescent="0.3">
      <c r="A3315" s="33">
        <v>3314</v>
      </c>
      <c r="B3315" s="4">
        <v>13</v>
      </c>
      <c r="C3315" s="15">
        <v>10</v>
      </c>
      <c r="D3315" s="16">
        <v>1</v>
      </c>
      <c r="E3315" s="22">
        <v>44529</v>
      </c>
      <c r="F3315" s="19">
        <v>125</v>
      </c>
      <c r="G3315" s="18">
        <v>0.17</v>
      </c>
      <c r="H3315">
        <f>F3315*VLOOKUP(B3315,產品!$A$2:$H$61,7,FALSE)*(1-銷售總表!G3315)</f>
        <v>186750</v>
      </c>
      <c r="I3315" s="35">
        <f>H3315-F3315*VLOOKUP(銷售總表!B3315,產品!$A$2:$H$61,8,FALSE)</f>
        <v>96750</v>
      </c>
      <c r="J3315" s="20">
        <f t="shared" si="51"/>
        <v>0.51807228915662651</v>
      </c>
    </row>
    <row r="3316" spans="1:10" x14ac:dyDescent="0.3">
      <c r="A3316" s="33">
        <v>3315</v>
      </c>
      <c r="B3316" s="4">
        <v>51</v>
      </c>
      <c r="C3316" s="15">
        <v>292</v>
      </c>
      <c r="D3316" s="16">
        <v>4</v>
      </c>
      <c r="E3316" s="22">
        <v>44530</v>
      </c>
      <c r="F3316" s="17">
        <v>10</v>
      </c>
      <c r="G3316" s="18">
        <v>0.12</v>
      </c>
      <c r="H3316">
        <f>F3316*VLOOKUP(B3316,產品!$A$2:$H$61,7,FALSE)*(1-銷售總表!G3316)</f>
        <v>176000</v>
      </c>
      <c r="I3316" s="35">
        <f>H3316-F3316*VLOOKUP(銷售總表!B3316,產品!$A$2:$H$61,8,FALSE)</f>
        <v>36000</v>
      </c>
      <c r="J3316" s="20">
        <f t="shared" si="51"/>
        <v>0.20454545454545456</v>
      </c>
    </row>
    <row r="3317" spans="1:10" x14ac:dyDescent="0.3">
      <c r="A3317" s="33">
        <v>3316</v>
      </c>
      <c r="B3317" s="4">
        <v>8</v>
      </c>
      <c r="C3317" s="15">
        <v>270</v>
      </c>
      <c r="D3317" s="16">
        <v>3</v>
      </c>
      <c r="E3317" s="22">
        <v>44530</v>
      </c>
      <c r="F3317" s="17">
        <v>20</v>
      </c>
      <c r="G3317" s="18">
        <v>0.14000000000000001</v>
      </c>
      <c r="H3317">
        <f>F3317*VLOOKUP(B3317,產品!$A$2:$H$61,7,FALSE)*(1-銷售總表!G3317)</f>
        <v>17200</v>
      </c>
      <c r="I3317" s="35">
        <f>H3317-F3317*VLOOKUP(銷售總表!B3317,產品!$A$2:$H$61,8,FALSE)</f>
        <v>9200</v>
      </c>
      <c r="J3317" s="20">
        <f t="shared" si="51"/>
        <v>0.53488372093023251</v>
      </c>
    </row>
    <row r="3318" spans="1:10" x14ac:dyDescent="0.3">
      <c r="A3318" s="33">
        <v>3317</v>
      </c>
      <c r="B3318" s="4">
        <v>53</v>
      </c>
      <c r="C3318" s="15">
        <v>260</v>
      </c>
      <c r="D3318" s="16">
        <v>10</v>
      </c>
      <c r="E3318" s="22">
        <v>44530</v>
      </c>
      <c r="F3318" s="19">
        <v>7</v>
      </c>
      <c r="G3318" s="18">
        <v>0.14000000000000001</v>
      </c>
      <c r="H3318">
        <f>F3318*VLOOKUP(B3318,產品!$A$2:$H$61,7,FALSE)*(1-銷售總表!G3318)</f>
        <v>90300</v>
      </c>
      <c r="I3318" s="35">
        <f>H3318-F3318*VLOOKUP(銷售總表!B3318,產品!$A$2:$H$61,8,FALSE)</f>
        <v>16800</v>
      </c>
      <c r="J3318" s="20">
        <f t="shared" si="51"/>
        <v>0.18604651162790697</v>
      </c>
    </row>
    <row r="3319" spans="1:10" x14ac:dyDescent="0.3">
      <c r="A3319" s="33">
        <v>3318</v>
      </c>
      <c r="B3319" s="4">
        <v>47</v>
      </c>
      <c r="C3319" s="15">
        <v>277</v>
      </c>
      <c r="D3319" s="16">
        <v>7</v>
      </c>
      <c r="E3319" s="22">
        <v>44530</v>
      </c>
      <c r="F3319" s="19">
        <v>5</v>
      </c>
      <c r="G3319" s="18">
        <v>7.0000000000000007E-2</v>
      </c>
      <c r="H3319">
        <f>F3319*VLOOKUP(B3319,產品!$A$2:$H$61,7,FALSE)*(1-銷售總表!G3319)</f>
        <v>93000</v>
      </c>
      <c r="I3319" s="35">
        <f>H3319-F3319*VLOOKUP(銷售總表!B3319,產品!$A$2:$H$61,8,FALSE)</f>
        <v>28000</v>
      </c>
      <c r="J3319" s="20">
        <f t="shared" si="51"/>
        <v>0.30107526881720431</v>
      </c>
    </row>
    <row r="3320" spans="1:10" x14ac:dyDescent="0.3">
      <c r="A3320" s="33">
        <v>3319</v>
      </c>
      <c r="B3320" s="4">
        <v>5</v>
      </c>
      <c r="C3320" s="15">
        <v>4</v>
      </c>
      <c r="D3320" s="16">
        <v>9</v>
      </c>
      <c r="E3320" s="22">
        <v>44530</v>
      </c>
      <c r="F3320" s="17">
        <v>70</v>
      </c>
      <c r="G3320" s="18">
        <v>0.06</v>
      </c>
      <c r="H3320">
        <f>F3320*VLOOKUP(B3320,產品!$A$2:$H$61,7,FALSE)*(1-銷售總表!G3320)</f>
        <v>65800</v>
      </c>
      <c r="I3320" s="35">
        <f>H3320-F3320*VLOOKUP(銷售總表!B3320,產品!$A$2:$H$61,8,FALSE)</f>
        <v>37800</v>
      </c>
      <c r="J3320" s="20">
        <f t="shared" si="51"/>
        <v>0.57446808510638303</v>
      </c>
    </row>
    <row r="3321" spans="1:10" x14ac:dyDescent="0.3">
      <c r="A3321" s="33">
        <v>3320</v>
      </c>
      <c r="B3321" s="4">
        <v>15</v>
      </c>
      <c r="C3321" s="15">
        <v>259</v>
      </c>
      <c r="D3321" s="16">
        <v>5</v>
      </c>
      <c r="E3321" s="22">
        <v>44530</v>
      </c>
      <c r="F3321" s="19">
        <v>40</v>
      </c>
      <c r="G3321" s="18">
        <v>7.0000000000000007E-2</v>
      </c>
      <c r="H3321">
        <f>F3321*VLOOKUP(B3321,產品!$A$2:$H$61,7,FALSE)*(1-銷售總表!G3321)</f>
        <v>66960</v>
      </c>
      <c r="I3321" s="35">
        <f>H3321-F3321*VLOOKUP(銷售總表!B3321,產品!$A$2:$H$61,8,FALSE)</f>
        <v>38160</v>
      </c>
      <c r="J3321" s="20">
        <f t="shared" si="51"/>
        <v>0.56989247311827962</v>
      </c>
    </row>
    <row r="3322" spans="1:10" x14ac:dyDescent="0.3">
      <c r="A3322" s="33">
        <v>3321</v>
      </c>
      <c r="B3322" s="4">
        <v>58</v>
      </c>
      <c r="C3322" s="15">
        <v>293</v>
      </c>
      <c r="D3322" s="16">
        <v>8</v>
      </c>
      <c r="E3322" s="22">
        <v>44531</v>
      </c>
      <c r="F3322" s="19">
        <v>1</v>
      </c>
      <c r="G3322" s="18">
        <v>0.1</v>
      </c>
      <c r="H3322">
        <f>F3322*VLOOKUP(B3322,產品!$A$2:$H$61,7,FALSE)*(1-銷售總表!G3322)</f>
        <v>18900</v>
      </c>
      <c r="I3322" s="35">
        <f>H3322-F3322*VLOOKUP(銷售總表!B3322,產品!$A$2:$H$61,8,FALSE)</f>
        <v>4200.0000000000018</v>
      </c>
      <c r="J3322" s="20">
        <f t="shared" si="51"/>
        <v>0.22222222222222232</v>
      </c>
    </row>
    <row r="3323" spans="1:10" x14ac:dyDescent="0.3">
      <c r="A3323" s="33">
        <v>3322</v>
      </c>
      <c r="B3323" s="4">
        <v>52</v>
      </c>
      <c r="C3323" s="15">
        <v>7</v>
      </c>
      <c r="D3323" s="16">
        <v>8</v>
      </c>
      <c r="E3323" s="22">
        <v>44531</v>
      </c>
      <c r="F3323" s="17">
        <v>5</v>
      </c>
      <c r="G3323" s="18">
        <v>0.15</v>
      </c>
      <c r="H3323">
        <f>F3323*VLOOKUP(B3323,產品!$A$2:$H$61,7,FALSE)*(1-銷售總表!G3323)</f>
        <v>93500</v>
      </c>
      <c r="I3323" s="35">
        <f>H3323-F3323*VLOOKUP(銷售總表!B3323,產品!$A$2:$H$61,8,FALSE)</f>
        <v>16500.000000000015</v>
      </c>
      <c r="J3323" s="20">
        <f t="shared" si="51"/>
        <v>0.17647058823529427</v>
      </c>
    </row>
    <row r="3324" spans="1:10" x14ac:dyDescent="0.3">
      <c r="A3324" s="33">
        <v>3323</v>
      </c>
      <c r="B3324" s="4">
        <v>41</v>
      </c>
      <c r="C3324" s="15">
        <v>281</v>
      </c>
      <c r="D3324" s="16">
        <v>8</v>
      </c>
      <c r="E3324" s="22">
        <v>44531</v>
      </c>
      <c r="F3324" s="19">
        <v>6</v>
      </c>
      <c r="G3324" s="18">
        <v>0.05</v>
      </c>
      <c r="H3324">
        <f>F3324*VLOOKUP(B3324,產品!$A$2:$H$61,7,FALSE)*(1-銷售總表!G3324)</f>
        <v>68400</v>
      </c>
      <c r="I3324" s="35">
        <f>H3324-F3324*VLOOKUP(銷售總表!B3324,產品!$A$2:$H$61,8,FALSE)</f>
        <v>21600</v>
      </c>
      <c r="J3324" s="20">
        <f t="shared" si="51"/>
        <v>0.31578947368421051</v>
      </c>
    </row>
    <row r="3325" spans="1:10" x14ac:dyDescent="0.3">
      <c r="A3325" s="33">
        <v>3324</v>
      </c>
      <c r="B3325" s="4">
        <v>38</v>
      </c>
      <c r="C3325" s="15">
        <v>115</v>
      </c>
      <c r="D3325" s="16">
        <v>3</v>
      </c>
      <c r="E3325" s="22">
        <v>44531</v>
      </c>
      <c r="F3325" s="19">
        <v>7</v>
      </c>
      <c r="G3325" s="18">
        <v>0.12</v>
      </c>
      <c r="H3325">
        <f>F3325*VLOOKUP(B3325,產品!$A$2:$H$61,7,FALSE)*(1-銷售總表!G3325)</f>
        <v>92400</v>
      </c>
      <c r="I3325" s="35">
        <f>H3325-F3325*VLOOKUP(銷售總表!B3325,產品!$A$2:$H$61,8,FALSE)</f>
        <v>24150</v>
      </c>
      <c r="J3325" s="20">
        <f t="shared" si="51"/>
        <v>0.26136363636363635</v>
      </c>
    </row>
    <row r="3326" spans="1:10" x14ac:dyDescent="0.3">
      <c r="A3326" s="33">
        <v>3325</v>
      </c>
      <c r="B3326" s="4">
        <v>44</v>
      </c>
      <c r="C3326" s="15">
        <v>257</v>
      </c>
      <c r="D3326" s="16">
        <v>9</v>
      </c>
      <c r="E3326" s="22">
        <v>44531</v>
      </c>
      <c r="F3326" s="19">
        <v>6</v>
      </c>
      <c r="G3326" s="18">
        <v>0.11</v>
      </c>
      <c r="H3326">
        <f>F3326*VLOOKUP(B3326,產品!$A$2:$H$61,7,FALSE)*(1-銷售總表!G3326)</f>
        <v>106800</v>
      </c>
      <c r="I3326" s="35">
        <f>H3326-F3326*VLOOKUP(銷售總表!B3326,產品!$A$2:$H$61,8,FALSE)</f>
        <v>28800</v>
      </c>
      <c r="J3326" s="20">
        <f t="shared" si="51"/>
        <v>0.2696629213483146</v>
      </c>
    </row>
    <row r="3327" spans="1:10" x14ac:dyDescent="0.3">
      <c r="A3327" s="33">
        <v>3326</v>
      </c>
      <c r="B3327" s="4">
        <v>34</v>
      </c>
      <c r="C3327" s="15">
        <v>138</v>
      </c>
      <c r="D3327" s="16">
        <v>1</v>
      </c>
      <c r="E3327" s="22">
        <v>44532</v>
      </c>
      <c r="F3327" s="17">
        <v>7</v>
      </c>
      <c r="G3327" s="18">
        <v>0.19</v>
      </c>
      <c r="H3327">
        <f>F3327*VLOOKUP(B3327,產品!$A$2:$H$61,7,FALSE)*(1-銷售總表!G3327)</f>
        <v>45360</v>
      </c>
      <c r="I3327" s="35">
        <f>H3327-F3327*VLOOKUP(銷售總表!B3327,產品!$A$2:$H$61,8,FALSE)</f>
        <v>11760</v>
      </c>
      <c r="J3327" s="20">
        <f t="shared" si="51"/>
        <v>0.25925925925925924</v>
      </c>
    </row>
    <row r="3328" spans="1:10" x14ac:dyDescent="0.3">
      <c r="A3328" s="33">
        <v>3327</v>
      </c>
      <c r="B3328" s="4">
        <v>48</v>
      </c>
      <c r="C3328" s="15">
        <v>8</v>
      </c>
      <c r="D3328" s="16">
        <v>2</v>
      </c>
      <c r="E3328" s="22">
        <v>44532</v>
      </c>
      <c r="F3328" s="19">
        <v>3</v>
      </c>
      <c r="G3328" s="18">
        <v>0.17</v>
      </c>
      <c r="H3328">
        <f>F3328*VLOOKUP(B3328,產品!$A$2:$H$61,7,FALSE)*(1-銷售總表!G3328)</f>
        <v>54780</v>
      </c>
      <c r="I3328" s="35">
        <f>H3328-F3328*VLOOKUP(銷售總表!B3328,產品!$A$2:$H$61,8,FALSE)</f>
        <v>11880</v>
      </c>
      <c r="J3328" s="20">
        <f t="shared" si="51"/>
        <v>0.21686746987951808</v>
      </c>
    </row>
    <row r="3329" spans="1:10" x14ac:dyDescent="0.3">
      <c r="A3329" s="33">
        <v>3328</v>
      </c>
      <c r="B3329" s="4">
        <v>44</v>
      </c>
      <c r="C3329" s="15">
        <v>257</v>
      </c>
      <c r="D3329" s="16">
        <v>9</v>
      </c>
      <c r="E3329" s="22">
        <v>44532</v>
      </c>
      <c r="F3329" s="19">
        <v>4</v>
      </c>
      <c r="G3329" s="18">
        <v>0.19</v>
      </c>
      <c r="H3329">
        <f>F3329*VLOOKUP(B3329,產品!$A$2:$H$61,7,FALSE)*(1-銷售總表!G3329)</f>
        <v>64800.000000000007</v>
      </c>
      <c r="I3329" s="35">
        <f>H3329-F3329*VLOOKUP(銷售總表!B3329,產品!$A$2:$H$61,8,FALSE)</f>
        <v>12800.000000000007</v>
      </c>
      <c r="J3329" s="20">
        <f t="shared" si="51"/>
        <v>0.19753086419753096</v>
      </c>
    </row>
    <row r="3330" spans="1:10" x14ac:dyDescent="0.3">
      <c r="A3330" s="33">
        <v>3329</v>
      </c>
      <c r="B3330" s="4">
        <v>44</v>
      </c>
      <c r="C3330" s="15">
        <v>6</v>
      </c>
      <c r="D3330" s="16">
        <v>10</v>
      </c>
      <c r="E3330" s="22">
        <v>44532</v>
      </c>
      <c r="F3330" s="19">
        <v>5</v>
      </c>
      <c r="G3330" s="18">
        <v>0.19</v>
      </c>
      <c r="H3330">
        <f>F3330*VLOOKUP(B3330,產品!$A$2:$H$61,7,FALSE)*(1-銷售總表!G3330)</f>
        <v>81000</v>
      </c>
      <c r="I3330" s="35">
        <f>H3330-F3330*VLOOKUP(銷售總表!B3330,產品!$A$2:$H$61,8,FALSE)</f>
        <v>16000</v>
      </c>
      <c r="J3330" s="20">
        <f t="shared" si="51"/>
        <v>0.19753086419753085</v>
      </c>
    </row>
    <row r="3331" spans="1:10" x14ac:dyDescent="0.3">
      <c r="A3331" s="33">
        <v>3330</v>
      </c>
      <c r="B3331" s="4">
        <v>50</v>
      </c>
      <c r="C3331" s="15">
        <v>4</v>
      </c>
      <c r="D3331" s="16">
        <v>10</v>
      </c>
      <c r="E3331" s="22">
        <v>44532</v>
      </c>
      <c r="F3331" s="17">
        <v>10</v>
      </c>
      <c r="G3331" s="18">
        <v>0.15</v>
      </c>
      <c r="H3331">
        <f>F3331*VLOOKUP(B3331,產品!$A$2:$H$61,7,FALSE)*(1-銷售總表!G3331)</f>
        <v>153000</v>
      </c>
      <c r="I3331" s="35">
        <f>H3331-F3331*VLOOKUP(銷售總表!B3331,產品!$A$2:$H$61,8,FALSE)</f>
        <v>27000</v>
      </c>
      <c r="J3331" s="20">
        <f t="shared" ref="J3331:J3394" si="52">I3331/H3331</f>
        <v>0.17647058823529413</v>
      </c>
    </row>
    <row r="3332" spans="1:10" x14ac:dyDescent="0.3">
      <c r="A3332" s="33">
        <v>3331</v>
      </c>
      <c r="B3332" s="4">
        <v>21</v>
      </c>
      <c r="C3332" s="15">
        <v>7</v>
      </c>
      <c r="D3332" s="16">
        <v>7</v>
      </c>
      <c r="E3332" s="22">
        <v>44532</v>
      </c>
      <c r="F3332" s="19">
        <v>30</v>
      </c>
      <c r="G3332" s="18">
        <v>7.0000000000000007E-2</v>
      </c>
      <c r="H3332">
        <f>F3332*VLOOKUP(B3332,產品!$A$2:$H$61,7,FALSE)*(1-銷售總表!G3332)</f>
        <v>50220</v>
      </c>
      <c r="I3332" s="35">
        <f>H3332-F3332*VLOOKUP(銷售總表!B3332,產品!$A$2:$H$61,8,FALSE)</f>
        <v>28620</v>
      </c>
      <c r="J3332" s="20">
        <f t="shared" si="52"/>
        <v>0.56989247311827962</v>
      </c>
    </row>
    <row r="3333" spans="1:10" x14ac:dyDescent="0.3">
      <c r="A3333" s="33">
        <v>3332</v>
      </c>
      <c r="B3333" s="4">
        <v>15</v>
      </c>
      <c r="C3333" s="15">
        <v>5</v>
      </c>
      <c r="D3333" s="16">
        <v>6</v>
      </c>
      <c r="E3333" s="22">
        <v>44532</v>
      </c>
      <c r="F3333" s="19">
        <v>40</v>
      </c>
      <c r="G3333" s="18">
        <v>0.15</v>
      </c>
      <c r="H3333">
        <f>F3333*VLOOKUP(B3333,產品!$A$2:$H$61,7,FALSE)*(1-銷售總表!G3333)</f>
        <v>61200</v>
      </c>
      <c r="I3333" s="35">
        <f>H3333-F3333*VLOOKUP(銷售總表!B3333,產品!$A$2:$H$61,8,FALSE)</f>
        <v>32400</v>
      </c>
      <c r="J3333" s="20">
        <f t="shared" si="52"/>
        <v>0.52941176470588236</v>
      </c>
    </row>
    <row r="3334" spans="1:10" x14ac:dyDescent="0.3">
      <c r="A3334" s="33">
        <v>3333</v>
      </c>
      <c r="B3334" s="4">
        <v>26</v>
      </c>
      <c r="C3334" s="15">
        <v>284</v>
      </c>
      <c r="D3334" s="16">
        <v>6</v>
      </c>
      <c r="E3334" s="22">
        <v>44533</v>
      </c>
      <c r="F3334" s="17">
        <v>10</v>
      </c>
      <c r="G3334" s="18">
        <v>0.19</v>
      </c>
      <c r="H3334">
        <f>F3334*VLOOKUP(B3334,產品!$A$2:$H$61,7,FALSE)*(1-銷售總表!G3334)</f>
        <v>52650</v>
      </c>
      <c r="I3334" s="35">
        <f>H3334-F3334*VLOOKUP(銷售總表!B3334,產品!$A$2:$H$61,8,FALSE)</f>
        <v>13650</v>
      </c>
      <c r="J3334" s="20">
        <f t="shared" si="52"/>
        <v>0.25925925925925924</v>
      </c>
    </row>
    <row r="3335" spans="1:10" x14ac:dyDescent="0.3">
      <c r="A3335" s="33">
        <v>3334</v>
      </c>
      <c r="B3335" s="4">
        <v>43</v>
      </c>
      <c r="C3335" s="15">
        <v>257</v>
      </c>
      <c r="D3335" s="16">
        <v>6</v>
      </c>
      <c r="E3335" s="22">
        <v>44533</v>
      </c>
      <c r="F3335" s="19">
        <v>2</v>
      </c>
      <c r="G3335" s="18">
        <v>0.13</v>
      </c>
      <c r="H3335">
        <f>F3335*VLOOKUP(B3335,產品!$A$2:$H$61,7,FALSE)*(1-銷售總表!G3335)</f>
        <v>31320</v>
      </c>
      <c r="I3335" s="35">
        <f>H3335-F3335*VLOOKUP(銷售總表!B3335,產品!$A$2:$H$61,8,FALSE)</f>
        <v>7920</v>
      </c>
      <c r="J3335" s="20">
        <f t="shared" si="52"/>
        <v>0.25287356321839083</v>
      </c>
    </row>
    <row r="3336" spans="1:10" x14ac:dyDescent="0.3">
      <c r="A3336" s="33">
        <v>3335</v>
      </c>
      <c r="B3336" s="4">
        <v>34</v>
      </c>
      <c r="C3336" s="15">
        <v>1</v>
      </c>
      <c r="D3336" s="16">
        <v>10</v>
      </c>
      <c r="E3336" s="22">
        <v>44533</v>
      </c>
      <c r="F3336" s="19">
        <v>8</v>
      </c>
      <c r="G3336" s="18">
        <v>0.2</v>
      </c>
      <c r="H3336">
        <f>F3336*VLOOKUP(B3336,產品!$A$2:$H$61,7,FALSE)*(1-銷售總表!G3336)</f>
        <v>51200</v>
      </c>
      <c r="I3336" s="35">
        <f>H3336-F3336*VLOOKUP(銷售總表!B3336,產品!$A$2:$H$61,8,FALSE)</f>
        <v>12800</v>
      </c>
      <c r="J3336" s="20">
        <f t="shared" si="52"/>
        <v>0.25</v>
      </c>
    </row>
    <row r="3337" spans="1:10" x14ac:dyDescent="0.3">
      <c r="A3337" s="33">
        <v>3336</v>
      </c>
      <c r="B3337" s="4">
        <v>46</v>
      </c>
      <c r="C3337" s="15">
        <v>115</v>
      </c>
      <c r="D3337" s="16">
        <v>4</v>
      </c>
      <c r="E3337" s="22">
        <v>44533</v>
      </c>
      <c r="F3337" s="19">
        <v>8</v>
      </c>
      <c r="G3337" s="18">
        <v>0.17</v>
      </c>
      <c r="H3337">
        <f>F3337*VLOOKUP(B3337,產品!$A$2:$H$61,7,FALSE)*(1-銷售總表!G3337)</f>
        <v>112880</v>
      </c>
      <c r="I3337" s="35">
        <f>H3337-F3337*VLOOKUP(銷售總表!B3337,產品!$A$2:$H$61,8,FALSE)</f>
        <v>24480</v>
      </c>
      <c r="J3337" s="20">
        <f t="shared" si="52"/>
        <v>0.21686746987951808</v>
      </c>
    </row>
    <row r="3338" spans="1:10" x14ac:dyDescent="0.3">
      <c r="A3338" s="33">
        <v>3337</v>
      </c>
      <c r="B3338" s="4">
        <v>12</v>
      </c>
      <c r="C3338" s="15">
        <v>5</v>
      </c>
      <c r="D3338" s="16">
        <v>3</v>
      </c>
      <c r="E3338" s="22">
        <v>44533</v>
      </c>
      <c r="F3338" s="19">
        <v>80</v>
      </c>
      <c r="G3338" s="18">
        <v>7.0000000000000007E-2</v>
      </c>
      <c r="H3338">
        <f>F3338*VLOOKUP(B3338,產品!$A$2:$H$61,7,FALSE)*(1-銷售總表!G3338)</f>
        <v>74400</v>
      </c>
      <c r="I3338" s="35">
        <f>H3338-F3338*VLOOKUP(銷售總表!B3338,產品!$A$2:$H$61,8,FALSE)</f>
        <v>42400</v>
      </c>
      <c r="J3338" s="20">
        <f t="shared" si="52"/>
        <v>0.56989247311827962</v>
      </c>
    </row>
    <row r="3339" spans="1:10" x14ac:dyDescent="0.3">
      <c r="A3339" s="33">
        <v>3338</v>
      </c>
      <c r="B3339" s="4">
        <v>59</v>
      </c>
      <c r="C3339" s="15">
        <v>4</v>
      </c>
      <c r="D3339" s="16">
        <v>2</v>
      </c>
      <c r="E3339" s="22">
        <v>44534</v>
      </c>
      <c r="F3339" s="19">
        <v>1</v>
      </c>
      <c r="G3339" s="18">
        <v>0.1</v>
      </c>
      <c r="H3339">
        <f>F3339*VLOOKUP(B3339,產品!$A$2:$H$61,7,FALSE)*(1-銷售總表!G3339)</f>
        <v>21600</v>
      </c>
      <c r="I3339" s="35">
        <f>H3339-F3339*VLOOKUP(銷售總表!B3339,產品!$A$2:$H$61,8,FALSE)</f>
        <v>4800</v>
      </c>
      <c r="J3339" s="20">
        <f t="shared" si="52"/>
        <v>0.22222222222222221</v>
      </c>
    </row>
    <row r="3340" spans="1:10" x14ac:dyDescent="0.3">
      <c r="A3340" s="33">
        <v>3339</v>
      </c>
      <c r="B3340" s="4">
        <v>9</v>
      </c>
      <c r="C3340" s="15">
        <v>291</v>
      </c>
      <c r="D3340" s="16">
        <v>6</v>
      </c>
      <c r="E3340" s="22">
        <v>44534</v>
      </c>
      <c r="F3340" s="19">
        <v>12</v>
      </c>
      <c r="G3340" s="18">
        <v>0.19</v>
      </c>
      <c r="H3340">
        <f>F3340*VLOOKUP(B3340,產品!$A$2:$H$61,7,FALSE)*(1-銷售總表!G3340)</f>
        <v>9720</v>
      </c>
      <c r="I3340" s="35">
        <f>H3340-F3340*VLOOKUP(銷售總表!B3340,產品!$A$2:$H$61,8,FALSE)</f>
        <v>4920</v>
      </c>
      <c r="J3340" s="20">
        <f t="shared" si="52"/>
        <v>0.50617283950617287</v>
      </c>
    </row>
    <row r="3341" spans="1:10" x14ac:dyDescent="0.3">
      <c r="A3341" s="33">
        <v>3340</v>
      </c>
      <c r="B3341" s="4">
        <v>52</v>
      </c>
      <c r="C3341" s="15">
        <v>126</v>
      </c>
      <c r="D3341" s="16">
        <v>1</v>
      </c>
      <c r="E3341" s="22">
        <v>44534</v>
      </c>
      <c r="F3341" s="19">
        <v>3</v>
      </c>
      <c r="G3341" s="18">
        <v>0.08</v>
      </c>
      <c r="H3341">
        <f>F3341*VLOOKUP(B3341,產品!$A$2:$H$61,7,FALSE)*(1-銷售總表!G3341)</f>
        <v>60720</v>
      </c>
      <c r="I3341" s="35">
        <f>H3341-F3341*VLOOKUP(銷售總表!B3341,產品!$A$2:$H$61,8,FALSE)</f>
        <v>14520.000000000007</v>
      </c>
      <c r="J3341" s="20">
        <f t="shared" si="52"/>
        <v>0.23913043478260881</v>
      </c>
    </row>
    <row r="3342" spans="1:10" x14ac:dyDescent="0.3">
      <c r="A3342" s="33">
        <v>3341</v>
      </c>
      <c r="B3342" s="4">
        <v>3</v>
      </c>
      <c r="C3342" s="15">
        <v>265</v>
      </c>
      <c r="D3342" s="16">
        <v>2</v>
      </c>
      <c r="E3342" s="22">
        <v>44534</v>
      </c>
      <c r="F3342" s="19">
        <v>40</v>
      </c>
      <c r="G3342" s="18">
        <v>0.1</v>
      </c>
      <c r="H3342">
        <f>F3342*VLOOKUP(B3342,產品!$A$2:$H$61,7,FALSE)*(1-銷售總表!G3342)</f>
        <v>36000</v>
      </c>
      <c r="I3342" s="35">
        <f>H3342-F3342*VLOOKUP(銷售總表!B3342,產品!$A$2:$H$61,8,FALSE)</f>
        <v>20000</v>
      </c>
      <c r="J3342" s="20">
        <f t="shared" si="52"/>
        <v>0.55555555555555558</v>
      </c>
    </row>
    <row r="3343" spans="1:10" x14ac:dyDescent="0.3">
      <c r="A3343" s="33">
        <v>3342</v>
      </c>
      <c r="B3343" s="4">
        <v>59</v>
      </c>
      <c r="C3343" s="15">
        <v>257</v>
      </c>
      <c r="D3343" s="16">
        <v>7</v>
      </c>
      <c r="E3343" s="22">
        <v>44534</v>
      </c>
      <c r="F3343" s="19">
        <v>5</v>
      </c>
      <c r="G3343" s="18">
        <v>0.13</v>
      </c>
      <c r="H3343">
        <f>F3343*VLOOKUP(B3343,產品!$A$2:$H$61,7,FALSE)*(1-銷售總表!G3343)</f>
        <v>104400</v>
      </c>
      <c r="I3343" s="35">
        <f>H3343-F3343*VLOOKUP(銷售總表!B3343,產品!$A$2:$H$61,8,FALSE)</f>
        <v>20400</v>
      </c>
      <c r="J3343" s="20">
        <f t="shared" si="52"/>
        <v>0.19540229885057472</v>
      </c>
    </row>
    <row r="3344" spans="1:10" x14ac:dyDescent="0.3">
      <c r="A3344" s="33">
        <v>3343</v>
      </c>
      <c r="B3344" s="4">
        <v>10</v>
      </c>
      <c r="C3344" s="15">
        <v>1</v>
      </c>
      <c r="D3344" s="16">
        <v>7</v>
      </c>
      <c r="E3344" s="22">
        <v>44534</v>
      </c>
      <c r="F3344" s="19">
        <v>50</v>
      </c>
      <c r="G3344" s="18">
        <v>0.12</v>
      </c>
      <c r="H3344">
        <f>F3344*VLOOKUP(B3344,產品!$A$2:$H$61,7,FALSE)*(1-銷售總表!G3344)</f>
        <v>44000</v>
      </c>
      <c r="I3344" s="35">
        <f>H3344-F3344*VLOOKUP(銷售總表!B3344,產品!$A$2:$H$61,8,FALSE)</f>
        <v>24000</v>
      </c>
      <c r="J3344" s="20">
        <f t="shared" si="52"/>
        <v>0.54545454545454541</v>
      </c>
    </row>
    <row r="3345" spans="1:10" x14ac:dyDescent="0.3">
      <c r="A3345" s="33">
        <v>3344</v>
      </c>
      <c r="B3345" s="4">
        <v>3</v>
      </c>
      <c r="C3345" s="15">
        <v>116</v>
      </c>
      <c r="D3345" s="16">
        <v>6</v>
      </c>
      <c r="E3345" s="22">
        <v>44534</v>
      </c>
      <c r="F3345" s="17">
        <v>50</v>
      </c>
      <c r="G3345" s="18">
        <v>0.1</v>
      </c>
      <c r="H3345">
        <f>F3345*VLOOKUP(B3345,產品!$A$2:$H$61,7,FALSE)*(1-銷售總表!G3345)</f>
        <v>45000</v>
      </c>
      <c r="I3345" s="35">
        <f>H3345-F3345*VLOOKUP(銷售總表!B3345,產品!$A$2:$H$61,8,FALSE)</f>
        <v>25000</v>
      </c>
      <c r="J3345" s="20">
        <f t="shared" si="52"/>
        <v>0.55555555555555558</v>
      </c>
    </row>
    <row r="3346" spans="1:10" x14ac:dyDescent="0.3">
      <c r="A3346" s="33">
        <v>3345</v>
      </c>
      <c r="B3346" s="4">
        <v>25</v>
      </c>
      <c r="C3346" s="15">
        <v>117</v>
      </c>
      <c r="D3346" s="16">
        <v>3</v>
      </c>
      <c r="E3346" s="22">
        <v>44534</v>
      </c>
      <c r="F3346" s="19">
        <v>15</v>
      </c>
      <c r="G3346" s="18">
        <v>0.06</v>
      </c>
      <c r="H3346">
        <f>F3346*VLOOKUP(B3346,產品!$A$2:$H$61,7,FALSE)*(1-銷售總表!G3346)</f>
        <v>84600</v>
      </c>
      <c r="I3346" s="35">
        <f>H3346-F3346*VLOOKUP(銷售總表!B3346,產品!$A$2:$H$61,8,FALSE)</f>
        <v>30600</v>
      </c>
      <c r="J3346" s="20">
        <f t="shared" si="52"/>
        <v>0.36170212765957449</v>
      </c>
    </row>
    <row r="3347" spans="1:10" x14ac:dyDescent="0.3">
      <c r="A3347" s="33">
        <v>3346</v>
      </c>
      <c r="B3347" s="4">
        <v>56</v>
      </c>
      <c r="C3347" s="15">
        <v>10</v>
      </c>
      <c r="D3347" s="16">
        <v>8</v>
      </c>
      <c r="E3347" s="22">
        <v>44534</v>
      </c>
      <c r="F3347" s="19">
        <v>13</v>
      </c>
      <c r="G3347" s="18">
        <v>0.19</v>
      </c>
      <c r="H3347">
        <f>F3347*VLOOKUP(B3347,產品!$A$2:$H$61,7,FALSE)*(1-銷售總表!G3347)</f>
        <v>231660.00000000003</v>
      </c>
      <c r="I3347" s="35">
        <f>H3347-F3347*VLOOKUP(銷售總表!B3347,產品!$A$2:$H$61,8,FALSE)</f>
        <v>31460.000000000058</v>
      </c>
      <c r="J3347" s="20">
        <f t="shared" si="52"/>
        <v>0.13580246913580271</v>
      </c>
    </row>
    <row r="3348" spans="1:10" x14ac:dyDescent="0.3">
      <c r="A3348" s="33">
        <v>3347</v>
      </c>
      <c r="B3348" s="4">
        <v>4</v>
      </c>
      <c r="C3348" s="15">
        <v>276</v>
      </c>
      <c r="D3348" s="16">
        <v>4</v>
      </c>
      <c r="E3348" s="22">
        <v>44534</v>
      </c>
      <c r="F3348" s="17">
        <v>80</v>
      </c>
      <c r="G3348" s="18">
        <v>0.18</v>
      </c>
      <c r="H3348">
        <f>F3348*VLOOKUP(B3348,產品!$A$2:$H$61,7,FALSE)*(1-銷售總表!G3348)</f>
        <v>65600</v>
      </c>
      <c r="I3348" s="35">
        <f>H3348-F3348*VLOOKUP(銷售總表!B3348,產品!$A$2:$H$61,8,FALSE)</f>
        <v>33600</v>
      </c>
      <c r="J3348" s="20">
        <f t="shared" si="52"/>
        <v>0.51219512195121952</v>
      </c>
    </row>
    <row r="3349" spans="1:10" x14ac:dyDescent="0.3">
      <c r="A3349" s="33">
        <v>3348</v>
      </c>
      <c r="B3349" s="4">
        <v>58</v>
      </c>
      <c r="C3349" s="15">
        <v>3</v>
      </c>
      <c r="D3349" s="16">
        <v>5</v>
      </c>
      <c r="E3349" s="22">
        <v>44534</v>
      </c>
      <c r="F3349" s="17">
        <v>7</v>
      </c>
      <c r="G3349" s="18">
        <v>0.06</v>
      </c>
      <c r="H3349">
        <f>F3349*VLOOKUP(B3349,產品!$A$2:$H$61,7,FALSE)*(1-銷售總表!G3349)</f>
        <v>138180</v>
      </c>
      <c r="I3349" s="35">
        <f>H3349-F3349*VLOOKUP(銷售總表!B3349,產品!$A$2:$H$61,8,FALSE)</f>
        <v>35280.000000000015</v>
      </c>
      <c r="J3349" s="20">
        <f t="shared" si="52"/>
        <v>0.2553191489361703</v>
      </c>
    </row>
    <row r="3350" spans="1:10" x14ac:dyDescent="0.3">
      <c r="A3350" s="33">
        <v>3349</v>
      </c>
      <c r="B3350" s="4">
        <v>13</v>
      </c>
      <c r="C3350" s="15">
        <v>10</v>
      </c>
      <c r="D3350" s="16">
        <v>6</v>
      </c>
      <c r="E3350" s="22">
        <v>44534</v>
      </c>
      <c r="F3350" s="19">
        <v>40</v>
      </c>
      <c r="G3350" s="18">
        <v>0.08</v>
      </c>
      <c r="H3350">
        <f>F3350*VLOOKUP(B3350,產品!$A$2:$H$61,7,FALSE)*(1-銷售總表!G3350)</f>
        <v>66240</v>
      </c>
      <c r="I3350" s="35">
        <f>H3350-F3350*VLOOKUP(銷售總表!B3350,產品!$A$2:$H$61,8,FALSE)</f>
        <v>37440</v>
      </c>
      <c r="J3350" s="20">
        <f t="shared" si="52"/>
        <v>0.56521739130434778</v>
      </c>
    </row>
    <row r="3351" spans="1:10" x14ac:dyDescent="0.3">
      <c r="A3351" s="33">
        <v>3350</v>
      </c>
      <c r="B3351" s="4">
        <v>23</v>
      </c>
      <c r="C3351" s="15">
        <v>117</v>
      </c>
      <c r="D3351" s="16">
        <v>7</v>
      </c>
      <c r="E3351" s="22">
        <v>44534</v>
      </c>
      <c r="F3351" s="19">
        <v>50</v>
      </c>
      <c r="G3351" s="18">
        <v>7.0000000000000007E-2</v>
      </c>
      <c r="H3351">
        <f>F3351*VLOOKUP(B3351,產品!$A$2:$H$61,7,FALSE)*(1-銷售總表!G3351)</f>
        <v>83700</v>
      </c>
      <c r="I3351" s="35">
        <f>H3351-F3351*VLOOKUP(銷售總表!B3351,產品!$A$2:$H$61,8,FALSE)</f>
        <v>47700</v>
      </c>
      <c r="J3351" s="20">
        <f t="shared" si="52"/>
        <v>0.56989247311827962</v>
      </c>
    </row>
    <row r="3352" spans="1:10" x14ac:dyDescent="0.3">
      <c r="A3352" s="33">
        <v>3351</v>
      </c>
      <c r="B3352" s="4">
        <v>59</v>
      </c>
      <c r="C3352" s="15">
        <v>9</v>
      </c>
      <c r="D3352" s="16">
        <v>7</v>
      </c>
      <c r="E3352" s="22">
        <v>44534</v>
      </c>
      <c r="F3352" s="17">
        <v>14</v>
      </c>
      <c r="G3352" s="18">
        <v>0.13</v>
      </c>
      <c r="H3352">
        <f>F3352*VLOOKUP(B3352,產品!$A$2:$H$61,7,FALSE)*(1-銷售總表!G3352)</f>
        <v>292320</v>
      </c>
      <c r="I3352" s="35">
        <f>H3352-F3352*VLOOKUP(銷售總表!B3352,產品!$A$2:$H$61,8,FALSE)</f>
        <v>57120</v>
      </c>
      <c r="J3352" s="20">
        <f t="shared" si="52"/>
        <v>0.19540229885057472</v>
      </c>
    </row>
    <row r="3353" spans="1:10" x14ac:dyDescent="0.3">
      <c r="A3353" s="33">
        <v>3352</v>
      </c>
      <c r="B3353" s="4">
        <v>4</v>
      </c>
      <c r="C3353" s="15">
        <v>125</v>
      </c>
      <c r="D3353" s="16">
        <v>2</v>
      </c>
      <c r="E3353" s="22">
        <v>44534</v>
      </c>
      <c r="F3353" s="17">
        <v>150</v>
      </c>
      <c r="G3353" s="18">
        <v>0.2</v>
      </c>
      <c r="H3353">
        <f>F3353*VLOOKUP(B3353,產品!$A$2:$H$61,7,FALSE)*(1-銷售總表!G3353)</f>
        <v>120000</v>
      </c>
      <c r="I3353" s="35">
        <f>H3353-F3353*VLOOKUP(銷售總表!B3353,產品!$A$2:$H$61,8,FALSE)</f>
        <v>60000</v>
      </c>
      <c r="J3353" s="20">
        <f t="shared" si="52"/>
        <v>0.5</v>
      </c>
    </row>
    <row r="3354" spans="1:10" x14ac:dyDescent="0.3">
      <c r="A3354" s="33">
        <v>3353</v>
      </c>
      <c r="B3354" s="4">
        <v>26</v>
      </c>
      <c r="C3354" s="15">
        <v>5</v>
      </c>
      <c r="D3354" s="16">
        <v>2</v>
      </c>
      <c r="E3354" s="22">
        <v>44535</v>
      </c>
      <c r="F3354" s="19">
        <v>3</v>
      </c>
      <c r="G3354" s="18">
        <v>0.11</v>
      </c>
      <c r="H3354">
        <f>F3354*VLOOKUP(B3354,產品!$A$2:$H$61,7,FALSE)*(1-銷售總表!G3354)</f>
        <v>17355</v>
      </c>
      <c r="I3354" s="35">
        <f>H3354-F3354*VLOOKUP(銷售總表!B3354,產品!$A$2:$H$61,8,FALSE)</f>
        <v>5655</v>
      </c>
      <c r="J3354" s="20">
        <f t="shared" si="52"/>
        <v>0.3258426966292135</v>
      </c>
    </row>
    <row r="3355" spans="1:10" x14ac:dyDescent="0.3">
      <c r="A3355" s="33">
        <v>3354</v>
      </c>
      <c r="B3355" s="4">
        <v>54</v>
      </c>
      <c r="C3355" s="15">
        <v>294</v>
      </c>
      <c r="D3355" s="16">
        <v>3</v>
      </c>
      <c r="E3355" s="22">
        <v>44535</v>
      </c>
      <c r="F3355" s="19">
        <v>7</v>
      </c>
      <c r="G3355" s="18">
        <v>0.2</v>
      </c>
      <c r="H3355">
        <f>F3355*VLOOKUP(B3355,產品!$A$2:$H$61,7,FALSE)*(1-銷售總表!G3355)</f>
        <v>100800</v>
      </c>
      <c r="I3355" s="35">
        <f>H3355-F3355*VLOOKUP(銷售總表!B3355,產品!$A$2:$H$61,8,FALSE)</f>
        <v>12600</v>
      </c>
      <c r="J3355" s="20">
        <f t="shared" si="52"/>
        <v>0.125</v>
      </c>
    </row>
    <row r="3356" spans="1:10" x14ac:dyDescent="0.3">
      <c r="A3356" s="33">
        <v>3355</v>
      </c>
      <c r="B3356" s="4">
        <v>34</v>
      </c>
      <c r="C3356" s="15">
        <v>5</v>
      </c>
      <c r="D3356" s="16">
        <v>1</v>
      </c>
      <c r="E3356" s="22">
        <v>44535</v>
      </c>
      <c r="F3356" s="19">
        <v>9</v>
      </c>
      <c r="G3356" s="18">
        <v>0.08</v>
      </c>
      <c r="H3356">
        <f>F3356*VLOOKUP(B3356,產品!$A$2:$H$61,7,FALSE)*(1-銷售總表!G3356)</f>
        <v>66240</v>
      </c>
      <c r="I3356" s="35">
        <f>H3356-F3356*VLOOKUP(銷售總表!B3356,產品!$A$2:$H$61,8,FALSE)</f>
        <v>23040</v>
      </c>
      <c r="J3356" s="20">
        <f t="shared" si="52"/>
        <v>0.34782608695652173</v>
      </c>
    </row>
    <row r="3357" spans="1:10" x14ac:dyDescent="0.3">
      <c r="A3357" s="33">
        <v>3356</v>
      </c>
      <c r="B3357" s="4">
        <v>27</v>
      </c>
      <c r="C3357" s="15">
        <v>9</v>
      </c>
      <c r="D3357" s="16">
        <v>8</v>
      </c>
      <c r="E3357" s="22">
        <v>44535</v>
      </c>
      <c r="F3357" s="19">
        <v>15</v>
      </c>
      <c r="G3357" s="18">
        <v>0.13</v>
      </c>
      <c r="H3357">
        <f>F3357*VLOOKUP(B3357,產品!$A$2:$H$61,7,FALSE)*(1-銷售總表!G3357)</f>
        <v>91350</v>
      </c>
      <c r="I3357" s="35">
        <f>H3357-F3357*VLOOKUP(銷售總表!B3357,產品!$A$2:$H$61,8,FALSE)</f>
        <v>28350</v>
      </c>
      <c r="J3357" s="20">
        <f t="shared" si="52"/>
        <v>0.31034482758620691</v>
      </c>
    </row>
    <row r="3358" spans="1:10" x14ac:dyDescent="0.3">
      <c r="A3358" s="33">
        <v>3357</v>
      </c>
      <c r="B3358" s="4">
        <v>53</v>
      </c>
      <c r="C3358" s="15">
        <v>292</v>
      </c>
      <c r="D3358" s="16">
        <v>10</v>
      </c>
      <c r="E3358" s="22">
        <v>44535</v>
      </c>
      <c r="F3358" s="17">
        <v>15</v>
      </c>
      <c r="G3358" s="18">
        <v>0.15</v>
      </c>
      <c r="H3358">
        <f>F3358*VLOOKUP(B3358,產品!$A$2:$H$61,7,FALSE)*(1-銷售總表!G3358)</f>
        <v>191250</v>
      </c>
      <c r="I3358" s="35">
        <f>H3358-F3358*VLOOKUP(銷售總表!B3358,產品!$A$2:$H$61,8,FALSE)</f>
        <v>33750</v>
      </c>
      <c r="J3358" s="20">
        <f t="shared" si="52"/>
        <v>0.17647058823529413</v>
      </c>
    </row>
    <row r="3359" spans="1:10" x14ac:dyDescent="0.3">
      <c r="A3359" s="33">
        <v>3358</v>
      </c>
      <c r="B3359" s="4">
        <v>22</v>
      </c>
      <c r="C3359" s="15">
        <v>274</v>
      </c>
      <c r="D3359" s="16">
        <v>6</v>
      </c>
      <c r="E3359" s="22">
        <v>44536</v>
      </c>
      <c r="F3359" s="17">
        <v>10</v>
      </c>
      <c r="G3359" s="18">
        <v>0.12</v>
      </c>
      <c r="H3359">
        <f>F3359*VLOOKUP(B3359,產品!$A$2:$H$61,7,FALSE)*(1-銷售總表!G3359)</f>
        <v>15840</v>
      </c>
      <c r="I3359" s="35">
        <f>H3359-F3359*VLOOKUP(銷售總表!B3359,產品!$A$2:$H$61,8,FALSE)</f>
        <v>8640</v>
      </c>
      <c r="J3359" s="20">
        <f t="shared" si="52"/>
        <v>0.54545454545454541</v>
      </c>
    </row>
    <row r="3360" spans="1:10" x14ac:dyDescent="0.3">
      <c r="A3360" s="33">
        <v>3359</v>
      </c>
      <c r="B3360" s="4">
        <v>52</v>
      </c>
      <c r="C3360" s="15">
        <v>116</v>
      </c>
      <c r="D3360" s="16">
        <v>2</v>
      </c>
      <c r="E3360" s="22">
        <v>44536</v>
      </c>
      <c r="F3360" s="19">
        <v>6</v>
      </c>
      <c r="G3360" s="18">
        <v>0.2</v>
      </c>
      <c r="H3360">
        <f>F3360*VLOOKUP(B3360,產品!$A$2:$H$61,7,FALSE)*(1-銷售總表!G3360)</f>
        <v>105600</v>
      </c>
      <c r="I3360" s="35">
        <f>H3360-F3360*VLOOKUP(銷售總表!B3360,產品!$A$2:$H$61,8,FALSE)</f>
        <v>13200.000000000015</v>
      </c>
      <c r="J3360" s="20">
        <f t="shared" si="52"/>
        <v>0.12500000000000014</v>
      </c>
    </row>
    <row r="3361" spans="1:10" x14ac:dyDescent="0.3">
      <c r="A3361" s="33">
        <v>3360</v>
      </c>
      <c r="B3361" s="4">
        <v>12</v>
      </c>
      <c r="C3361" s="15">
        <v>8</v>
      </c>
      <c r="D3361" s="16">
        <v>3</v>
      </c>
      <c r="E3361" s="22">
        <v>44536</v>
      </c>
      <c r="F3361" s="17">
        <v>40</v>
      </c>
      <c r="G3361" s="18">
        <v>0.2</v>
      </c>
      <c r="H3361">
        <f>F3361*VLOOKUP(B3361,產品!$A$2:$H$61,7,FALSE)*(1-銷售總表!G3361)</f>
        <v>32000</v>
      </c>
      <c r="I3361" s="35">
        <f>H3361-F3361*VLOOKUP(銷售總表!B3361,產品!$A$2:$H$61,8,FALSE)</f>
        <v>16000</v>
      </c>
      <c r="J3361" s="20">
        <f t="shared" si="52"/>
        <v>0.5</v>
      </c>
    </row>
    <row r="3362" spans="1:10" x14ac:dyDescent="0.3">
      <c r="A3362" s="33">
        <v>3361</v>
      </c>
      <c r="B3362" s="4">
        <v>21</v>
      </c>
      <c r="C3362" s="15">
        <v>126</v>
      </c>
      <c r="D3362" s="16">
        <v>6</v>
      </c>
      <c r="E3362" s="22">
        <v>44536</v>
      </c>
      <c r="F3362" s="17">
        <v>20</v>
      </c>
      <c r="G3362" s="18">
        <v>0.14000000000000001</v>
      </c>
      <c r="H3362">
        <f>F3362*VLOOKUP(B3362,產品!$A$2:$H$61,7,FALSE)*(1-銷售總表!G3362)</f>
        <v>30960</v>
      </c>
      <c r="I3362" s="35">
        <f>H3362-F3362*VLOOKUP(銷售總表!B3362,產品!$A$2:$H$61,8,FALSE)</f>
        <v>16560</v>
      </c>
      <c r="J3362" s="20">
        <f t="shared" si="52"/>
        <v>0.53488372093023251</v>
      </c>
    </row>
    <row r="3363" spans="1:10" x14ac:dyDescent="0.3">
      <c r="A3363" s="33">
        <v>3362</v>
      </c>
      <c r="B3363" s="4">
        <v>32</v>
      </c>
      <c r="C3363" s="15">
        <v>257</v>
      </c>
      <c r="D3363" s="16">
        <v>4</v>
      </c>
      <c r="E3363" s="22">
        <v>44536</v>
      </c>
      <c r="F3363" s="19">
        <v>10</v>
      </c>
      <c r="G3363" s="18">
        <v>0.05</v>
      </c>
      <c r="H3363">
        <f>F3363*VLOOKUP(B3363,產品!$A$2:$H$61,7,FALSE)*(1-銷售總表!G3363)</f>
        <v>71250</v>
      </c>
      <c r="I3363" s="35">
        <f>H3363-F3363*VLOOKUP(銷售總表!B3363,產品!$A$2:$H$61,8,FALSE)</f>
        <v>26250</v>
      </c>
      <c r="J3363" s="20">
        <f t="shared" si="52"/>
        <v>0.36842105263157893</v>
      </c>
    </row>
    <row r="3364" spans="1:10" x14ac:dyDescent="0.3">
      <c r="A3364" s="33">
        <v>3363</v>
      </c>
      <c r="B3364" s="4">
        <v>46</v>
      </c>
      <c r="C3364" s="15">
        <v>275</v>
      </c>
      <c r="D3364" s="16">
        <v>5</v>
      </c>
      <c r="E3364" s="22">
        <v>44536</v>
      </c>
      <c r="F3364" s="19">
        <v>15</v>
      </c>
      <c r="G3364" s="18">
        <v>0.18</v>
      </c>
      <c r="H3364">
        <f>F3364*VLOOKUP(B3364,產品!$A$2:$H$61,7,FALSE)*(1-銷售總表!G3364)</f>
        <v>209100.00000000003</v>
      </c>
      <c r="I3364" s="35">
        <f>H3364-F3364*VLOOKUP(銷售總表!B3364,產品!$A$2:$H$61,8,FALSE)</f>
        <v>43350.000000000029</v>
      </c>
      <c r="J3364" s="20">
        <f t="shared" si="52"/>
        <v>0.20731707317073181</v>
      </c>
    </row>
    <row r="3365" spans="1:10" x14ac:dyDescent="0.3">
      <c r="A3365" s="33">
        <v>3364</v>
      </c>
      <c r="B3365" s="4">
        <v>13</v>
      </c>
      <c r="C3365" s="15">
        <v>270</v>
      </c>
      <c r="D3365" s="16">
        <v>1</v>
      </c>
      <c r="E3365" s="22">
        <v>44536</v>
      </c>
      <c r="F3365" s="19">
        <v>50</v>
      </c>
      <c r="G3365" s="18">
        <v>7.0000000000000007E-2</v>
      </c>
      <c r="H3365">
        <f>F3365*VLOOKUP(B3365,產品!$A$2:$H$61,7,FALSE)*(1-銷售總表!G3365)</f>
        <v>83700</v>
      </c>
      <c r="I3365" s="35">
        <f>H3365-F3365*VLOOKUP(銷售總表!B3365,產品!$A$2:$H$61,8,FALSE)</f>
        <v>47700</v>
      </c>
      <c r="J3365" s="20">
        <f t="shared" si="52"/>
        <v>0.56989247311827962</v>
      </c>
    </row>
    <row r="3366" spans="1:10" x14ac:dyDescent="0.3">
      <c r="A3366" s="33">
        <v>3365</v>
      </c>
      <c r="B3366" s="4">
        <v>10</v>
      </c>
      <c r="C3366" s="15">
        <v>140</v>
      </c>
      <c r="D3366" s="16">
        <v>10</v>
      </c>
      <c r="E3366" s="22">
        <v>44537</v>
      </c>
      <c r="F3366" s="17">
        <v>20</v>
      </c>
      <c r="G3366" s="18">
        <v>0.11</v>
      </c>
      <c r="H3366">
        <f>F3366*VLOOKUP(B3366,產品!$A$2:$H$61,7,FALSE)*(1-銷售總表!G3366)</f>
        <v>17800</v>
      </c>
      <c r="I3366" s="35">
        <f>H3366-F3366*VLOOKUP(銷售總表!B3366,產品!$A$2:$H$61,8,FALSE)</f>
        <v>9800</v>
      </c>
      <c r="J3366" s="20">
        <f t="shared" si="52"/>
        <v>0.550561797752809</v>
      </c>
    </row>
    <row r="3367" spans="1:10" x14ac:dyDescent="0.3">
      <c r="A3367" s="33">
        <v>3366</v>
      </c>
      <c r="B3367" s="4">
        <v>21</v>
      </c>
      <c r="C3367" s="15">
        <v>117</v>
      </c>
      <c r="D3367" s="16">
        <v>2</v>
      </c>
      <c r="E3367" s="22">
        <v>44537</v>
      </c>
      <c r="F3367" s="17">
        <v>20</v>
      </c>
      <c r="G3367" s="18">
        <v>0.19</v>
      </c>
      <c r="H3367">
        <f>F3367*VLOOKUP(B3367,產品!$A$2:$H$61,7,FALSE)*(1-銷售總表!G3367)</f>
        <v>29160.000000000004</v>
      </c>
      <c r="I3367" s="35">
        <f>H3367-F3367*VLOOKUP(銷售總表!B3367,產品!$A$2:$H$61,8,FALSE)</f>
        <v>14760.000000000004</v>
      </c>
      <c r="J3367" s="20">
        <f t="shared" si="52"/>
        <v>0.50617283950617287</v>
      </c>
    </row>
    <row r="3368" spans="1:10" x14ac:dyDescent="0.3">
      <c r="A3368" s="33">
        <v>3367</v>
      </c>
      <c r="B3368" s="4">
        <v>47</v>
      </c>
      <c r="C3368" s="15">
        <v>113</v>
      </c>
      <c r="D3368" s="16">
        <v>4</v>
      </c>
      <c r="E3368" s="22">
        <v>44537</v>
      </c>
      <c r="F3368" s="19">
        <v>15</v>
      </c>
      <c r="G3368" s="18">
        <v>0.06</v>
      </c>
      <c r="H3368">
        <f>F3368*VLOOKUP(B3368,產品!$A$2:$H$61,7,FALSE)*(1-銷售總表!G3368)</f>
        <v>282000</v>
      </c>
      <c r="I3368" s="35">
        <f>H3368-F3368*VLOOKUP(銷售總表!B3368,產品!$A$2:$H$61,8,FALSE)</f>
        <v>87000</v>
      </c>
      <c r="J3368" s="20">
        <f t="shared" si="52"/>
        <v>0.30851063829787234</v>
      </c>
    </row>
    <row r="3369" spans="1:10" x14ac:dyDescent="0.3">
      <c r="A3369" s="33">
        <v>3368</v>
      </c>
      <c r="B3369" s="4">
        <v>29</v>
      </c>
      <c r="C3369" s="15">
        <v>267</v>
      </c>
      <c r="D3369" s="16">
        <v>3</v>
      </c>
      <c r="E3369" s="22">
        <v>44538</v>
      </c>
      <c r="F3369" s="17">
        <v>2</v>
      </c>
      <c r="G3369" s="18">
        <v>0.05</v>
      </c>
      <c r="H3369">
        <f>F3369*VLOOKUP(B3369,產品!$A$2:$H$61,7,FALSE)*(1-銷售總表!G3369)</f>
        <v>11400</v>
      </c>
      <c r="I3369" s="35">
        <f>H3369-F3369*VLOOKUP(銷售總表!B3369,產品!$A$2:$H$61,8,FALSE)</f>
        <v>4200</v>
      </c>
      <c r="J3369" s="20">
        <f t="shared" si="52"/>
        <v>0.36842105263157893</v>
      </c>
    </row>
    <row r="3370" spans="1:10" x14ac:dyDescent="0.3">
      <c r="A3370" s="33">
        <v>3369</v>
      </c>
      <c r="B3370" s="4">
        <v>46</v>
      </c>
      <c r="C3370" s="15">
        <v>257</v>
      </c>
      <c r="D3370" s="16">
        <v>9</v>
      </c>
      <c r="E3370" s="22">
        <v>44538</v>
      </c>
      <c r="F3370" s="19">
        <v>3</v>
      </c>
      <c r="G3370" s="18">
        <v>0.18</v>
      </c>
      <c r="H3370">
        <f>F3370*VLOOKUP(B3370,產品!$A$2:$H$61,7,FALSE)*(1-銷售總表!G3370)</f>
        <v>41820</v>
      </c>
      <c r="I3370" s="35">
        <f>H3370-F3370*VLOOKUP(銷售總表!B3370,產品!$A$2:$H$61,8,FALSE)</f>
        <v>8670</v>
      </c>
      <c r="J3370" s="20">
        <f t="shared" si="52"/>
        <v>0.2073170731707317</v>
      </c>
    </row>
    <row r="3371" spans="1:10" x14ac:dyDescent="0.3">
      <c r="A3371" s="33">
        <v>3370</v>
      </c>
      <c r="B3371" s="4">
        <v>27</v>
      </c>
      <c r="C3371" s="15">
        <v>292</v>
      </c>
      <c r="D3371" s="16">
        <v>1</v>
      </c>
      <c r="E3371" s="22">
        <v>44538</v>
      </c>
      <c r="F3371" s="19">
        <v>6</v>
      </c>
      <c r="G3371" s="18">
        <v>0.06</v>
      </c>
      <c r="H3371">
        <f>F3371*VLOOKUP(B3371,產品!$A$2:$H$61,7,FALSE)*(1-銷售總表!G3371)</f>
        <v>39480</v>
      </c>
      <c r="I3371" s="35">
        <f>H3371-F3371*VLOOKUP(銷售總表!B3371,產品!$A$2:$H$61,8,FALSE)</f>
        <v>14280</v>
      </c>
      <c r="J3371" s="20">
        <f t="shared" si="52"/>
        <v>0.36170212765957449</v>
      </c>
    </row>
    <row r="3372" spans="1:10" x14ac:dyDescent="0.3">
      <c r="A3372" s="33">
        <v>3371</v>
      </c>
      <c r="B3372" s="4">
        <v>52</v>
      </c>
      <c r="C3372" s="15">
        <v>293</v>
      </c>
      <c r="D3372" s="16">
        <v>9</v>
      </c>
      <c r="E3372" s="22">
        <v>44538</v>
      </c>
      <c r="F3372" s="19">
        <v>4</v>
      </c>
      <c r="G3372" s="18">
        <v>0.05</v>
      </c>
      <c r="H3372">
        <f>F3372*VLOOKUP(B3372,產品!$A$2:$H$61,7,FALSE)*(1-銷售總表!G3372)</f>
        <v>83600</v>
      </c>
      <c r="I3372" s="35">
        <f>H3372-F3372*VLOOKUP(銷售總表!B3372,產品!$A$2:$H$61,8,FALSE)</f>
        <v>22000.000000000007</v>
      </c>
      <c r="J3372" s="20">
        <f t="shared" si="52"/>
        <v>0.2631578947368422</v>
      </c>
    </row>
    <row r="3373" spans="1:10" x14ac:dyDescent="0.3">
      <c r="A3373" s="33">
        <v>3372</v>
      </c>
      <c r="B3373" s="4">
        <v>35</v>
      </c>
      <c r="C3373" s="15">
        <v>272</v>
      </c>
      <c r="D3373" s="16">
        <v>2</v>
      </c>
      <c r="E3373" s="22">
        <v>44538</v>
      </c>
      <c r="F3373" s="19">
        <v>9</v>
      </c>
      <c r="G3373" s="18">
        <v>0.06</v>
      </c>
      <c r="H3373">
        <f>F3373*VLOOKUP(B3373,產品!$A$2:$H$61,7,FALSE)*(1-銷售總表!G3373)</f>
        <v>71910</v>
      </c>
      <c r="I3373" s="35">
        <f>H3373-F3373*VLOOKUP(銷售總表!B3373,產品!$A$2:$H$61,8,FALSE)</f>
        <v>26010</v>
      </c>
      <c r="J3373" s="20">
        <f t="shared" si="52"/>
        <v>0.36170212765957449</v>
      </c>
    </row>
    <row r="3374" spans="1:10" x14ac:dyDescent="0.3">
      <c r="A3374" s="33">
        <v>3373</v>
      </c>
      <c r="B3374" s="4">
        <v>42</v>
      </c>
      <c r="C3374" s="15">
        <v>123</v>
      </c>
      <c r="D3374" s="16">
        <v>1</v>
      </c>
      <c r="E3374" s="22">
        <v>44538</v>
      </c>
      <c r="F3374" s="17">
        <v>20</v>
      </c>
      <c r="G3374" s="18">
        <v>0.12</v>
      </c>
      <c r="H3374">
        <f>F3374*VLOOKUP(B3374,產品!$A$2:$H$61,7,FALSE)*(1-銷售總表!G3374)</f>
        <v>264000</v>
      </c>
      <c r="I3374" s="35">
        <f>H3374-F3374*VLOOKUP(銷售總表!B3374,產品!$A$2:$H$61,8,FALSE)</f>
        <v>69000</v>
      </c>
      <c r="J3374" s="20">
        <f t="shared" si="52"/>
        <v>0.26136363636363635</v>
      </c>
    </row>
    <row r="3375" spans="1:10" x14ac:dyDescent="0.3">
      <c r="A3375" s="33">
        <v>3374</v>
      </c>
      <c r="B3375" s="4">
        <v>17</v>
      </c>
      <c r="C3375" s="15">
        <v>290</v>
      </c>
      <c r="D3375" s="16">
        <v>7</v>
      </c>
      <c r="E3375" s="22">
        <v>44538</v>
      </c>
      <c r="F3375" s="19">
        <v>150</v>
      </c>
      <c r="G3375" s="18">
        <v>0.13</v>
      </c>
      <c r="H3375">
        <f>F3375*VLOOKUP(B3375,產品!$A$2:$H$61,7,FALSE)*(1-銷售總表!G3375)</f>
        <v>234900</v>
      </c>
      <c r="I3375" s="35">
        <f>H3375-F3375*VLOOKUP(銷售總表!B3375,產品!$A$2:$H$61,8,FALSE)</f>
        <v>126900</v>
      </c>
      <c r="J3375" s="20">
        <f t="shared" si="52"/>
        <v>0.54022988505747127</v>
      </c>
    </row>
    <row r="3376" spans="1:10" x14ac:dyDescent="0.3">
      <c r="A3376" s="33">
        <v>3375</v>
      </c>
      <c r="B3376" s="4">
        <v>58</v>
      </c>
      <c r="C3376" s="15">
        <v>261</v>
      </c>
      <c r="D3376" s="16">
        <v>9</v>
      </c>
      <c r="E3376" s="22">
        <v>44539</v>
      </c>
      <c r="F3376" s="17">
        <v>1</v>
      </c>
      <c r="G3376" s="18">
        <v>0.08</v>
      </c>
      <c r="H3376">
        <f>F3376*VLOOKUP(B3376,產品!$A$2:$H$61,7,FALSE)*(1-銷售總表!G3376)</f>
        <v>19320</v>
      </c>
      <c r="I3376" s="35">
        <f>H3376-F3376*VLOOKUP(銷售總表!B3376,產品!$A$2:$H$61,8,FALSE)</f>
        <v>4620.0000000000018</v>
      </c>
      <c r="J3376" s="20">
        <f t="shared" si="52"/>
        <v>0.23913043478260879</v>
      </c>
    </row>
    <row r="3377" spans="1:10" x14ac:dyDescent="0.3">
      <c r="A3377" s="33">
        <v>3376</v>
      </c>
      <c r="B3377" s="4">
        <v>29</v>
      </c>
      <c r="C3377" s="15">
        <v>5</v>
      </c>
      <c r="D3377" s="16">
        <v>5</v>
      </c>
      <c r="E3377" s="22">
        <v>44539</v>
      </c>
      <c r="F3377" s="17">
        <v>5</v>
      </c>
      <c r="G3377" s="18">
        <v>0.16</v>
      </c>
      <c r="H3377">
        <f>F3377*VLOOKUP(B3377,產品!$A$2:$H$61,7,FALSE)*(1-銷售總表!G3377)</f>
        <v>25200</v>
      </c>
      <c r="I3377" s="35">
        <f>H3377-F3377*VLOOKUP(銷售總表!B3377,產品!$A$2:$H$61,8,FALSE)</f>
        <v>7200</v>
      </c>
      <c r="J3377" s="20">
        <f t="shared" si="52"/>
        <v>0.2857142857142857</v>
      </c>
    </row>
    <row r="3378" spans="1:10" x14ac:dyDescent="0.3">
      <c r="A3378" s="33">
        <v>3377</v>
      </c>
      <c r="B3378" s="4">
        <v>5</v>
      </c>
      <c r="C3378" s="15">
        <v>12</v>
      </c>
      <c r="D3378" s="16">
        <v>10</v>
      </c>
      <c r="E3378" s="22">
        <v>44539</v>
      </c>
      <c r="F3378" s="19">
        <v>30</v>
      </c>
      <c r="G3378" s="18">
        <v>0.2</v>
      </c>
      <c r="H3378">
        <f>F3378*VLOOKUP(B3378,產品!$A$2:$H$61,7,FALSE)*(1-銷售總表!G3378)</f>
        <v>24000</v>
      </c>
      <c r="I3378" s="35">
        <f>H3378-F3378*VLOOKUP(銷售總表!B3378,產品!$A$2:$H$61,8,FALSE)</f>
        <v>12000</v>
      </c>
      <c r="J3378" s="20">
        <f t="shared" si="52"/>
        <v>0.5</v>
      </c>
    </row>
    <row r="3379" spans="1:10" x14ac:dyDescent="0.3">
      <c r="A3379" s="33">
        <v>3378</v>
      </c>
      <c r="B3379" s="4">
        <v>10</v>
      </c>
      <c r="C3379" s="15">
        <v>138</v>
      </c>
      <c r="D3379" s="16">
        <v>6</v>
      </c>
      <c r="E3379" s="22">
        <v>44539</v>
      </c>
      <c r="F3379" s="19">
        <v>30</v>
      </c>
      <c r="G3379" s="18">
        <v>0.16</v>
      </c>
      <c r="H3379">
        <f>F3379*VLOOKUP(B3379,產品!$A$2:$H$61,7,FALSE)*(1-銷售總表!G3379)</f>
        <v>25200</v>
      </c>
      <c r="I3379" s="35">
        <f>H3379-F3379*VLOOKUP(銷售總表!B3379,產品!$A$2:$H$61,8,FALSE)</f>
        <v>13200</v>
      </c>
      <c r="J3379" s="20">
        <f t="shared" si="52"/>
        <v>0.52380952380952384</v>
      </c>
    </row>
    <row r="3380" spans="1:10" x14ac:dyDescent="0.3">
      <c r="A3380" s="33">
        <v>3379</v>
      </c>
      <c r="B3380" s="4">
        <v>2</v>
      </c>
      <c r="C3380" s="15">
        <v>5</v>
      </c>
      <c r="D3380" s="16">
        <v>10</v>
      </c>
      <c r="E3380" s="22">
        <v>44539</v>
      </c>
      <c r="F3380" s="19">
        <v>30</v>
      </c>
      <c r="G3380" s="18">
        <v>0.13</v>
      </c>
      <c r="H3380">
        <f>F3380*VLOOKUP(B3380,產品!$A$2:$H$61,7,FALSE)*(1-銷售總表!G3380)</f>
        <v>26100</v>
      </c>
      <c r="I3380" s="35">
        <f>H3380-F3380*VLOOKUP(銷售總表!B3380,產品!$A$2:$H$61,8,FALSE)</f>
        <v>14100</v>
      </c>
      <c r="J3380" s="20">
        <f t="shared" si="52"/>
        <v>0.54022988505747127</v>
      </c>
    </row>
    <row r="3381" spans="1:10" x14ac:dyDescent="0.3">
      <c r="A3381" s="33">
        <v>3380</v>
      </c>
      <c r="B3381" s="4">
        <v>6</v>
      </c>
      <c r="C3381" s="15">
        <v>286</v>
      </c>
      <c r="D3381" s="16">
        <v>5</v>
      </c>
      <c r="E3381" s="22">
        <v>44539</v>
      </c>
      <c r="F3381" s="19">
        <v>30</v>
      </c>
      <c r="G3381" s="18">
        <v>0.09</v>
      </c>
      <c r="H3381">
        <f>F3381*VLOOKUP(B3381,產品!$A$2:$H$61,7,FALSE)*(1-銷售總表!G3381)</f>
        <v>27300</v>
      </c>
      <c r="I3381" s="35">
        <f>H3381-F3381*VLOOKUP(銷售總表!B3381,產品!$A$2:$H$61,8,FALSE)</f>
        <v>15300</v>
      </c>
      <c r="J3381" s="20">
        <f t="shared" si="52"/>
        <v>0.56043956043956045</v>
      </c>
    </row>
    <row r="3382" spans="1:10" x14ac:dyDescent="0.3">
      <c r="A3382" s="33">
        <v>3381</v>
      </c>
      <c r="B3382" s="4">
        <v>60</v>
      </c>
      <c r="C3382" s="15">
        <v>5</v>
      </c>
      <c r="D3382" s="16">
        <v>4</v>
      </c>
      <c r="E3382" s="22">
        <v>44539</v>
      </c>
      <c r="F3382" s="19">
        <v>7</v>
      </c>
      <c r="G3382" s="18">
        <v>7.0000000000000007E-2</v>
      </c>
      <c r="H3382">
        <f>F3382*VLOOKUP(B3382,產品!$A$2:$H$61,7,FALSE)*(1-銷售總表!G3382)</f>
        <v>162750</v>
      </c>
      <c r="I3382" s="35">
        <f>H3382-F3382*VLOOKUP(銷售總表!B3382,產品!$A$2:$H$61,8,FALSE)</f>
        <v>40250</v>
      </c>
      <c r="J3382" s="20">
        <f t="shared" si="52"/>
        <v>0.24731182795698925</v>
      </c>
    </row>
    <row r="3383" spans="1:10" x14ac:dyDescent="0.3">
      <c r="A3383" s="33">
        <v>3382</v>
      </c>
      <c r="B3383" s="4">
        <v>55</v>
      </c>
      <c r="C3383" s="15">
        <v>116</v>
      </c>
      <c r="D3383" s="16">
        <v>4</v>
      </c>
      <c r="E3383" s="22">
        <v>44539</v>
      </c>
      <c r="F3383" s="19">
        <v>18</v>
      </c>
      <c r="G3383" s="18">
        <v>0.17</v>
      </c>
      <c r="H3383">
        <f>F3383*VLOOKUP(B3383,產品!$A$2:$H$61,7,FALSE)*(1-銷售總表!G3383)</f>
        <v>298800</v>
      </c>
      <c r="I3383" s="35">
        <f>H3383-F3383*VLOOKUP(銷售總表!B3383,產品!$A$2:$H$61,8,FALSE)</f>
        <v>46800</v>
      </c>
      <c r="J3383" s="20">
        <f t="shared" si="52"/>
        <v>0.15662650602409639</v>
      </c>
    </row>
    <row r="3384" spans="1:10" x14ac:dyDescent="0.3">
      <c r="A3384" s="33">
        <v>3383</v>
      </c>
      <c r="B3384" s="4">
        <v>40</v>
      </c>
      <c r="C3384" s="15">
        <v>122</v>
      </c>
      <c r="D3384" s="16">
        <v>2</v>
      </c>
      <c r="E3384" s="22">
        <v>44539</v>
      </c>
      <c r="F3384" s="19">
        <v>15</v>
      </c>
      <c r="G3384" s="18">
        <v>0.05</v>
      </c>
      <c r="H3384">
        <f>F3384*VLOOKUP(B3384,產品!$A$2:$H$61,7,FALSE)*(1-銷售總表!G3384)</f>
        <v>285000</v>
      </c>
      <c r="I3384" s="35">
        <f>H3384-F3384*VLOOKUP(銷售總表!B3384,產品!$A$2:$H$61,8,FALSE)</f>
        <v>90000</v>
      </c>
      <c r="J3384" s="20">
        <f t="shared" si="52"/>
        <v>0.31578947368421051</v>
      </c>
    </row>
    <row r="3385" spans="1:10" x14ac:dyDescent="0.3">
      <c r="A3385" s="33">
        <v>3384</v>
      </c>
      <c r="B3385" s="4">
        <v>18</v>
      </c>
      <c r="C3385" s="15">
        <v>286</v>
      </c>
      <c r="D3385" s="16">
        <v>4</v>
      </c>
      <c r="E3385" s="22">
        <v>44539</v>
      </c>
      <c r="F3385" s="19">
        <v>105</v>
      </c>
      <c r="G3385" s="18">
        <v>0.12</v>
      </c>
      <c r="H3385">
        <f>F3385*VLOOKUP(B3385,產品!$A$2:$H$61,7,FALSE)*(1-銷售總表!G3385)</f>
        <v>166320</v>
      </c>
      <c r="I3385" s="35">
        <f>H3385-F3385*VLOOKUP(銷售總表!B3385,產品!$A$2:$H$61,8,FALSE)</f>
        <v>90720</v>
      </c>
      <c r="J3385" s="20">
        <f t="shared" si="52"/>
        <v>0.54545454545454541</v>
      </c>
    </row>
    <row r="3386" spans="1:10" x14ac:dyDescent="0.3">
      <c r="A3386" s="33">
        <v>3385</v>
      </c>
      <c r="B3386" s="4">
        <v>25</v>
      </c>
      <c r="C3386" s="15">
        <v>287</v>
      </c>
      <c r="D3386" s="16">
        <v>6</v>
      </c>
      <c r="E3386" s="22">
        <v>44540</v>
      </c>
      <c r="F3386" s="19">
        <v>4</v>
      </c>
      <c r="G3386" s="18">
        <v>0.13</v>
      </c>
      <c r="H3386">
        <f>F3386*VLOOKUP(B3386,產品!$A$2:$H$61,7,FALSE)*(1-銷售總表!G3386)</f>
        <v>20880</v>
      </c>
      <c r="I3386" s="35">
        <f>H3386-F3386*VLOOKUP(銷售總表!B3386,產品!$A$2:$H$61,8,FALSE)</f>
        <v>6480</v>
      </c>
      <c r="J3386" s="20">
        <f t="shared" si="52"/>
        <v>0.31034482758620691</v>
      </c>
    </row>
    <row r="3387" spans="1:10" x14ac:dyDescent="0.3">
      <c r="A3387" s="33">
        <v>3386</v>
      </c>
      <c r="B3387" s="4">
        <v>18</v>
      </c>
      <c r="C3387" s="15">
        <v>263</v>
      </c>
      <c r="D3387" s="16">
        <v>6</v>
      </c>
      <c r="E3387" s="22">
        <v>44540</v>
      </c>
      <c r="F3387" s="17">
        <v>20</v>
      </c>
      <c r="G3387" s="18">
        <v>0.17</v>
      </c>
      <c r="H3387">
        <f>F3387*VLOOKUP(B3387,產品!$A$2:$H$61,7,FALSE)*(1-銷售總表!G3387)</f>
        <v>29880</v>
      </c>
      <c r="I3387" s="35">
        <f>H3387-F3387*VLOOKUP(銷售總表!B3387,產品!$A$2:$H$61,8,FALSE)</f>
        <v>15480</v>
      </c>
      <c r="J3387" s="20">
        <f t="shared" si="52"/>
        <v>0.51807228915662651</v>
      </c>
    </row>
    <row r="3388" spans="1:10" x14ac:dyDescent="0.3">
      <c r="A3388" s="33">
        <v>3387</v>
      </c>
      <c r="B3388" s="4">
        <v>26</v>
      </c>
      <c r="C3388" s="15">
        <v>119</v>
      </c>
      <c r="D3388" s="16">
        <v>3</v>
      </c>
      <c r="E3388" s="22">
        <v>44540</v>
      </c>
      <c r="F3388" s="19">
        <v>9</v>
      </c>
      <c r="G3388" s="18">
        <v>0.11</v>
      </c>
      <c r="H3388">
        <f>F3388*VLOOKUP(B3388,產品!$A$2:$H$61,7,FALSE)*(1-銷售總表!G3388)</f>
        <v>52065</v>
      </c>
      <c r="I3388" s="35">
        <f>H3388-F3388*VLOOKUP(銷售總表!B3388,產品!$A$2:$H$61,8,FALSE)</f>
        <v>16965</v>
      </c>
      <c r="J3388" s="20">
        <f t="shared" si="52"/>
        <v>0.3258426966292135</v>
      </c>
    </row>
    <row r="3389" spans="1:10" x14ac:dyDescent="0.3">
      <c r="A3389" s="33">
        <v>3388</v>
      </c>
      <c r="B3389" s="4">
        <v>43</v>
      </c>
      <c r="C3389" s="15">
        <v>121</v>
      </c>
      <c r="D3389" s="16">
        <v>3</v>
      </c>
      <c r="E3389" s="22">
        <v>44540</v>
      </c>
      <c r="F3389" s="19">
        <v>4</v>
      </c>
      <c r="G3389" s="18">
        <v>7.0000000000000007E-2</v>
      </c>
      <c r="H3389">
        <f>F3389*VLOOKUP(B3389,產品!$A$2:$H$61,7,FALSE)*(1-銷售總表!G3389)</f>
        <v>66960</v>
      </c>
      <c r="I3389" s="35">
        <f>H3389-F3389*VLOOKUP(銷售總表!B3389,產品!$A$2:$H$61,8,FALSE)</f>
        <v>20160</v>
      </c>
      <c r="J3389" s="20">
        <f t="shared" si="52"/>
        <v>0.30107526881720431</v>
      </c>
    </row>
    <row r="3390" spans="1:10" x14ac:dyDescent="0.3">
      <c r="A3390" s="33">
        <v>3389</v>
      </c>
      <c r="B3390" s="4">
        <v>48</v>
      </c>
      <c r="C3390" s="15">
        <v>268</v>
      </c>
      <c r="D3390" s="16">
        <v>5</v>
      </c>
      <c r="E3390" s="22">
        <v>44540</v>
      </c>
      <c r="F3390" s="19">
        <v>5</v>
      </c>
      <c r="G3390" s="18">
        <v>0.15</v>
      </c>
      <c r="H3390">
        <f>F3390*VLOOKUP(B3390,產品!$A$2:$H$61,7,FALSE)*(1-銷售總表!G3390)</f>
        <v>93500</v>
      </c>
      <c r="I3390" s="35">
        <f>H3390-F3390*VLOOKUP(銷售總表!B3390,產品!$A$2:$H$61,8,FALSE)</f>
        <v>22000</v>
      </c>
      <c r="J3390" s="20">
        <f t="shared" si="52"/>
        <v>0.23529411764705882</v>
      </c>
    </row>
    <row r="3391" spans="1:10" x14ac:dyDescent="0.3">
      <c r="A3391" s="33">
        <v>3390</v>
      </c>
      <c r="B3391" s="4">
        <v>1</v>
      </c>
      <c r="C3391" s="15">
        <v>7</v>
      </c>
      <c r="D3391" s="16">
        <v>5</v>
      </c>
      <c r="E3391" s="22">
        <v>44540</v>
      </c>
      <c r="F3391" s="17">
        <v>60</v>
      </c>
      <c r="G3391" s="18">
        <v>0.11</v>
      </c>
      <c r="H3391">
        <f>F3391*VLOOKUP(B3391,產品!$A$2:$H$61,7,FALSE)*(1-銷售總表!G3391)</f>
        <v>53400</v>
      </c>
      <c r="I3391" s="35">
        <f>H3391-F3391*VLOOKUP(銷售總表!B3391,產品!$A$2:$H$61,8,FALSE)</f>
        <v>29400</v>
      </c>
      <c r="J3391" s="20">
        <f t="shared" si="52"/>
        <v>0.550561797752809</v>
      </c>
    </row>
    <row r="3392" spans="1:10" x14ac:dyDescent="0.3">
      <c r="A3392" s="33">
        <v>3391</v>
      </c>
      <c r="B3392" s="4">
        <v>5</v>
      </c>
      <c r="C3392" s="15">
        <v>5</v>
      </c>
      <c r="D3392" s="16">
        <v>3</v>
      </c>
      <c r="E3392" s="22">
        <v>44540</v>
      </c>
      <c r="F3392" s="19">
        <v>135</v>
      </c>
      <c r="G3392" s="18">
        <v>0.08</v>
      </c>
      <c r="H3392">
        <f>F3392*VLOOKUP(B3392,產品!$A$2:$H$61,7,FALSE)*(1-銷售總表!G3392)</f>
        <v>124200</v>
      </c>
      <c r="I3392" s="35">
        <f>H3392-F3392*VLOOKUP(銷售總表!B3392,產品!$A$2:$H$61,8,FALSE)</f>
        <v>70200</v>
      </c>
      <c r="J3392" s="20">
        <f t="shared" si="52"/>
        <v>0.56521739130434778</v>
      </c>
    </row>
    <row r="3393" spans="1:10" x14ac:dyDescent="0.3">
      <c r="A3393" s="33">
        <v>3392</v>
      </c>
      <c r="B3393" s="4">
        <v>19</v>
      </c>
      <c r="C3393" s="15">
        <v>137</v>
      </c>
      <c r="D3393" s="16">
        <v>3</v>
      </c>
      <c r="E3393" s="22">
        <v>44540</v>
      </c>
      <c r="F3393" s="19">
        <v>100</v>
      </c>
      <c r="G3393" s="18">
        <v>0.06</v>
      </c>
      <c r="H3393">
        <f>F3393*VLOOKUP(B3393,產品!$A$2:$H$61,7,FALSE)*(1-銷售總表!G3393)</f>
        <v>169200</v>
      </c>
      <c r="I3393" s="35">
        <f>H3393-F3393*VLOOKUP(銷售總表!B3393,產品!$A$2:$H$61,8,FALSE)</f>
        <v>97200</v>
      </c>
      <c r="J3393" s="20">
        <f t="shared" si="52"/>
        <v>0.57446808510638303</v>
      </c>
    </row>
    <row r="3394" spans="1:10" x14ac:dyDescent="0.3">
      <c r="A3394" s="33">
        <v>3393</v>
      </c>
      <c r="B3394" s="4">
        <v>36</v>
      </c>
      <c r="C3394" s="15">
        <v>121</v>
      </c>
      <c r="D3394" s="16">
        <v>4</v>
      </c>
      <c r="E3394" s="22">
        <v>44541</v>
      </c>
      <c r="F3394" s="19">
        <v>7</v>
      </c>
      <c r="G3394" s="18">
        <v>0.17</v>
      </c>
      <c r="H3394">
        <f>F3394*VLOOKUP(B3394,產品!$A$2:$H$61,7,FALSE)*(1-銷售總表!G3394)</f>
        <v>52290</v>
      </c>
      <c r="I3394" s="35">
        <f>H3394-F3394*VLOOKUP(銷售總表!B3394,產品!$A$2:$H$61,8,FALSE)</f>
        <v>14490</v>
      </c>
      <c r="J3394" s="20">
        <f t="shared" si="52"/>
        <v>0.27710843373493976</v>
      </c>
    </row>
    <row r="3395" spans="1:10" x14ac:dyDescent="0.3">
      <c r="A3395" s="33">
        <v>3394</v>
      </c>
      <c r="B3395" s="4">
        <v>15</v>
      </c>
      <c r="C3395" s="15">
        <v>260</v>
      </c>
      <c r="D3395" s="16">
        <v>4</v>
      </c>
      <c r="E3395" s="22">
        <v>44541</v>
      </c>
      <c r="F3395" s="19">
        <v>60</v>
      </c>
      <c r="G3395" s="18">
        <v>0.13</v>
      </c>
      <c r="H3395">
        <f>F3395*VLOOKUP(B3395,產品!$A$2:$H$61,7,FALSE)*(1-銷售總表!G3395)</f>
        <v>93960</v>
      </c>
      <c r="I3395" s="35">
        <f>H3395-F3395*VLOOKUP(銷售總表!B3395,產品!$A$2:$H$61,8,FALSE)</f>
        <v>50760</v>
      </c>
      <c r="J3395" s="20">
        <f t="shared" ref="J3395:J3458" si="53">I3395/H3395</f>
        <v>0.54022988505747127</v>
      </c>
    </row>
    <row r="3396" spans="1:10" x14ac:dyDescent="0.3">
      <c r="A3396" s="33">
        <v>3395</v>
      </c>
      <c r="B3396" s="4">
        <v>11</v>
      </c>
      <c r="C3396" s="15">
        <v>271</v>
      </c>
      <c r="D3396" s="16">
        <v>4</v>
      </c>
      <c r="E3396" s="22">
        <v>44541</v>
      </c>
      <c r="F3396" s="19">
        <v>300</v>
      </c>
      <c r="G3396" s="18">
        <v>7.0000000000000007E-2</v>
      </c>
      <c r="H3396">
        <f>F3396*VLOOKUP(B3396,產品!$A$2:$H$61,7,FALSE)*(1-銷售總表!G3396)</f>
        <v>279000</v>
      </c>
      <c r="I3396" s="35">
        <f>H3396-F3396*VLOOKUP(銷售總表!B3396,產品!$A$2:$H$61,8,FALSE)</f>
        <v>159000</v>
      </c>
      <c r="J3396" s="20">
        <f t="shared" si="53"/>
        <v>0.56989247311827962</v>
      </c>
    </row>
    <row r="3397" spans="1:10" x14ac:dyDescent="0.3">
      <c r="A3397" s="33">
        <v>3396</v>
      </c>
      <c r="B3397" s="4">
        <v>28</v>
      </c>
      <c r="C3397" s="15">
        <v>122</v>
      </c>
      <c r="D3397" s="16">
        <v>9</v>
      </c>
      <c r="E3397" s="22">
        <v>44542</v>
      </c>
      <c r="F3397" s="17">
        <v>10</v>
      </c>
      <c r="G3397" s="18">
        <v>0.19</v>
      </c>
      <c r="H3397">
        <f>F3397*VLOOKUP(B3397,產品!$A$2:$H$61,7,FALSE)*(1-銷售總表!G3397)</f>
        <v>60750.000000000007</v>
      </c>
      <c r="I3397" s="35">
        <f>H3397-F3397*VLOOKUP(銷售總表!B3397,產品!$A$2:$H$61,8,FALSE)</f>
        <v>15750.000000000007</v>
      </c>
      <c r="J3397" s="20">
        <f t="shared" si="53"/>
        <v>0.25925925925925936</v>
      </c>
    </row>
    <row r="3398" spans="1:10" x14ac:dyDescent="0.3">
      <c r="A3398" s="33">
        <v>3397</v>
      </c>
      <c r="B3398" s="4">
        <v>41</v>
      </c>
      <c r="C3398" s="15">
        <v>278</v>
      </c>
      <c r="D3398" s="16">
        <v>5</v>
      </c>
      <c r="E3398" s="22">
        <v>44543</v>
      </c>
      <c r="F3398" s="19">
        <v>2</v>
      </c>
      <c r="G3398" s="18">
        <v>0.19</v>
      </c>
      <c r="H3398">
        <f>F3398*VLOOKUP(B3398,產品!$A$2:$H$61,7,FALSE)*(1-銷售總表!G3398)</f>
        <v>19440</v>
      </c>
      <c r="I3398" s="35">
        <f>H3398-F3398*VLOOKUP(銷售總表!B3398,產品!$A$2:$H$61,8,FALSE)</f>
        <v>3840</v>
      </c>
      <c r="J3398" s="20">
        <f t="shared" si="53"/>
        <v>0.19753086419753085</v>
      </c>
    </row>
    <row r="3399" spans="1:10" x14ac:dyDescent="0.3">
      <c r="A3399" s="33">
        <v>3398</v>
      </c>
      <c r="B3399" s="4">
        <v>41</v>
      </c>
      <c r="C3399" s="15">
        <v>122</v>
      </c>
      <c r="D3399" s="16">
        <v>3</v>
      </c>
      <c r="E3399" s="22">
        <v>44543</v>
      </c>
      <c r="F3399" s="19">
        <v>2</v>
      </c>
      <c r="G3399" s="18">
        <v>0.11</v>
      </c>
      <c r="H3399">
        <f>F3399*VLOOKUP(B3399,產品!$A$2:$H$61,7,FALSE)*(1-銷售總表!G3399)</f>
        <v>21360</v>
      </c>
      <c r="I3399" s="35">
        <f>H3399-F3399*VLOOKUP(銷售總表!B3399,產品!$A$2:$H$61,8,FALSE)</f>
        <v>5760</v>
      </c>
      <c r="J3399" s="20">
        <f t="shared" si="53"/>
        <v>0.2696629213483146</v>
      </c>
    </row>
    <row r="3400" spans="1:10" x14ac:dyDescent="0.3">
      <c r="A3400" s="33">
        <v>3399</v>
      </c>
      <c r="B3400" s="4">
        <v>38</v>
      </c>
      <c r="C3400" s="15">
        <v>294</v>
      </c>
      <c r="D3400" s="16">
        <v>6</v>
      </c>
      <c r="E3400" s="22">
        <v>44543</v>
      </c>
      <c r="F3400" s="17">
        <v>2</v>
      </c>
      <c r="G3400" s="18">
        <v>0.11</v>
      </c>
      <c r="H3400">
        <f>F3400*VLOOKUP(B3400,產品!$A$2:$H$61,7,FALSE)*(1-銷售總表!G3400)</f>
        <v>26700</v>
      </c>
      <c r="I3400" s="35">
        <f>H3400-F3400*VLOOKUP(銷售總表!B3400,產品!$A$2:$H$61,8,FALSE)</f>
        <v>7200</v>
      </c>
      <c r="J3400" s="20">
        <f t="shared" si="53"/>
        <v>0.2696629213483146</v>
      </c>
    </row>
    <row r="3401" spans="1:10" x14ac:dyDescent="0.3">
      <c r="A3401" s="33">
        <v>3400</v>
      </c>
      <c r="B3401" s="4">
        <v>34</v>
      </c>
      <c r="C3401" s="15">
        <v>8</v>
      </c>
      <c r="D3401" s="16">
        <v>2</v>
      </c>
      <c r="E3401" s="22">
        <v>44543</v>
      </c>
      <c r="F3401" s="19">
        <v>5</v>
      </c>
      <c r="G3401" s="18">
        <v>0.19</v>
      </c>
      <c r="H3401">
        <f>F3401*VLOOKUP(B3401,產品!$A$2:$H$61,7,FALSE)*(1-銷售總表!G3401)</f>
        <v>32400.000000000004</v>
      </c>
      <c r="I3401" s="35">
        <f>H3401-F3401*VLOOKUP(銷售總表!B3401,產品!$A$2:$H$61,8,FALSE)</f>
        <v>8400.0000000000036</v>
      </c>
      <c r="J3401" s="20">
        <f t="shared" si="53"/>
        <v>0.25925925925925936</v>
      </c>
    </row>
    <row r="3402" spans="1:10" x14ac:dyDescent="0.3">
      <c r="A3402" s="33">
        <v>3401</v>
      </c>
      <c r="B3402" s="4">
        <v>15</v>
      </c>
      <c r="C3402" s="15">
        <v>287</v>
      </c>
      <c r="D3402" s="16">
        <v>8</v>
      </c>
      <c r="E3402" s="22">
        <v>44543</v>
      </c>
      <c r="F3402" s="17">
        <v>25</v>
      </c>
      <c r="G3402" s="18">
        <v>0.13</v>
      </c>
      <c r="H3402">
        <f>F3402*VLOOKUP(B3402,產品!$A$2:$H$61,7,FALSE)*(1-銷售總表!G3402)</f>
        <v>39150</v>
      </c>
      <c r="I3402" s="35">
        <f>H3402-F3402*VLOOKUP(銷售總表!B3402,產品!$A$2:$H$61,8,FALSE)</f>
        <v>21150</v>
      </c>
      <c r="J3402" s="20">
        <f t="shared" si="53"/>
        <v>0.54022988505747127</v>
      </c>
    </row>
    <row r="3403" spans="1:10" x14ac:dyDescent="0.3">
      <c r="A3403" s="33">
        <v>3402</v>
      </c>
      <c r="B3403" s="4">
        <v>55</v>
      </c>
      <c r="C3403" s="15">
        <v>274</v>
      </c>
      <c r="D3403" s="16">
        <v>10</v>
      </c>
      <c r="E3403" s="22">
        <v>44543</v>
      </c>
      <c r="F3403" s="19">
        <v>6</v>
      </c>
      <c r="G3403" s="18">
        <v>0.11</v>
      </c>
      <c r="H3403">
        <f>F3403*VLOOKUP(B3403,產品!$A$2:$H$61,7,FALSE)*(1-銷售總表!G3403)</f>
        <v>106800</v>
      </c>
      <c r="I3403" s="35">
        <f>H3403-F3403*VLOOKUP(銷售總表!B3403,產品!$A$2:$H$61,8,FALSE)</f>
        <v>22800</v>
      </c>
      <c r="J3403" s="20">
        <f t="shared" si="53"/>
        <v>0.21348314606741572</v>
      </c>
    </row>
    <row r="3404" spans="1:10" x14ac:dyDescent="0.3">
      <c r="A3404" s="33">
        <v>3403</v>
      </c>
      <c r="B3404" s="4">
        <v>51</v>
      </c>
      <c r="C3404" s="15">
        <v>273</v>
      </c>
      <c r="D3404" s="16">
        <v>6</v>
      </c>
      <c r="E3404" s="22">
        <v>44543</v>
      </c>
      <c r="F3404" s="19">
        <v>13</v>
      </c>
      <c r="G3404" s="18">
        <v>0.19</v>
      </c>
      <c r="H3404">
        <f>F3404*VLOOKUP(B3404,產品!$A$2:$H$61,7,FALSE)*(1-銷售總表!G3404)</f>
        <v>210600</v>
      </c>
      <c r="I3404" s="35">
        <f>H3404-F3404*VLOOKUP(銷售總表!B3404,產品!$A$2:$H$61,8,FALSE)</f>
        <v>28600</v>
      </c>
      <c r="J3404" s="20">
        <f t="shared" si="53"/>
        <v>0.13580246913580246</v>
      </c>
    </row>
    <row r="3405" spans="1:10" x14ac:dyDescent="0.3">
      <c r="A3405" s="33">
        <v>3404</v>
      </c>
      <c r="B3405" s="4">
        <v>1</v>
      </c>
      <c r="C3405" s="15">
        <v>274</v>
      </c>
      <c r="D3405" s="16">
        <v>3</v>
      </c>
      <c r="E3405" s="22">
        <v>44543</v>
      </c>
      <c r="F3405" s="19">
        <v>70</v>
      </c>
      <c r="G3405" s="18">
        <v>0.15</v>
      </c>
      <c r="H3405">
        <f>F3405*VLOOKUP(B3405,產品!$A$2:$H$61,7,FALSE)*(1-銷售總表!G3405)</f>
        <v>59500</v>
      </c>
      <c r="I3405" s="35">
        <f>H3405-F3405*VLOOKUP(銷售總表!B3405,產品!$A$2:$H$61,8,FALSE)</f>
        <v>31500</v>
      </c>
      <c r="J3405" s="20">
        <f t="shared" si="53"/>
        <v>0.52941176470588236</v>
      </c>
    </row>
    <row r="3406" spans="1:10" x14ac:dyDescent="0.3">
      <c r="A3406" s="33">
        <v>3405</v>
      </c>
      <c r="B3406" s="4">
        <v>39</v>
      </c>
      <c r="C3406" s="15">
        <v>273</v>
      </c>
      <c r="D3406" s="16">
        <v>9</v>
      </c>
      <c r="E3406" s="22">
        <v>44543</v>
      </c>
      <c r="F3406" s="17">
        <v>9</v>
      </c>
      <c r="G3406" s="18">
        <v>0.14000000000000001</v>
      </c>
      <c r="H3406">
        <f>F3406*VLOOKUP(B3406,產品!$A$2:$H$61,7,FALSE)*(1-銷售總表!G3406)</f>
        <v>139320</v>
      </c>
      <c r="I3406" s="35">
        <f>H3406-F3406*VLOOKUP(銷售總表!B3406,產品!$A$2:$H$61,8,FALSE)</f>
        <v>34020</v>
      </c>
      <c r="J3406" s="20">
        <f t="shared" si="53"/>
        <v>0.2441860465116279</v>
      </c>
    </row>
    <row r="3407" spans="1:10" x14ac:dyDescent="0.3">
      <c r="A3407" s="33">
        <v>3406</v>
      </c>
      <c r="B3407" s="4">
        <v>53</v>
      </c>
      <c r="C3407" s="15">
        <v>2</v>
      </c>
      <c r="D3407" s="16">
        <v>9</v>
      </c>
      <c r="E3407" s="22">
        <v>44543</v>
      </c>
      <c r="F3407" s="19">
        <v>18</v>
      </c>
      <c r="G3407" s="18">
        <v>0.15</v>
      </c>
      <c r="H3407">
        <f>F3407*VLOOKUP(B3407,產品!$A$2:$H$61,7,FALSE)*(1-銷售總表!G3407)</f>
        <v>229500</v>
      </c>
      <c r="I3407" s="35">
        <f>H3407-F3407*VLOOKUP(銷售總表!B3407,產品!$A$2:$H$61,8,FALSE)</f>
        <v>40500</v>
      </c>
      <c r="J3407" s="20">
        <f t="shared" si="53"/>
        <v>0.17647058823529413</v>
      </c>
    </row>
    <row r="3408" spans="1:10" x14ac:dyDescent="0.3">
      <c r="A3408" s="33">
        <v>3407</v>
      </c>
      <c r="B3408" s="4">
        <v>23</v>
      </c>
      <c r="C3408" s="15">
        <v>116</v>
      </c>
      <c r="D3408" s="16">
        <v>10</v>
      </c>
      <c r="E3408" s="22">
        <v>44544</v>
      </c>
      <c r="F3408" s="19">
        <v>30</v>
      </c>
      <c r="G3408" s="18">
        <v>7.0000000000000007E-2</v>
      </c>
      <c r="H3408">
        <f>F3408*VLOOKUP(B3408,產品!$A$2:$H$61,7,FALSE)*(1-銷售總表!G3408)</f>
        <v>50220</v>
      </c>
      <c r="I3408" s="35">
        <f>H3408-F3408*VLOOKUP(銷售總表!B3408,產品!$A$2:$H$61,8,FALSE)</f>
        <v>28620</v>
      </c>
      <c r="J3408" s="20">
        <f t="shared" si="53"/>
        <v>0.56989247311827962</v>
      </c>
    </row>
    <row r="3409" spans="1:10" x14ac:dyDescent="0.3">
      <c r="A3409" s="33">
        <v>3408</v>
      </c>
      <c r="B3409" s="4">
        <v>44</v>
      </c>
      <c r="C3409" s="15">
        <v>264</v>
      </c>
      <c r="D3409" s="16">
        <v>4</v>
      </c>
      <c r="E3409" s="22">
        <v>44544</v>
      </c>
      <c r="F3409" s="19">
        <v>10</v>
      </c>
      <c r="G3409" s="18">
        <v>0.08</v>
      </c>
      <c r="H3409">
        <f>F3409*VLOOKUP(B3409,產品!$A$2:$H$61,7,FALSE)*(1-銷售總表!G3409)</f>
        <v>184000</v>
      </c>
      <c r="I3409" s="35">
        <f>H3409-F3409*VLOOKUP(銷售總表!B3409,產品!$A$2:$H$61,8,FALSE)</f>
        <v>54000</v>
      </c>
      <c r="J3409" s="20">
        <f t="shared" si="53"/>
        <v>0.29347826086956524</v>
      </c>
    </row>
    <row r="3410" spans="1:10" x14ac:dyDescent="0.3">
      <c r="A3410" s="33">
        <v>3409</v>
      </c>
      <c r="B3410" s="4">
        <v>2</v>
      </c>
      <c r="C3410" s="15">
        <v>8</v>
      </c>
      <c r="D3410" s="16">
        <v>5</v>
      </c>
      <c r="E3410" s="22">
        <v>44544</v>
      </c>
      <c r="F3410" s="17">
        <v>250</v>
      </c>
      <c r="G3410" s="18">
        <v>0.17</v>
      </c>
      <c r="H3410">
        <f>F3410*VLOOKUP(B3410,產品!$A$2:$H$61,7,FALSE)*(1-銷售總表!G3410)</f>
        <v>207500</v>
      </c>
      <c r="I3410" s="35">
        <f>H3410-F3410*VLOOKUP(銷售總表!B3410,產品!$A$2:$H$61,8,FALSE)</f>
        <v>107500</v>
      </c>
      <c r="J3410" s="20">
        <f t="shared" si="53"/>
        <v>0.51807228915662651</v>
      </c>
    </row>
    <row r="3411" spans="1:10" x14ac:dyDescent="0.3">
      <c r="A3411" s="33">
        <v>3410</v>
      </c>
      <c r="B3411" s="4">
        <v>29</v>
      </c>
      <c r="C3411" s="15">
        <v>258</v>
      </c>
      <c r="D3411" s="16">
        <v>2</v>
      </c>
      <c r="E3411" s="22">
        <v>44545</v>
      </c>
      <c r="F3411" s="19">
        <v>4</v>
      </c>
      <c r="G3411" s="18">
        <v>0.18</v>
      </c>
      <c r="H3411">
        <f>F3411*VLOOKUP(B3411,產品!$A$2:$H$61,7,FALSE)*(1-銷售總表!G3411)</f>
        <v>19680</v>
      </c>
      <c r="I3411" s="35">
        <f>H3411-F3411*VLOOKUP(銷售總表!B3411,產品!$A$2:$H$61,8,FALSE)</f>
        <v>5280</v>
      </c>
      <c r="J3411" s="20">
        <f t="shared" si="53"/>
        <v>0.26829268292682928</v>
      </c>
    </row>
    <row r="3412" spans="1:10" x14ac:dyDescent="0.3">
      <c r="A3412" s="33">
        <v>3411</v>
      </c>
      <c r="B3412" s="4">
        <v>33</v>
      </c>
      <c r="C3412" s="15">
        <v>138</v>
      </c>
      <c r="D3412" s="16">
        <v>1</v>
      </c>
      <c r="E3412" s="22">
        <v>44545</v>
      </c>
      <c r="F3412" s="19">
        <v>5</v>
      </c>
      <c r="G3412" s="18">
        <v>0.17</v>
      </c>
      <c r="H3412">
        <f>F3412*VLOOKUP(B3412,產品!$A$2:$H$61,7,FALSE)*(1-銷售總表!G3412)</f>
        <v>31125</v>
      </c>
      <c r="I3412" s="35">
        <f>H3412-F3412*VLOOKUP(銷售總表!B3412,產品!$A$2:$H$61,8,FALSE)</f>
        <v>8625</v>
      </c>
      <c r="J3412" s="20">
        <f t="shared" si="53"/>
        <v>0.27710843373493976</v>
      </c>
    </row>
    <row r="3413" spans="1:10" x14ac:dyDescent="0.3">
      <c r="A3413" s="33">
        <v>3412</v>
      </c>
      <c r="B3413" s="4">
        <v>47</v>
      </c>
      <c r="C3413" s="15">
        <v>291</v>
      </c>
      <c r="D3413" s="16">
        <v>5</v>
      </c>
      <c r="E3413" s="22">
        <v>44545</v>
      </c>
      <c r="F3413" s="19">
        <v>8</v>
      </c>
      <c r="G3413" s="18">
        <v>0.11</v>
      </c>
      <c r="H3413">
        <f>F3413*VLOOKUP(B3413,產品!$A$2:$H$61,7,FALSE)*(1-銷售總表!G3413)</f>
        <v>142400</v>
      </c>
      <c r="I3413" s="35">
        <f>H3413-F3413*VLOOKUP(銷售總表!B3413,產品!$A$2:$H$61,8,FALSE)</f>
        <v>38400</v>
      </c>
      <c r="J3413" s="20">
        <f t="shared" si="53"/>
        <v>0.2696629213483146</v>
      </c>
    </row>
    <row r="3414" spans="1:10" x14ac:dyDescent="0.3">
      <c r="A3414" s="33">
        <v>3413</v>
      </c>
      <c r="B3414" s="4">
        <v>38</v>
      </c>
      <c r="C3414" s="15">
        <v>280</v>
      </c>
      <c r="D3414" s="16">
        <v>9</v>
      </c>
      <c r="E3414" s="22">
        <v>44546</v>
      </c>
      <c r="F3414" s="17">
        <v>2</v>
      </c>
      <c r="G3414" s="18">
        <v>0.06</v>
      </c>
      <c r="H3414">
        <f>F3414*VLOOKUP(B3414,產品!$A$2:$H$61,7,FALSE)*(1-銷售總表!G3414)</f>
        <v>28200</v>
      </c>
      <c r="I3414" s="35">
        <f>H3414-F3414*VLOOKUP(銷售總表!B3414,產品!$A$2:$H$61,8,FALSE)</f>
        <v>8700</v>
      </c>
      <c r="J3414" s="20">
        <f t="shared" si="53"/>
        <v>0.30851063829787234</v>
      </c>
    </row>
    <row r="3415" spans="1:10" x14ac:dyDescent="0.3">
      <c r="A3415" s="33">
        <v>3414</v>
      </c>
      <c r="B3415" s="4">
        <v>57</v>
      </c>
      <c r="C3415" s="15">
        <v>121</v>
      </c>
      <c r="D3415" s="16">
        <v>9</v>
      </c>
      <c r="E3415" s="22">
        <v>44546</v>
      </c>
      <c r="F3415" s="19">
        <v>5</v>
      </c>
      <c r="G3415" s="18">
        <v>0.2</v>
      </c>
      <c r="H3415">
        <f>F3415*VLOOKUP(B3415,產品!$A$2:$H$61,7,FALSE)*(1-銷售總表!G3415)</f>
        <v>72000</v>
      </c>
      <c r="I3415" s="35">
        <f>H3415-F3415*VLOOKUP(銷售總表!B3415,產品!$A$2:$H$61,8,FALSE)</f>
        <v>9000</v>
      </c>
      <c r="J3415" s="20">
        <f t="shared" si="53"/>
        <v>0.125</v>
      </c>
    </row>
    <row r="3416" spans="1:10" x14ac:dyDescent="0.3">
      <c r="A3416" s="33">
        <v>3415</v>
      </c>
      <c r="B3416" s="4">
        <v>38</v>
      </c>
      <c r="C3416" s="15">
        <v>257</v>
      </c>
      <c r="D3416" s="16">
        <v>5</v>
      </c>
      <c r="E3416" s="22">
        <v>44546</v>
      </c>
      <c r="F3416" s="17">
        <v>5</v>
      </c>
      <c r="G3416" s="18">
        <v>0.2</v>
      </c>
      <c r="H3416">
        <f>F3416*VLOOKUP(B3416,產品!$A$2:$H$61,7,FALSE)*(1-銷售總表!G3416)</f>
        <v>60000</v>
      </c>
      <c r="I3416" s="35">
        <f>H3416-F3416*VLOOKUP(銷售總表!B3416,產品!$A$2:$H$61,8,FALSE)</f>
        <v>11250</v>
      </c>
      <c r="J3416" s="20">
        <f t="shared" si="53"/>
        <v>0.1875</v>
      </c>
    </row>
    <row r="3417" spans="1:10" x14ac:dyDescent="0.3">
      <c r="A3417" s="33">
        <v>3416</v>
      </c>
      <c r="B3417" s="4">
        <v>8</v>
      </c>
      <c r="C3417" s="15">
        <v>262</v>
      </c>
      <c r="D3417" s="16">
        <v>3</v>
      </c>
      <c r="E3417" s="22">
        <v>44546</v>
      </c>
      <c r="F3417" s="17">
        <v>30</v>
      </c>
      <c r="G3417" s="18">
        <v>0.19</v>
      </c>
      <c r="H3417">
        <f>F3417*VLOOKUP(B3417,產品!$A$2:$H$61,7,FALSE)*(1-銷售總表!G3417)</f>
        <v>24300</v>
      </c>
      <c r="I3417" s="35">
        <f>H3417-F3417*VLOOKUP(銷售總表!B3417,產品!$A$2:$H$61,8,FALSE)</f>
        <v>12300</v>
      </c>
      <c r="J3417" s="20">
        <f t="shared" si="53"/>
        <v>0.50617283950617287</v>
      </c>
    </row>
    <row r="3418" spans="1:10" x14ac:dyDescent="0.3">
      <c r="A3418" s="33">
        <v>3417</v>
      </c>
      <c r="B3418" s="4">
        <v>8</v>
      </c>
      <c r="C3418" s="15">
        <v>276</v>
      </c>
      <c r="D3418" s="16">
        <v>8</v>
      </c>
      <c r="E3418" s="22">
        <v>44546</v>
      </c>
      <c r="F3418" s="19">
        <v>40</v>
      </c>
      <c r="G3418" s="18">
        <v>0.15</v>
      </c>
      <c r="H3418">
        <f>F3418*VLOOKUP(B3418,產品!$A$2:$H$61,7,FALSE)*(1-銷售總表!G3418)</f>
        <v>34000</v>
      </c>
      <c r="I3418" s="35">
        <f>H3418-F3418*VLOOKUP(銷售總表!B3418,產品!$A$2:$H$61,8,FALSE)</f>
        <v>18000</v>
      </c>
      <c r="J3418" s="20">
        <f t="shared" si="53"/>
        <v>0.52941176470588236</v>
      </c>
    </row>
    <row r="3419" spans="1:10" x14ac:dyDescent="0.3">
      <c r="A3419" s="33">
        <v>3418</v>
      </c>
      <c r="B3419" s="4">
        <v>31</v>
      </c>
      <c r="C3419" s="15">
        <v>271</v>
      </c>
      <c r="D3419" s="16">
        <v>7</v>
      </c>
      <c r="E3419" s="22">
        <v>44546</v>
      </c>
      <c r="F3419" s="19">
        <v>9</v>
      </c>
      <c r="G3419" s="18">
        <v>7.0000000000000007E-2</v>
      </c>
      <c r="H3419">
        <f>F3419*VLOOKUP(B3419,產品!$A$2:$H$61,7,FALSE)*(1-銷售總表!G3419)</f>
        <v>58589.999999999993</v>
      </c>
      <c r="I3419" s="35">
        <f>H3419-F3419*VLOOKUP(銷售總表!B3419,產品!$A$2:$H$61,8,FALSE)</f>
        <v>20789.999999999993</v>
      </c>
      <c r="J3419" s="20">
        <f t="shared" si="53"/>
        <v>0.35483870967741926</v>
      </c>
    </row>
    <row r="3420" spans="1:10" x14ac:dyDescent="0.3">
      <c r="A3420" s="33">
        <v>3419</v>
      </c>
      <c r="B3420" s="4">
        <v>30</v>
      </c>
      <c r="C3420" s="15">
        <v>268</v>
      </c>
      <c r="D3420" s="16">
        <v>8</v>
      </c>
      <c r="E3420" s="22">
        <v>44546</v>
      </c>
      <c r="F3420" s="19">
        <v>16</v>
      </c>
      <c r="G3420" s="18">
        <v>0.2</v>
      </c>
      <c r="H3420">
        <f>F3420*VLOOKUP(B3420,產品!$A$2:$H$61,7,FALSE)*(1-銷售總表!G3420)</f>
        <v>83200</v>
      </c>
      <c r="I3420" s="35">
        <f>H3420-F3420*VLOOKUP(銷售總表!B3420,產品!$A$2:$H$61,8,FALSE)</f>
        <v>20800</v>
      </c>
      <c r="J3420" s="20">
        <f t="shared" si="53"/>
        <v>0.25</v>
      </c>
    </row>
    <row r="3421" spans="1:10" x14ac:dyDescent="0.3">
      <c r="A3421" s="33">
        <v>3420</v>
      </c>
      <c r="B3421" s="4">
        <v>31</v>
      </c>
      <c r="C3421" s="15">
        <v>274</v>
      </c>
      <c r="D3421" s="16">
        <v>7</v>
      </c>
      <c r="E3421" s="22">
        <v>44546</v>
      </c>
      <c r="F3421" s="19">
        <v>12</v>
      </c>
      <c r="G3421" s="18">
        <v>0.15</v>
      </c>
      <c r="H3421">
        <f>F3421*VLOOKUP(B3421,產品!$A$2:$H$61,7,FALSE)*(1-銷售總表!G3421)</f>
        <v>71400</v>
      </c>
      <c r="I3421" s="35">
        <f>H3421-F3421*VLOOKUP(銷售總表!B3421,產品!$A$2:$H$61,8,FALSE)</f>
        <v>21000</v>
      </c>
      <c r="J3421" s="20">
        <f t="shared" si="53"/>
        <v>0.29411764705882354</v>
      </c>
    </row>
    <row r="3422" spans="1:10" x14ac:dyDescent="0.3">
      <c r="A3422" s="33">
        <v>3421</v>
      </c>
      <c r="B3422" s="4">
        <v>16</v>
      </c>
      <c r="C3422" s="15">
        <v>2</v>
      </c>
      <c r="D3422" s="16">
        <v>4</v>
      </c>
      <c r="E3422" s="22">
        <v>44546</v>
      </c>
      <c r="F3422" s="19">
        <v>30</v>
      </c>
      <c r="G3422" s="18">
        <v>7.0000000000000007E-2</v>
      </c>
      <c r="H3422">
        <f>F3422*VLOOKUP(B3422,產品!$A$2:$H$61,7,FALSE)*(1-銷售總表!G3422)</f>
        <v>50220</v>
      </c>
      <c r="I3422" s="35">
        <f>H3422-F3422*VLOOKUP(銷售總表!B3422,產品!$A$2:$H$61,8,FALSE)</f>
        <v>28620</v>
      </c>
      <c r="J3422" s="20">
        <f t="shared" si="53"/>
        <v>0.56989247311827962</v>
      </c>
    </row>
    <row r="3423" spans="1:10" x14ac:dyDescent="0.3">
      <c r="A3423" s="33">
        <v>3422</v>
      </c>
      <c r="B3423" s="4">
        <v>11</v>
      </c>
      <c r="C3423" s="15">
        <v>1</v>
      </c>
      <c r="D3423" s="16">
        <v>6</v>
      </c>
      <c r="E3423" s="22">
        <v>44546</v>
      </c>
      <c r="F3423" s="17">
        <v>90</v>
      </c>
      <c r="G3423" s="18">
        <v>0.09</v>
      </c>
      <c r="H3423">
        <f>F3423*VLOOKUP(B3423,產品!$A$2:$H$61,7,FALSE)*(1-銷售總表!G3423)</f>
        <v>81900</v>
      </c>
      <c r="I3423" s="35">
        <f>H3423-F3423*VLOOKUP(銷售總表!B3423,產品!$A$2:$H$61,8,FALSE)</f>
        <v>45900</v>
      </c>
      <c r="J3423" s="20">
        <f t="shared" si="53"/>
        <v>0.56043956043956045</v>
      </c>
    </row>
    <row r="3424" spans="1:10" x14ac:dyDescent="0.3">
      <c r="A3424" s="33">
        <v>3423</v>
      </c>
      <c r="B3424" s="4">
        <v>36</v>
      </c>
      <c r="C3424" s="15">
        <v>114</v>
      </c>
      <c r="D3424" s="16">
        <v>3</v>
      </c>
      <c r="E3424" s="22">
        <v>44546</v>
      </c>
      <c r="F3424" s="19">
        <v>25</v>
      </c>
      <c r="G3424" s="18">
        <v>0.18</v>
      </c>
      <c r="H3424">
        <f>F3424*VLOOKUP(B3424,產品!$A$2:$H$61,7,FALSE)*(1-銷售總表!G3424)</f>
        <v>184500</v>
      </c>
      <c r="I3424" s="35">
        <f>H3424-F3424*VLOOKUP(銷售總表!B3424,產品!$A$2:$H$61,8,FALSE)</f>
        <v>49500</v>
      </c>
      <c r="J3424" s="20">
        <f t="shared" si="53"/>
        <v>0.26829268292682928</v>
      </c>
    </row>
    <row r="3425" spans="1:10" x14ac:dyDescent="0.3">
      <c r="A3425" s="33">
        <v>3424</v>
      </c>
      <c r="B3425" s="4">
        <v>53</v>
      </c>
      <c r="C3425" s="15">
        <v>293</v>
      </c>
      <c r="D3425" s="16">
        <v>9</v>
      </c>
      <c r="E3425" s="22">
        <v>44547</v>
      </c>
      <c r="F3425" s="17">
        <v>3</v>
      </c>
      <c r="G3425" s="18">
        <v>0.18</v>
      </c>
      <c r="H3425">
        <f>F3425*VLOOKUP(B3425,產品!$A$2:$H$61,7,FALSE)*(1-銷售總表!G3425)</f>
        <v>36900</v>
      </c>
      <c r="I3425" s="35">
        <f>H3425-F3425*VLOOKUP(銷售總表!B3425,產品!$A$2:$H$61,8,FALSE)</f>
        <v>5400</v>
      </c>
      <c r="J3425" s="20">
        <f t="shared" si="53"/>
        <v>0.14634146341463414</v>
      </c>
    </row>
    <row r="3426" spans="1:10" x14ac:dyDescent="0.3">
      <c r="A3426" s="33">
        <v>3425</v>
      </c>
      <c r="B3426" s="4">
        <v>19</v>
      </c>
      <c r="C3426" s="15">
        <v>12</v>
      </c>
      <c r="D3426" s="16">
        <v>10</v>
      </c>
      <c r="E3426" s="22">
        <v>44547</v>
      </c>
      <c r="F3426" s="17">
        <v>14</v>
      </c>
      <c r="G3426" s="18">
        <v>7.0000000000000007E-2</v>
      </c>
      <c r="H3426">
        <f>F3426*VLOOKUP(B3426,產品!$A$2:$H$61,7,FALSE)*(1-銷售總表!G3426)</f>
        <v>23436</v>
      </c>
      <c r="I3426" s="35">
        <f>H3426-F3426*VLOOKUP(銷售總表!B3426,產品!$A$2:$H$61,8,FALSE)</f>
        <v>13356</v>
      </c>
      <c r="J3426" s="20">
        <f t="shared" si="53"/>
        <v>0.56989247311827962</v>
      </c>
    </row>
    <row r="3427" spans="1:10" x14ac:dyDescent="0.3">
      <c r="A3427" s="33">
        <v>3426</v>
      </c>
      <c r="B3427" s="4">
        <v>19</v>
      </c>
      <c r="C3427" s="15">
        <v>115</v>
      </c>
      <c r="D3427" s="16">
        <v>10</v>
      </c>
      <c r="E3427" s="22">
        <v>44547</v>
      </c>
      <c r="F3427" s="19">
        <v>20</v>
      </c>
      <c r="G3427" s="18">
        <v>0.17</v>
      </c>
      <c r="H3427">
        <f>F3427*VLOOKUP(B3427,產品!$A$2:$H$61,7,FALSE)*(1-銷售總表!G3427)</f>
        <v>29880</v>
      </c>
      <c r="I3427" s="35">
        <f>H3427-F3427*VLOOKUP(銷售總表!B3427,產品!$A$2:$H$61,8,FALSE)</f>
        <v>15480</v>
      </c>
      <c r="J3427" s="20">
        <f t="shared" si="53"/>
        <v>0.51807228915662651</v>
      </c>
    </row>
    <row r="3428" spans="1:10" x14ac:dyDescent="0.3">
      <c r="A3428" s="33">
        <v>3427</v>
      </c>
      <c r="B3428" s="4">
        <v>22</v>
      </c>
      <c r="C3428" s="15">
        <v>277</v>
      </c>
      <c r="D3428" s="16">
        <v>4</v>
      </c>
      <c r="E3428" s="22">
        <v>44547</v>
      </c>
      <c r="F3428" s="17">
        <v>20</v>
      </c>
      <c r="G3428" s="18">
        <v>0.05</v>
      </c>
      <c r="H3428">
        <f>F3428*VLOOKUP(B3428,產品!$A$2:$H$61,7,FALSE)*(1-銷售總表!G3428)</f>
        <v>34200</v>
      </c>
      <c r="I3428" s="35">
        <f>H3428-F3428*VLOOKUP(銷售總表!B3428,產品!$A$2:$H$61,8,FALSE)</f>
        <v>19800</v>
      </c>
      <c r="J3428" s="20">
        <f t="shared" si="53"/>
        <v>0.57894736842105265</v>
      </c>
    </row>
    <row r="3429" spans="1:10" x14ac:dyDescent="0.3">
      <c r="A3429" s="33">
        <v>3428</v>
      </c>
      <c r="B3429" s="4">
        <v>55</v>
      </c>
      <c r="C3429" s="15">
        <v>9</v>
      </c>
      <c r="D3429" s="16">
        <v>10</v>
      </c>
      <c r="E3429" s="22">
        <v>44547</v>
      </c>
      <c r="F3429" s="17">
        <v>10</v>
      </c>
      <c r="G3429" s="18">
        <v>0.13</v>
      </c>
      <c r="H3429">
        <f>F3429*VLOOKUP(B3429,產品!$A$2:$H$61,7,FALSE)*(1-銷售總表!G3429)</f>
        <v>174000</v>
      </c>
      <c r="I3429" s="35">
        <f>H3429-F3429*VLOOKUP(銷售總表!B3429,產品!$A$2:$H$61,8,FALSE)</f>
        <v>34000</v>
      </c>
      <c r="J3429" s="20">
        <f t="shared" si="53"/>
        <v>0.19540229885057472</v>
      </c>
    </row>
    <row r="3430" spans="1:10" x14ac:dyDescent="0.3">
      <c r="A3430" s="33">
        <v>3429</v>
      </c>
      <c r="B3430" s="4">
        <v>42</v>
      </c>
      <c r="C3430" s="15">
        <v>9</v>
      </c>
      <c r="D3430" s="16">
        <v>9</v>
      </c>
      <c r="E3430" s="22">
        <v>44547</v>
      </c>
      <c r="F3430" s="17">
        <v>15</v>
      </c>
      <c r="G3430" s="18">
        <v>0.17</v>
      </c>
      <c r="H3430">
        <f>F3430*VLOOKUP(B3430,產品!$A$2:$H$61,7,FALSE)*(1-銷售總表!G3430)</f>
        <v>186750</v>
      </c>
      <c r="I3430" s="35">
        <f>H3430-F3430*VLOOKUP(銷售總表!B3430,產品!$A$2:$H$61,8,FALSE)</f>
        <v>40500</v>
      </c>
      <c r="J3430" s="20">
        <f t="shared" si="53"/>
        <v>0.21686746987951808</v>
      </c>
    </row>
    <row r="3431" spans="1:10" x14ac:dyDescent="0.3">
      <c r="A3431" s="33">
        <v>3430</v>
      </c>
      <c r="B3431" s="4">
        <v>7</v>
      </c>
      <c r="C3431" s="15">
        <v>264</v>
      </c>
      <c r="D3431" s="16">
        <v>10</v>
      </c>
      <c r="E3431" s="22">
        <v>44547</v>
      </c>
      <c r="F3431" s="17">
        <v>100</v>
      </c>
      <c r="G3431" s="18">
        <v>0.12</v>
      </c>
      <c r="H3431">
        <f>F3431*VLOOKUP(B3431,產品!$A$2:$H$61,7,FALSE)*(1-銷售總表!G3431)</f>
        <v>88000</v>
      </c>
      <c r="I3431" s="35">
        <f>H3431-F3431*VLOOKUP(銷售總表!B3431,產品!$A$2:$H$61,8,FALSE)</f>
        <v>48000</v>
      </c>
      <c r="J3431" s="20">
        <f t="shared" si="53"/>
        <v>0.54545454545454541</v>
      </c>
    </row>
    <row r="3432" spans="1:10" x14ac:dyDescent="0.3">
      <c r="A3432" s="33">
        <v>3431</v>
      </c>
      <c r="B3432" s="4">
        <v>35</v>
      </c>
      <c r="C3432" s="15">
        <v>112</v>
      </c>
      <c r="D3432" s="16">
        <v>2</v>
      </c>
      <c r="E3432" s="22">
        <v>44547</v>
      </c>
      <c r="F3432" s="19">
        <v>35</v>
      </c>
      <c r="G3432" s="18">
        <v>0.19</v>
      </c>
      <c r="H3432">
        <f>F3432*VLOOKUP(B3432,產品!$A$2:$H$61,7,FALSE)*(1-銷售總表!G3432)</f>
        <v>240975.00000000003</v>
      </c>
      <c r="I3432" s="35">
        <f>H3432-F3432*VLOOKUP(銷售總表!B3432,產品!$A$2:$H$61,8,FALSE)</f>
        <v>62475.000000000029</v>
      </c>
      <c r="J3432" s="20">
        <f t="shared" si="53"/>
        <v>0.25925925925925936</v>
      </c>
    </row>
    <row r="3433" spans="1:10" x14ac:dyDescent="0.3">
      <c r="A3433" s="33">
        <v>3432</v>
      </c>
      <c r="B3433" s="4">
        <v>58</v>
      </c>
      <c r="C3433" s="15">
        <v>140</v>
      </c>
      <c r="D3433" s="16">
        <v>9</v>
      </c>
      <c r="E3433" s="22">
        <v>44548</v>
      </c>
      <c r="F3433" s="19">
        <v>11</v>
      </c>
      <c r="G3433" s="18">
        <v>0.2</v>
      </c>
      <c r="H3433">
        <f>F3433*VLOOKUP(B3433,產品!$A$2:$H$61,7,FALSE)*(1-銷售總表!G3433)</f>
        <v>184800</v>
      </c>
      <c r="I3433" s="35">
        <f>H3433-F3433*VLOOKUP(銷售總表!B3433,產品!$A$2:$H$61,8,FALSE)</f>
        <v>23100.000000000029</v>
      </c>
      <c r="J3433" s="20">
        <f t="shared" si="53"/>
        <v>0.12500000000000017</v>
      </c>
    </row>
    <row r="3434" spans="1:10" x14ac:dyDescent="0.3">
      <c r="A3434" s="33">
        <v>3433</v>
      </c>
      <c r="B3434" s="4">
        <v>30</v>
      </c>
      <c r="C3434" s="15">
        <v>119</v>
      </c>
      <c r="D3434" s="16">
        <v>8</v>
      </c>
      <c r="E3434" s="22">
        <v>44549</v>
      </c>
      <c r="F3434" s="19">
        <v>10</v>
      </c>
      <c r="G3434" s="18">
        <v>7.0000000000000007E-2</v>
      </c>
      <c r="H3434">
        <f>F3434*VLOOKUP(B3434,產品!$A$2:$H$61,7,FALSE)*(1-銷售總表!G3434)</f>
        <v>60449.999999999993</v>
      </c>
      <c r="I3434" s="35">
        <f>H3434-F3434*VLOOKUP(銷售總表!B3434,產品!$A$2:$H$61,8,FALSE)</f>
        <v>21449.999999999993</v>
      </c>
      <c r="J3434" s="20">
        <f t="shared" si="53"/>
        <v>0.35483870967741926</v>
      </c>
    </row>
    <row r="3435" spans="1:10" x14ac:dyDescent="0.3">
      <c r="A3435" s="33">
        <v>3434</v>
      </c>
      <c r="B3435" s="4">
        <v>30</v>
      </c>
      <c r="C3435" s="15">
        <v>285</v>
      </c>
      <c r="D3435" s="16">
        <v>1</v>
      </c>
      <c r="E3435" s="22">
        <v>44549</v>
      </c>
      <c r="F3435" s="19">
        <v>9</v>
      </c>
      <c r="G3435" s="18">
        <v>0.15</v>
      </c>
      <c r="H3435">
        <f>F3435*VLOOKUP(B3435,產品!$A$2:$H$61,7,FALSE)*(1-銷售總表!G3435)</f>
        <v>49725</v>
      </c>
      <c r="I3435" s="35">
        <f>H3435-F3435*VLOOKUP(銷售總表!B3435,產品!$A$2:$H$61,8,FALSE)</f>
        <v>14625</v>
      </c>
      <c r="J3435" s="20">
        <f t="shared" si="53"/>
        <v>0.29411764705882354</v>
      </c>
    </row>
    <row r="3436" spans="1:10" x14ac:dyDescent="0.3">
      <c r="A3436" s="33">
        <v>3435</v>
      </c>
      <c r="B3436" s="4">
        <v>48</v>
      </c>
      <c r="C3436" s="15">
        <v>264</v>
      </c>
      <c r="D3436" s="16">
        <v>3</v>
      </c>
      <c r="E3436" s="22">
        <v>44549</v>
      </c>
      <c r="F3436" s="19">
        <v>4</v>
      </c>
      <c r="G3436" s="18">
        <v>0.11</v>
      </c>
      <c r="H3436">
        <f>F3436*VLOOKUP(B3436,產品!$A$2:$H$61,7,FALSE)*(1-銷售總表!G3436)</f>
        <v>78320</v>
      </c>
      <c r="I3436" s="35">
        <f>H3436-F3436*VLOOKUP(銷售總表!B3436,產品!$A$2:$H$61,8,FALSE)</f>
        <v>21120</v>
      </c>
      <c r="J3436" s="20">
        <f t="shared" si="53"/>
        <v>0.2696629213483146</v>
      </c>
    </row>
    <row r="3437" spans="1:10" x14ac:dyDescent="0.3">
      <c r="A3437" s="33">
        <v>3436</v>
      </c>
      <c r="B3437" s="4">
        <v>59</v>
      </c>
      <c r="C3437" s="15">
        <v>12</v>
      </c>
      <c r="D3437" s="16">
        <v>9</v>
      </c>
      <c r="E3437" s="22">
        <v>44549</v>
      </c>
      <c r="F3437" s="19">
        <v>10</v>
      </c>
      <c r="G3437" s="18">
        <v>0.09</v>
      </c>
      <c r="H3437">
        <f>F3437*VLOOKUP(B3437,產品!$A$2:$H$61,7,FALSE)*(1-銷售總表!G3437)</f>
        <v>218400</v>
      </c>
      <c r="I3437" s="35">
        <f>H3437-F3437*VLOOKUP(銷售總表!B3437,產品!$A$2:$H$61,8,FALSE)</f>
        <v>50400</v>
      </c>
      <c r="J3437" s="20">
        <f t="shared" si="53"/>
        <v>0.23076923076923078</v>
      </c>
    </row>
    <row r="3438" spans="1:10" x14ac:dyDescent="0.3">
      <c r="A3438" s="33">
        <v>3437</v>
      </c>
      <c r="B3438" s="4">
        <v>27</v>
      </c>
      <c r="C3438" s="15">
        <v>10</v>
      </c>
      <c r="D3438" s="16">
        <v>6</v>
      </c>
      <c r="E3438" s="22">
        <v>44549</v>
      </c>
      <c r="F3438" s="19">
        <v>25</v>
      </c>
      <c r="G3438" s="18">
        <v>0.1</v>
      </c>
      <c r="H3438">
        <f>F3438*VLOOKUP(B3438,產品!$A$2:$H$61,7,FALSE)*(1-銷售總表!G3438)</f>
        <v>157500</v>
      </c>
      <c r="I3438" s="35">
        <f>H3438-F3438*VLOOKUP(銷售總表!B3438,產品!$A$2:$H$61,8,FALSE)</f>
        <v>52500</v>
      </c>
      <c r="J3438" s="20">
        <f t="shared" si="53"/>
        <v>0.33333333333333331</v>
      </c>
    </row>
    <row r="3439" spans="1:10" x14ac:dyDescent="0.3">
      <c r="A3439" s="33">
        <v>3438</v>
      </c>
      <c r="B3439" s="4">
        <v>15</v>
      </c>
      <c r="C3439" s="15">
        <v>265</v>
      </c>
      <c r="D3439" s="16">
        <v>9</v>
      </c>
      <c r="E3439" s="22">
        <v>44549</v>
      </c>
      <c r="F3439" s="17">
        <v>70</v>
      </c>
      <c r="G3439" s="18">
        <v>0.09</v>
      </c>
      <c r="H3439">
        <f>F3439*VLOOKUP(B3439,產品!$A$2:$H$61,7,FALSE)*(1-銷售總表!G3439)</f>
        <v>114660</v>
      </c>
      <c r="I3439" s="35">
        <f>H3439-F3439*VLOOKUP(銷售總表!B3439,產品!$A$2:$H$61,8,FALSE)</f>
        <v>64260</v>
      </c>
      <c r="J3439" s="20">
        <f t="shared" si="53"/>
        <v>0.56043956043956045</v>
      </c>
    </row>
    <row r="3440" spans="1:10" x14ac:dyDescent="0.3">
      <c r="A3440" s="33">
        <v>3439</v>
      </c>
      <c r="B3440" s="4">
        <v>32</v>
      </c>
      <c r="C3440" s="15">
        <v>6</v>
      </c>
      <c r="D3440" s="16">
        <v>1</v>
      </c>
      <c r="E3440" s="22">
        <v>44550</v>
      </c>
      <c r="F3440" s="19">
        <v>10</v>
      </c>
      <c r="G3440" s="18">
        <v>0.1</v>
      </c>
      <c r="H3440">
        <f>F3440*VLOOKUP(B3440,產品!$A$2:$H$61,7,FALSE)*(1-銷售總表!G3440)</f>
        <v>67500</v>
      </c>
      <c r="I3440" s="35">
        <f>H3440-F3440*VLOOKUP(銷售總表!B3440,產品!$A$2:$H$61,8,FALSE)</f>
        <v>22500</v>
      </c>
      <c r="J3440" s="20">
        <f t="shared" si="53"/>
        <v>0.33333333333333331</v>
      </c>
    </row>
    <row r="3441" spans="1:10" x14ac:dyDescent="0.3">
      <c r="A3441" s="33">
        <v>3440</v>
      </c>
      <c r="B3441" s="4">
        <v>60</v>
      </c>
      <c r="C3441" s="15">
        <v>113</v>
      </c>
      <c r="D3441" s="16">
        <v>6</v>
      </c>
      <c r="E3441" s="22">
        <v>44550</v>
      </c>
      <c r="F3441" s="17">
        <v>2</v>
      </c>
      <c r="G3441" s="18">
        <v>0.2</v>
      </c>
      <c r="H3441">
        <f>F3441*VLOOKUP(B3441,產品!$A$2:$H$61,7,FALSE)*(1-銷售總表!G3441)</f>
        <v>40000</v>
      </c>
      <c r="I3441" s="35">
        <f>H3441-F3441*VLOOKUP(銷售總表!B3441,產品!$A$2:$H$61,8,FALSE)</f>
        <v>5000</v>
      </c>
      <c r="J3441" s="20">
        <f t="shared" si="53"/>
        <v>0.125</v>
      </c>
    </row>
    <row r="3442" spans="1:10" x14ac:dyDescent="0.3">
      <c r="A3442" s="33">
        <v>3441</v>
      </c>
      <c r="B3442" s="4">
        <v>47</v>
      </c>
      <c r="C3442" s="15">
        <v>5</v>
      </c>
      <c r="D3442" s="16">
        <v>8</v>
      </c>
      <c r="E3442" s="22">
        <v>44550</v>
      </c>
      <c r="F3442" s="19">
        <v>5</v>
      </c>
      <c r="G3442" s="18">
        <v>0.06</v>
      </c>
      <c r="H3442">
        <f>F3442*VLOOKUP(B3442,產品!$A$2:$H$61,7,FALSE)*(1-銷售總表!G3442)</f>
        <v>94000</v>
      </c>
      <c r="I3442" s="35">
        <f>H3442-F3442*VLOOKUP(銷售總表!B3442,產品!$A$2:$H$61,8,FALSE)</f>
        <v>29000</v>
      </c>
      <c r="J3442" s="20">
        <f t="shared" si="53"/>
        <v>0.30851063829787234</v>
      </c>
    </row>
    <row r="3443" spans="1:10" x14ac:dyDescent="0.3">
      <c r="A3443" s="33">
        <v>3442</v>
      </c>
      <c r="B3443" s="4">
        <v>58</v>
      </c>
      <c r="C3443" s="15">
        <v>262</v>
      </c>
      <c r="D3443" s="16">
        <v>2</v>
      </c>
      <c r="E3443" s="22">
        <v>44550</v>
      </c>
      <c r="F3443" s="19">
        <v>10</v>
      </c>
      <c r="G3443" s="18">
        <v>0.16</v>
      </c>
      <c r="H3443">
        <f>F3443*VLOOKUP(B3443,產品!$A$2:$H$61,7,FALSE)*(1-銷售總表!G3443)</f>
        <v>176400</v>
      </c>
      <c r="I3443" s="35">
        <f>H3443-F3443*VLOOKUP(銷售總表!B3443,產品!$A$2:$H$61,8,FALSE)</f>
        <v>29400.000000000029</v>
      </c>
      <c r="J3443" s="20">
        <f t="shared" si="53"/>
        <v>0.16666666666666682</v>
      </c>
    </row>
    <row r="3444" spans="1:10" x14ac:dyDescent="0.3">
      <c r="A3444" s="33">
        <v>3443</v>
      </c>
      <c r="B3444" s="4">
        <v>39</v>
      </c>
      <c r="C3444" s="15">
        <v>136</v>
      </c>
      <c r="D3444" s="16">
        <v>6</v>
      </c>
      <c r="E3444" s="22">
        <v>44550</v>
      </c>
      <c r="F3444" s="19">
        <v>15</v>
      </c>
      <c r="G3444" s="18">
        <v>0.2</v>
      </c>
      <c r="H3444">
        <f>F3444*VLOOKUP(B3444,產品!$A$2:$H$61,7,FALSE)*(1-銷售總表!G3444)</f>
        <v>216000</v>
      </c>
      <c r="I3444" s="35">
        <f>H3444-F3444*VLOOKUP(銷售總表!B3444,產品!$A$2:$H$61,8,FALSE)</f>
        <v>40500</v>
      </c>
      <c r="J3444" s="20">
        <f t="shared" si="53"/>
        <v>0.1875</v>
      </c>
    </row>
    <row r="3445" spans="1:10" x14ac:dyDescent="0.3">
      <c r="A3445" s="33">
        <v>3444</v>
      </c>
      <c r="B3445" s="4">
        <v>58</v>
      </c>
      <c r="C3445" s="15">
        <v>259</v>
      </c>
      <c r="D3445" s="16">
        <v>7</v>
      </c>
      <c r="E3445" s="22">
        <v>44550</v>
      </c>
      <c r="F3445" s="19">
        <v>15</v>
      </c>
      <c r="G3445" s="18">
        <v>0.05</v>
      </c>
      <c r="H3445">
        <f>F3445*VLOOKUP(B3445,產品!$A$2:$H$61,7,FALSE)*(1-銷售總表!G3445)</f>
        <v>299250</v>
      </c>
      <c r="I3445" s="35">
        <f>H3445-F3445*VLOOKUP(銷售總表!B3445,產品!$A$2:$H$61,8,FALSE)</f>
        <v>78750.000000000029</v>
      </c>
      <c r="J3445" s="20">
        <f t="shared" si="53"/>
        <v>0.2631578947368422</v>
      </c>
    </row>
    <row r="3446" spans="1:10" x14ac:dyDescent="0.3">
      <c r="A3446" s="33">
        <v>3445</v>
      </c>
      <c r="B3446" s="4">
        <v>21</v>
      </c>
      <c r="C3446" s="15">
        <v>261</v>
      </c>
      <c r="D3446" s="16">
        <v>3</v>
      </c>
      <c r="E3446" s="22">
        <v>44550</v>
      </c>
      <c r="F3446" s="19">
        <v>125</v>
      </c>
      <c r="G3446" s="18">
        <v>0.06</v>
      </c>
      <c r="H3446">
        <f>F3446*VLOOKUP(B3446,產品!$A$2:$H$61,7,FALSE)*(1-銷售總表!G3446)</f>
        <v>211500</v>
      </c>
      <c r="I3446" s="35">
        <f>H3446-F3446*VLOOKUP(銷售總表!B3446,產品!$A$2:$H$61,8,FALSE)</f>
        <v>121500</v>
      </c>
      <c r="J3446" s="20">
        <f t="shared" si="53"/>
        <v>0.57446808510638303</v>
      </c>
    </row>
    <row r="3447" spans="1:10" x14ac:dyDescent="0.3">
      <c r="A3447" s="33">
        <v>3446</v>
      </c>
      <c r="B3447" s="4">
        <v>53</v>
      </c>
      <c r="C3447" s="15">
        <v>3</v>
      </c>
      <c r="D3447" s="16">
        <v>1</v>
      </c>
      <c r="E3447" s="22">
        <v>44551</v>
      </c>
      <c r="F3447" s="19">
        <v>2</v>
      </c>
      <c r="G3447" s="18">
        <v>0.12</v>
      </c>
      <c r="H3447">
        <f>F3447*VLOOKUP(B3447,產品!$A$2:$H$61,7,FALSE)*(1-銷售總表!G3447)</f>
        <v>26400</v>
      </c>
      <c r="I3447" s="35">
        <f>H3447-F3447*VLOOKUP(銷售總表!B3447,產品!$A$2:$H$61,8,FALSE)</f>
        <v>5400</v>
      </c>
      <c r="J3447" s="20">
        <f t="shared" si="53"/>
        <v>0.20454545454545456</v>
      </c>
    </row>
    <row r="3448" spans="1:10" x14ac:dyDescent="0.3">
      <c r="A3448" s="33">
        <v>3447</v>
      </c>
      <c r="B3448" s="4">
        <v>42</v>
      </c>
      <c r="C3448" s="15">
        <v>272</v>
      </c>
      <c r="D3448" s="16">
        <v>6</v>
      </c>
      <c r="E3448" s="22">
        <v>44551</v>
      </c>
      <c r="F3448" s="19">
        <v>3</v>
      </c>
      <c r="G3448" s="18">
        <v>0.12</v>
      </c>
      <c r="H3448">
        <f>F3448*VLOOKUP(B3448,產品!$A$2:$H$61,7,FALSE)*(1-銷售總表!G3448)</f>
        <v>39600</v>
      </c>
      <c r="I3448" s="35">
        <f>H3448-F3448*VLOOKUP(銷售總表!B3448,產品!$A$2:$H$61,8,FALSE)</f>
        <v>10350</v>
      </c>
      <c r="J3448" s="20">
        <f t="shared" si="53"/>
        <v>0.26136363636363635</v>
      </c>
    </row>
    <row r="3449" spans="1:10" x14ac:dyDescent="0.3">
      <c r="A3449" s="33">
        <v>3448</v>
      </c>
      <c r="B3449" s="4">
        <v>2</v>
      </c>
      <c r="C3449" s="15">
        <v>265</v>
      </c>
      <c r="D3449" s="16">
        <v>8</v>
      </c>
      <c r="E3449" s="22">
        <v>44551</v>
      </c>
      <c r="F3449" s="19">
        <v>50</v>
      </c>
      <c r="G3449" s="18">
        <v>0.16</v>
      </c>
      <c r="H3449">
        <f>F3449*VLOOKUP(B3449,產品!$A$2:$H$61,7,FALSE)*(1-銷售總表!G3449)</f>
        <v>42000</v>
      </c>
      <c r="I3449" s="35">
        <f>H3449-F3449*VLOOKUP(銷售總表!B3449,產品!$A$2:$H$61,8,FALSE)</f>
        <v>22000</v>
      </c>
      <c r="J3449" s="20">
        <f t="shared" si="53"/>
        <v>0.52380952380952384</v>
      </c>
    </row>
    <row r="3450" spans="1:10" x14ac:dyDescent="0.3">
      <c r="A3450" s="33">
        <v>3449</v>
      </c>
      <c r="B3450" s="4">
        <v>39</v>
      </c>
      <c r="C3450" s="15">
        <v>124</v>
      </c>
      <c r="D3450" s="16">
        <v>1</v>
      </c>
      <c r="E3450" s="22">
        <v>44551</v>
      </c>
      <c r="F3450" s="17">
        <v>7</v>
      </c>
      <c r="G3450" s="18">
        <v>0.14000000000000001</v>
      </c>
      <c r="H3450">
        <f>F3450*VLOOKUP(B3450,產品!$A$2:$H$61,7,FALSE)*(1-銷售總表!G3450)</f>
        <v>108360</v>
      </c>
      <c r="I3450" s="35">
        <f>H3450-F3450*VLOOKUP(銷售總表!B3450,產品!$A$2:$H$61,8,FALSE)</f>
        <v>26460</v>
      </c>
      <c r="J3450" s="20">
        <f t="shared" si="53"/>
        <v>0.2441860465116279</v>
      </c>
    </row>
    <row r="3451" spans="1:10" x14ac:dyDescent="0.3">
      <c r="A3451" s="33">
        <v>3450</v>
      </c>
      <c r="B3451" s="4">
        <v>8</v>
      </c>
      <c r="C3451" s="15">
        <v>292</v>
      </c>
      <c r="D3451" s="16">
        <v>9</v>
      </c>
      <c r="E3451" s="22">
        <v>44551</v>
      </c>
      <c r="F3451" s="19">
        <v>105</v>
      </c>
      <c r="G3451" s="18">
        <v>0.09</v>
      </c>
      <c r="H3451">
        <f>F3451*VLOOKUP(B3451,產品!$A$2:$H$61,7,FALSE)*(1-銷售總表!G3451)</f>
        <v>95550</v>
      </c>
      <c r="I3451" s="35">
        <f>H3451-F3451*VLOOKUP(銷售總表!B3451,產品!$A$2:$H$61,8,FALSE)</f>
        <v>53550</v>
      </c>
      <c r="J3451" s="20">
        <f t="shared" si="53"/>
        <v>0.56043956043956045</v>
      </c>
    </row>
    <row r="3452" spans="1:10" x14ac:dyDescent="0.3">
      <c r="A3452" s="33">
        <v>3451</v>
      </c>
      <c r="B3452" s="4">
        <v>53</v>
      </c>
      <c r="C3452" s="15">
        <v>263</v>
      </c>
      <c r="D3452" s="16">
        <v>2</v>
      </c>
      <c r="E3452" s="22">
        <v>44552</v>
      </c>
      <c r="F3452" s="17">
        <v>2</v>
      </c>
      <c r="G3452" s="18">
        <v>0.1</v>
      </c>
      <c r="H3452">
        <f>F3452*VLOOKUP(B3452,產品!$A$2:$H$61,7,FALSE)*(1-銷售總表!G3452)</f>
        <v>27000</v>
      </c>
      <c r="I3452" s="35">
        <f>H3452-F3452*VLOOKUP(銷售總表!B3452,產品!$A$2:$H$61,8,FALSE)</f>
        <v>6000</v>
      </c>
      <c r="J3452" s="20">
        <f t="shared" si="53"/>
        <v>0.22222222222222221</v>
      </c>
    </row>
    <row r="3453" spans="1:10" x14ac:dyDescent="0.3">
      <c r="A3453" s="33">
        <v>3452</v>
      </c>
      <c r="B3453" s="4">
        <v>39</v>
      </c>
      <c r="C3453" s="15">
        <v>284</v>
      </c>
      <c r="D3453" s="16">
        <v>1</v>
      </c>
      <c r="E3453" s="22">
        <v>44552</v>
      </c>
      <c r="F3453" s="19">
        <v>2</v>
      </c>
      <c r="G3453" s="18">
        <v>0.06</v>
      </c>
      <c r="H3453">
        <f>F3453*VLOOKUP(B3453,產品!$A$2:$H$61,7,FALSE)*(1-銷售總表!G3453)</f>
        <v>33840</v>
      </c>
      <c r="I3453" s="35">
        <f>H3453-F3453*VLOOKUP(銷售總表!B3453,產品!$A$2:$H$61,8,FALSE)</f>
        <v>10440</v>
      </c>
      <c r="J3453" s="20">
        <f t="shared" si="53"/>
        <v>0.30851063829787234</v>
      </c>
    </row>
    <row r="3454" spans="1:10" x14ac:dyDescent="0.3">
      <c r="A3454" s="33">
        <v>3453</v>
      </c>
      <c r="B3454" s="4">
        <v>28</v>
      </c>
      <c r="C3454" s="15">
        <v>114</v>
      </c>
      <c r="D3454" s="16">
        <v>7</v>
      </c>
      <c r="E3454" s="22">
        <v>44552</v>
      </c>
      <c r="F3454" s="19">
        <v>5</v>
      </c>
      <c r="G3454" s="18">
        <v>0.09</v>
      </c>
      <c r="H3454">
        <f>F3454*VLOOKUP(B3454,產品!$A$2:$H$61,7,FALSE)*(1-銷售總表!G3454)</f>
        <v>34125</v>
      </c>
      <c r="I3454" s="35">
        <f>H3454-F3454*VLOOKUP(銷售總表!B3454,產品!$A$2:$H$61,8,FALSE)</f>
        <v>11625</v>
      </c>
      <c r="J3454" s="20">
        <f t="shared" si="53"/>
        <v>0.34065934065934067</v>
      </c>
    </row>
    <row r="3455" spans="1:10" x14ac:dyDescent="0.3">
      <c r="A3455" s="33">
        <v>3454</v>
      </c>
      <c r="B3455" s="4">
        <v>42</v>
      </c>
      <c r="C3455" s="15">
        <v>288</v>
      </c>
      <c r="D3455" s="16">
        <v>7</v>
      </c>
      <c r="E3455" s="22">
        <v>44552</v>
      </c>
      <c r="F3455" s="19">
        <v>5</v>
      </c>
      <c r="G3455" s="18">
        <v>0.16</v>
      </c>
      <c r="H3455">
        <f>F3455*VLOOKUP(B3455,產品!$A$2:$H$61,7,FALSE)*(1-銷售總表!G3455)</f>
        <v>63000</v>
      </c>
      <c r="I3455" s="35">
        <f>H3455-F3455*VLOOKUP(銷售總表!B3455,產品!$A$2:$H$61,8,FALSE)</f>
        <v>14250</v>
      </c>
      <c r="J3455" s="20">
        <f t="shared" si="53"/>
        <v>0.22619047619047619</v>
      </c>
    </row>
    <row r="3456" spans="1:10" x14ac:dyDescent="0.3">
      <c r="A3456" s="33">
        <v>3455</v>
      </c>
      <c r="B3456" s="4">
        <v>41</v>
      </c>
      <c r="C3456" s="15">
        <v>285</v>
      </c>
      <c r="D3456" s="16">
        <v>1</v>
      </c>
      <c r="E3456" s="22">
        <v>44552</v>
      </c>
      <c r="F3456" s="17">
        <v>6</v>
      </c>
      <c r="G3456" s="18">
        <v>0.06</v>
      </c>
      <c r="H3456">
        <f>F3456*VLOOKUP(B3456,產品!$A$2:$H$61,7,FALSE)*(1-銷售總表!G3456)</f>
        <v>67680</v>
      </c>
      <c r="I3456" s="35">
        <f>H3456-F3456*VLOOKUP(銷售總表!B3456,產品!$A$2:$H$61,8,FALSE)</f>
        <v>20880</v>
      </c>
      <c r="J3456" s="20">
        <f t="shared" si="53"/>
        <v>0.30851063829787234</v>
      </c>
    </row>
    <row r="3457" spans="1:10" x14ac:dyDescent="0.3">
      <c r="A3457" s="33">
        <v>3456</v>
      </c>
      <c r="B3457" s="4">
        <v>28</v>
      </c>
      <c r="C3457" s="15">
        <v>292</v>
      </c>
      <c r="D3457" s="16">
        <v>3</v>
      </c>
      <c r="E3457" s="22">
        <v>44552</v>
      </c>
      <c r="F3457" s="19">
        <v>10</v>
      </c>
      <c r="G3457" s="18">
        <v>0.12</v>
      </c>
      <c r="H3457">
        <f>F3457*VLOOKUP(B3457,產品!$A$2:$H$61,7,FALSE)*(1-銷售總表!G3457)</f>
        <v>66000</v>
      </c>
      <c r="I3457" s="35">
        <f>H3457-F3457*VLOOKUP(銷售總表!B3457,產品!$A$2:$H$61,8,FALSE)</f>
        <v>21000</v>
      </c>
      <c r="J3457" s="20">
        <f t="shared" si="53"/>
        <v>0.31818181818181818</v>
      </c>
    </row>
    <row r="3458" spans="1:10" x14ac:dyDescent="0.3">
      <c r="A3458" s="33">
        <v>3457</v>
      </c>
      <c r="B3458" s="4">
        <v>7</v>
      </c>
      <c r="C3458" s="15">
        <v>285</v>
      </c>
      <c r="D3458" s="16">
        <v>6</v>
      </c>
      <c r="E3458" s="22">
        <v>44552</v>
      </c>
      <c r="F3458" s="19">
        <v>70</v>
      </c>
      <c r="G3458" s="18">
        <v>0.12</v>
      </c>
      <c r="H3458">
        <f>F3458*VLOOKUP(B3458,產品!$A$2:$H$61,7,FALSE)*(1-銷售總表!G3458)</f>
        <v>61600</v>
      </c>
      <c r="I3458" s="35">
        <f>H3458-F3458*VLOOKUP(銷售總表!B3458,產品!$A$2:$H$61,8,FALSE)</f>
        <v>33600</v>
      </c>
      <c r="J3458" s="20">
        <f t="shared" si="53"/>
        <v>0.54545454545454541</v>
      </c>
    </row>
    <row r="3459" spans="1:10" x14ac:dyDescent="0.3">
      <c r="A3459" s="33">
        <v>3458</v>
      </c>
      <c r="B3459" s="4">
        <v>11</v>
      </c>
      <c r="C3459" s="15">
        <v>2</v>
      </c>
      <c r="D3459" s="16">
        <v>6</v>
      </c>
      <c r="E3459" s="22">
        <v>44552</v>
      </c>
      <c r="F3459" s="19">
        <v>300</v>
      </c>
      <c r="G3459" s="18">
        <v>0.19</v>
      </c>
      <c r="H3459">
        <f>F3459*VLOOKUP(B3459,產品!$A$2:$H$61,7,FALSE)*(1-銷售總表!G3459)</f>
        <v>243000.00000000003</v>
      </c>
      <c r="I3459" s="35">
        <f>H3459-F3459*VLOOKUP(銷售總表!B3459,產品!$A$2:$H$61,8,FALSE)</f>
        <v>123000.00000000003</v>
      </c>
      <c r="J3459" s="20">
        <f t="shared" ref="J3459:J3522" si="54">I3459/H3459</f>
        <v>0.50617283950617287</v>
      </c>
    </row>
    <row r="3460" spans="1:10" x14ac:dyDescent="0.3">
      <c r="A3460" s="33">
        <v>3459</v>
      </c>
      <c r="B3460" s="4">
        <v>6</v>
      </c>
      <c r="C3460" s="15">
        <v>258</v>
      </c>
      <c r="D3460" s="16">
        <v>3</v>
      </c>
      <c r="E3460" s="22">
        <v>44552</v>
      </c>
      <c r="F3460" s="19">
        <v>300</v>
      </c>
      <c r="G3460" s="18">
        <v>0.06</v>
      </c>
      <c r="H3460">
        <f>F3460*VLOOKUP(B3460,產品!$A$2:$H$61,7,FALSE)*(1-銷售總表!G3460)</f>
        <v>282000</v>
      </c>
      <c r="I3460" s="35">
        <f>H3460-F3460*VLOOKUP(銷售總表!B3460,產品!$A$2:$H$61,8,FALSE)</f>
        <v>162000</v>
      </c>
      <c r="J3460" s="20">
        <f t="shared" si="54"/>
        <v>0.57446808510638303</v>
      </c>
    </row>
    <row r="3461" spans="1:10" x14ac:dyDescent="0.3">
      <c r="A3461" s="33">
        <v>3460</v>
      </c>
      <c r="B3461" s="4">
        <v>29</v>
      </c>
      <c r="C3461" s="15">
        <v>5</v>
      </c>
      <c r="D3461" s="16">
        <v>5</v>
      </c>
      <c r="E3461" s="22">
        <v>44553</v>
      </c>
      <c r="F3461" s="19">
        <v>3</v>
      </c>
      <c r="G3461" s="18">
        <v>0.14000000000000001</v>
      </c>
      <c r="H3461">
        <f>F3461*VLOOKUP(B3461,產品!$A$2:$H$61,7,FALSE)*(1-銷售總表!G3461)</f>
        <v>15480</v>
      </c>
      <c r="I3461" s="35">
        <f>H3461-F3461*VLOOKUP(銷售總表!B3461,產品!$A$2:$H$61,8,FALSE)</f>
        <v>4680</v>
      </c>
      <c r="J3461" s="20">
        <f t="shared" si="54"/>
        <v>0.30232558139534882</v>
      </c>
    </row>
    <row r="3462" spans="1:10" x14ac:dyDescent="0.3">
      <c r="A3462" s="33">
        <v>3461</v>
      </c>
      <c r="B3462" s="4">
        <v>46</v>
      </c>
      <c r="C3462" s="15">
        <v>272</v>
      </c>
      <c r="D3462" s="16">
        <v>9</v>
      </c>
      <c r="E3462" s="22">
        <v>44553</v>
      </c>
      <c r="F3462" s="17">
        <v>2</v>
      </c>
      <c r="G3462" s="18">
        <v>0.2</v>
      </c>
      <c r="H3462">
        <f>F3462*VLOOKUP(B3462,產品!$A$2:$H$61,7,FALSE)*(1-銷售總表!G3462)</f>
        <v>27200</v>
      </c>
      <c r="I3462" s="35">
        <f>H3462-F3462*VLOOKUP(銷售總表!B3462,產品!$A$2:$H$61,8,FALSE)</f>
        <v>5100</v>
      </c>
      <c r="J3462" s="20">
        <f t="shared" si="54"/>
        <v>0.1875</v>
      </c>
    </row>
    <row r="3463" spans="1:10" x14ac:dyDescent="0.3">
      <c r="A3463" s="33">
        <v>3462</v>
      </c>
      <c r="B3463" s="4">
        <v>26</v>
      </c>
      <c r="C3463" s="15">
        <v>288</v>
      </c>
      <c r="D3463" s="16">
        <v>9</v>
      </c>
      <c r="E3463" s="22">
        <v>44553</v>
      </c>
      <c r="F3463" s="19">
        <v>5</v>
      </c>
      <c r="G3463" s="18">
        <v>0.15</v>
      </c>
      <c r="H3463">
        <f>F3463*VLOOKUP(B3463,產品!$A$2:$H$61,7,FALSE)*(1-銷售總表!G3463)</f>
        <v>27625</v>
      </c>
      <c r="I3463" s="35">
        <f>H3463-F3463*VLOOKUP(銷售總表!B3463,產品!$A$2:$H$61,8,FALSE)</f>
        <v>8125</v>
      </c>
      <c r="J3463" s="20">
        <f t="shared" si="54"/>
        <v>0.29411764705882354</v>
      </c>
    </row>
    <row r="3464" spans="1:10" x14ac:dyDescent="0.3">
      <c r="A3464" s="33">
        <v>3463</v>
      </c>
      <c r="B3464" s="4">
        <v>58</v>
      </c>
      <c r="C3464" s="15">
        <v>121</v>
      </c>
      <c r="D3464" s="16">
        <v>1</v>
      </c>
      <c r="E3464" s="22">
        <v>44553</v>
      </c>
      <c r="F3464" s="19">
        <v>3</v>
      </c>
      <c r="G3464" s="18">
        <v>0.17</v>
      </c>
      <c r="H3464">
        <f>F3464*VLOOKUP(B3464,產品!$A$2:$H$61,7,FALSE)*(1-銷售總表!G3464)</f>
        <v>52290</v>
      </c>
      <c r="I3464" s="35">
        <f>H3464-F3464*VLOOKUP(銷售總表!B3464,產品!$A$2:$H$61,8,FALSE)</f>
        <v>8190.0000000000073</v>
      </c>
      <c r="J3464" s="20">
        <f t="shared" si="54"/>
        <v>0.15662650602409653</v>
      </c>
    </row>
    <row r="3465" spans="1:10" x14ac:dyDescent="0.3">
      <c r="A3465" s="33">
        <v>3464</v>
      </c>
      <c r="B3465" s="4">
        <v>56</v>
      </c>
      <c r="C3465" s="15">
        <v>117</v>
      </c>
      <c r="D3465" s="16">
        <v>3</v>
      </c>
      <c r="E3465" s="22">
        <v>44553</v>
      </c>
      <c r="F3465" s="17">
        <v>4</v>
      </c>
      <c r="G3465" s="18">
        <v>0.2</v>
      </c>
      <c r="H3465">
        <f>F3465*VLOOKUP(B3465,產品!$A$2:$H$61,7,FALSE)*(1-銷售總表!G3465)</f>
        <v>70400</v>
      </c>
      <c r="I3465" s="35">
        <f>H3465-F3465*VLOOKUP(銷售總表!B3465,產品!$A$2:$H$61,8,FALSE)</f>
        <v>8800.0000000000073</v>
      </c>
      <c r="J3465" s="20">
        <f t="shared" si="54"/>
        <v>0.12500000000000011</v>
      </c>
    </row>
    <row r="3466" spans="1:10" x14ac:dyDescent="0.3">
      <c r="A3466" s="33">
        <v>3465</v>
      </c>
      <c r="B3466" s="4">
        <v>17</v>
      </c>
      <c r="C3466" s="15">
        <v>4</v>
      </c>
      <c r="D3466" s="16">
        <v>1</v>
      </c>
      <c r="E3466" s="22">
        <v>44553</v>
      </c>
      <c r="F3466" s="19">
        <v>60</v>
      </c>
      <c r="G3466" s="18">
        <v>0.17</v>
      </c>
      <c r="H3466">
        <f>F3466*VLOOKUP(B3466,產品!$A$2:$H$61,7,FALSE)*(1-銷售總表!G3466)</f>
        <v>89640</v>
      </c>
      <c r="I3466" s="35">
        <f>H3466-F3466*VLOOKUP(銷售總表!B3466,產品!$A$2:$H$61,8,FALSE)</f>
        <v>46440</v>
      </c>
      <c r="J3466" s="20">
        <f t="shared" si="54"/>
        <v>0.51807228915662651</v>
      </c>
    </row>
    <row r="3467" spans="1:10" x14ac:dyDescent="0.3">
      <c r="A3467" s="33">
        <v>3466</v>
      </c>
      <c r="B3467" s="4">
        <v>41</v>
      </c>
      <c r="C3467" s="15">
        <v>112</v>
      </c>
      <c r="D3467" s="16">
        <v>8</v>
      </c>
      <c r="E3467" s="22">
        <v>44553</v>
      </c>
      <c r="F3467" s="19">
        <v>15</v>
      </c>
      <c r="G3467" s="18">
        <v>0.05</v>
      </c>
      <c r="H3467">
        <f>F3467*VLOOKUP(B3467,產品!$A$2:$H$61,7,FALSE)*(1-銷售總表!G3467)</f>
        <v>171000</v>
      </c>
      <c r="I3467" s="35">
        <f>H3467-F3467*VLOOKUP(銷售總表!B3467,產品!$A$2:$H$61,8,FALSE)</f>
        <v>54000</v>
      </c>
      <c r="J3467" s="20">
        <f t="shared" si="54"/>
        <v>0.31578947368421051</v>
      </c>
    </row>
    <row r="3468" spans="1:10" x14ac:dyDescent="0.3">
      <c r="A3468" s="33">
        <v>3467</v>
      </c>
      <c r="B3468" s="4">
        <v>16</v>
      </c>
      <c r="C3468" s="15">
        <v>266</v>
      </c>
      <c r="D3468" s="16">
        <v>8</v>
      </c>
      <c r="E3468" s="22">
        <v>44553</v>
      </c>
      <c r="F3468" s="17">
        <v>90</v>
      </c>
      <c r="G3468" s="18">
        <v>0.17</v>
      </c>
      <c r="H3468">
        <f>F3468*VLOOKUP(B3468,產品!$A$2:$H$61,7,FALSE)*(1-銷售總表!G3468)</f>
        <v>134460</v>
      </c>
      <c r="I3468" s="35">
        <f>H3468-F3468*VLOOKUP(銷售總表!B3468,產品!$A$2:$H$61,8,FALSE)</f>
        <v>69660</v>
      </c>
      <c r="J3468" s="20">
        <f t="shared" si="54"/>
        <v>0.51807228915662651</v>
      </c>
    </row>
    <row r="3469" spans="1:10" x14ac:dyDescent="0.3">
      <c r="A3469" s="33">
        <v>3468</v>
      </c>
      <c r="B3469" s="4">
        <v>16</v>
      </c>
      <c r="C3469" s="15">
        <v>7</v>
      </c>
      <c r="D3469" s="16">
        <v>2</v>
      </c>
      <c r="E3469" s="22">
        <v>44553</v>
      </c>
      <c r="F3469" s="19">
        <v>100</v>
      </c>
      <c r="G3469" s="18">
        <v>0.11</v>
      </c>
      <c r="H3469">
        <f>F3469*VLOOKUP(B3469,產品!$A$2:$H$61,7,FALSE)*(1-銷售總表!G3469)</f>
        <v>160200</v>
      </c>
      <c r="I3469" s="35">
        <f>H3469-F3469*VLOOKUP(銷售總表!B3469,產品!$A$2:$H$61,8,FALSE)</f>
        <v>88200</v>
      </c>
      <c r="J3469" s="20">
        <f t="shared" si="54"/>
        <v>0.550561797752809</v>
      </c>
    </row>
    <row r="3470" spans="1:10" x14ac:dyDescent="0.3">
      <c r="A3470" s="33">
        <v>3469</v>
      </c>
      <c r="B3470" s="4">
        <v>24</v>
      </c>
      <c r="C3470" s="15">
        <v>273</v>
      </c>
      <c r="D3470" s="16">
        <v>4</v>
      </c>
      <c r="E3470" s="22">
        <v>44553</v>
      </c>
      <c r="F3470" s="19">
        <v>158</v>
      </c>
      <c r="G3470" s="18">
        <v>0.14000000000000001</v>
      </c>
      <c r="H3470">
        <f>F3470*VLOOKUP(B3470,產品!$A$2:$H$61,7,FALSE)*(1-銷售總表!G3470)</f>
        <v>244584</v>
      </c>
      <c r="I3470" s="35">
        <f>H3470-F3470*VLOOKUP(銷售總表!B3470,產品!$A$2:$H$61,8,FALSE)</f>
        <v>130824</v>
      </c>
      <c r="J3470" s="20">
        <f t="shared" si="54"/>
        <v>0.53488372093023251</v>
      </c>
    </row>
    <row r="3471" spans="1:10" x14ac:dyDescent="0.3">
      <c r="A3471" s="33">
        <v>3470</v>
      </c>
      <c r="B3471" s="4">
        <v>3</v>
      </c>
      <c r="C3471" s="15">
        <v>6</v>
      </c>
      <c r="D3471" s="16">
        <v>6</v>
      </c>
      <c r="E3471" s="22">
        <v>44554</v>
      </c>
      <c r="F3471" s="19">
        <v>10</v>
      </c>
      <c r="G3471" s="18">
        <v>0.13</v>
      </c>
      <c r="H3471">
        <f>F3471*VLOOKUP(B3471,產品!$A$2:$H$61,7,FALSE)*(1-銷售總表!G3471)</f>
        <v>8700</v>
      </c>
      <c r="I3471" s="35">
        <f>H3471-F3471*VLOOKUP(銷售總表!B3471,產品!$A$2:$H$61,8,FALSE)</f>
        <v>4700</v>
      </c>
      <c r="J3471" s="20">
        <f t="shared" si="54"/>
        <v>0.54022988505747127</v>
      </c>
    </row>
    <row r="3472" spans="1:10" x14ac:dyDescent="0.3">
      <c r="A3472" s="33">
        <v>3471</v>
      </c>
      <c r="B3472" s="4">
        <v>28</v>
      </c>
      <c r="C3472" s="15">
        <v>275</v>
      </c>
      <c r="D3472" s="16">
        <v>9</v>
      </c>
      <c r="E3472" s="22">
        <v>44554</v>
      </c>
      <c r="F3472" s="17">
        <v>5</v>
      </c>
      <c r="G3472" s="18">
        <v>0.2</v>
      </c>
      <c r="H3472">
        <f>F3472*VLOOKUP(B3472,產品!$A$2:$H$61,7,FALSE)*(1-銷售總表!G3472)</f>
        <v>30000</v>
      </c>
      <c r="I3472" s="35">
        <f>H3472-F3472*VLOOKUP(銷售總表!B3472,產品!$A$2:$H$61,8,FALSE)</f>
        <v>7500</v>
      </c>
      <c r="J3472" s="20">
        <f t="shared" si="54"/>
        <v>0.25</v>
      </c>
    </row>
    <row r="3473" spans="1:10" x14ac:dyDescent="0.3">
      <c r="A3473" s="33">
        <v>3472</v>
      </c>
      <c r="B3473" s="4">
        <v>11</v>
      </c>
      <c r="C3473" s="15">
        <v>271</v>
      </c>
      <c r="D3473" s="16">
        <v>9</v>
      </c>
      <c r="E3473" s="22">
        <v>44554</v>
      </c>
      <c r="F3473" s="17">
        <v>20</v>
      </c>
      <c r="G3473" s="18">
        <v>0.2</v>
      </c>
      <c r="H3473">
        <f>F3473*VLOOKUP(B3473,產品!$A$2:$H$61,7,FALSE)*(1-銷售總表!G3473)</f>
        <v>16000</v>
      </c>
      <c r="I3473" s="35">
        <f>H3473-F3473*VLOOKUP(銷售總表!B3473,產品!$A$2:$H$61,8,FALSE)</f>
        <v>8000</v>
      </c>
      <c r="J3473" s="20">
        <f t="shared" si="54"/>
        <v>0.5</v>
      </c>
    </row>
    <row r="3474" spans="1:10" x14ac:dyDescent="0.3">
      <c r="A3474" s="33">
        <v>3473</v>
      </c>
      <c r="B3474" s="4">
        <v>38</v>
      </c>
      <c r="C3474" s="15">
        <v>140</v>
      </c>
      <c r="D3474" s="16">
        <v>9</v>
      </c>
      <c r="E3474" s="22">
        <v>44554</v>
      </c>
      <c r="F3474" s="19">
        <v>2</v>
      </c>
      <c r="G3474" s="18">
        <v>0.08</v>
      </c>
      <c r="H3474">
        <f>F3474*VLOOKUP(B3474,產品!$A$2:$H$61,7,FALSE)*(1-銷售總表!G3474)</f>
        <v>27600</v>
      </c>
      <c r="I3474" s="35">
        <f>H3474-F3474*VLOOKUP(銷售總表!B3474,產品!$A$2:$H$61,8,FALSE)</f>
        <v>8100</v>
      </c>
      <c r="J3474" s="20">
        <f t="shared" si="54"/>
        <v>0.29347826086956524</v>
      </c>
    </row>
    <row r="3475" spans="1:10" x14ac:dyDescent="0.3">
      <c r="A3475" s="33">
        <v>3474</v>
      </c>
      <c r="B3475" s="4">
        <v>32</v>
      </c>
      <c r="C3475" s="15">
        <v>262</v>
      </c>
      <c r="D3475" s="16">
        <v>4</v>
      </c>
      <c r="E3475" s="22">
        <v>44554</v>
      </c>
      <c r="F3475" s="19">
        <v>5</v>
      </c>
      <c r="G3475" s="18">
        <v>7.0000000000000007E-2</v>
      </c>
      <c r="H3475">
        <f>F3475*VLOOKUP(B3475,產品!$A$2:$H$61,7,FALSE)*(1-銷售總表!G3475)</f>
        <v>34875</v>
      </c>
      <c r="I3475" s="35">
        <f>H3475-F3475*VLOOKUP(銷售總表!B3475,產品!$A$2:$H$61,8,FALSE)</f>
        <v>12375</v>
      </c>
      <c r="J3475" s="20">
        <f t="shared" si="54"/>
        <v>0.35483870967741937</v>
      </c>
    </row>
    <row r="3476" spans="1:10" x14ac:dyDescent="0.3">
      <c r="A3476" s="33">
        <v>3475</v>
      </c>
      <c r="B3476" s="4">
        <v>46</v>
      </c>
      <c r="C3476" s="15">
        <v>261</v>
      </c>
      <c r="D3476" s="16">
        <v>10</v>
      </c>
      <c r="E3476" s="22">
        <v>44554</v>
      </c>
      <c r="F3476" s="19">
        <v>5</v>
      </c>
      <c r="G3476" s="18">
        <v>0.1</v>
      </c>
      <c r="H3476">
        <f>F3476*VLOOKUP(B3476,產品!$A$2:$H$61,7,FALSE)*(1-銷售總表!G3476)</f>
        <v>76500</v>
      </c>
      <c r="I3476" s="35">
        <f>H3476-F3476*VLOOKUP(銷售總表!B3476,產品!$A$2:$H$61,8,FALSE)</f>
        <v>21250</v>
      </c>
      <c r="J3476" s="20">
        <f t="shared" si="54"/>
        <v>0.27777777777777779</v>
      </c>
    </row>
    <row r="3477" spans="1:10" x14ac:dyDescent="0.3">
      <c r="A3477" s="33">
        <v>3476</v>
      </c>
      <c r="B3477" s="4">
        <v>46</v>
      </c>
      <c r="C3477" s="15">
        <v>118</v>
      </c>
      <c r="D3477" s="16">
        <v>1</v>
      </c>
      <c r="E3477" s="22">
        <v>44554</v>
      </c>
      <c r="F3477" s="19">
        <v>20</v>
      </c>
      <c r="G3477" s="18">
        <v>0.18</v>
      </c>
      <c r="H3477">
        <f>F3477*VLOOKUP(B3477,產品!$A$2:$H$61,7,FALSE)*(1-銷售總表!G3477)</f>
        <v>278800</v>
      </c>
      <c r="I3477" s="35">
        <f>H3477-F3477*VLOOKUP(銷售總表!B3477,產品!$A$2:$H$61,8,FALSE)</f>
        <v>57800</v>
      </c>
      <c r="J3477" s="20">
        <f t="shared" si="54"/>
        <v>0.2073170731707317</v>
      </c>
    </row>
    <row r="3478" spans="1:10" x14ac:dyDescent="0.3">
      <c r="A3478" s="33">
        <v>3477</v>
      </c>
      <c r="B3478" s="4">
        <v>54</v>
      </c>
      <c r="C3478" s="15">
        <v>5</v>
      </c>
      <c r="D3478" s="16">
        <v>5</v>
      </c>
      <c r="E3478" s="22">
        <v>44555</v>
      </c>
      <c r="F3478" s="19">
        <v>10</v>
      </c>
      <c r="G3478" s="18">
        <v>0.2</v>
      </c>
      <c r="H3478">
        <f>F3478*VLOOKUP(B3478,產品!$A$2:$H$61,7,FALSE)*(1-銷售總表!G3478)</f>
        <v>144000</v>
      </c>
      <c r="I3478" s="35">
        <f>H3478-F3478*VLOOKUP(銷售總表!B3478,產品!$A$2:$H$61,8,FALSE)</f>
        <v>18000</v>
      </c>
      <c r="J3478" s="20">
        <f t="shared" si="54"/>
        <v>0.125</v>
      </c>
    </row>
    <row r="3479" spans="1:10" x14ac:dyDescent="0.3">
      <c r="A3479" s="33">
        <v>3478</v>
      </c>
      <c r="B3479" s="4">
        <v>27</v>
      </c>
      <c r="C3479" s="15">
        <v>12</v>
      </c>
      <c r="D3479" s="16">
        <v>10</v>
      </c>
      <c r="E3479" s="22">
        <v>44555</v>
      </c>
      <c r="F3479" s="19">
        <v>3</v>
      </c>
      <c r="G3479" s="18">
        <v>0.14000000000000001</v>
      </c>
      <c r="H3479">
        <f>F3479*VLOOKUP(B3479,產品!$A$2:$H$61,7,FALSE)*(1-銷售總表!G3479)</f>
        <v>18060</v>
      </c>
      <c r="I3479" s="35">
        <f>H3479-F3479*VLOOKUP(銷售總表!B3479,產品!$A$2:$H$61,8,FALSE)</f>
        <v>5460</v>
      </c>
      <c r="J3479" s="20">
        <f t="shared" si="54"/>
        <v>0.30232558139534882</v>
      </c>
    </row>
    <row r="3480" spans="1:10" x14ac:dyDescent="0.3">
      <c r="A3480" s="33">
        <v>3479</v>
      </c>
      <c r="B3480" s="4">
        <v>37</v>
      </c>
      <c r="C3480" s="15">
        <v>264</v>
      </c>
      <c r="D3480" s="16">
        <v>4</v>
      </c>
      <c r="E3480" s="22">
        <v>44555</v>
      </c>
      <c r="F3480" s="17">
        <v>3</v>
      </c>
      <c r="G3480" s="18">
        <v>0.16</v>
      </c>
      <c r="H3480">
        <f>F3480*VLOOKUP(B3480,產品!$A$2:$H$61,7,FALSE)*(1-銷售總表!G3480)</f>
        <v>30240</v>
      </c>
      <c r="I3480" s="35">
        <f>H3480-F3480*VLOOKUP(銷售總表!B3480,產品!$A$2:$H$61,8,FALSE)</f>
        <v>6840</v>
      </c>
      <c r="J3480" s="20">
        <f t="shared" si="54"/>
        <v>0.22619047619047619</v>
      </c>
    </row>
    <row r="3481" spans="1:10" x14ac:dyDescent="0.3">
      <c r="A3481" s="33">
        <v>3480</v>
      </c>
      <c r="B3481" s="4">
        <v>11</v>
      </c>
      <c r="C3481" s="15">
        <v>9</v>
      </c>
      <c r="D3481" s="16">
        <v>9</v>
      </c>
      <c r="E3481" s="22">
        <v>44555</v>
      </c>
      <c r="F3481" s="19">
        <v>30</v>
      </c>
      <c r="G3481" s="18">
        <v>0.11</v>
      </c>
      <c r="H3481">
        <f>F3481*VLOOKUP(B3481,產品!$A$2:$H$61,7,FALSE)*(1-銷售總表!G3481)</f>
        <v>26700</v>
      </c>
      <c r="I3481" s="35">
        <f>H3481-F3481*VLOOKUP(銷售總表!B3481,產品!$A$2:$H$61,8,FALSE)</f>
        <v>14700</v>
      </c>
      <c r="J3481" s="20">
        <f t="shared" si="54"/>
        <v>0.550561797752809</v>
      </c>
    </row>
    <row r="3482" spans="1:10" x14ac:dyDescent="0.3">
      <c r="A3482" s="33">
        <v>3481</v>
      </c>
      <c r="B3482" s="4">
        <v>42</v>
      </c>
      <c r="C3482" s="15">
        <v>286</v>
      </c>
      <c r="D3482" s="16">
        <v>6</v>
      </c>
      <c r="E3482" s="22">
        <v>44555</v>
      </c>
      <c r="F3482" s="17">
        <v>9</v>
      </c>
      <c r="G3482" s="18">
        <v>0.16</v>
      </c>
      <c r="H3482">
        <f>F3482*VLOOKUP(B3482,產品!$A$2:$H$61,7,FALSE)*(1-銷售總表!G3482)</f>
        <v>113400</v>
      </c>
      <c r="I3482" s="35">
        <f>H3482-F3482*VLOOKUP(銷售總表!B3482,產品!$A$2:$H$61,8,FALSE)</f>
        <v>25650</v>
      </c>
      <c r="J3482" s="20">
        <f t="shared" si="54"/>
        <v>0.22619047619047619</v>
      </c>
    </row>
    <row r="3483" spans="1:10" x14ac:dyDescent="0.3">
      <c r="A3483" s="33">
        <v>3482</v>
      </c>
      <c r="B3483" s="4">
        <v>7</v>
      </c>
      <c r="C3483" s="15">
        <v>1</v>
      </c>
      <c r="D3483" s="16">
        <v>7</v>
      </c>
      <c r="E3483" s="22">
        <v>44555</v>
      </c>
      <c r="F3483" s="19">
        <v>200</v>
      </c>
      <c r="G3483" s="18">
        <v>0.16</v>
      </c>
      <c r="H3483">
        <f>F3483*VLOOKUP(B3483,產品!$A$2:$H$61,7,FALSE)*(1-銷售總表!G3483)</f>
        <v>168000</v>
      </c>
      <c r="I3483" s="35">
        <f>H3483-F3483*VLOOKUP(銷售總表!B3483,產品!$A$2:$H$61,8,FALSE)</f>
        <v>88000</v>
      </c>
      <c r="J3483" s="20">
        <f t="shared" si="54"/>
        <v>0.52380952380952384</v>
      </c>
    </row>
    <row r="3484" spans="1:10" x14ac:dyDescent="0.3">
      <c r="A3484" s="33">
        <v>3483</v>
      </c>
      <c r="B3484" s="4">
        <v>19</v>
      </c>
      <c r="C3484" s="15">
        <v>258</v>
      </c>
      <c r="D3484" s="16">
        <v>7</v>
      </c>
      <c r="E3484" s="22">
        <v>44555</v>
      </c>
      <c r="F3484" s="19">
        <v>150</v>
      </c>
      <c r="G3484" s="18">
        <v>0.18</v>
      </c>
      <c r="H3484">
        <f>F3484*VLOOKUP(B3484,產品!$A$2:$H$61,7,FALSE)*(1-銷售總表!G3484)</f>
        <v>221400.00000000003</v>
      </c>
      <c r="I3484" s="35">
        <f>H3484-F3484*VLOOKUP(銷售總表!B3484,產品!$A$2:$H$61,8,FALSE)</f>
        <v>113400.00000000003</v>
      </c>
      <c r="J3484" s="20">
        <f t="shared" si="54"/>
        <v>0.51219512195121952</v>
      </c>
    </row>
    <row r="3485" spans="1:10" x14ac:dyDescent="0.3">
      <c r="A3485" s="33">
        <v>3484</v>
      </c>
      <c r="B3485" s="4">
        <v>49</v>
      </c>
      <c r="C3485" s="15">
        <v>7</v>
      </c>
      <c r="D3485" s="16">
        <v>7</v>
      </c>
      <c r="E3485" s="22">
        <v>44556</v>
      </c>
      <c r="F3485" s="19">
        <v>10</v>
      </c>
      <c r="G3485" s="18">
        <v>0.14000000000000001</v>
      </c>
      <c r="H3485">
        <f>F3485*VLOOKUP(B3485,產品!$A$2:$H$61,7,FALSE)*(1-銷售總表!G3485)</f>
        <v>129000</v>
      </c>
      <c r="I3485" s="35">
        <f>H3485-F3485*VLOOKUP(銷售總表!B3485,產品!$A$2:$H$61,8,FALSE)</f>
        <v>24000</v>
      </c>
      <c r="J3485" s="20">
        <f t="shared" si="54"/>
        <v>0.18604651162790697</v>
      </c>
    </row>
    <row r="3486" spans="1:10" x14ac:dyDescent="0.3">
      <c r="A3486" s="33">
        <v>3485</v>
      </c>
      <c r="B3486" s="4">
        <v>23</v>
      </c>
      <c r="C3486" s="15">
        <v>275</v>
      </c>
      <c r="D3486" s="16">
        <v>8</v>
      </c>
      <c r="E3486" s="22">
        <v>44556</v>
      </c>
      <c r="F3486" s="19">
        <v>40</v>
      </c>
      <c r="G3486" s="18">
        <v>0.15</v>
      </c>
      <c r="H3486">
        <f>F3486*VLOOKUP(B3486,產品!$A$2:$H$61,7,FALSE)*(1-銷售總表!G3486)</f>
        <v>61200</v>
      </c>
      <c r="I3486" s="35">
        <f>H3486-F3486*VLOOKUP(銷售總表!B3486,產品!$A$2:$H$61,8,FALSE)</f>
        <v>32400</v>
      </c>
      <c r="J3486" s="20">
        <f t="shared" si="54"/>
        <v>0.52941176470588236</v>
      </c>
    </row>
    <row r="3487" spans="1:10" x14ac:dyDescent="0.3">
      <c r="A3487" s="33">
        <v>3486</v>
      </c>
      <c r="B3487" s="4">
        <v>46</v>
      </c>
      <c r="C3487" s="15">
        <v>118</v>
      </c>
      <c r="D3487" s="16">
        <v>4</v>
      </c>
      <c r="E3487" s="22">
        <v>44556</v>
      </c>
      <c r="F3487" s="19">
        <v>18</v>
      </c>
      <c r="G3487" s="18">
        <v>0.1</v>
      </c>
      <c r="H3487">
        <f>F3487*VLOOKUP(B3487,產品!$A$2:$H$61,7,FALSE)*(1-銷售總表!G3487)</f>
        <v>275400</v>
      </c>
      <c r="I3487" s="35">
        <f>H3487-F3487*VLOOKUP(銷售總表!B3487,產品!$A$2:$H$61,8,FALSE)</f>
        <v>76500</v>
      </c>
      <c r="J3487" s="20">
        <f t="shared" si="54"/>
        <v>0.27777777777777779</v>
      </c>
    </row>
    <row r="3488" spans="1:10" x14ac:dyDescent="0.3">
      <c r="A3488" s="33">
        <v>3487</v>
      </c>
      <c r="B3488" s="4">
        <v>37</v>
      </c>
      <c r="C3488" s="15">
        <v>123</v>
      </c>
      <c r="D3488" s="16">
        <v>6</v>
      </c>
      <c r="E3488" s="22">
        <v>44556</v>
      </c>
      <c r="F3488" s="19">
        <v>28</v>
      </c>
      <c r="G3488" s="18">
        <v>0.11</v>
      </c>
      <c r="H3488">
        <f>F3488*VLOOKUP(B3488,產品!$A$2:$H$61,7,FALSE)*(1-銷售總表!G3488)</f>
        <v>299040</v>
      </c>
      <c r="I3488" s="35">
        <f>H3488-F3488*VLOOKUP(銷售總表!B3488,產品!$A$2:$H$61,8,FALSE)</f>
        <v>80640</v>
      </c>
      <c r="J3488" s="20">
        <f t="shared" si="54"/>
        <v>0.2696629213483146</v>
      </c>
    </row>
    <row r="3489" spans="1:10" x14ac:dyDescent="0.3">
      <c r="A3489" s="33">
        <v>3488</v>
      </c>
      <c r="B3489" s="4">
        <v>34</v>
      </c>
      <c r="C3489" s="15">
        <v>2</v>
      </c>
      <c r="D3489" s="16">
        <v>4</v>
      </c>
      <c r="E3489" s="22">
        <v>44557</v>
      </c>
      <c r="F3489" s="19">
        <v>3</v>
      </c>
      <c r="G3489" s="18">
        <v>0.18</v>
      </c>
      <c r="H3489">
        <f>F3489*VLOOKUP(B3489,產品!$A$2:$H$61,7,FALSE)*(1-銷售總表!G3489)</f>
        <v>19680</v>
      </c>
      <c r="I3489" s="35">
        <f>H3489-F3489*VLOOKUP(銷售總表!B3489,產品!$A$2:$H$61,8,FALSE)</f>
        <v>5280</v>
      </c>
      <c r="J3489" s="20">
        <f t="shared" si="54"/>
        <v>0.26829268292682928</v>
      </c>
    </row>
    <row r="3490" spans="1:10" x14ac:dyDescent="0.3">
      <c r="A3490" s="33">
        <v>3489</v>
      </c>
      <c r="B3490" s="4">
        <v>4</v>
      </c>
      <c r="C3490" s="15">
        <v>9</v>
      </c>
      <c r="D3490" s="16">
        <v>6</v>
      </c>
      <c r="E3490" s="22">
        <v>44557</v>
      </c>
      <c r="F3490" s="19">
        <v>20</v>
      </c>
      <c r="G3490" s="18">
        <v>0.16</v>
      </c>
      <c r="H3490">
        <f>F3490*VLOOKUP(B3490,產品!$A$2:$H$61,7,FALSE)*(1-銷售總表!G3490)</f>
        <v>16800</v>
      </c>
      <c r="I3490" s="35">
        <f>H3490-F3490*VLOOKUP(銷售總表!B3490,產品!$A$2:$H$61,8,FALSE)</f>
        <v>8800</v>
      </c>
      <c r="J3490" s="20">
        <f t="shared" si="54"/>
        <v>0.52380952380952384</v>
      </c>
    </row>
    <row r="3491" spans="1:10" x14ac:dyDescent="0.3">
      <c r="A3491" s="33">
        <v>3490</v>
      </c>
      <c r="B3491" s="4">
        <v>10</v>
      </c>
      <c r="C3491" s="15">
        <v>125</v>
      </c>
      <c r="D3491" s="16">
        <v>1</v>
      </c>
      <c r="E3491" s="22">
        <v>44557</v>
      </c>
      <c r="F3491" s="19">
        <v>40</v>
      </c>
      <c r="G3491" s="18">
        <v>0.16</v>
      </c>
      <c r="H3491">
        <f>F3491*VLOOKUP(B3491,產品!$A$2:$H$61,7,FALSE)*(1-銷售總表!G3491)</f>
        <v>33600</v>
      </c>
      <c r="I3491" s="35">
        <f>H3491-F3491*VLOOKUP(銷售總表!B3491,產品!$A$2:$H$61,8,FALSE)</f>
        <v>17600</v>
      </c>
      <c r="J3491" s="20">
        <f t="shared" si="54"/>
        <v>0.52380952380952384</v>
      </c>
    </row>
    <row r="3492" spans="1:10" x14ac:dyDescent="0.3">
      <c r="A3492" s="33">
        <v>3491</v>
      </c>
      <c r="B3492" s="4">
        <v>45</v>
      </c>
      <c r="C3492" s="15">
        <v>6</v>
      </c>
      <c r="D3492" s="16">
        <v>6</v>
      </c>
      <c r="E3492" s="22">
        <v>44557</v>
      </c>
      <c r="F3492" s="19">
        <v>10</v>
      </c>
      <c r="G3492" s="18">
        <v>0.17</v>
      </c>
      <c r="H3492">
        <f>F3492*VLOOKUP(B3492,產品!$A$2:$H$61,7,FALSE)*(1-銷售總表!G3492)</f>
        <v>116200</v>
      </c>
      <c r="I3492" s="35">
        <f>H3492-F3492*VLOOKUP(銷售總表!B3492,產品!$A$2:$H$61,8,FALSE)</f>
        <v>25200</v>
      </c>
      <c r="J3492" s="20">
        <f t="shared" si="54"/>
        <v>0.21686746987951808</v>
      </c>
    </row>
    <row r="3493" spans="1:10" x14ac:dyDescent="0.3">
      <c r="A3493" s="33">
        <v>3492</v>
      </c>
      <c r="B3493" s="4">
        <v>14</v>
      </c>
      <c r="C3493" s="15">
        <v>112</v>
      </c>
      <c r="D3493" s="16">
        <v>7</v>
      </c>
      <c r="E3493" s="22">
        <v>44557</v>
      </c>
      <c r="F3493" s="19">
        <v>40</v>
      </c>
      <c r="G3493" s="18">
        <v>0.18</v>
      </c>
      <c r="H3493">
        <f>F3493*VLOOKUP(B3493,產品!$A$2:$H$61,7,FALSE)*(1-銷售總表!G3493)</f>
        <v>59040.000000000007</v>
      </c>
      <c r="I3493" s="35">
        <f>H3493-F3493*VLOOKUP(銷售總表!B3493,產品!$A$2:$H$61,8,FALSE)</f>
        <v>30240.000000000007</v>
      </c>
      <c r="J3493" s="20">
        <f t="shared" si="54"/>
        <v>0.51219512195121952</v>
      </c>
    </row>
    <row r="3494" spans="1:10" x14ac:dyDescent="0.3">
      <c r="A3494" s="33">
        <v>3493</v>
      </c>
      <c r="B3494" s="4">
        <v>51</v>
      </c>
      <c r="C3494" s="15">
        <v>122</v>
      </c>
      <c r="D3494" s="16">
        <v>4</v>
      </c>
      <c r="E3494" s="22">
        <v>44557</v>
      </c>
      <c r="F3494" s="19">
        <v>18</v>
      </c>
      <c r="G3494" s="18">
        <v>0.18</v>
      </c>
      <c r="H3494">
        <f>F3494*VLOOKUP(B3494,產品!$A$2:$H$61,7,FALSE)*(1-銷售總表!G3494)</f>
        <v>295200</v>
      </c>
      <c r="I3494" s="35">
        <f>H3494-F3494*VLOOKUP(銷售總表!B3494,產品!$A$2:$H$61,8,FALSE)</f>
        <v>43200</v>
      </c>
      <c r="J3494" s="20">
        <f t="shared" si="54"/>
        <v>0.14634146341463414</v>
      </c>
    </row>
    <row r="3495" spans="1:10" x14ac:dyDescent="0.3">
      <c r="A3495" s="33">
        <v>3494</v>
      </c>
      <c r="B3495" s="4">
        <v>44</v>
      </c>
      <c r="C3495" s="15">
        <v>9</v>
      </c>
      <c r="D3495" s="16">
        <v>3</v>
      </c>
      <c r="E3495" s="22">
        <v>44557</v>
      </c>
      <c r="F3495" s="19">
        <v>10</v>
      </c>
      <c r="G3495" s="18">
        <v>0.09</v>
      </c>
      <c r="H3495">
        <f>F3495*VLOOKUP(B3495,產品!$A$2:$H$61,7,FALSE)*(1-銷售總表!G3495)</f>
        <v>182000</v>
      </c>
      <c r="I3495" s="35">
        <f>H3495-F3495*VLOOKUP(銷售總表!B3495,產品!$A$2:$H$61,8,FALSE)</f>
        <v>52000</v>
      </c>
      <c r="J3495" s="20">
        <f t="shared" si="54"/>
        <v>0.2857142857142857</v>
      </c>
    </row>
    <row r="3496" spans="1:10" x14ac:dyDescent="0.3">
      <c r="A3496" s="33">
        <v>3495</v>
      </c>
      <c r="B3496" s="4">
        <v>8</v>
      </c>
      <c r="C3496" s="15">
        <v>293</v>
      </c>
      <c r="D3496" s="16">
        <v>7</v>
      </c>
      <c r="E3496" s="22">
        <v>44558</v>
      </c>
      <c r="F3496" s="17">
        <v>40</v>
      </c>
      <c r="G3496" s="18">
        <v>0.19</v>
      </c>
      <c r="H3496">
        <f>F3496*VLOOKUP(B3496,產品!$A$2:$H$61,7,FALSE)*(1-銷售總表!G3496)</f>
        <v>32400.000000000004</v>
      </c>
      <c r="I3496" s="35">
        <f>H3496-F3496*VLOOKUP(銷售總表!B3496,產品!$A$2:$H$61,8,FALSE)</f>
        <v>16400.000000000004</v>
      </c>
      <c r="J3496" s="20">
        <f t="shared" si="54"/>
        <v>0.50617283950617287</v>
      </c>
    </row>
    <row r="3497" spans="1:10" x14ac:dyDescent="0.3">
      <c r="A3497" s="33">
        <v>3496</v>
      </c>
      <c r="B3497" s="4">
        <v>46</v>
      </c>
      <c r="C3497" s="15">
        <v>292</v>
      </c>
      <c r="D3497" s="16">
        <v>8</v>
      </c>
      <c r="E3497" s="22">
        <v>44558</v>
      </c>
      <c r="F3497" s="19">
        <v>7</v>
      </c>
      <c r="G3497" s="18">
        <v>0.19</v>
      </c>
      <c r="H3497">
        <f>F3497*VLOOKUP(B3497,產品!$A$2:$H$61,7,FALSE)*(1-銷售總表!G3497)</f>
        <v>96390</v>
      </c>
      <c r="I3497" s="35">
        <f>H3497-F3497*VLOOKUP(銷售總表!B3497,產品!$A$2:$H$61,8,FALSE)</f>
        <v>19040</v>
      </c>
      <c r="J3497" s="20">
        <f t="shared" si="54"/>
        <v>0.19753086419753085</v>
      </c>
    </row>
    <row r="3498" spans="1:10" x14ac:dyDescent="0.3">
      <c r="A3498" s="33">
        <v>3497</v>
      </c>
      <c r="B3498" s="4">
        <v>16</v>
      </c>
      <c r="C3498" s="15">
        <v>265</v>
      </c>
      <c r="D3498" s="16">
        <v>10</v>
      </c>
      <c r="E3498" s="22">
        <v>44558</v>
      </c>
      <c r="F3498" s="19">
        <v>30</v>
      </c>
      <c r="G3498" s="18">
        <v>0.16</v>
      </c>
      <c r="H3498">
        <f>F3498*VLOOKUP(B3498,產品!$A$2:$H$61,7,FALSE)*(1-銷售總表!G3498)</f>
        <v>45360</v>
      </c>
      <c r="I3498" s="35">
        <f>H3498-F3498*VLOOKUP(銷售總表!B3498,產品!$A$2:$H$61,8,FALSE)</f>
        <v>23760</v>
      </c>
      <c r="J3498" s="20">
        <f t="shared" si="54"/>
        <v>0.52380952380952384</v>
      </c>
    </row>
    <row r="3499" spans="1:10" x14ac:dyDescent="0.3">
      <c r="A3499" s="33">
        <v>3498</v>
      </c>
      <c r="B3499" s="4">
        <v>32</v>
      </c>
      <c r="C3499" s="15">
        <v>1</v>
      </c>
      <c r="D3499" s="16">
        <v>8</v>
      </c>
      <c r="E3499" s="22">
        <v>44558</v>
      </c>
      <c r="F3499" s="19">
        <v>10</v>
      </c>
      <c r="G3499" s="18">
        <v>7.0000000000000007E-2</v>
      </c>
      <c r="H3499">
        <f>F3499*VLOOKUP(B3499,產品!$A$2:$H$61,7,FALSE)*(1-銷售總表!G3499)</f>
        <v>69750</v>
      </c>
      <c r="I3499" s="35">
        <f>H3499-F3499*VLOOKUP(銷售總表!B3499,產品!$A$2:$H$61,8,FALSE)</f>
        <v>24750</v>
      </c>
      <c r="J3499" s="20">
        <f t="shared" si="54"/>
        <v>0.35483870967741937</v>
      </c>
    </row>
    <row r="3500" spans="1:10" x14ac:dyDescent="0.3">
      <c r="A3500" s="33">
        <v>3499</v>
      </c>
      <c r="B3500" s="4">
        <v>45</v>
      </c>
      <c r="C3500" s="15">
        <v>135</v>
      </c>
      <c r="D3500" s="16">
        <v>9</v>
      </c>
      <c r="E3500" s="22">
        <v>44558</v>
      </c>
      <c r="F3500" s="19">
        <v>9</v>
      </c>
      <c r="G3500" s="18">
        <v>0.15</v>
      </c>
      <c r="H3500">
        <f>F3500*VLOOKUP(B3500,產品!$A$2:$H$61,7,FALSE)*(1-銷售總表!G3500)</f>
        <v>107100</v>
      </c>
      <c r="I3500" s="35">
        <f>H3500-F3500*VLOOKUP(銷售總表!B3500,產品!$A$2:$H$61,8,FALSE)</f>
        <v>25200</v>
      </c>
      <c r="J3500" s="20">
        <f t="shared" si="54"/>
        <v>0.23529411764705882</v>
      </c>
    </row>
    <row r="3501" spans="1:10" x14ac:dyDescent="0.3">
      <c r="A3501" s="33">
        <v>3500</v>
      </c>
      <c r="B3501" s="4">
        <v>9</v>
      </c>
      <c r="C3501" s="15">
        <v>113</v>
      </c>
      <c r="D3501" s="16">
        <v>5</v>
      </c>
      <c r="E3501" s="22">
        <v>44558</v>
      </c>
      <c r="F3501" s="17">
        <v>50</v>
      </c>
      <c r="G3501" s="18">
        <v>0.06</v>
      </c>
      <c r="H3501">
        <f>F3501*VLOOKUP(B3501,產品!$A$2:$H$61,7,FALSE)*(1-銷售總表!G3501)</f>
        <v>47000</v>
      </c>
      <c r="I3501" s="35">
        <f>H3501-F3501*VLOOKUP(銷售總表!B3501,產品!$A$2:$H$61,8,FALSE)</f>
        <v>27000</v>
      </c>
      <c r="J3501" s="20">
        <f t="shared" si="54"/>
        <v>0.57446808510638303</v>
      </c>
    </row>
    <row r="3502" spans="1:10" x14ac:dyDescent="0.3">
      <c r="A3502" s="33">
        <v>3501</v>
      </c>
      <c r="B3502" s="4">
        <v>56</v>
      </c>
      <c r="C3502" s="15">
        <v>285</v>
      </c>
      <c r="D3502" s="16">
        <v>1</v>
      </c>
      <c r="E3502" s="22">
        <v>44558</v>
      </c>
      <c r="F3502" s="17">
        <v>6</v>
      </c>
      <c r="G3502" s="18">
        <v>0.08</v>
      </c>
      <c r="H3502">
        <f>F3502*VLOOKUP(B3502,產品!$A$2:$H$61,7,FALSE)*(1-銷售總表!G3502)</f>
        <v>121440</v>
      </c>
      <c r="I3502" s="35">
        <f>H3502-F3502*VLOOKUP(銷售總表!B3502,產品!$A$2:$H$61,8,FALSE)</f>
        <v>29040.000000000015</v>
      </c>
      <c r="J3502" s="20">
        <f t="shared" si="54"/>
        <v>0.23913043478260881</v>
      </c>
    </row>
    <row r="3503" spans="1:10" x14ac:dyDescent="0.3">
      <c r="A3503" s="33">
        <v>3502</v>
      </c>
      <c r="B3503" s="4">
        <v>6</v>
      </c>
      <c r="C3503" s="15">
        <v>273</v>
      </c>
      <c r="D3503" s="16">
        <v>2</v>
      </c>
      <c r="E3503" s="22">
        <v>44558</v>
      </c>
      <c r="F3503" s="17">
        <v>80</v>
      </c>
      <c r="G3503" s="18">
        <v>0.09</v>
      </c>
      <c r="H3503">
        <f>F3503*VLOOKUP(B3503,產品!$A$2:$H$61,7,FALSE)*(1-銷售總表!G3503)</f>
        <v>72800</v>
      </c>
      <c r="I3503" s="35">
        <f>H3503-F3503*VLOOKUP(銷售總表!B3503,產品!$A$2:$H$61,8,FALSE)</f>
        <v>40800</v>
      </c>
      <c r="J3503" s="20">
        <f t="shared" si="54"/>
        <v>0.56043956043956045</v>
      </c>
    </row>
    <row r="3504" spans="1:10" x14ac:dyDescent="0.3">
      <c r="A3504" s="33">
        <v>3503</v>
      </c>
      <c r="B3504" s="4">
        <v>14</v>
      </c>
      <c r="C3504" s="15">
        <v>267</v>
      </c>
      <c r="D3504" s="16">
        <v>8</v>
      </c>
      <c r="E3504" s="22">
        <v>44558</v>
      </c>
      <c r="F3504" s="19">
        <v>60</v>
      </c>
      <c r="G3504" s="18">
        <v>0.08</v>
      </c>
      <c r="H3504">
        <f>F3504*VLOOKUP(B3504,產品!$A$2:$H$61,7,FALSE)*(1-銷售總表!G3504)</f>
        <v>99360</v>
      </c>
      <c r="I3504" s="35">
        <f>H3504-F3504*VLOOKUP(銷售總表!B3504,產品!$A$2:$H$61,8,FALSE)</f>
        <v>56160</v>
      </c>
      <c r="J3504" s="20">
        <f t="shared" si="54"/>
        <v>0.56521739130434778</v>
      </c>
    </row>
    <row r="3505" spans="1:10" x14ac:dyDescent="0.3">
      <c r="A3505" s="33">
        <v>3504</v>
      </c>
      <c r="B3505" s="4">
        <v>11</v>
      </c>
      <c r="C3505" s="15">
        <v>281</v>
      </c>
      <c r="D3505" s="16">
        <v>2</v>
      </c>
      <c r="E3505" s="22">
        <v>44558</v>
      </c>
      <c r="F3505" s="19">
        <v>300</v>
      </c>
      <c r="G3505" s="18">
        <v>0.18</v>
      </c>
      <c r="H3505">
        <f>F3505*VLOOKUP(B3505,產品!$A$2:$H$61,7,FALSE)*(1-銷售總表!G3505)</f>
        <v>246000.00000000003</v>
      </c>
      <c r="I3505" s="35">
        <f>H3505-F3505*VLOOKUP(銷售總表!B3505,產品!$A$2:$H$61,8,FALSE)</f>
        <v>126000.00000000003</v>
      </c>
      <c r="J3505" s="20">
        <f t="shared" si="54"/>
        <v>0.51219512195121952</v>
      </c>
    </row>
    <row r="3506" spans="1:10" x14ac:dyDescent="0.3">
      <c r="A3506" s="33">
        <v>3505</v>
      </c>
      <c r="B3506" s="4">
        <v>33</v>
      </c>
      <c r="C3506" s="15">
        <v>9</v>
      </c>
      <c r="D3506" s="16">
        <v>4</v>
      </c>
      <c r="E3506" s="22">
        <v>44559</v>
      </c>
      <c r="F3506" s="19">
        <v>5</v>
      </c>
      <c r="G3506" s="18">
        <v>0.19</v>
      </c>
      <c r="H3506">
        <f>F3506*VLOOKUP(B3506,產品!$A$2:$H$61,7,FALSE)*(1-銷售總表!G3506)</f>
        <v>30375.000000000004</v>
      </c>
      <c r="I3506" s="35">
        <f>H3506-F3506*VLOOKUP(銷售總表!B3506,產品!$A$2:$H$61,8,FALSE)</f>
        <v>7875.0000000000036</v>
      </c>
      <c r="J3506" s="20">
        <f t="shared" si="54"/>
        <v>0.25925925925925936</v>
      </c>
    </row>
    <row r="3507" spans="1:10" x14ac:dyDescent="0.3">
      <c r="A3507" s="33">
        <v>3506</v>
      </c>
      <c r="B3507" s="4">
        <v>54</v>
      </c>
      <c r="C3507" s="15">
        <v>259</v>
      </c>
      <c r="D3507" s="16">
        <v>6</v>
      </c>
      <c r="E3507" s="22">
        <v>44559</v>
      </c>
      <c r="F3507" s="19">
        <v>5</v>
      </c>
      <c r="G3507" s="18">
        <v>0.18</v>
      </c>
      <c r="H3507">
        <f>F3507*VLOOKUP(B3507,產品!$A$2:$H$61,7,FALSE)*(1-銷售總表!G3507)</f>
        <v>73800</v>
      </c>
      <c r="I3507" s="35">
        <f>H3507-F3507*VLOOKUP(銷售總表!B3507,產品!$A$2:$H$61,8,FALSE)</f>
        <v>10800</v>
      </c>
      <c r="J3507" s="20">
        <f t="shared" si="54"/>
        <v>0.14634146341463414</v>
      </c>
    </row>
    <row r="3508" spans="1:10" x14ac:dyDescent="0.3">
      <c r="A3508" s="33">
        <v>3507</v>
      </c>
      <c r="B3508" s="4">
        <v>42</v>
      </c>
      <c r="C3508" s="15">
        <v>12</v>
      </c>
      <c r="D3508" s="16">
        <v>5</v>
      </c>
      <c r="E3508" s="22">
        <v>44559</v>
      </c>
      <c r="F3508" s="19">
        <v>9</v>
      </c>
      <c r="G3508" s="18">
        <v>0.1</v>
      </c>
      <c r="H3508">
        <f>F3508*VLOOKUP(B3508,產品!$A$2:$H$61,7,FALSE)*(1-銷售總表!G3508)</f>
        <v>121500</v>
      </c>
      <c r="I3508" s="35">
        <f>H3508-F3508*VLOOKUP(銷售總表!B3508,產品!$A$2:$H$61,8,FALSE)</f>
        <v>33750</v>
      </c>
      <c r="J3508" s="20">
        <f t="shared" si="54"/>
        <v>0.27777777777777779</v>
      </c>
    </row>
    <row r="3509" spans="1:10" x14ac:dyDescent="0.3">
      <c r="A3509" s="33">
        <v>3508</v>
      </c>
      <c r="B3509" s="4">
        <v>45</v>
      </c>
      <c r="C3509" s="15">
        <v>125</v>
      </c>
      <c r="D3509" s="16">
        <v>6</v>
      </c>
      <c r="E3509" s="22">
        <v>44559</v>
      </c>
      <c r="F3509" s="19">
        <v>9</v>
      </c>
      <c r="G3509" s="18">
        <v>0.08</v>
      </c>
      <c r="H3509">
        <f>F3509*VLOOKUP(B3509,產品!$A$2:$H$61,7,FALSE)*(1-銷售總表!G3509)</f>
        <v>115920</v>
      </c>
      <c r="I3509" s="35">
        <f>H3509-F3509*VLOOKUP(銷售總表!B3509,產品!$A$2:$H$61,8,FALSE)</f>
        <v>34020</v>
      </c>
      <c r="J3509" s="20">
        <f t="shared" si="54"/>
        <v>0.29347826086956524</v>
      </c>
    </row>
    <row r="3510" spans="1:10" x14ac:dyDescent="0.3">
      <c r="A3510" s="33">
        <v>3509</v>
      </c>
      <c r="B3510" s="4">
        <v>40</v>
      </c>
      <c r="C3510" s="15">
        <v>7</v>
      </c>
      <c r="D3510" s="16">
        <v>5</v>
      </c>
      <c r="E3510" s="22">
        <v>44559</v>
      </c>
      <c r="F3510" s="19">
        <v>14</v>
      </c>
      <c r="G3510" s="18">
        <v>0.17</v>
      </c>
      <c r="H3510">
        <f>F3510*VLOOKUP(B3510,產品!$A$2:$H$61,7,FALSE)*(1-銷售總表!G3510)</f>
        <v>232400</v>
      </c>
      <c r="I3510" s="35">
        <f>H3510-F3510*VLOOKUP(銷售總表!B3510,產品!$A$2:$H$61,8,FALSE)</f>
        <v>50400</v>
      </c>
      <c r="J3510" s="20">
        <f t="shared" si="54"/>
        <v>0.21686746987951808</v>
      </c>
    </row>
    <row r="3511" spans="1:10" x14ac:dyDescent="0.3">
      <c r="A3511" s="33">
        <v>3510</v>
      </c>
      <c r="B3511" s="4">
        <v>19</v>
      </c>
      <c r="C3511" s="15">
        <v>137</v>
      </c>
      <c r="D3511" s="16">
        <v>1</v>
      </c>
      <c r="E3511" s="22">
        <v>44559</v>
      </c>
      <c r="F3511" s="19">
        <v>125</v>
      </c>
      <c r="G3511" s="18">
        <v>0.1</v>
      </c>
      <c r="H3511">
        <f>F3511*VLOOKUP(B3511,產品!$A$2:$H$61,7,FALSE)*(1-銷售總表!G3511)</f>
        <v>202500</v>
      </c>
      <c r="I3511" s="35">
        <f>H3511-F3511*VLOOKUP(銷售總表!B3511,產品!$A$2:$H$61,8,FALSE)</f>
        <v>112500</v>
      </c>
      <c r="J3511" s="20">
        <f t="shared" si="54"/>
        <v>0.55555555555555558</v>
      </c>
    </row>
    <row r="3512" spans="1:10" x14ac:dyDescent="0.3">
      <c r="A3512" s="33">
        <v>3511</v>
      </c>
      <c r="B3512" s="4">
        <v>8</v>
      </c>
      <c r="C3512" s="15">
        <v>4</v>
      </c>
      <c r="D3512" s="16">
        <v>10</v>
      </c>
      <c r="E3512" s="22">
        <v>44560</v>
      </c>
      <c r="F3512" s="19">
        <v>17</v>
      </c>
      <c r="G3512" s="18">
        <v>0.13</v>
      </c>
      <c r="H3512">
        <f>F3512*VLOOKUP(B3512,產品!$A$2:$H$61,7,FALSE)*(1-銷售總表!G3512)</f>
        <v>14790</v>
      </c>
      <c r="I3512" s="35">
        <f>H3512-F3512*VLOOKUP(銷售總表!B3512,產品!$A$2:$H$61,8,FALSE)</f>
        <v>7990</v>
      </c>
      <c r="J3512" s="20">
        <f t="shared" si="54"/>
        <v>0.54022988505747127</v>
      </c>
    </row>
    <row r="3513" spans="1:10" x14ac:dyDescent="0.3">
      <c r="A3513" s="33">
        <v>3512</v>
      </c>
      <c r="B3513" s="4">
        <v>56</v>
      </c>
      <c r="C3513" s="15">
        <v>10</v>
      </c>
      <c r="D3513" s="16">
        <v>8</v>
      </c>
      <c r="E3513" s="22">
        <v>44560</v>
      </c>
      <c r="F3513" s="19">
        <v>13</v>
      </c>
      <c r="G3513" s="18">
        <v>0.16</v>
      </c>
      <c r="H3513">
        <f>F3513*VLOOKUP(B3513,產品!$A$2:$H$61,7,FALSE)*(1-銷售總表!G3513)</f>
        <v>240240</v>
      </c>
      <c r="I3513" s="35">
        <f>H3513-F3513*VLOOKUP(銷售總表!B3513,產品!$A$2:$H$61,8,FALSE)</f>
        <v>40040.000000000029</v>
      </c>
      <c r="J3513" s="20">
        <f t="shared" si="54"/>
        <v>0.1666666666666668</v>
      </c>
    </row>
    <row r="3514" spans="1:10" x14ac:dyDescent="0.3">
      <c r="A3514" s="33">
        <v>3513</v>
      </c>
      <c r="B3514" s="4">
        <v>18</v>
      </c>
      <c r="C3514" s="15">
        <v>12</v>
      </c>
      <c r="D3514" s="16">
        <v>2</v>
      </c>
      <c r="E3514" s="22">
        <v>44560</v>
      </c>
      <c r="F3514" s="19">
        <v>90</v>
      </c>
      <c r="G3514" s="18">
        <v>0.15</v>
      </c>
      <c r="H3514">
        <f>F3514*VLOOKUP(B3514,產品!$A$2:$H$61,7,FALSE)*(1-銷售總表!G3514)</f>
        <v>137700</v>
      </c>
      <c r="I3514" s="35">
        <f>H3514-F3514*VLOOKUP(銷售總表!B3514,產品!$A$2:$H$61,8,FALSE)</f>
        <v>72900</v>
      </c>
      <c r="J3514" s="20">
        <f t="shared" si="54"/>
        <v>0.52941176470588236</v>
      </c>
    </row>
    <row r="3515" spans="1:10" x14ac:dyDescent="0.3">
      <c r="A3515" s="33">
        <v>3514</v>
      </c>
      <c r="B3515" s="4">
        <v>36</v>
      </c>
      <c r="C3515" s="15">
        <v>263</v>
      </c>
      <c r="D3515" s="16">
        <v>5</v>
      </c>
      <c r="E3515" s="22">
        <v>44560</v>
      </c>
      <c r="F3515" s="19">
        <v>35</v>
      </c>
      <c r="G3515" s="18">
        <v>0.08</v>
      </c>
      <c r="H3515">
        <f>F3515*VLOOKUP(B3515,產品!$A$2:$H$61,7,FALSE)*(1-銷售總表!G3515)</f>
        <v>289800</v>
      </c>
      <c r="I3515" s="35">
        <f>H3515-F3515*VLOOKUP(銷售總表!B3515,產品!$A$2:$H$61,8,FALSE)</f>
        <v>100800</v>
      </c>
      <c r="J3515" s="20">
        <f t="shared" si="54"/>
        <v>0.34782608695652173</v>
      </c>
    </row>
    <row r="3516" spans="1:10" x14ac:dyDescent="0.3">
      <c r="A3516" s="33">
        <v>3515</v>
      </c>
      <c r="B3516" s="4">
        <v>5</v>
      </c>
      <c r="C3516" s="15">
        <v>274</v>
      </c>
      <c r="D3516" s="16">
        <v>1</v>
      </c>
      <c r="E3516" s="22">
        <v>44561</v>
      </c>
      <c r="F3516" s="17">
        <v>10</v>
      </c>
      <c r="G3516" s="18">
        <v>0.1</v>
      </c>
      <c r="H3516">
        <f>F3516*VLOOKUP(B3516,產品!$A$2:$H$61,7,FALSE)*(1-銷售總表!G3516)</f>
        <v>9000</v>
      </c>
      <c r="I3516" s="35">
        <f>H3516-F3516*VLOOKUP(銷售總表!B3516,產品!$A$2:$H$61,8,FALSE)</f>
        <v>5000</v>
      </c>
      <c r="J3516" s="20">
        <f t="shared" si="54"/>
        <v>0.55555555555555558</v>
      </c>
    </row>
    <row r="3517" spans="1:10" x14ac:dyDescent="0.3">
      <c r="A3517" s="33">
        <v>3516</v>
      </c>
      <c r="B3517" s="4">
        <v>25</v>
      </c>
      <c r="C3517" s="15">
        <v>265</v>
      </c>
      <c r="D3517" s="16">
        <v>3</v>
      </c>
      <c r="E3517" s="22">
        <v>44561</v>
      </c>
      <c r="F3517" s="17">
        <v>3</v>
      </c>
      <c r="G3517" s="18">
        <v>0.06</v>
      </c>
      <c r="H3517">
        <f>F3517*VLOOKUP(B3517,產品!$A$2:$H$61,7,FALSE)*(1-銷售總表!G3517)</f>
        <v>16920</v>
      </c>
      <c r="I3517" s="35">
        <f>H3517-F3517*VLOOKUP(銷售總表!B3517,產品!$A$2:$H$61,8,FALSE)</f>
        <v>6120</v>
      </c>
      <c r="J3517" s="20">
        <f t="shared" si="54"/>
        <v>0.36170212765957449</v>
      </c>
    </row>
    <row r="3518" spans="1:10" x14ac:dyDescent="0.3">
      <c r="A3518" s="33">
        <v>3517</v>
      </c>
      <c r="B3518" s="4">
        <v>55</v>
      </c>
      <c r="C3518" s="15">
        <v>285</v>
      </c>
      <c r="D3518" s="16">
        <v>3</v>
      </c>
      <c r="E3518" s="22">
        <v>44561</v>
      </c>
      <c r="F3518" s="19">
        <v>5</v>
      </c>
      <c r="G3518" s="18">
        <v>0.06</v>
      </c>
      <c r="H3518">
        <f>F3518*VLOOKUP(B3518,產品!$A$2:$H$61,7,FALSE)*(1-銷售總表!G3518)</f>
        <v>94000</v>
      </c>
      <c r="I3518" s="35">
        <f>H3518-F3518*VLOOKUP(銷售總表!B3518,產品!$A$2:$H$61,8,FALSE)</f>
        <v>24000</v>
      </c>
      <c r="J3518" s="20">
        <f t="shared" si="54"/>
        <v>0.25531914893617019</v>
      </c>
    </row>
    <row r="3519" spans="1:10" x14ac:dyDescent="0.3">
      <c r="A3519" s="33">
        <v>3518</v>
      </c>
      <c r="B3519" s="4">
        <v>45</v>
      </c>
      <c r="C3519" s="15">
        <v>136</v>
      </c>
      <c r="D3519" s="16">
        <v>4</v>
      </c>
      <c r="E3519" s="22">
        <v>44561</v>
      </c>
      <c r="F3519" s="19">
        <v>11</v>
      </c>
      <c r="G3519" s="18">
        <v>0.19</v>
      </c>
      <c r="H3519">
        <f>F3519*VLOOKUP(B3519,產品!$A$2:$H$61,7,FALSE)*(1-銷售總表!G3519)</f>
        <v>124740.00000000001</v>
      </c>
      <c r="I3519" s="35">
        <f>H3519-F3519*VLOOKUP(銷售總表!B3519,產品!$A$2:$H$61,8,FALSE)</f>
        <v>24640.000000000015</v>
      </c>
      <c r="J3519" s="20">
        <f t="shared" si="54"/>
        <v>0.19753086419753096</v>
      </c>
    </row>
    <row r="3520" spans="1:10" x14ac:dyDescent="0.3">
      <c r="A3520" s="33">
        <v>3519</v>
      </c>
      <c r="B3520" s="4">
        <v>43</v>
      </c>
      <c r="C3520" s="15">
        <v>5</v>
      </c>
      <c r="D3520" s="16">
        <v>3</v>
      </c>
      <c r="E3520" s="22">
        <v>44561</v>
      </c>
      <c r="F3520" s="19">
        <v>6</v>
      </c>
      <c r="G3520" s="18">
        <v>0.11</v>
      </c>
      <c r="H3520">
        <f>F3520*VLOOKUP(B3520,產品!$A$2:$H$61,7,FALSE)*(1-銷售總表!G3520)</f>
        <v>96120</v>
      </c>
      <c r="I3520" s="35">
        <f>H3520-F3520*VLOOKUP(銷售總表!B3520,產品!$A$2:$H$61,8,FALSE)</f>
        <v>25920</v>
      </c>
      <c r="J3520" s="20">
        <f t="shared" si="54"/>
        <v>0.2696629213483146</v>
      </c>
    </row>
    <row r="3521" spans="1:10" x14ac:dyDescent="0.3">
      <c r="A3521" s="33">
        <v>3520</v>
      </c>
      <c r="B3521" s="4">
        <v>55</v>
      </c>
      <c r="C3521" s="15">
        <v>124</v>
      </c>
      <c r="D3521" s="16">
        <v>5</v>
      </c>
      <c r="E3521" s="22">
        <v>44561</v>
      </c>
      <c r="F3521" s="19">
        <v>8</v>
      </c>
      <c r="G3521" s="18">
        <v>0.09</v>
      </c>
      <c r="H3521">
        <f>F3521*VLOOKUP(B3521,產品!$A$2:$H$61,7,FALSE)*(1-銷售總表!G3521)</f>
        <v>145600</v>
      </c>
      <c r="I3521" s="35">
        <f>H3521-F3521*VLOOKUP(銷售總表!B3521,產品!$A$2:$H$61,8,FALSE)</f>
        <v>33600</v>
      </c>
      <c r="J3521" s="20">
        <f t="shared" si="54"/>
        <v>0.23076923076923078</v>
      </c>
    </row>
    <row r="3522" spans="1:10" x14ac:dyDescent="0.3">
      <c r="A3522" s="33">
        <v>3521</v>
      </c>
      <c r="B3522" s="4">
        <v>16</v>
      </c>
      <c r="C3522" s="15">
        <v>122</v>
      </c>
      <c r="D3522" s="16">
        <v>10</v>
      </c>
      <c r="E3522" s="22">
        <v>44561</v>
      </c>
      <c r="F3522" s="19">
        <v>70</v>
      </c>
      <c r="G3522" s="18">
        <v>0.18</v>
      </c>
      <c r="H3522">
        <f>F3522*VLOOKUP(B3522,產品!$A$2:$H$61,7,FALSE)*(1-銷售總表!G3522)</f>
        <v>103320.00000000001</v>
      </c>
      <c r="I3522" s="35">
        <f>H3522-F3522*VLOOKUP(銷售總表!B3522,產品!$A$2:$H$61,8,FALSE)</f>
        <v>52920.000000000015</v>
      </c>
      <c r="J3522" s="20">
        <f t="shared" si="54"/>
        <v>0.51219512195121963</v>
      </c>
    </row>
    <row r="3523" spans="1:10" x14ac:dyDescent="0.3">
      <c r="A3523" s="33">
        <v>3522</v>
      </c>
      <c r="B3523" s="4">
        <v>51</v>
      </c>
      <c r="C3523" s="15">
        <v>11</v>
      </c>
      <c r="D3523" s="16">
        <v>2</v>
      </c>
      <c r="E3523" s="22">
        <v>44562</v>
      </c>
      <c r="F3523" s="17">
        <v>1</v>
      </c>
      <c r="G3523" s="18">
        <v>0.17</v>
      </c>
      <c r="H3523">
        <f>F3523*VLOOKUP(B3523,產品!$A$2:$H$61,7,FALSE)*(1-銷售總表!G3523)</f>
        <v>16600</v>
      </c>
      <c r="I3523" s="35">
        <f>H3523-F3523*VLOOKUP(銷售總表!B3523,產品!$A$2:$H$61,8,FALSE)</f>
        <v>2600</v>
      </c>
      <c r="J3523" s="20">
        <f t="shared" ref="J3523:J3586" si="55">I3523/H3523</f>
        <v>0.15662650602409639</v>
      </c>
    </row>
    <row r="3524" spans="1:10" x14ac:dyDescent="0.3">
      <c r="A3524" s="33">
        <v>3523</v>
      </c>
      <c r="B3524" s="4">
        <v>37</v>
      </c>
      <c r="C3524" s="15">
        <v>265</v>
      </c>
      <c r="D3524" s="16">
        <v>2</v>
      </c>
      <c r="E3524" s="22">
        <v>44562</v>
      </c>
      <c r="F3524" s="17">
        <v>3</v>
      </c>
      <c r="G3524" s="18">
        <v>0.11</v>
      </c>
      <c r="H3524">
        <f>F3524*VLOOKUP(B3524,產品!$A$2:$H$61,7,FALSE)*(1-銷售總表!G3524)</f>
        <v>32040</v>
      </c>
      <c r="I3524" s="35">
        <f>H3524-F3524*VLOOKUP(銷售總表!B3524,產品!$A$2:$H$61,8,FALSE)</f>
        <v>8640</v>
      </c>
      <c r="J3524" s="20">
        <f t="shared" si="55"/>
        <v>0.2696629213483146</v>
      </c>
    </row>
    <row r="3525" spans="1:10" x14ac:dyDescent="0.3">
      <c r="A3525" s="33">
        <v>3524</v>
      </c>
      <c r="B3525" s="4">
        <v>54</v>
      </c>
      <c r="C3525" s="15">
        <v>116</v>
      </c>
      <c r="D3525" s="16">
        <v>3</v>
      </c>
      <c r="E3525" s="22">
        <v>44562</v>
      </c>
      <c r="F3525" s="19">
        <v>5</v>
      </c>
      <c r="G3525" s="18">
        <v>0.08</v>
      </c>
      <c r="H3525">
        <f>F3525*VLOOKUP(B3525,產品!$A$2:$H$61,7,FALSE)*(1-銷售總表!G3525)</f>
        <v>82800</v>
      </c>
      <c r="I3525" s="35">
        <f>H3525-F3525*VLOOKUP(銷售總表!B3525,產品!$A$2:$H$61,8,FALSE)</f>
        <v>19800</v>
      </c>
      <c r="J3525" s="20">
        <f t="shared" si="55"/>
        <v>0.2391304347826087</v>
      </c>
    </row>
    <row r="3526" spans="1:10" x14ac:dyDescent="0.3">
      <c r="A3526" s="33">
        <v>3525</v>
      </c>
      <c r="B3526" s="4">
        <v>38</v>
      </c>
      <c r="C3526" s="15">
        <v>258</v>
      </c>
      <c r="D3526" s="16">
        <v>10</v>
      </c>
      <c r="E3526" s="22">
        <v>44562</v>
      </c>
      <c r="F3526" s="19">
        <v>5</v>
      </c>
      <c r="G3526" s="18">
        <v>0.17</v>
      </c>
      <c r="H3526">
        <f>F3526*VLOOKUP(B3526,產品!$A$2:$H$61,7,FALSE)*(1-銷售總表!G3526)</f>
        <v>62250</v>
      </c>
      <c r="I3526" s="35">
        <f>H3526-F3526*VLOOKUP(銷售總表!B3526,產品!$A$2:$H$61,8,FALSE)</f>
        <v>13500</v>
      </c>
      <c r="J3526" s="20">
        <f t="shared" si="55"/>
        <v>0.21686746987951808</v>
      </c>
    </row>
    <row r="3527" spans="1:10" x14ac:dyDescent="0.3">
      <c r="A3527" s="33">
        <v>3526</v>
      </c>
      <c r="B3527" s="4">
        <v>52</v>
      </c>
      <c r="C3527" s="15">
        <v>122</v>
      </c>
      <c r="D3527" s="16">
        <v>5</v>
      </c>
      <c r="E3527" s="22">
        <v>44562</v>
      </c>
      <c r="F3527" s="19">
        <v>13</v>
      </c>
      <c r="G3527" s="18">
        <v>0.13</v>
      </c>
      <c r="H3527">
        <f>F3527*VLOOKUP(B3527,產品!$A$2:$H$61,7,FALSE)*(1-銷售總表!G3527)</f>
        <v>248820</v>
      </c>
      <c r="I3527" s="35">
        <f>H3527-F3527*VLOOKUP(銷售總表!B3527,產品!$A$2:$H$61,8,FALSE)</f>
        <v>48620.000000000029</v>
      </c>
      <c r="J3527" s="20">
        <f t="shared" si="55"/>
        <v>0.19540229885057483</v>
      </c>
    </row>
    <row r="3528" spans="1:10" x14ac:dyDescent="0.3">
      <c r="A3528" s="33">
        <v>3527</v>
      </c>
      <c r="B3528" s="4">
        <v>37</v>
      </c>
      <c r="C3528" s="15">
        <v>4</v>
      </c>
      <c r="D3528" s="16">
        <v>8</v>
      </c>
      <c r="E3528" s="22">
        <v>44562</v>
      </c>
      <c r="F3528" s="19">
        <v>18</v>
      </c>
      <c r="G3528" s="18">
        <v>0.15</v>
      </c>
      <c r="H3528">
        <f>F3528*VLOOKUP(B3528,產品!$A$2:$H$61,7,FALSE)*(1-銷售總表!G3528)</f>
        <v>183600</v>
      </c>
      <c r="I3528" s="35">
        <f>H3528-F3528*VLOOKUP(銷售總表!B3528,產品!$A$2:$H$61,8,FALSE)</f>
        <v>43200</v>
      </c>
      <c r="J3528" s="20">
        <f t="shared" si="55"/>
        <v>0.23529411764705882</v>
      </c>
    </row>
    <row r="3529" spans="1:10" x14ac:dyDescent="0.3">
      <c r="A3529" s="33">
        <v>3528</v>
      </c>
      <c r="B3529" s="4">
        <v>37</v>
      </c>
      <c r="C3529" s="15">
        <v>9</v>
      </c>
      <c r="D3529" s="16">
        <v>3</v>
      </c>
      <c r="E3529" s="22">
        <v>44562</v>
      </c>
      <c r="F3529" s="19">
        <v>25</v>
      </c>
      <c r="G3529" s="18">
        <v>0.14000000000000001</v>
      </c>
      <c r="H3529">
        <f>F3529*VLOOKUP(B3529,產品!$A$2:$H$61,7,FALSE)*(1-銷售總表!G3529)</f>
        <v>258000</v>
      </c>
      <c r="I3529" s="35">
        <f>H3529-F3529*VLOOKUP(銷售總表!B3529,產品!$A$2:$H$61,8,FALSE)</f>
        <v>63000</v>
      </c>
      <c r="J3529" s="20">
        <f t="shared" si="55"/>
        <v>0.2441860465116279</v>
      </c>
    </row>
    <row r="3530" spans="1:10" x14ac:dyDescent="0.3">
      <c r="A3530" s="33">
        <v>3529</v>
      </c>
      <c r="B3530" s="4">
        <v>46</v>
      </c>
      <c r="C3530" s="15">
        <v>3</v>
      </c>
      <c r="D3530" s="16">
        <v>5</v>
      </c>
      <c r="E3530" s="22">
        <v>44563</v>
      </c>
      <c r="F3530" s="17">
        <v>3</v>
      </c>
      <c r="G3530" s="18">
        <v>0.12</v>
      </c>
      <c r="H3530">
        <f>F3530*VLOOKUP(B3530,產品!$A$2:$H$61,7,FALSE)*(1-銷售總表!G3530)</f>
        <v>44880</v>
      </c>
      <c r="I3530" s="35">
        <f>H3530-F3530*VLOOKUP(銷售總表!B3530,產品!$A$2:$H$61,8,FALSE)</f>
        <v>11730</v>
      </c>
      <c r="J3530" s="20">
        <f t="shared" si="55"/>
        <v>0.26136363636363635</v>
      </c>
    </row>
    <row r="3531" spans="1:10" x14ac:dyDescent="0.3">
      <c r="A3531" s="33">
        <v>3530</v>
      </c>
      <c r="B3531" s="4">
        <v>39</v>
      </c>
      <c r="C3531" s="15">
        <v>112</v>
      </c>
      <c r="D3531" s="16">
        <v>4</v>
      </c>
      <c r="E3531" s="22">
        <v>44563</v>
      </c>
      <c r="F3531" s="17">
        <v>4</v>
      </c>
      <c r="G3531" s="18">
        <v>0.2</v>
      </c>
      <c r="H3531">
        <f>F3531*VLOOKUP(B3531,產品!$A$2:$H$61,7,FALSE)*(1-銷售總表!G3531)</f>
        <v>57600</v>
      </c>
      <c r="I3531" s="35">
        <f>H3531-F3531*VLOOKUP(銷售總表!B3531,產品!$A$2:$H$61,8,FALSE)</f>
        <v>10800</v>
      </c>
      <c r="J3531" s="20">
        <f t="shared" si="55"/>
        <v>0.1875</v>
      </c>
    </row>
    <row r="3532" spans="1:10" x14ac:dyDescent="0.3">
      <c r="A3532" s="33">
        <v>3531</v>
      </c>
      <c r="B3532" s="4">
        <v>59</v>
      </c>
      <c r="C3532" s="15">
        <v>273</v>
      </c>
      <c r="D3532" s="16">
        <v>5</v>
      </c>
      <c r="E3532" s="22">
        <v>44563</v>
      </c>
      <c r="F3532" s="17">
        <v>5</v>
      </c>
      <c r="G3532" s="18">
        <v>0.14000000000000001</v>
      </c>
      <c r="H3532">
        <f>F3532*VLOOKUP(B3532,產品!$A$2:$H$61,7,FALSE)*(1-銷售總表!G3532)</f>
        <v>103200</v>
      </c>
      <c r="I3532" s="35">
        <f>H3532-F3532*VLOOKUP(銷售總表!B3532,產品!$A$2:$H$61,8,FALSE)</f>
        <v>19200</v>
      </c>
      <c r="J3532" s="20">
        <f t="shared" si="55"/>
        <v>0.18604651162790697</v>
      </c>
    </row>
    <row r="3533" spans="1:10" x14ac:dyDescent="0.3">
      <c r="A3533" s="33">
        <v>3532</v>
      </c>
      <c r="B3533" s="4">
        <v>13</v>
      </c>
      <c r="C3533" s="15">
        <v>289</v>
      </c>
      <c r="D3533" s="16">
        <v>2</v>
      </c>
      <c r="E3533" s="22">
        <v>44563</v>
      </c>
      <c r="F3533" s="19">
        <v>10</v>
      </c>
      <c r="G3533" s="18">
        <v>0.11</v>
      </c>
      <c r="H3533">
        <f>F3533*VLOOKUP(B3533,產品!$A$2:$H$61,7,FALSE)*(1-銷售總表!G3533)</f>
        <v>16020</v>
      </c>
      <c r="I3533" s="35">
        <f>H3533-F3533*VLOOKUP(銷售總表!B3533,產品!$A$2:$H$61,8,FALSE)</f>
        <v>8820</v>
      </c>
      <c r="J3533" s="20">
        <f t="shared" si="55"/>
        <v>0.550561797752809</v>
      </c>
    </row>
    <row r="3534" spans="1:10" x14ac:dyDescent="0.3">
      <c r="A3534" s="33">
        <v>3533</v>
      </c>
      <c r="B3534" s="4">
        <v>31</v>
      </c>
      <c r="C3534" s="15">
        <v>271</v>
      </c>
      <c r="D3534" s="16">
        <v>4</v>
      </c>
      <c r="E3534" s="22">
        <v>44563</v>
      </c>
      <c r="F3534" s="19">
        <v>12</v>
      </c>
      <c r="G3534" s="18">
        <v>0.16</v>
      </c>
      <c r="H3534">
        <f>F3534*VLOOKUP(B3534,產品!$A$2:$H$61,7,FALSE)*(1-銷售總表!G3534)</f>
        <v>70560</v>
      </c>
      <c r="I3534" s="35">
        <f>H3534-F3534*VLOOKUP(銷售總表!B3534,產品!$A$2:$H$61,8,FALSE)</f>
        <v>20160</v>
      </c>
      <c r="J3534" s="20">
        <f t="shared" si="55"/>
        <v>0.2857142857142857</v>
      </c>
    </row>
    <row r="3535" spans="1:10" x14ac:dyDescent="0.3">
      <c r="A3535" s="33">
        <v>3534</v>
      </c>
      <c r="B3535" s="4">
        <v>57</v>
      </c>
      <c r="C3535" s="15">
        <v>258</v>
      </c>
      <c r="D3535" s="16">
        <v>5</v>
      </c>
      <c r="E3535" s="22">
        <v>44564</v>
      </c>
      <c r="F3535" s="19">
        <v>4</v>
      </c>
      <c r="G3535" s="18">
        <v>0.13</v>
      </c>
      <c r="H3535">
        <f>F3535*VLOOKUP(B3535,產品!$A$2:$H$61,7,FALSE)*(1-銷售總表!G3535)</f>
        <v>62640</v>
      </c>
      <c r="I3535" s="35">
        <f>H3535-F3535*VLOOKUP(銷售總表!B3535,產品!$A$2:$H$61,8,FALSE)</f>
        <v>12240</v>
      </c>
      <c r="J3535" s="20">
        <f t="shared" si="55"/>
        <v>0.19540229885057472</v>
      </c>
    </row>
    <row r="3536" spans="1:10" x14ac:dyDescent="0.3">
      <c r="A3536" s="33">
        <v>3535</v>
      </c>
      <c r="B3536" s="4">
        <v>35</v>
      </c>
      <c r="C3536" s="15">
        <v>6</v>
      </c>
      <c r="D3536" s="16">
        <v>1</v>
      </c>
      <c r="E3536" s="22">
        <v>44564</v>
      </c>
      <c r="F3536" s="17">
        <v>5</v>
      </c>
      <c r="G3536" s="18">
        <v>0.1</v>
      </c>
      <c r="H3536">
        <f>F3536*VLOOKUP(B3536,產品!$A$2:$H$61,7,FALSE)*(1-銷售總表!G3536)</f>
        <v>38250</v>
      </c>
      <c r="I3536" s="35">
        <f>H3536-F3536*VLOOKUP(銷售總表!B3536,產品!$A$2:$H$61,8,FALSE)</f>
        <v>12750</v>
      </c>
      <c r="J3536" s="20">
        <f t="shared" si="55"/>
        <v>0.33333333333333331</v>
      </c>
    </row>
    <row r="3537" spans="1:10" x14ac:dyDescent="0.3">
      <c r="A3537" s="33">
        <v>3536</v>
      </c>
      <c r="B3537" s="4">
        <v>35</v>
      </c>
      <c r="C3537" s="15">
        <v>274</v>
      </c>
      <c r="D3537" s="16">
        <v>5</v>
      </c>
      <c r="E3537" s="22">
        <v>44564</v>
      </c>
      <c r="F3537" s="19">
        <v>5</v>
      </c>
      <c r="G3537" s="18">
        <v>0.12</v>
      </c>
      <c r="H3537">
        <f>F3537*VLOOKUP(B3537,產品!$A$2:$H$61,7,FALSE)*(1-銷售總表!G3537)</f>
        <v>37400</v>
      </c>
      <c r="I3537" s="35">
        <f>H3537-F3537*VLOOKUP(銷售總表!B3537,產品!$A$2:$H$61,8,FALSE)</f>
        <v>11900</v>
      </c>
      <c r="J3537" s="20">
        <f t="shared" si="55"/>
        <v>0.31818181818181818</v>
      </c>
    </row>
    <row r="3538" spans="1:10" x14ac:dyDescent="0.3">
      <c r="A3538" s="33">
        <v>3537</v>
      </c>
      <c r="B3538" s="4">
        <v>52</v>
      </c>
      <c r="C3538" s="15">
        <v>291</v>
      </c>
      <c r="D3538" s="16">
        <v>4</v>
      </c>
      <c r="E3538" s="22">
        <v>44564</v>
      </c>
      <c r="F3538" s="17">
        <v>16</v>
      </c>
      <c r="G3538" s="18">
        <v>0.17</v>
      </c>
      <c r="H3538">
        <f>F3538*VLOOKUP(B3538,產品!$A$2:$H$61,7,FALSE)*(1-銷售總表!G3538)</f>
        <v>292160</v>
      </c>
      <c r="I3538" s="35">
        <f>H3538-F3538*VLOOKUP(銷售總表!B3538,產品!$A$2:$H$61,8,FALSE)</f>
        <v>45760.000000000029</v>
      </c>
      <c r="J3538" s="20">
        <f t="shared" si="55"/>
        <v>0.15662650602409647</v>
      </c>
    </row>
    <row r="3539" spans="1:10" x14ac:dyDescent="0.3">
      <c r="A3539" s="33">
        <v>3538</v>
      </c>
      <c r="B3539" s="4">
        <v>5</v>
      </c>
      <c r="C3539" s="15">
        <v>263</v>
      </c>
      <c r="D3539" s="16">
        <v>9</v>
      </c>
      <c r="E3539" s="22">
        <v>44564</v>
      </c>
      <c r="F3539" s="17">
        <v>40</v>
      </c>
      <c r="G3539" s="18">
        <v>0.19</v>
      </c>
      <c r="H3539">
        <f>F3539*VLOOKUP(B3539,產品!$A$2:$H$61,7,FALSE)*(1-銷售總表!G3539)</f>
        <v>32400.000000000004</v>
      </c>
      <c r="I3539" s="35">
        <f>H3539-F3539*VLOOKUP(銷售總表!B3539,產品!$A$2:$H$61,8,FALSE)</f>
        <v>16400.000000000004</v>
      </c>
      <c r="J3539" s="20">
        <f t="shared" si="55"/>
        <v>0.50617283950617287</v>
      </c>
    </row>
    <row r="3540" spans="1:10" x14ac:dyDescent="0.3">
      <c r="A3540" s="33">
        <v>3539</v>
      </c>
      <c r="B3540" s="4">
        <v>13</v>
      </c>
      <c r="C3540" s="15">
        <v>2</v>
      </c>
      <c r="D3540" s="16">
        <v>9</v>
      </c>
      <c r="E3540" s="22">
        <v>44564</v>
      </c>
      <c r="F3540" s="19">
        <v>60</v>
      </c>
      <c r="G3540" s="18">
        <v>0.14000000000000001</v>
      </c>
      <c r="H3540">
        <f>F3540*VLOOKUP(B3540,產品!$A$2:$H$61,7,FALSE)*(1-銷售總表!G3540)</f>
        <v>92880</v>
      </c>
      <c r="I3540" s="35">
        <f>H3540-F3540*VLOOKUP(銷售總表!B3540,產品!$A$2:$H$61,8,FALSE)</f>
        <v>49680</v>
      </c>
      <c r="J3540" s="20">
        <f t="shared" si="55"/>
        <v>0.53488372093023251</v>
      </c>
    </row>
    <row r="3541" spans="1:10" x14ac:dyDescent="0.3">
      <c r="A3541" s="33">
        <v>3540</v>
      </c>
      <c r="B3541" s="4">
        <v>50</v>
      </c>
      <c r="C3541" s="15">
        <v>274</v>
      </c>
      <c r="D3541" s="16">
        <v>3</v>
      </c>
      <c r="E3541" s="22">
        <v>44565</v>
      </c>
      <c r="F3541" s="19">
        <v>2</v>
      </c>
      <c r="G3541" s="18">
        <v>0.06</v>
      </c>
      <c r="H3541">
        <f>F3541*VLOOKUP(B3541,產品!$A$2:$H$61,7,FALSE)*(1-銷售總表!G3541)</f>
        <v>33840</v>
      </c>
      <c r="I3541" s="35">
        <f>H3541-F3541*VLOOKUP(銷售總表!B3541,產品!$A$2:$H$61,8,FALSE)</f>
        <v>8640</v>
      </c>
      <c r="J3541" s="20">
        <f t="shared" si="55"/>
        <v>0.25531914893617019</v>
      </c>
    </row>
    <row r="3542" spans="1:10" x14ac:dyDescent="0.3">
      <c r="A3542" s="33">
        <v>3541</v>
      </c>
      <c r="B3542" s="4">
        <v>31</v>
      </c>
      <c r="C3542" s="15">
        <v>271</v>
      </c>
      <c r="D3542" s="16">
        <v>2</v>
      </c>
      <c r="E3542" s="22">
        <v>44565</v>
      </c>
      <c r="F3542" s="19">
        <v>7</v>
      </c>
      <c r="G3542" s="18">
        <v>0.15</v>
      </c>
      <c r="H3542">
        <f>F3542*VLOOKUP(B3542,產品!$A$2:$H$61,7,FALSE)*(1-銷售總表!G3542)</f>
        <v>41650</v>
      </c>
      <c r="I3542" s="35">
        <f>H3542-F3542*VLOOKUP(銷售總表!B3542,產品!$A$2:$H$61,8,FALSE)</f>
        <v>12250</v>
      </c>
      <c r="J3542" s="20">
        <f t="shared" si="55"/>
        <v>0.29411764705882354</v>
      </c>
    </row>
    <row r="3543" spans="1:10" x14ac:dyDescent="0.3">
      <c r="A3543" s="33">
        <v>3542</v>
      </c>
      <c r="B3543" s="4">
        <v>48</v>
      </c>
      <c r="C3543" s="15">
        <v>287</v>
      </c>
      <c r="D3543" s="16">
        <v>1</v>
      </c>
      <c r="E3543" s="22">
        <v>44565</v>
      </c>
      <c r="F3543" s="19">
        <v>9</v>
      </c>
      <c r="G3543" s="18">
        <v>0.12</v>
      </c>
      <c r="H3543">
        <f>F3543*VLOOKUP(B3543,產品!$A$2:$H$61,7,FALSE)*(1-銷售總表!G3543)</f>
        <v>174240</v>
      </c>
      <c r="I3543" s="35">
        <f>H3543-F3543*VLOOKUP(銷售總表!B3543,產品!$A$2:$H$61,8,FALSE)</f>
        <v>45540</v>
      </c>
      <c r="J3543" s="20">
        <f t="shared" si="55"/>
        <v>0.26136363636363635</v>
      </c>
    </row>
    <row r="3544" spans="1:10" x14ac:dyDescent="0.3">
      <c r="A3544" s="33">
        <v>3543</v>
      </c>
      <c r="B3544" s="4">
        <v>2</v>
      </c>
      <c r="C3544" s="15">
        <v>290</v>
      </c>
      <c r="D3544" s="16">
        <v>1</v>
      </c>
      <c r="E3544" s="22">
        <v>44565</v>
      </c>
      <c r="F3544" s="19">
        <v>50</v>
      </c>
      <c r="G3544" s="18">
        <v>0.12</v>
      </c>
      <c r="H3544">
        <f>F3544*VLOOKUP(B3544,產品!$A$2:$H$61,7,FALSE)*(1-銷售總表!G3544)</f>
        <v>44000</v>
      </c>
      <c r="I3544" s="35">
        <f>H3544-F3544*VLOOKUP(銷售總表!B3544,產品!$A$2:$H$61,8,FALSE)</f>
        <v>24000</v>
      </c>
      <c r="J3544" s="20">
        <f t="shared" si="55"/>
        <v>0.54545454545454541</v>
      </c>
    </row>
    <row r="3545" spans="1:10" x14ac:dyDescent="0.3">
      <c r="A3545" s="33">
        <v>3544</v>
      </c>
      <c r="B3545" s="4">
        <v>7</v>
      </c>
      <c r="C3545" s="15">
        <v>7</v>
      </c>
      <c r="D3545" s="16">
        <v>6</v>
      </c>
      <c r="E3545" s="22">
        <v>44565</v>
      </c>
      <c r="F3545" s="19">
        <v>70</v>
      </c>
      <c r="G3545" s="18">
        <v>0.1</v>
      </c>
      <c r="H3545">
        <f>F3545*VLOOKUP(B3545,產品!$A$2:$H$61,7,FALSE)*(1-銷售總表!G3545)</f>
        <v>63000</v>
      </c>
      <c r="I3545" s="35">
        <f>H3545-F3545*VLOOKUP(銷售總表!B3545,產品!$A$2:$H$61,8,FALSE)</f>
        <v>35000</v>
      </c>
      <c r="J3545" s="20">
        <f t="shared" si="55"/>
        <v>0.55555555555555558</v>
      </c>
    </row>
    <row r="3546" spans="1:10" x14ac:dyDescent="0.3">
      <c r="A3546" s="33">
        <v>3545</v>
      </c>
      <c r="B3546" s="4">
        <v>17</v>
      </c>
      <c r="C3546" s="15">
        <v>267</v>
      </c>
      <c r="D3546" s="16">
        <v>4</v>
      </c>
      <c r="E3546" s="22">
        <v>44565</v>
      </c>
      <c r="F3546" s="19">
        <v>80</v>
      </c>
      <c r="G3546" s="18">
        <v>0.15</v>
      </c>
      <c r="H3546">
        <f>F3546*VLOOKUP(B3546,產品!$A$2:$H$61,7,FALSE)*(1-銷售總表!G3546)</f>
        <v>122400</v>
      </c>
      <c r="I3546" s="35">
        <f>H3546-F3546*VLOOKUP(銷售總表!B3546,產品!$A$2:$H$61,8,FALSE)</f>
        <v>64800</v>
      </c>
      <c r="J3546" s="20">
        <f t="shared" si="55"/>
        <v>0.52941176470588236</v>
      </c>
    </row>
    <row r="3547" spans="1:10" x14ac:dyDescent="0.3">
      <c r="A3547" s="33">
        <v>3546</v>
      </c>
      <c r="B3547" s="4">
        <v>15</v>
      </c>
      <c r="C3547" s="15">
        <v>257</v>
      </c>
      <c r="D3547" s="16">
        <v>4</v>
      </c>
      <c r="E3547" s="22">
        <v>44565</v>
      </c>
      <c r="F3547" s="19">
        <v>80</v>
      </c>
      <c r="G3547" s="18">
        <v>0.17</v>
      </c>
      <c r="H3547">
        <f>F3547*VLOOKUP(B3547,產品!$A$2:$H$61,7,FALSE)*(1-銷售總表!G3547)</f>
        <v>119520</v>
      </c>
      <c r="I3547" s="35">
        <f>H3547-F3547*VLOOKUP(銷售總表!B3547,產品!$A$2:$H$61,8,FALSE)</f>
        <v>61920</v>
      </c>
      <c r="J3547" s="20">
        <f t="shared" si="55"/>
        <v>0.51807228915662651</v>
      </c>
    </row>
    <row r="3548" spans="1:10" x14ac:dyDescent="0.3">
      <c r="A3548" s="33">
        <v>3547</v>
      </c>
      <c r="B3548" s="4">
        <v>26</v>
      </c>
      <c r="C3548" s="15">
        <v>121</v>
      </c>
      <c r="D3548" s="16">
        <v>9</v>
      </c>
      <c r="E3548" s="22">
        <v>44566</v>
      </c>
      <c r="F3548" s="19">
        <v>2</v>
      </c>
      <c r="G3548" s="18">
        <v>0.17</v>
      </c>
      <c r="H3548">
        <f>F3548*VLOOKUP(B3548,產品!$A$2:$H$61,7,FALSE)*(1-銷售總表!G3548)</f>
        <v>10790</v>
      </c>
      <c r="I3548" s="35">
        <f>H3548-F3548*VLOOKUP(銷售總表!B3548,產品!$A$2:$H$61,8,FALSE)</f>
        <v>2990</v>
      </c>
      <c r="J3548" s="20">
        <f t="shared" si="55"/>
        <v>0.27710843373493976</v>
      </c>
    </row>
    <row r="3549" spans="1:10" x14ac:dyDescent="0.3">
      <c r="A3549" s="33">
        <v>3548</v>
      </c>
      <c r="B3549" s="4">
        <v>53</v>
      </c>
      <c r="C3549" s="15">
        <v>270</v>
      </c>
      <c r="D3549" s="16">
        <v>10</v>
      </c>
      <c r="E3549" s="22">
        <v>44566</v>
      </c>
      <c r="F3549" s="17">
        <v>3</v>
      </c>
      <c r="G3549" s="18">
        <v>0.11</v>
      </c>
      <c r="H3549">
        <f>F3549*VLOOKUP(B3549,產品!$A$2:$H$61,7,FALSE)*(1-銷售總表!G3549)</f>
        <v>40050</v>
      </c>
      <c r="I3549" s="35">
        <f>H3549-F3549*VLOOKUP(銷售總表!B3549,產品!$A$2:$H$61,8,FALSE)</f>
        <v>8550</v>
      </c>
      <c r="J3549" s="20">
        <f t="shared" si="55"/>
        <v>0.21348314606741572</v>
      </c>
    </row>
    <row r="3550" spans="1:10" x14ac:dyDescent="0.3">
      <c r="A3550" s="33">
        <v>3549</v>
      </c>
      <c r="B3550" s="4">
        <v>10</v>
      </c>
      <c r="C3550" s="15">
        <v>121</v>
      </c>
      <c r="D3550" s="16">
        <v>5</v>
      </c>
      <c r="E3550" s="22">
        <v>44566</v>
      </c>
      <c r="F3550" s="19">
        <v>11</v>
      </c>
      <c r="G3550" s="18">
        <v>0.06</v>
      </c>
      <c r="H3550">
        <f>F3550*VLOOKUP(B3550,產品!$A$2:$H$61,7,FALSE)*(1-銷售總表!G3550)</f>
        <v>10340</v>
      </c>
      <c r="I3550" s="35">
        <f>H3550-F3550*VLOOKUP(銷售總表!B3550,產品!$A$2:$H$61,8,FALSE)</f>
        <v>5940</v>
      </c>
      <c r="J3550" s="20">
        <f t="shared" si="55"/>
        <v>0.57446808510638303</v>
      </c>
    </row>
    <row r="3551" spans="1:10" x14ac:dyDescent="0.3">
      <c r="A3551" s="33">
        <v>3550</v>
      </c>
      <c r="B3551" s="4">
        <v>25</v>
      </c>
      <c r="C3551" s="15">
        <v>113</v>
      </c>
      <c r="D3551" s="16">
        <v>5</v>
      </c>
      <c r="E3551" s="22">
        <v>44566</v>
      </c>
      <c r="F3551" s="19">
        <v>20</v>
      </c>
      <c r="G3551" s="18">
        <v>0.13</v>
      </c>
      <c r="H3551">
        <f>F3551*VLOOKUP(B3551,產品!$A$2:$H$61,7,FALSE)*(1-銷售總表!G3551)</f>
        <v>104400</v>
      </c>
      <c r="I3551" s="35">
        <f>H3551-F3551*VLOOKUP(銷售總表!B3551,產品!$A$2:$H$61,8,FALSE)</f>
        <v>32400</v>
      </c>
      <c r="J3551" s="20">
        <f t="shared" si="55"/>
        <v>0.31034482758620691</v>
      </c>
    </row>
    <row r="3552" spans="1:10" x14ac:dyDescent="0.3">
      <c r="A3552" s="33">
        <v>3551</v>
      </c>
      <c r="B3552" s="4">
        <v>22</v>
      </c>
      <c r="C3552" s="15">
        <v>134</v>
      </c>
      <c r="D3552" s="16">
        <v>4</v>
      </c>
      <c r="E3552" s="22">
        <v>44566</v>
      </c>
      <c r="F3552" s="19">
        <v>30</v>
      </c>
      <c r="G3552" s="18">
        <v>0.1</v>
      </c>
      <c r="H3552">
        <f>F3552*VLOOKUP(B3552,產品!$A$2:$H$61,7,FALSE)*(1-銷售總表!G3552)</f>
        <v>48600</v>
      </c>
      <c r="I3552" s="35">
        <f>H3552-F3552*VLOOKUP(銷售總表!B3552,產品!$A$2:$H$61,8,FALSE)</f>
        <v>27000</v>
      </c>
      <c r="J3552" s="20">
        <f t="shared" si="55"/>
        <v>0.55555555555555558</v>
      </c>
    </row>
    <row r="3553" spans="1:10" x14ac:dyDescent="0.3">
      <c r="A3553" s="33">
        <v>3552</v>
      </c>
      <c r="B3553" s="4">
        <v>51</v>
      </c>
      <c r="C3553" s="15">
        <v>269</v>
      </c>
      <c r="D3553" s="16">
        <v>10</v>
      </c>
      <c r="E3553" s="22">
        <v>44567</v>
      </c>
      <c r="F3553" s="19">
        <v>2</v>
      </c>
      <c r="G3553" s="18">
        <v>0.18</v>
      </c>
      <c r="H3553">
        <f>F3553*VLOOKUP(B3553,產品!$A$2:$H$61,7,FALSE)*(1-銷售總表!G3553)</f>
        <v>32800</v>
      </c>
      <c r="I3553" s="35">
        <f>H3553-F3553*VLOOKUP(銷售總表!B3553,產品!$A$2:$H$61,8,FALSE)</f>
        <v>4800</v>
      </c>
      <c r="J3553" s="20">
        <f t="shared" si="55"/>
        <v>0.14634146341463414</v>
      </c>
    </row>
    <row r="3554" spans="1:10" x14ac:dyDescent="0.3">
      <c r="A3554" s="33">
        <v>3553</v>
      </c>
      <c r="B3554" s="4">
        <v>35</v>
      </c>
      <c r="C3554" s="15">
        <v>257</v>
      </c>
      <c r="D3554" s="16">
        <v>3</v>
      </c>
      <c r="E3554" s="22">
        <v>44567</v>
      </c>
      <c r="F3554" s="19">
        <v>3</v>
      </c>
      <c r="G3554" s="18">
        <v>0.06</v>
      </c>
      <c r="H3554">
        <f>F3554*VLOOKUP(B3554,產品!$A$2:$H$61,7,FALSE)*(1-銷售總表!G3554)</f>
        <v>23970</v>
      </c>
      <c r="I3554" s="35">
        <f>H3554-F3554*VLOOKUP(銷售總表!B3554,產品!$A$2:$H$61,8,FALSE)</f>
        <v>8670</v>
      </c>
      <c r="J3554" s="20">
        <f t="shared" si="55"/>
        <v>0.36170212765957449</v>
      </c>
    </row>
    <row r="3555" spans="1:10" x14ac:dyDescent="0.3">
      <c r="A3555" s="33">
        <v>3554</v>
      </c>
      <c r="B3555" s="4">
        <v>47</v>
      </c>
      <c r="C3555" s="15">
        <v>11</v>
      </c>
      <c r="D3555" s="16">
        <v>10</v>
      </c>
      <c r="E3555" s="22">
        <v>44567</v>
      </c>
      <c r="F3555" s="17">
        <v>4</v>
      </c>
      <c r="G3555" s="18">
        <v>0.09</v>
      </c>
      <c r="H3555">
        <f>F3555*VLOOKUP(B3555,產品!$A$2:$H$61,7,FALSE)*(1-銷售總表!G3555)</f>
        <v>72800</v>
      </c>
      <c r="I3555" s="35">
        <f>H3555-F3555*VLOOKUP(銷售總表!B3555,產品!$A$2:$H$61,8,FALSE)</f>
        <v>20800</v>
      </c>
      <c r="J3555" s="20">
        <f t="shared" si="55"/>
        <v>0.2857142857142857</v>
      </c>
    </row>
    <row r="3556" spans="1:10" x14ac:dyDescent="0.3">
      <c r="A3556" s="33">
        <v>3555</v>
      </c>
      <c r="B3556" s="4">
        <v>55</v>
      </c>
      <c r="C3556" s="15">
        <v>285</v>
      </c>
      <c r="D3556" s="16">
        <v>10</v>
      </c>
      <c r="E3556" s="22">
        <v>44567</v>
      </c>
      <c r="F3556" s="19">
        <v>5</v>
      </c>
      <c r="G3556" s="18">
        <v>0.14000000000000001</v>
      </c>
      <c r="H3556">
        <f>F3556*VLOOKUP(B3556,產品!$A$2:$H$61,7,FALSE)*(1-銷售總表!G3556)</f>
        <v>86000</v>
      </c>
      <c r="I3556" s="35">
        <f>H3556-F3556*VLOOKUP(銷售總表!B3556,產品!$A$2:$H$61,8,FALSE)</f>
        <v>16000</v>
      </c>
      <c r="J3556" s="20">
        <f t="shared" si="55"/>
        <v>0.18604651162790697</v>
      </c>
    </row>
    <row r="3557" spans="1:10" x14ac:dyDescent="0.3">
      <c r="A3557" s="33">
        <v>3556</v>
      </c>
      <c r="B3557" s="4">
        <v>56</v>
      </c>
      <c r="C3557" s="15">
        <v>12</v>
      </c>
      <c r="D3557" s="16">
        <v>5</v>
      </c>
      <c r="E3557" s="22">
        <v>44567</v>
      </c>
      <c r="F3557" s="19">
        <v>7</v>
      </c>
      <c r="G3557" s="18">
        <v>0.16</v>
      </c>
      <c r="H3557">
        <f>F3557*VLOOKUP(B3557,產品!$A$2:$H$61,7,FALSE)*(1-銷售總表!G3557)</f>
        <v>129360</v>
      </c>
      <c r="I3557" s="35">
        <f>H3557-F3557*VLOOKUP(銷售總表!B3557,產品!$A$2:$H$61,8,FALSE)</f>
        <v>21560.000000000015</v>
      </c>
      <c r="J3557" s="20">
        <f t="shared" si="55"/>
        <v>0.16666666666666677</v>
      </c>
    </row>
    <row r="3558" spans="1:10" x14ac:dyDescent="0.3">
      <c r="A3558" s="33">
        <v>3557</v>
      </c>
      <c r="B3558" s="4">
        <v>6</v>
      </c>
      <c r="C3558" s="15">
        <v>266</v>
      </c>
      <c r="D3558" s="16">
        <v>4</v>
      </c>
      <c r="E3558" s="22">
        <v>44567</v>
      </c>
      <c r="F3558" s="17">
        <v>10</v>
      </c>
      <c r="G3558" s="18">
        <v>7.0000000000000007E-2</v>
      </c>
      <c r="H3558">
        <f>F3558*VLOOKUP(B3558,產品!$A$2:$H$61,7,FALSE)*(1-銷售總表!G3558)</f>
        <v>9300</v>
      </c>
      <c r="I3558" s="35">
        <f>H3558-F3558*VLOOKUP(銷售總表!B3558,產品!$A$2:$H$61,8,FALSE)</f>
        <v>5300</v>
      </c>
      <c r="J3558" s="20">
        <f t="shared" si="55"/>
        <v>0.56989247311827962</v>
      </c>
    </row>
    <row r="3559" spans="1:10" x14ac:dyDescent="0.3">
      <c r="A3559" s="33">
        <v>3558</v>
      </c>
      <c r="B3559" s="4">
        <v>3</v>
      </c>
      <c r="C3559" s="15">
        <v>268</v>
      </c>
      <c r="D3559" s="16">
        <v>10</v>
      </c>
      <c r="E3559" s="22">
        <v>44567</v>
      </c>
      <c r="F3559" s="17">
        <v>20</v>
      </c>
      <c r="G3559" s="18">
        <v>0.14000000000000001</v>
      </c>
      <c r="H3559">
        <f>F3559*VLOOKUP(B3559,產品!$A$2:$H$61,7,FALSE)*(1-銷售總表!G3559)</f>
        <v>17200</v>
      </c>
      <c r="I3559" s="35">
        <f>H3559-F3559*VLOOKUP(銷售總表!B3559,產品!$A$2:$H$61,8,FALSE)</f>
        <v>9200</v>
      </c>
      <c r="J3559" s="20">
        <f t="shared" si="55"/>
        <v>0.53488372093023251</v>
      </c>
    </row>
    <row r="3560" spans="1:10" x14ac:dyDescent="0.3">
      <c r="A3560" s="33">
        <v>3559</v>
      </c>
      <c r="B3560" s="4">
        <v>16</v>
      </c>
      <c r="C3560" s="15">
        <v>12</v>
      </c>
      <c r="D3560" s="16">
        <v>6</v>
      </c>
      <c r="E3560" s="22">
        <v>44567</v>
      </c>
      <c r="F3560" s="19">
        <v>30</v>
      </c>
      <c r="G3560" s="18">
        <v>0.05</v>
      </c>
      <c r="H3560">
        <f>F3560*VLOOKUP(B3560,產品!$A$2:$H$61,7,FALSE)*(1-銷售總表!G3560)</f>
        <v>51300</v>
      </c>
      <c r="I3560" s="35">
        <f>H3560-F3560*VLOOKUP(銷售總表!B3560,產品!$A$2:$H$61,8,FALSE)</f>
        <v>29700</v>
      </c>
      <c r="J3560" s="20">
        <f t="shared" si="55"/>
        <v>0.57894736842105265</v>
      </c>
    </row>
    <row r="3561" spans="1:10" x14ac:dyDescent="0.3">
      <c r="A3561" s="33">
        <v>3560</v>
      </c>
      <c r="B3561" s="4">
        <v>22</v>
      </c>
      <c r="C3561" s="15">
        <v>8</v>
      </c>
      <c r="D3561" s="16">
        <v>10</v>
      </c>
      <c r="E3561" s="22">
        <v>44567</v>
      </c>
      <c r="F3561" s="19">
        <v>30</v>
      </c>
      <c r="G3561" s="18">
        <v>0.08</v>
      </c>
      <c r="H3561">
        <f>F3561*VLOOKUP(B3561,產品!$A$2:$H$61,7,FALSE)*(1-銷售總表!G3561)</f>
        <v>49680</v>
      </c>
      <c r="I3561" s="35">
        <f>H3561-F3561*VLOOKUP(銷售總表!B3561,產品!$A$2:$H$61,8,FALSE)</f>
        <v>28080</v>
      </c>
      <c r="J3561" s="20">
        <f t="shared" si="55"/>
        <v>0.56521739130434778</v>
      </c>
    </row>
    <row r="3562" spans="1:10" x14ac:dyDescent="0.3">
      <c r="A3562" s="33">
        <v>3561</v>
      </c>
      <c r="B3562" s="4">
        <v>17</v>
      </c>
      <c r="C3562" s="15">
        <v>119</v>
      </c>
      <c r="D3562" s="16">
        <v>3</v>
      </c>
      <c r="E3562" s="22">
        <v>44567</v>
      </c>
      <c r="F3562" s="19">
        <v>30</v>
      </c>
      <c r="G3562" s="18">
        <v>0.16</v>
      </c>
      <c r="H3562">
        <f>F3562*VLOOKUP(B3562,產品!$A$2:$H$61,7,FALSE)*(1-銷售總表!G3562)</f>
        <v>45360</v>
      </c>
      <c r="I3562" s="35">
        <f>H3562-F3562*VLOOKUP(銷售總表!B3562,產品!$A$2:$H$61,8,FALSE)</f>
        <v>23760</v>
      </c>
      <c r="J3562" s="20">
        <f t="shared" si="55"/>
        <v>0.52380952380952384</v>
      </c>
    </row>
    <row r="3563" spans="1:10" x14ac:dyDescent="0.3">
      <c r="A3563" s="33">
        <v>3562</v>
      </c>
      <c r="B3563" s="4">
        <v>24</v>
      </c>
      <c r="C3563" s="15">
        <v>281</v>
      </c>
      <c r="D3563" s="16">
        <v>1</v>
      </c>
      <c r="E3563" s="22">
        <v>44567</v>
      </c>
      <c r="F3563" s="19">
        <v>60</v>
      </c>
      <c r="G3563" s="18">
        <v>0.19</v>
      </c>
      <c r="H3563">
        <f>F3563*VLOOKUP(B3563,產品!$A$2:$H$61,7,FALSE)*(1-銷售總表!G3563)</f>
        <v>87480</v>
      </c>
      <c r="I3563" s="35">
        <f>H3563-F3563*VLOOKUP(銷售總表!B3563,產品!$A$2:$H$61,8,FALSE)</f>
        <v>44280</v>
      </c>
      <c r="J3563" s="20">
        <f t="shared" si="55"/>
        <v>0.50617283950617287</v>
      </c>
    </row>
    <row r="3564" spans="1:10" x14ac:dyDescent="0.3">
      <c r="A3564" s="33">
        <v>3563</v>
      </c>
      <c r="B3564" s="4">
        <v>25</v>
      </c>
      <c r="C3564" s="15">
        <v>289</v>
      </c>
      <c r="D3564" s="16">
        <v>7</v>
      </c>
      <c r="E3564" s="22">
        <v>44568</v>
      </c>
      <c r="F3564" s="19">
        <v>30</v>
      </c>
      <c r="G3564" s="18">
        <v>0.18</v>
      </c>
      <c r="H3564">
        <f>F3564*VLOOKUP(B3564,產品!$A$2:$H$61,7,FALSE)*(1-銷售總表!G3564)</f>
        <v>147600</v>
      </c>
      <c r="I3564" s="35">
        <f>H3564-F3564*VLOOKUP(銷售總表!B3564,產品!$A$2:$H$61,8,FALSE)</f>
        <v>39600</v>
      </c>
      <c r="J3564" s="20">
        <f t="shared" si="55"/>
        <v>0.26829268292682928</v>
      </c>
    </row>
    <row r="3565" spans="1:10" x14ac:dyDescent="0.3">
      <c r="A3565" s="33">
        <v>3564</v>
      </c>
      <c r="B3565" s="4">
        <v>20</v>
      </c>
      <c r="C3565" s="15">
        <v>138</v>
      </c>
      <c r="D3565" s="16">
        <v>6</v>
      </c>
      <c r="E3565" s="22">
        <v>44568</v>
      </c>
      <c r="F3565" s="19">
        <v>30</v>
      </c>
      <c r="G3565" s="18">
        <v>0.19</v>
      </c>
      <c r="H3565">
        <f>F3565*VLOOKUP(B3565,產品!$A$2:$H$61,7,FALSE)*(1-銷售總表!G3565)</f>
        <v>43740</v>
      </c>
      <c r="I3565" s="35">
        <f>H3565-F3565*VLOOKUP(銷售總表!B3565,產品!$A$2:$H$61,8,FALSE)</f>
        <v>22140</v>
      </c>
      <c r="J3565" s="20">
        <f t="shared" si="55"/>
        <v>0.50617283950617287</v>
      </c>
    </row>
    <row r="3566" spans="1:10" x14ac:dyDescent="0.3">
      <c r="A3566" s="33">
        <v>3565</v>
      </c>
      <c r="B3566" s="4">
        <v>23</v>
      </c>
      <c r="C3566" s="15">
        <v>1</v>
      </c>
      <c r="D3566" s="16">
        <v>7</v>
      </c>
      <c r="E3566" s="22">
        <v>44568</v>
      </c>
      <c r="F3566" s="19">
        <v>90</v>
      </c>
      <c r="G3566" s="18">
        <v>0.17</v>
      </c>
      <c r="H3566">
        <f>F3566*VLOOKUP(B3566,產品!$A$2:$H$61,7,FALSE)*(1-銷售總表!G3566)</f>
        <v>134460</v>
      </c>
      <c r="I3566" s="35">
        <f>H3566-F3566*VLOOKUP(銷售總表!B3566,產品!$A$2:$H$61,8,FALSE)</f>
        <v>69660</v>
      </c>
      <c r="J3566" s="20">
        <f t="shared" si="55"/>
        <v>0.51807228915662651</v>
      </c>
    </row>
    <row r="3567" spans="1:10" x14ac:dyDescent="0.3">
      <c r="A3567" s="33">
        <v>3566</v>
      </c>
      <c r="B3567" s="4">
        <v>16</v>
      </c>
      <c r="C3567" s="15">
        <v>276</v>
      </c>
      <c r="D3567" s="16">
        <v>9</v>
      </c>
      <c r="E3567" s="22">
        <v>44568</v>
      </c>
      <c r="F3567" s="19">
        <v>100</v>
      </c>
      <c r="G3567" s="18">
        <v>0.06</v>
      </c>
      <c r="H3567">
        <f>F3567*VLOOKUP(B3567,產品!$A$2:$H$61,7,FALSE)*(1-銷售總表!G3567)</f>
        <v>169200</v>
      </c>
      <c r="I3567" s="35">
        <f>H3567-F3567*VLOOKUP(銷售總表!B3567,產品!$A$2:$H$61,8,FALSE)</f>
        <v>97200</v>
      </c>
      <c r="J3567" s="20">
        <f t="shared" si="55"/>
        <v>0.57446808510638303</v>
      </c>
    </row>
    <row r="3568" spans="1:10" x14ac:dyDescent="0.3">
      <c r="A3568" s="33">
        <v>3567</v>
      </c>
      <c r="B3568" s="4">
        <v>52</v>
      </c>
      <c r="C3568" s="15">
        <v>277</v>
      </c>
      <c r="D3568" s="16">
        <v>1</v>
      </c>
      <c r="E3568" s="22">
        <v>44569</v>
      </c>
      <c r="F3568" s="19">
        <v>5</v>
      </c>
      <c r="G3568" s="18">
        <v>0.2</v>
      </c>
      <c r="H3568">
        <f>F3568*VLOOKUP(B3568,產品!$A$2:$H$61,7,FALSE)*(1-銷售總表!G3568)</f>
        <v>88000</v>
      </c>
      <c r="I3568" s="35">
        <f>H3568-F3568*VLOOKUP(銷售總表!B3568,產品!$A$2:$H$61,8,FALSE)</f>
        <v>11000.000000000015</v>
      </c>
      <c r="J3568" s="20">
        <f t="shared" si="55"/>
        <v>0.12500000000000017</v>
      </c>
    </row>
    <row r="3569" spans="1:10" x14ac:dyDescent="0.3">
      <c r="A3569" s="33">
        <v>3568</v>
      </c>
      <c r="B3569" s="4">
        <v>30</v>
      </c>
      <c r="C3569" s="15">
        <v>271</v>
      </c>
      <c r="D3569" s="16">
        <v>7</v>
      </c>
      <c r="E3569" s="22">
        <v>44569</v>
      </c>
      <c r="F3569" s="19">
        <v>9</v>
      </c>
      <c r="G3569" s="18">
        <v>0.09</v>
      </c>
      <c r="H3569">
        <f>F3569*VLOOKUP(B3569,產品!$A$2:$H$61,7,FALSE)*(1-銷售總表!G3569)</f>
        <v>53235</v>
      </c>
      <c r="I3569" s="35">
        <f>H3569-F3569*VLOOKUP(銷售總表!B3569,產品!$A$2:$H$61,8,FALSE)</f>
        <v>18135</v>
      </c>
      <c r="J3569" s="20">
        <f t="shared" si="55"/>
        <v>0.34065934065934067</v>
      </c>
    </row>
    <row r="3570" spans="1:10" x14ac:dyDescent="0.3">
      <c r="A3570" s="33">
        <v>3569</v>
      </c>
      <c r="B3570" s="4">
        <v>22</v>
      </c>
      <c r="C3570" s="15">
        <v>284</v>
      </c>
      <c r="D3570" s="16">
        <v>8</v>
      </c>
      <c r="E3570" s="22">
        <v>44569</v>
      </c>
      <c r="F3570" s="19">
        <v>17</v>
      </c>
      <c r="G3570" s="18">
        <v>0.2</v>
      </c>
      <c r="H3570">
        <f>F3570*VLOOKUP(B3570,產品!$A$2:$H$61,7,FALSE)*(1-銷售總表!G3570)</f>
        <v>24480</v>
      </c>
      <c r="I3570" s="35">
        <f>H3570-F3570*VLOOKUP(銷售總表!B3570,產品!$A$2:$H$61,8,FALSE)</f>
        <v>12240</v>
      </c>
      <c r="J3570" s="20">
        <f t="shared" si="55"/>
        <v>0.5</v>
      </c>
    </row>
    <row r="3571" spans="1:10" x14ac:dyDescent="0.3">
      <c r="A3571" s="33">
        <v>3570</v>
      </c>
      <c r="B3571" s="4">
        <v>38</v>
      </c>
      <c r="C3571" s="15">
        <v>10</v>
      </c>
      <c r="D3571" s="16">
        <v>6</v>
      </c>
      <c r="E3571" s="22">
        <v>44569</v>
      </c>
      <c r="F3571" s="19">
        <v>20</v>
      </c>
      <c r="G3571" s="18">
        <v>0.05</v>
      </c>
      <c r="H3571">
        <f>F3571*VLOOKUP(B3571,產品!$A$2:$H$61,7,FALSE)*(1-銷售總表!G3571)</f>
        <v>285000</v>
      </c>
      <c r="I3571" s="35">
        <f>H3571-F3571*VLOOKUP(銷售總表!B3571,產品!$A$2:$H$61,8,FALSE)</f>
        <v>90000</v>
      </c>
      <c r="J3571" s="20">
        <f t="shared" si="55"/>
        <v>0.31578947368421051</v>
      </c>
    </row>
    <row r="3572" spans="1:10" x14ac:dyDescent="0.3">
      <c r="A3572" s="33">
        <v>3571</v>
      </c>
      <c r="B3572" s="4">
        <v>17</v>
      </c>
      <c r="C3572" s="15">
        <v>277</v>
      </c>
      <c r="D3572" s="16">
        <v>4</v>
      </c>
      <c r="E3572" s="22">
        <v>44569</v>
      </c>
      <c r="F3572" s="19">
        <v>30</v>
      </c>
      <c r="G3572" s="18">
        <v>0.1</v>
      </c>
      <c r="H3572">
        <f>F3572*VLOOKUP(B3572,產品!$A$2:$H$61,7,FALSE)*(1-銷售總表!G3572)</f>
        <v>48600</v>
      </c>
      <c r="I3572" s="35">
        <f>H3572-F3572*VLOOKUP(銷售總表!B3572,產品!$A$2:$H$61,8,FALSE)</f>
        <v>27000</v>
      </c>
      <c r="J3572" s="20">
        <f t="shared" si="55"/>
        <v>0.55555555555555558</v>
      </c>
    </row>
    <row r="3573" spans="1:10" x14ac:dyDescent="0.3">
      <c r="A3573" s="33">
        <v>3572</v>
      </c>
      <c r="B3573" s="4">
        <v>22</v>
      </c>
      <c r="C3573" s="15">
        <v>116</v>
      </c>
      <c r="D3573" s="16">
        <v>4</v>
      </c>
      <c r="E3573" s="22">
        <v>44569</v>
      </c>
      <c r="F3573" s="19">
        <v>60</v>
      </c>
      <c r="G3573" s="18">
        <v>0.06</v>
      </c>
      <c r="H3573">
        <f>F3573*VLOOKUP(B3573,產品!$A$2:$H$61,7,FALSE)*(1-銷售總表!G3573)</f>
        <v>101520</v>
      </c>
      <c r="I3573" s="35">
        <f>H3573-F3573*VLOOKUP(銷售總表!B3573,產品!$A$2:$H$61,8,FALSE)</f>
        <v>58320</v>
      </c>
      <c r="J3573" s="20">
        <f t="shared" si="55"/>
        <v>0.57446808510638303</v>
      </c>
    </row>
    <row r="3574" spans="1:10" x14ac:dyDescent="0.3">
      <c r="A3574" s="33">
        <v>3573</v>
      </c>
      <c r="B3574" s="4">
        <v>22</v>
      </c>
      <c r="C3574" s="15">
        <v>11</v>
      </c>
      <c r="D3574" s="16">
        <v>8</v>
      </c>
      <c r="E3574" s="22">
        <v>44569</v>
      </c>
      <c r="F3574" s="19">
        <v>105</v>
      </c>
      <c r="G3574" s="18">
        <v>0.18</v>
      </c>
      <c r="H3574">
        <f>F3574*VLOOKUP(B3574,產品!$A$2:$H$61,7,FALSE)*(1-銷售總表!G3574)</f>
        <v>154980</v>
      </c>
      <c r="I3574" s="35">
        <f>H3574-F3574*VLOOKUP(銷售總表!B3574,產品!$A$2:$H$61,8,FALSE)</f>
        <v>79380</v>
      </c>
      <c r="J3574" s="20">
        <f t="shared" si="55"/>
        <v>0.51219512195121952</v>
      </c>
    </row>
    <row r="3575" spans="1:10" x14ac:dyDescent="0.3">
      <c r="A3575" s="33">
        <v>3574</v>
      </c>
      <c r="B3575" s="4">
        <v>47</v>
      </c>
      <c r="C3575" s="15">
        <v>125</v>
      </c>
      <c r="D3575" s="16">
        <v>1</v>
      </c>
      <c r="E3575" s="22">
        <v>44570</v>
      </c>
      <c r="F3575" s="19">
        <v>2</v>
      </c>
      <c r="G3575" s="18">
        <v>0.08</v>
      </c>
      <c r="H3575">
        <f>F3575*VLOOKUP(B3575,產品!$A$2:$H$61,7,FALSE)*(1-銷售總表!G3575)</f>
        <v>36800</v>
      </c>
      <c r="I3575" s="35">
        <f>H3575-F3575*VLOOKUP(銷售總表!B3575,產品!$A$2:$H$61,8,FALSE)</f>
        <v>10800</v>
      </c>
      <c r="J3575" s="20">
        <f t="shared" si="55"/>
        <v>0.29347826086956524</v>
      </c>
    </row>
    <row r="3576" spans="1:10" x14ac:dyDescent="0.3">
      <c r="A3576" s="33">
        <v>3575</v>
      </c>
      <c r="B3576" s="4">
        <v>49</v>
      </c>
      <c r="C3576" s="15">
        <v>282</v>
      </c>
      <c r="D3576" s="16">
        <v>9</v>
      </c>
      <c r="E3576" s="22">
        <v>44570</v>
      </c>
      <c r="F3576" s="19">
        <v>5</v>
      </c>
      <c r="G3576" s="18">
        <v>0.1</v>
      </c>
      <c r="H3576">
        <f>F3576*VLOOKUP(B3576,產品!$A$2:$H$61,7,FALSE)*(1-銷售總表!G3576)</f>
        <v>67500</v>
      </c>
      <c r="I3576" s="35">
        <f>H3576-F3576*VLOOKUP(銷售總表!B3576,產品!$A$2:$H$61,8,FALSE)</f>
        <v>15000</v>
      </c>
      <c r="J3576" s="20">
        <f t="shared" si="55"/>
        <v>0.22222222222222221</v>
      </c>
    </row>
    <row r="3577" spans="1:10" x14ac:dyDescent="0.3">
      <c r="A3577" s="33">
        <v>3576</v>
      </c>
      <c r="B3577" s="4">
        <v>37</v>
      </c>
      <c r="C3577" s="15">
        <v>1</v>
      </c>
      <c r="D3577" s="16">
        <v>2</v>
      </c>
      <c r="E3577" s="22">
        <v>44570</v>
      </c>
      <c r="F3577" s="19">
        <v>6</v>
      </c>
      <c r="G3577" s="18">
        <v>0.12</v>
      </c>
      <c r="H3577">
        <f>F3577*VLOOKUP(B3577,產品!$A$2:$H$61,7,FALSE)*(1-銷售總表!G3577)</f>
        <v>63360</v>
      </c>
      <c r="I3577" s="35">
        <f>H3577-F3577*VLOOKUP(銷售總表!B3577,產品!$A$2:$H$61,8,FALSE)</f>
        <v>16560</v>
      </c>
      <c r="J3577" s="20">
        <f t="shared" si="55"/>
        <v>0.26136363636363635</v>
      </c>
    </row>
    <row r="3578" spans="1:10" x14ac:dyDescent="0.3">
      <c r="A3578" s="33">
        <v>3577</v>
      </c>
      <c r="B3578" s="4">
        <v>54</v>
      </c>
      <c r="C3578" s="15">
        <v>259</v>
      </c>
      <c r="D3578" s="16">
        <v>8</v>
      </c>
      <c r="E3578" s="22">
        <v>44570</v>
      </c>
      <c r="F3578" s="19">
        <v>10</v>
      </c>
      <c r="G3578" s="18">
        <v>0.12</v>
      </c>
      <c r="H3578">
        <f>F3578*VLOOKUP(B3578,產品!$A$2:$H$61,7,FALSE)*(1-銷售總表!G3578)</f>
        <v>158400</v>
      </c>
      <c r="I3578" s="35">
        <f>H3578-F3578*VLOOKUP(銷售總表!B3578,產品!$A$2:$H$61,8,FALSE)</f>
        <v>32400</v>
      </c>
      <c r="J3578" s="20">
        <f t="shared" si="55"/>
        <v>0.20454545454545456</v>
      </c>
    </row>
    <row r="3579" spans="1:10" x14ac:dyDescent="0.3">
      <c r="A3579" s="33">
        <v>3578</v>
      </c>
      <c r="B3579" s="4">
        <v>44</v>
      </c>
      <c r="C3579" s="15">
        <v>259</v>
      </c>
      <c r="D3579" s="16">
        <v>8</v>
      </c>
      <c r="E3579" s="22">
        <v>44571</v>
      </c>
      <c r="F3579" s="19">
        <v>6</v>
      </c>
      <c r="G3579" s="18">
        <v>0.11</v>
      </c>
      <c r="H3579">
        <f>F3579*VLOOKUP(B3579,產品!$A$2:$H$61,7,FALSE)*(1-銷售總表!G3579)</f>
        <v>106800</v>
      </c>
      <c r="I3579" s="35">
        <f>H3579-F3579*VLOOKUP(銷售總表!B3579,產品!$A$2:$H$61,8,FALSE)</f>
        <v>28800</v>
      </c>
      <c r="J3579" s="20">
        <f t="shared" si="55"/>
        <v>0.2696629213483146</v>
      </c>
    </row>
    <row r="3580" spans="1:10" x14ac:dyDescent="0.3">
      <c r="A3580" s="33">
        <v>3579</v>
      </c>
      <c r="B3580" s="4">
        <v>51</v>
      </c>
      <c r="C3580" s="15">
        <v>4</v>
      </c>
      <c r="D3580" s="16">
        <v>3</v>
      </c>
      <c r="E3580" s="22">
        <v>44571</v>
      </c>
      <c r="F3580" s="19">
        <v>10</v>
      </c>
      <c r="G3580" s="18">
        <v>0.11</v>
      </c>
      <c r="H3580">
        <f>F3580*VLOOKUP(B3580,產品!$A$2:$H$61,7,FALSE)*(1-銷售總表!G3580)</f>
        <v>178000</v>
      </c>
      <c r="I3580" s="35">
        <f>H3580-F3580*VLOOKUP(銷售總表!B3580,產品!$A$2:$H$61,8,FALSE)</f>
        <v>38000</v>
      </c>
      <c r="J3580" s="20">
        <f t="shared" si="55"/>
        <v>0.21348314606741572</v>
      </c>
    </row>
    <row r="3581" spans="1:10" x14ac:dyDescent="0.3">
      <c r="A3581" s="33">
        <v>3580</v>
      </c>
      <c r="B3581" s="4">
        <v>26</v>
      </c>
      <c r="C3581" s="15">
        <v>122</v>
      </c>
      <c r="D3581" s="16">
        <v>6</v>
      </c>
      <c r="E3581" s="22">
        <v>44571</v>
      </c>
      <c r="F3581" s="19">
        <v>10</v>
      </c>
      <c r="G3581" s="18">
        <v>0.1</v>
      </c>
      <c r="H3581">
        <f>F3581*VLOOKUP(B3581,產品!$A$2:$H$61,7,FALSE)*(1-銷售總表!G3581)</f>
        <v>58500</v>
      </c>
      <c r="I3581" s="35">
        <f>H3581-F3581*VLOOKUP(銷售總表!B3581,產品!$A$2:$H$61,8,FALSE)</f>
        <v>19500</v>
      </c>
      <c r="J3581" s="20">
        <f t="shared" si="55"/>
        <v>0.33333333333333331</v>
      </c>
    </row>
    <row r="3582" spans="1:10" x14ac:dyDescent="0.3">
      <c r="A3582" s="33">
        <v>3581</v>
      </c>
      <c r="B3582" s="4">
        <v>21</v>
      </c>
      <c r="C3582" s="15">
        <v>285</v>
      </c>
      <c r="D3582" s="16">
        <v>9</v>
      </c>
      <c r="E3582" s="22">
        <v>44571</v>
      </c>
      <c r="F3582" s="19">
        <v>70</v>
      </c>
      <c r="G3582" s="18">
        <v>0.13</v>
      </c>
      <c r="H3582">
        <f>F3582*VLOOKUP(B3582,產品!$A$2:$H$61,7,FALSE)*(1-銷售總表!G3582)</f>
        <v>109620</v>
      </c>
      <c r="I3582" s="35">
        <f>H3582-F3582*VLOOKUP(銷售總表!B3582,產品!$A$2:$H$61,8,FALSE)</f>
        <v>59220</v>
      </c>
      <c r="J3582" s="20">
        <f t="shared" si="55"/>
        <v>0.54022988505747127</v>
      </c>
    </row>
    <row r="3583" spans="1:10" x14ac:dyDescent="0.3">
      <c r="A3583" s="33">
        <v>3582</v>
      </c>
      <c r="B3583" s="4">
        <v>7</v>
      </c>
      <c r="C3583" s="15">
        <v>7</v>
      </c>
      <c r="D3583" s="16">
        <v>3</v>
      </c>
      <c r="E3583" s="22">
        <v>44571</v>
      </c>
      <c r="F3583" s="19">
        <v>150</v>
      </c>
      <c r="G3583" s="18">
        <v>0.19</v>
      </c>
      <c r="H3583">
        <f>F3583*VLOOKUP(B3583,產品!$A$2:$H$61,7,FALSE)*(1-銷售總表!G3583)</f>
        <v>121500.00000000001</v>
      </c>
      <c r="I3583" s="35">
        <f>H3583-F3583*VLOOKUP(銷售總表!B3583,產品!$A$2:$H$61,8,FALSE)</f>
        <v>61500.000000000015</v>
      </c>
      <c r="J3583" s="20">
        <f t="shared" si="55"/>
        <v>0.50617283950617287</v>
      </c>
    </row>
    <row r="3584" spans="1:10" x14ac:dyDescent="0.3">
      <c r="A3584" s="33">
        <v>3583</v>
      </c>
      <c r="B3584" s="4">
        <v>57</v>
      </c>
      <c r="C3584" s="15">
        <v>282</v>
      </c>
      <c r="D3584" s="16">
        <v>6</v>
      </c>
      <c r="E3584" s="22">
        <v>44572</v>
      </c>
      <c r="F3584" s="19">
        <v>4</v>
      </c>
      <c r="G3584" s="18">
        <v>0.11</v>
      </c>
      <c r="H3584">
        <f>F3584*VLOOKUP(B3584,產品!$A$2:$H$61,7,FALSE)*(1-銷售總表!G3584)</f>
        <v>64080</v>
      </c>
      <c r="I3584" s="35">
        <f>H3584-F3584*VLOOKUP(銷售總表!B3584,產品!$A$2:$H$61,8,FALSE)</f>
        <v>13680</v>
      </c>
      <c r="J3584" s="20">
        <f t="shared" si="55"/>
        <v>0.21348314606741572</v>
      </c>
    </row>
    <row r="3585" spans="1:10" x14ac:dyDescent="0.3">
      <c r="A3585" s="33">
        <v>3584</v>
      </c>
      <c r="B3585" s="4">
        <v>46</v>
      </c>
      <c r="C3585" s="15">
        <v>11</v>
      </c>
      <c r="D3585" s="16">
        <v>8</v>
      </c>
      <c r="E3585" s="22">
        <v>44572</v>
      </c>
      <c r="F3585" s="19">
        <v>4</v>
      </c>
      <c r="G3585" s="18">
        <v>0.17</v>
      </c>
      <c r="H3585">
        <f>F3585*VLOOKUP(B3585,產品!$A$2:$H$61,7,FALSE)*(1-銷售總表!G3585)</f>
        <v>56440</v>
      </c>
      <c r="I3585" s="35">
        <f>H3585-F3585*VLOOKUP(銷售總表!B3585,產品!$A$2:$H$61,8,FALSE)</f>
        <v>12240</v>
      </c>
      <c r="J3585" s="20">
        <f t="shared" si="55"/>
        <v>0.21686746987951808</v>
      </c>
    </row>
    <row r="3586" spans="1:10" x14ac:dyDescent="0.3">
      <c r="A3586" s="33">
        <v>3585</v>
      </c>
      <c r="B3586" s="4">
        <v>32</v>
      </c>
      <c r="C3586" s="15">
        <v>264</v>
      </c>
      <c r="D3586" s="16">
        <v>5</v>
      </c>
      <c r="E3586" s="22">
        <v>44572</v>
      </c>
      <c r="F3586" s="19">
        <v>5</v>
      </c>
      <c r="G3586" s="18">
        <v>0.17</v>
      </c>
      <c r="H3586">
        <f>F3586*VLOOKUP(B3586,產品!$A$2:$H$61,7,FALSE)*(1-銷售總表!G3586)</f>
        <v>31125</v>
      </c>
      <c r="I3586" s="35">
        <f>H3586-F3586*VLOOKUP(銷售總表!B3586,產品!$A$2:$H$61,8,FALSE)</f>
        <v>8625</v>
      </c>
      <c r="J3586" s="20">
        <f t="shared" si="55"/>
        <v>0.27710843373493976</v>
      </c>
    </row>
    <row r="3587" spans="1:10" x14ac:dyDescent="0.3">
      <c r="A3587" s="33">
        <v>3586</v>
      </c>
      <c r="B3587" s="4">
        <v>37</v>
      </c>
      <c r="C3587" s="15">
        <v>7</v>
      </c>
      <c r="D3587" s="16">
        <v>3</v>
      </c>
      <c r="E3587" s="22">
        <v>44572</v>
      </c>
      <c r="F3587" s="19">
        <v>10</v>
      </c>
      <c r="G3587" s="18">
        <v>0.2</v>
      </c>
      <c r="H3587">
        <f>F3587*VLOOKUP(B3587,產品!$A$2:$H$61,7,FALSE)*(1-銷售總表!G3587)</f>
        <v>96000</v>
      </c>
      <c r="I3587" s="35">
        <f>H3587-F3587*VLOOKUP(銷售總表!B3587,產品!$A$2:$H$61,8,FALSE)</f>
        <v>18000</v>
      </c>
      <c r="J3587" s="20">
        <f t="shared" ref="J3587:J3650" si="56">I3587/H3587</f>
        <v>0.1875</v>
      </c>
    </row>
    <row r="3588" spans="1:10" x14ac:dyDescent="0.3">
      <c r="A3588" s="33">
        <v>3587</v>
      </c>
      <c r="B3588" s="4">
        <v>13</v>
      </c>
      <c r="C3588" s="15">
        <v>136</v>
      </c>
      <c r="D3588" s="16">
        <v>1</v>
      </c>
      <c r="E3588" s="22">
        <v>44572</v>
      </c>
      <c r="F3588" s="19">
        <v>13</v>
      </c>
      <c r="G3588" s="18">
        <v>0.16</v>
      </c>
      <c r="H3588">
        <f>F3588*VLOOKUP(B3588,產品!$A$2:$H$61,7,FALSE)*(1-銷售總表!G3588)</f>
        <v>19656</v>
      </c>
      <c r="I3588" s="35">
        <f>H3588-F3588*VLOOKUP(銷售總表!B3588,產品!$A$2:$H$61,8,FALSE)</f>
        <v>10296</v>
      </c>
      <c r="J3588" s="20">
        <f t="shared" si="56"/>
        <v>0.52380952380952384</v>
      </c>
    </row>
    <row r="3589" spans="1:10" x14ac:dyDescent="0.3">
      <c r="A3589" s="33">
        <v>3588</v>
      </c>
      <c r="B3589" s="4">
        <v>20</v>
      </c>
      <c r="C3589" s="15">
        <v>8</v>
      </c>
      <c r="D3589" s="16">
        <v>6</v>
      </c>
      <c r="E3589" s="22">
        <v>44572</v>
      </c>
      <c r="F3589" s="19">
        <v>22</v>
      </c>
      <c r="G3589" s="18">
        <v>0.14000000000000001</v>
      </c>
      <c r="H3589">
        <f>F3589*VLOOKUP(B3589,產品!$A$2:$H$61,7,FALSE)*(1-銷售總表!G3589)</f>
        <v>34056</v>
      </c>
      <c r="I3589" s="35">
        <f>H3589-F3589*VLOOKUP(銷售總表!B3589,產品!$A$2:$H$61,8,FALSE)</f>
        <v>18216</v>
      </c>
      <c r="J3589" s="20">
        <f t="shared" si="56"/>
        <v>0.53488372093023251</v>
      </c>
    </row>
    <row r="3590" spans="1:10" x14ac:dyDescent="0.3">
      <c r="A3590" s="33">
        <v>3589</v>
      </c>
      <c r="B3590" s="4">
        <v>14</v>
      </c>
      <c r="C3590" s="15">
        <v>273</v>
      </c>
      <c r="D3590" s="16">
        <v>1</v>
      </c>
      <c r="E3590" s="22">
        <v>44572</v>
      </c>
      <c r="F3590" s="19">
        <v>36</v>
      </c>
      <c r="G3590" s="18">
        <v>0.11</v>
      </c>
      <c r="H3590">
        <f>F3590*VLOOKUP(B3590,產品!$A$2:$H$61,7,FALSE)*(1-銷售總表!G3590)</f>
        <v>57672</v>
      </c>
      <c r="I3590" s="35">
        <f>H3590-F3590*VLOOKUP(銷售總表!B3590,產品!$A$2:$H$61,8,FALSE)</f>
        <v>31752</v>
      </c>
      <c r="J3590" s="20">
        <f t="shared" si="56"/>
        <v>0.550561797752809</v>
      </c>
    </row>
    <row r="3591" spans="1:10" x14ac:dyDescent="0.3">
      <c r="A3591" s="33">
        <v>3590</v>
      </c>
      <c r="B3591" s="4">
        <v>55</v>
      </c>
      <c r="C3591" s="15">
        <v>7</v>
      </c>
      <c r="D3591" s="16">
        <v>8</v>
      </c>
      <c r="E3591" s="22">
        <v>44573</v>
      </c>
      <c r="F3591" s="19">
        <v>5</v>
      </c>
      <c r="G3591" s="18">
        <v>0.2</v>
      </c>
      <c r="H3591">
        <f>F3591*VLOOKUP(B3591,產品!$A$2:$H$61,7,FALSE)*(1-銷售總表!G3591)</f>
        <v>80000</v>
      </c>
      <c r="I3591" s="35">
        <f>H3591-F3591*VLOOKUP(銷售總表!B3591,產品!$A$2:$H$61,8,FALSE)</f>
        <v>10000</v>
      </c>
      <c r="J3591" s="20">
        <f t="shared" si="56"/>
        <v>0.125</v>
      </c>
    </row>
    <row r="3592" spans="1:10" x14ac:dyDescent="0.3">
      <c r="A3592" s="33">
        <v>3591</v>
      </c>
      <c r="B3592" s="4">
        <v>43</v>
      </c>
      <c r="C3592" s="15">
        <v>126</v>
      </c>
      <c r="D3592" s="16">
        <v>10</v>
      </c>
      <c r="E3592" s="22">
        <v>44573</v>
      </c>
      <c r="F3592" s="19">
        <v>6</v>
      </c>
      <c r="G3592" s="18">
        <v>0.18</v>
      </c>
      <c r="H3592">
        <f>F3592*VLOOKUP(B3592,產品!$A$2:$H$61,7,FALSE)*(1-銷售總表!G3592)</f>
        <v>88560</v>
      </c>
      <c r="I3592" s="35">
        <f>H3592-F3592*VLOOKUP(銷售總表!B3592,產品!$A$2:$H$61,8,FALSE)</f>
        <v>18360</v>
      </c>
      <c r="J3592" s="20">
        <f t="shared" si="56"/>
        <v>0.2073170731707317</v>
      </c>
    </row>
    <row r="3593" spans="1:10" x14ac:dyDescent="0.3">
      <c r="A3593" s="33">
        <v>3592</v>
      </c>
      <c r="B3593" s="4">
        <v>48</v>
      </c>
      <c r="C3593" s="15">
        <v>289</v>
      </c>
      <c r="D3593" s="16">
        <v>7</v>
      </c>
      <c r="E3593" s="22">
        <v>44573</v>
      </c>
      <c r="F3593" s="19">
        <v>9</v>
      </c>
      <c r="G3593" s="18">
        <v>0.05</v>
      </c>
      <c r="H3593">
        <f>F3593*VLOOKUP(B3593,產品!$A$2:$H$61,7,FALSE)*(1-銷售總表!G3593)</f>
        <v>188100</v>
      </c>
      <c r="I3593" s="35">
        <f>H3593-F3593*VLOOKUP(銷售總表!B3593,產品!$A$2:$H$61,8,FALSE)</f>
        <v>59400</v>
      </c>
      <c r="J3593" s="20">
        <f t="shared" si="56"/>
        <v>0.31578947368421051</v>
      </c>
    </row>
    <row r="3594" spans="1:10" x14ac:dyDescent="0.3">
      <c r="A3594" s="33">
        <v>3593</v>
      </c>
      <c r="B3594" s="4">
        <v>24</v>
      </c>
      <c r="C3594" s="15">
        <v>116</v>
      </c>
      <c r="D3594" s="16">
        <v>2</v>
      </c>
      <c r="E3594" s="22">
        <v>44573</v>
      </c>
      <c r="F3594" s="17">
        <v>50</v>
      </c>
      <c r="G3594" s="18">
        <v>0.14000000000000001</v>
      </c>
      <c r="H3594">
        <f>F3594*VLOOKUP(B3594,產品!$A$2:$H$61,7,FALSE)*(1-銷售總表!G3594)</f>
        <v>77400</v>
      </c>
      <c r="I3594" s="35">
        <f>H3594-F3594*VLOOKUP(銷售總表!B3594,產品!$A$2:$H$61,8,FALSE)</f>
        <v>41400</v>
      </c>
      <c r="J3594" s="20">
        <f t="shared" si="56"/>
        <v>0.53488372093023251</v>
      </c>
    </row>
    <row r="3595" spans="1:10" x14ac:dyDescent="0.3">
      <c r="A3595" s="33">
        <v>3594</v>
      </c>
      <c r="B3595" s="4">
        <v>5</v>
      </c>
      <c r="C3595" s="15">
        <v>277</v>
      </c>
      <c r="D3595" s="16">
        <v>1</v>
      </c>
      <c r="E3595" s="22">
        <v>44573</v>
      </c>
      <c r="F3595" s="19">
        <v>50</v>
      </c>
      <c r="G3595" s="18">
        <v>7.0000000000000007E-2</v>
      </c>
      <c r="H3595">
        <f>F3595*VLOOKUP(B3595,產品!$A$2:$H$61,7,FALSE)*(1-銷售總表!G3595)</f>
        <v>46500</v>
      </c>
      <c r="I3595" s="35">
        <f>H3595-F3595*VLOOKUP(銷售總表!B3595,產品!$A$2:$H$61,8,FALSE)</f>
        <v>26500</v>
      </c>
      <c r="J3595" s="20">
        <f t="shared" si="56"/>
        <v>0.56989247311827962</v>
      </c>
    </row>
    <row r="3596" spans="1:10" x14ac:dyDescent="0.3">
      <c r="A3596" s="33">
        <v>3595</v>
      </c>
      <c r="B3596" s="4">
        <v>6</v>
      </c>
      <c r="C3596" s="15">
        <v>4</v>
      </c>
      <c r="D3596" s="16">
        <v>3</v>
      </c>
      <c r="E3596" s="22">
        <v>44573</v>
      </c>
      <c r="F3596" s="19">
        <v>60</v>
      </c>
      <c r="G3596" s="18">
        <v>0.11</v>
      </c>
      <c r="H3596">
        <f>F3596*VLOOKUP(B3596,產品!$A$2:$H$61,7,FALSE)*(1-銷售總表!G3596)</f>
        <v>53400</v>
      </c>
      <c r="I3596" s="35">
        <f>H3596-F3596*VLOOKUP(銷售總表!B3596,產品!$A$2:$H$61,8,FALSE)</f>
        <v>29400</v>
      </c>
      <c r="J3596" s="20">
        <f t="shared" si="56"/>
        <v>0.550561797752809</v>
      </c>
    </row>
    <row r="3597" spans="1:10" x14ac:dyDescent="0.3">
      <c r="A3597" s="33">
        <v>3596</v>
      </c>
      <c r="B3597" s="4">
        <v>46</v>
      </c>
      <c r="C3597" s="15">
        <v>266</v>
      </c>
      <c r="D3597" s="16">
        <v>7</v>
      </c>
      <c r="E3597" s="22">
        <v>44574</v>
      </c>
      <c r="F3597" s="19">
        <v>3</v>
      </c>
      <c r="G3597" s="18">
        <v>0.06</v>
      </c>
      <c r="H3597">
        <f>F3597*VLOOKUP(B3597,產品!$A$2:$H$61,7,FALSE)*(1-銷售總表!G3597)</f>
        <v>47940</v>
      </c>
      <c r="I3597" s="35">
        <f>H3597-F3597*VLOOKUP(銷售總表!B3597,產品!$A$2:$H$61,8,FALSE)</f>
        <v>14790</v>
      </c>
      <c r="J3597" s="20">
        <f t="shared" si="56"/>
        <v>0.30851063829787234</v>
      </c>
    </row>
    <row r="3598" spans="1:10" x14ac:dyDescent="0.3">
      <c r="A3598" s="33">
        <v>3597</v>
      </c>
      <c r="B3598" s="4">
        <v>57</v>
      </c>
      <c r="C3598" s="15">
        <v>271</v>
      </c>
      <c r="D3598" s="16">
        <v>6</v>
      </c>
      <c r="E3598" s="22">
        <v>44574</v>
      </c>
      <c r="F3598" s="19">
        <v>3</v>
      </c>
      <c r="G3598" s="18">
        <v>0.09</v>
      </c>
      <c r="H3598">
        <f>F3598*VLOOKUP(B3598,產品!$A$2:$H$61,7,FALSE)*(1-銷售總表!G3598)</f>
        <v>49140</v>
      </c>
      <c r="I3598" s="35">
        <f>H3598-F3598*VLOOKUP(銷售總表!B3598,產品!$A$2:$H$61,8,FALSE)</f>
        <v>11340</v>
      </c>
      <c r="J3598" s="20">
        <f t="shared" si="56"/>
        <v>0.23076923076923078</v>
      </c>
    </row>
    <row r="3599" spans="1:10" x14ac:dyDescent="0.3">
      <c r="A3599" s="33">
        <v>3598</v>
      </c>
      <c r="B3599" s="4">
        <v>39</v>
      </c>
      <c r="C3599" s="15">
        <v>137</v>
      </c>
      <c r="D3599" s="16">
        <v>6</v>
      </c>
      <c r="E3599" s="22">
        <v>44574</v>
      </c>
      <c r="F3599" s="19">
        <v>3</v>
      </c>
      <c r="G3599" s="18">
        <v>0.19</v>
      </c>
      <c r="H3599">
        <f>F3599*VLOOKUP(B3599,產品!$A$2:$H$61,7,FALSE)*(1-銷售總表!G3599)</f>
        <v>43740</v>
      </c>
      <c r="I3599" s="35">
        <f>H3599-F3599*VLOOKUP(銷售總表!B3599,產品!$A$2:$H$61,8,FALSE)</f>
        <v>8640</v>
      </c>
      <c r="J3599" s="20">
        <f t="shared" si="56"/>
        <v>0.19753086419753085</v>
      </c>
    </row>
    <row r="3600" spans="1:10" x14ac:dyDescent="0.3">
      <c r="A3600" s="33">
        <v>3599</v>
      </c>
      <c r="B3600" s="4">
        <v>50</v>
      </c>
      <c r="C3600" s="15">
        <v>258</v>
      </c>
      <c r="D3600" s="16">
        <v>3</v>
      </c>
      <c r="E3600" s="22">
        <v>44574</v>
      </c>
      <c r="F3600" s="19">
        <v>3</v>
      </c>
      <c r="G3600" s="18">
        <v>0.18</v>
      </c>
      <c r="H3600">
        <f>F3600*VLOOKUP(B3600,產品!$A$2:$H$61,7,FALSE)*(1-銷售總表!G3600)</f>
        <v>44280</v>
      </c>
      <c r="I3600" s="35">
        <f>H3600-F3600*VLOOKUP(銷售總表!B3600,產品!$A$2:$H$61,8,FALSE)</f>
        <v>6480</v>
      </c>
      <c r="J3600" s="20">
        <f t="shared" si="56"/>
        <v>0.14634146341463414</v>
      </c>
    </row>
    <row r="3601" spans="1:10" x14ac:dyDescent="0.3">
      <c r="A3601" s="33">
        <v>3600</v>
      </c>
      <c r="B3601" s="4">
        <v>54</v>
      </c>
      <c r="C3601" s="15">
        <v>294</v>
      </c>
      <c r="D3601" s="16">
        <v>9</v>
      </c>
      <c r="E3601" s="22">
        <v>44574</v>
      </c>
      <c r="F3601" s="19">
        <v>4</v>
      </c>
      <c r="G3601" s="18">
        <v>0.1</v>
      </c>
      <c r="H3601">
        <f>F3601*VLOOKUP(B3601,產品!$A$2:$H$61,7,FALSE)*(1-銷售總表!G3601)</f>
        <v>64800</v>
      </c>
      <c r="I3601" s="35">
        <f>H3601-F3601*VLOOKUP(銷售總表!B3601,產品!$A$2:$H$61,8,FALSE)</f>
        <v>14400</v>
      </c>
      <c r="J3601" s="20">
        <f t="shared" si="56"/>
        <v>0.22222222222222221</v>
      </c>
    </row>
    <row r="3602" spans="1:10" x14ac:dyDescent="0.3">
      <c r="A3602" s="33">
        <v>3601</v>
      </c>
      <c r="B3602" s="4">
        <v>45</v>
      </c>
      <c r="C3602" s="15">
        <v>135</v>
      </c>
      <c r="D3602" s="16">
        <v>4</v>
      </c>
      <c r="E3602" s="22">
        <v>44574</v>
      </c>
      <c r="F3602" s="19">
        <v>4</v>
      </c>
      <c r="G3602" s="18">
        <v>0.1</v>
      </c>
      <c r="H3602">
        <f>F3602*VLOOKUP(B3602,產品!$A$2:$H$61,7,FALSE)*(1-銷售總表!G3602)</f>
        <v>50400</v>
      </c>
      <c r="I3602" s="35">
        <f>H3602-F3602*VLOOKUP(銷售總表!B3602,產品!$A$2:$H$61,8,FALSE)</f>
        <v>14000</v>
      </c>
      <c r="J3602" s="20">
        <f t="shared" si="56"/>
        <v>0.27777777777777779</v>
      </c>
    </row>
    <row r="3603" spans="1:10" x14ac:dyDescent="0.3">
      <c r="A3603" s="33">
        <v>3602</v>
      </c>
      <c r="B3603" s="4">
        <v>35</v>
      </c>
      <c r="C3603" s="15">
        <v>8</v>
      </c>
      <c r="D3603" s="16">
        <v>4</v>
      </c>
      <c r="E3603" s="22">
        <v>44574</v>
      </c>
      <c r="F3603" s="17">
        <v>5</v>
      </c>
      <c r="G3603" s="18">
        <v>0.05</v>
      </c>
      <c r="H3603">
        <f>F3603*VLOOKUP(B3603,產品!$A$2:$H$61,7,FALSE)*(1-銷售總表!G3603)</f>
        <v>40375</v>
      </c>
      <c r="I3603" s="35">
        <f>H3603-F3603*VLOOKUP(銷售總表!B3603,產品!$A$2:$H$61,8,FALSE)</f>
        <v>14875</v>
      </c>
      <c r="J3603" s="20">
        <f t="shared" si="56"/>
        <v>0.36842105263157893</v>
      </c>
    </row>
    <row r="3604" spans="1:10" x14ac:dyDescent="0.3">
      <c r="A3604" s="33">
        <v>3603</v>
      </c>
      <c r="B3604" s="4">
        <v>59</v>
      </c>
      <c r="C3604" s="15">
        <v>122</v>
      </c>
      <c r="D3604" s="16">
        <v>1</v>
      </c>
      <c r="E3604" s="22">
        <v>44574</v>
      </c>
      <c r="F3604" s="19">
        <v>6</v>
      </c>
      <c r="G3604" s="18">
        <v>0.1</v>
      </c>
      <c r="H3604">
        <f>F3604*VLOOKUP(B3604,產品!$A$2:$H$61,7,FALSE)*(1-銷售總表!G3604)</f>
        <v>129600</v>
      </c>
      <c r="I3604" s="35">
        <f>H3604-F3604*VLOOKUP(銷售總表!B3604,產品!$A$2:$H$61,8,FALSE)</f>
        <v>28800</v>
      </c>
      <c r="J3604" s="20">
        <f t="shared" si="56"/>
        <v>0.22222222222222221</v>
      </c>
    </row>
    <row r="3605" spans="1:10" x14ac:dyDescent="0.3">
      <c r="A3605" s="33">
        <v>3604</v>
      </c>
      <c r="B3605" s="4">
        <v>27</v>
      </c>
      <c r="C3605" s="15">
        <v>294</v>
      </c>
      <c r="D3605" s="16">
        <v>9</v>
      </c>
      <c r="E3605" s="22">
        <v>44574</v>
      </c>
      <c r="F3605" s="19">
        <v>7</v>
      </c>
      <c r="G3605" s="18">
        <v>0.11</v>
      </c>
      <c r="H3605">
        <f>F3605*VLOOKUP(B3605,產品!$A$2:$H$61,7,FALSE)*(1-銷售總表!G3605)</f>
        <v>43610</v>
      </c>
      <c r="I3605" s="35">
        <f>H3605-F3605*VLOOKUP(銷售總表!B3605,產品!$A$2:$H$61,8,FALSE)</f>
        <v>14210</v>
      </c>
      <c r="J3605" s="20">
        <f t="shared" si="56"/>
        <v>0.3258426966292135</v>
      </c>
    </row>
    <row r="3606" spans="1:10" x14ac:dyDescent="0.3">
      <c r="A3606" s="33">
        <v>3605</v>
      </c>
      <c r="B3606" s="4">
        <v>30</v>
      </c>
      <c r="C3606" s="15">
        <v>257</v>
      </c>
      <c r="D3606" s="16">
        <v>10</v>
      </c>
      <c r="E3606" s="22">
        <v>44574</v>
      </c>
      <c r="F3606" s="17">
        <v>8</v>
      </c>
      <c r="G3606" s="18">
        <v>0.13</v>
      </c>
      <c r="H3606">
        <f>F3606*VLOOKUP(B3606,產品!$A$2:$H$61,7,FALSE)*(1-銷售總表!G3606)</f>
        <v>45240</v>
      </c>
      <c r="I3606" s="35">
        <f>H3606-F3606*VLOOKUP(銷售總表!B3606,產品!$A$2:$H$61,8,FALSE)</f>
        <v>14040</v>
      </c>
      <c r="J3606" s="20">
        <f t="shared" si="56"/>
        <v>0.31034482758620691</v>
      </c>
    </row>
    <row r="3607" spans="1:10" x14ac:dyDescent="0.3">
      <c r="A3607" s="33">
        <v>3606</v>
      </c>
      <c r="B3607" s="4">
        <v>25</v>
      </c>
      <c r="C3607" s="15">
        <v>286</v>
      </c>
      <c r="D3607" s="16">
        <v>4</v>
      </c>
      <c r="E3607" s="22">
        <v>44574</v>
      </c>
      <c r="F3607" s="19">
        <v>10</v>
      </c>
      <c r="G3607" s="18">
        <v>0.11</v>
      </c>
      <c r="H3607">
        <f>F3607*VLOOKUP(B3607,產品!$A$2:$H$61,7,FALSE)*(1-銷售總表!G3607)</f>
        <v>53400</v>
      </c>
      <c r="I3607" s="35">
        <f>H3607-F3607*VLOOKUP(銷售總表!B3607,產品!$A$2:$H$61,8,FALSE)</f>
        <v>17400</v>
      </c>
      <c r="J3607" s="20">
        <f t="shared" si="56"/>
        <v>0.3258426966292135</v>
      </c>
    </row>
    <row r="3608" spans="1:10" x14ac:dyDescent="0.3">
      <c r="A3608" s="33">
        <v>3607</v>
      </c>
      <c r="B3608" s="4">
        <v>29</v>
      </c>
      <c r="C3608" s="15">
        <v>264</v>
      </c>
      <c r="D3608" s="16">
        <v>8</v>
      </c>
      <c r="E3608" s="22">
        <v>44574</v>
      </c>
      <c r="F3608" s="19">
        <v>10</v>
      </c>
      <c r="G3608" s="18">
        <v>0.15</v>
      </c>
      <c r="H3608">
        <f>F3608*VLOOKUP(B3608,產品!$A$2:$H$61,7,FALSE)*(1-銷售總表!G3608)</f>
        <v>51000</v>
      </c>
      <c r="I3608" s="35">
        <f>H3608-F3608*VLOOKUP(銷售總表!B3608,產品!$A$2:$H$61,8,FALSE)</f>
        <v>15000</v>
      </c>
      <c r="J3608" s="20">
        <f t="shared" si="56"/>
        <v>0.29411764705882354</v>
      </c>
    </row>
    <row r="3609" spans="1:10" x14ac:dyDescent="0.3">
      <c r="A3609" s="33">
        <v>3608</v>
      </c>
      <c r="B3609" s="4">
        <v>38</v>
      </c>
      <c r="C3609" s="15">
        <v>6</v>
      </c>
      <c r="D3609" s="16">
        <v>8</v>
      </c>
      <c r="E3609" s="22">
        <v>44574</v>
      </c>
      <c r="F3609" s="17">
        <v>20</v>
      </c>
      <c r="G3609" s="18">
        <v>0.16</v>
      </c>
      <c r="H3609">
        <f>F3609*VLOOKUP(B3609,產品!$A$2:$H$61,7,FALSE)*(1-銷售總表!G3609)</f>
        <v>252000</v>
      </c>
      <c r="I3609" s="35">
        <f>H3609-F3609*VLOOKUP(銷售總表!B3609,產品!$A$2:$H$61,8,FALSE)</f>
        <v>57000</v>
      </c>
      <c r="J3609" s="20">
        <f t="shared" si="56"/>
        <v>0.22619047619047619</v>
      </c>
    </row>
    <row r="3610" spans="1:10" x14ac:dyDescent="0.3">
      <c r="A3610" s="33">
        <v>3609</v>
      </c>
      <c r="B3610" s="4">
        <v>21</v>
      </c>
      <c r="C3610" s="15">
        <v>264</v>
      </c>
      <c r="D3610" s="16">
        <v>9</v>
      </c>
      <c r="E3610" s="22">
        <v>44574</v>
      </c>
      <c r="F3610" s="19">
        <v>30</v>
      </c>
      <c r="G3610" s="18">
        <v>0.06</v>
      </c>
      <c r="H3610">
        <f>F3610*VLOOKUP(B3610,產品!$A$2:$H$61,7,FALSE)*(1-銷售總表!G3610)</f>
        <v>50760</v>
      </c>
      <c r="I3610" s="35">
        <f>H3610-F3610*VLOOKUP(銷售總表!B3610,產品!$A$2:$H$61,8,FALSE)</f>
        <v>29160</v>
      </c>
      <c r="J3610" s="20">
        <f t="shared" si="56"/>
        <v>0.57446808510638303</v>
      </c>
    </row>
    <row r="3611" spans="1:10" x14ac:dyDescent="0.3">
      <c r="A3611" s="33">
        <v>3610</v>
      </c>
      <c r="B3611" s="4">
        <v>27</v>
      </c>
      <c r="C3611" s="15">
        <v>134</v>
      </c>
      <c r="D3611" s="16">
        <v>7</v>
      </c>
      <c r="E3611" s="22">
        <v>44575</v>
      </c>
      <c r="F3611" s="19">
        <v>3</v>
      </c>
      <c r="G3611" s="18">
        <v>0.16</v>
      </c>
      <c r="H3611">
        <f>F3611*VLOOKUP(B3611,產品!$A$2:$H$61,7,FALSE)*(1-銷售總表!G3611)</f>
        <v>17640</v>
      </c>
      <c r="I3611" s="35">
        <f>H3611-F3611*VLOOKUP(銷售總表!B3611,產品!$A$2:$H$61,8,FALSE)</f>
        <v>5040</v>
      </c>
      <c r="J3611" s="20">
        <f t="shared" si="56"/>
        <v>0.2857142857142857</v>
      </c>
    </row>
    <row r="3612" spans="1:10" x14ac:dyDescent="0.3">
      <c r="A3612" s="33">
        <v>3611</v>
      </c>
      <c r="B3612" s="4">
        <v>60</v>
      </c>
      <c r="C3612" s="15">
        <v>5</v>
      </c>
      <c r="D3612" s="16">
        <v>5</v>
      </c>
      <c r="E3612" s="22">
        <v>44575</v>
      </c>
      <c r="F3612" s="19">
        <v>4</v>
      </c>
      <c r="G3612" s="18">
        <v>0.14000000000000001</v>
      </c>
      <c r="H3612">
        <f>F3612*VLOOKUP(B3612,產品!$A$2:$H$61,7,FALSE)*(1-銷售總表!G3612)</f>
        <v>86000</v>
      </c>
      <c r="I3612" s="35">
        <f>H3612-F3612*VLOOKUP(銷售總表!B3612,產品!$A$2:$H$61,8,FALSE)</f>
        <v>16000</v>
      </c>
      <c r="J3612" s="20">
        <f t="shared" si="56"/>
        <v>0.18604651162790697</v>
      </c>
    </row>
    <row r="3613" spans="1:10" x14ac:dyDescent="0.3">
      <c r="A3613" s="33">
        <v>3612</v>
      </c>
      <c r="B3613" s="4">
        <v>54</v>
      </c>
      <c r="C3613" s="15">
        <v>284</v>
      </c>
      <c r="D3613" s="16">
        <v>8</v>
      </c>
      <c r="E3613" s="22">
        <v>44575</v>
      </c>
      <c r="F3613" s="19">
        <v>5</v>
      </c>
      <c r="G3613" s="18">
        <v>0.14000000000000001</v>
      </c>
      <c r="H3613">
        <f>F3613*VLOOKUP(B3613,產品!$A$2:$H$61,7,FALSE)*(1-銷售總表!G3613)</f>
        <v>77400</v>
      </c>
      <c r="I3613" s="35">
        <f>H3613-F3613*VLOOKUP(銷售總表!B3613,產品!$A$2:$H$61,8,FALSE)</f>
        <v>14400</v>
      </c>
      <c r="J3613" s="20">
        <f t="shared" si="56"/>
        <v>0.18604651162790697</v>
      </c>
    </row>
    <row r="3614" spans="1:10" x14ac:dyDescent="0.3">
      <c r="A3614" s="33">
        <v>3613</v>
      </c>
      <c r="B3614" s="4">
        <v>59</v>
      </c>
      <c r="C3614" s="15">
        <v>117</v>
      </c>
      <c r="D3614" s="16">
        <v>7</v>
      </c>
      <c r="E3614" s="22">
        <v>44575</v>
      </c>
      <c r="F3614" s="17">
        <v>10</v>
      </c>
      <c r="G3614" s="18">
        <v>0.12</v>
      </c>
      <c r="H3614">
        <f>F3614*VLOOKUP(B3614,產品!$A$2:$H$61,7,FALSE)*(1-銷售總表!G3614)</f>
        <v>211200</v>
      </c>
      <c r="I3614" s="35">
        <f>H3614-F3614*VLOOKUP(銷售總表!B3614,產品!$A$2:$H$61,8,FALSE)</f>
        <v>43200</v>
      </c>
      <c r="J3614" s="20">
        <f t="shared" si="56"/>
        <v>0.20454545454545456</v>
      </c>
    </row>
    <row r="3615" spans="1:10" x14ac:dyDescent="0.3">
      <c r="A3615" s="33">
        <v>3614</v>
      </c>
      <c r="B3615" s="4">
        <v>38</v>
      </c>
      <c r="C3615" s="15">
        <v>113</v>
      </c>
      <c r="D3615" s="16">
        <v>5</v>
      </c>
      <c r="E3615" s="22">
        <v>44575</v>
      </c>
      <c r="F3615" s="17">
        <v>14</v>
      </c>
      <c r="G3615" s="18">
        <v>0.17</v>
      </c>
      <c r="H3615">
        <f>F3615*VLOOKUP(B3615,產品!$A$2:$H$61,7,FALSE)*(1-銷售總表!G3615)</f>
        <v>174300</v>
      </c>
      <c r="I3615" s="35">
        <f>H3615-F3615*VLOOKUP(銷售總表!B3615,產品!$A$2:$H$61,8,FALSE)</f>
        <v>37800</v>
      </c>
      <c r="J3615" s="20">
        <f t="shared" si="56"/>
        <v>0.21686746987951808</v>
      </c>
    </row>
    <row r="3616" spans="1:10" x14ac:dyDescent="0.3">
      <c r="A3616" s="33">
        <v>3615</v>
      </c>
      <c r="B3616" s="4">
        <v>55</v>
      </c>
      <c r="C3616" s="15">
        <v>3</v>
      </c>
      <c r="D3616" s="16">
        <v>6</v>
      </c>
      <c r="E3616" s="22">
        <v>44576</v>
      </c>
      <c r="F3616" s="19">
        <v>3</v>
      </c>
      <c r="G3616" s="18">
        <v>0.16</v>
      </c>
      <c r="H3616">
        <f>F3616*VLOOKUP(B3616,產品!$A$2:$H$61,7,FALSE)*(1-銷售總表!G3616)</f>
        <v>50400</v>
      </c>
      <c r="I3616" s="35">
        <f>H3616-F3616*VLOOKUP(銷售總表!B3616,產品!$A$2:$H$61,8,FALSE)</f>
        <v>8400</v>
      </c>
      <c r="J3616" s="20">
        <f t="shared" si="56"/>
        <v>0.16666666666666666</v>
      </c>
    </row>
    <row r="3617" spans="1:10" x14ac:dyDescent="0.3">
      <c r="A3617" s="33">
        <v>3616</v>
      </c>
      <c r="B3617" s="4">
        <v>29</v>
      </c>
      <c r="C3617" s="15">
        <v>11</v>
      </c>
      <c r="D3617" s="16">
        <v>8</v>
      </c>
      <c r="E3617" s="22">
        <v>44576</v>
      </c>
      <c r="F3617" s="19">
        <v>4</v>
      </c>
      <c r="G3617" s="18">
        <v>0.05</v>
      </c>
      <c r="H3617">
        <f>F3617*VLOOKUP(B3617,產品!$A$2:$H$61,7,FALSE)*(1-銷售總表!G3617)</f>
        <v>22800</v>
      </c>
      <c r="I3617" s="35">
        <f>H3617-F3617*VLOOKUP(銷售總表!B3617,產品!$A$2:$H$61,8,FALSE)</f>
        <v>8400</v>
      </c>
      <c r="J3617" s="20">
        <f t="shared" si="56"/>
        <v>0.36842105263157893</v>
      </c>
    </row>
    <row r="3618" spans="1:10" x14ac:dyDescent="0.3">
      <c r="A3618" s="33">
        <v>3617</v>
      </c>
      <c r="B3618" s="4">
        <v>38</v>
      </c>
      <c r="C3618" s="15">
        <v>263</v>
      </c>
      <c r="D3618" s="16">
        <v>2</v>
      </c>
      <c r="E3618" s="22">
        <v>44576</v>
      </c>
      <c r="F3618" s="19">
        <v>5</v>
      </c>
      <c r="G3618" s="18">
        <v>0.12</v>
      </c>
      <c r="H3618">
        <f>F3618*VLOOKUP(B3618,產品!$A$2:$H$61,7,FALSE)*(1-銷售總表!G3618)</f>
        <v>66000</v>
      </c>
      <c r="I3618" s="35">
        <f>H3618-F3618*VLOOKUP(銷售總表!B3618,產品!$A$2:$H$61,8,FALSE)</f>
        <v>17250</v>
      </c>
      <c r="J3618" s="20">
        <f t="shared" si="56"/>
        <v>0.26136363636363635</v>
      </c>
    </row>
    <row r="3619" spans="1:10" x14ac:dyDescent="0.3">
      <c r="A3619" s="33">
        <v>3618</v>
      </c>
      <c r="B3619" s="4">
        <v>52</v>
      </c>
      <c r="C3619" s="15">
        <v>11</v>
      </c>
      <c r="D3619" s="16">
        <v>4</v>
      </c>
      <c r="E3619" s="22">
        <v>44576</v>
      </c>
      <c r="F3619" s="17">
        <v>15</v>
      </c>
      <c r="G3619" s="18">
        <v>0.12</v>
      </c>
      <c r="H3619">
        <f>F3619*VLOOKUP(B3619,產品!$A$2:$H$61,7,FALSE)*(1-銷售總表!G3619)</f>
        <v>290400</v>
      </c>
      <c r="I3619" s="35">
        <f>H3619-F3619*VLOOKUP(銷售總表!B3619,產品!$A$2:$H$61,8,FALSE)</f>
        <v>59400.000000000029</v>
      </c>
      <c r="J3619" s="20">
        <f t="shared" si="56"/>
        <v>0.20454545454545464</v>
      </c>
    </row>
    <row r="3620" spans="1:10" x14ac:dyDescent="0.3">
      <c r="A3620" s="33">
        <v>3619</v>
      </c>
      <c r="B3620" s="4">
        <v>24</v>
      </c>
      <c r="C3620" s="15">
        <v>4</v>
      </c>
      <c r="D3620" s="16">
        <v>8</v>
      </c>
      <c r="E3620" s="22">
        <v>44576</v>
      </c>
      <c r="F3620" s="19">
        <v>15</v>
      </c>
      <c r="G3620" s="18">
        <v>0.12</v>
      </c>
      <c r="H3620">
        <f>F3620*VLOOKUP(B3620,產品!$A$2:$H$61,7,FALSE)*(1-銷售總表!G3620)</f>
        <v>23760</v>
      </c>
      <c r="I3620" s="35">
        <f>H3620-F3620*VLOOKUP(銷售總表!B3620,產品!$A$2:$H$61,8,FALSE)</f>
        <v>12960</v>
      </c>
      <c r="J3620" s="20">
        <f t="shared" si="56"/>
        <v>0.54545454545454541</v>
      </c>
    </row>
    <row r="3621" spans="1:10" x14ac:dyDescent="0.3">
      <c r="A3621" s="33">
        <v>3620</v>
      </c>
      <c r="B3621" s="4">
        <v>13</v>
      </c>
      <c r="C3621" s="15">
        <v>260</v>
      </c>
      <c r="D3621" s="16">
        <v>5</v>
      </c>
      <c r="E3621" s="22">
        <v>44576</v>
      </c>
      <c r="F3621" s="19">
        <v>60</v>
      </c>
      <c r="G3621" s="18">
        <v>0.17</v>
      </c>
      <c r="H3621">
        <f>F3621*VLOOKUP(B3621,產品!$A$2:$H$61,7,FALSE)*(1-銷售總表!G3621)</f>
        <v>89640</v>
      </c>
      <c r="I3621" s="35">
        <f>H3621-F3621*VLOOKUP(銷售總表!B3621,產品!$A$2:$H$61,8,FALSE)</f>
        <v>46440</v>
      </c>
      <c r="J3621" s="20">
        <f t="shared" si="56"/>
        <v>0.51807228915662651</v>
      </c>
    </row>
    <row r="3622" spans="1:10" x14ac:dyDescent="0.3">
      <c r="A3622" s="33">
        <v>3621</v>
      </c>
      <c r="B3622" s="4">
        <v>6</v>
      </c>
      <c r="C3622" s="15">
        <v>291</v>
      </c>
      <c r="D3622" s="16">
        <v>8</v>
      </c>
      <c r="E3622" s="22">
        <v>44576</v>
      </c>
      <c r="F3622" s="17">
        <v>60</v>
      </c>
      <c r="G3622" s="18">
        <v>0.15</v>
      </c>
      <c r="H3622">
        <f>F3622*VLOOKUP(B3622,產品!$A$2:$H$61,7,FALSE)*(1-銷售總表!G3622)</f>
        <v>51000</v>
      </c>
      <c r="I3622" s="35">
        <f>H3622-F3622*VLOOKUP(銷售總表!B3622,產品!$A$2:$H$61,8,FALSE)</f>
        <v>27000</v>
      </c>
      <c r="J3622" s="20">
        <f t="shared" si="56"/>
        <v>0.52941176470588236</v>
      </c>
    </row>
    <row r="3623" spans="1:10" x14ac:dyDescent="0.3">
      <c r="A3623" s="33">
        <v>3622</v>
      </c>
      <c r="B3623" s="4">
        <v>14</v>
      </c>
      <c r="C3623" s="15">
        <v>112</v>
      </c>
      <c r="D3623" s="16">
        <v>10</v>
      </c>
      <c r="E3623" s="22">
        <v>44576</v>
      </c>
      <c r="F3623" s="17">
        <v>80</v>
      </c>
      <c r="G3623" s="18">
        <v>0.12</v>
      </c>
      <c r="H3623">
        <f>F3623*VLOOKUP(B3623,產品!$A$2:$H$61,7,FALSE)*(1-銷售總表!G3623)</f>
        <v>126720</v>
      </c>
      <c r="I3623" s="35">
        <f>H3623-F3623*VLOOKUP(銷售總表!B3623,產品!$A$2:$H$61,8,FALSE)</f>
        <v>69120</v>
      </c>
      <c r="J3623" s="20">
        <f t="shared" si="56"/>
        <v>0.54545454545454541</v>
      </c>
    </row>
    <row r="3624" spans="1:10" x14ac:dyDescent="0.3">
      <c r="A3624" s="33">
        <v>3623</v>
      </c>
      <c r="B3624" s="4">
        <v>10</v>
      </c>
      <c r="C3624" s="15">
        <v>7</v>
      </c>
      <c r="D3624" s="16">
        <v>7</v>
      </c>
      <c r="E3624" s="22">
        <v>44576</v>
      </c>
      <c r="F3624" s="17">
        <v>80</v>
      </c>
      <c r="G3624" s="18">
        <v>0.13</v>
      </c>
      <c r="H3624">
        <f>F3624*VLOOKUP(B3624,產品!$A$2:$H$61,7,FALSE)*(1-銷售總表!G3624)</f>
        <v>69600</v>
      </c>
      <c r="I3624" s="35">
        <f>H3624-F3624*VLOOKUP(銷售總表!B3624,產品!$A$2:$H$61,8,FALSE)</f>
        <v>37600</v>
      </c>
      <c r="J3624" s="20">
        <f t="shared" si="56"/>
        <v>0.54022988505747127</v>
      </c>
    </row>
    <row r="3625" spans="1:10" x14ac:dyDescent="0.3">
      <c r="A3625" s="33">
        <v>3624</v>
      </c>
      <c r="B3625" s="4">
        <v>3</v>
      </c>
      <c r="C3625" s="15">
        <v>290</v>
      </c>
      <c r="D3625" s="16">
        <v>9</v>
      </c>
      <c r="E3625" s="22">
        <v>44576</v>
      </c>
      <c r="F3625" s="19">
        <v>200</v>
      </c>
      <c r="G3625" s="18">
        <v>0.09</v>
      </c>
      <c r="H3625">
        <f>F3625*VLOOKUP(B3625,產品!$A$2:$H$61,7,FALSE)*(1-銷售總表!G3625)</f>
        <v>182000</v>
      </c>
      <c r="I3625" s="35">
        <f>H3625-F3625*VLOOKUP(銷售總表!B3625,產品!$A$2:$H$61,8,FALSE)</f>
        <v>102000</v>
      </c>
      <c r="J3625" s="20">
        <f t="shared" si="56"/>
        <v>0.56043956043956045</v>
      </c>
    </row>
    <row r="3626" spans="1:10" x14ac:dyDescent="0.3">
      <c r="A3626" s="33">
        <v>3625</v>
      </c>
      <c r="B3626" s="4">
        <v>44</v>
      </c>
      <c r="C3626" s="15">
        <v>266</v>
      </c>
      <c r="D3626" s="16">
        <v>5</v>
      </c>
      <c r="E3626" s="22">
        <v>44577</v>
      </c>
      <c r="F3626" s="19">
        <v>3</v>
      </c>
      <c r="G3626" s="18">
        <v>0.13</v>
      </c>
      <c r="H3626">
        <f>F3626*VLOOKUP(B3626,產品!$A$2:$H$61,7,FALSE)*(1-銷售總表!G3626)</f>
        <v>52200</v>
      </c>
      <c r="I3626" s="35">
        <f>H3626-F3626*VLOOKUP(銷售總表!B3626,產品!$A$2:$H$61,8,FALSE)</f>
        <v>13200</v>
      </c>
      <c r="J3626" s="20">
        <f t="shared" si="56"/>
        <v>0.25287356321839083</v>
      </c>
    </row>
    <row r="3627" spans="1:10" x14ac:dyDescent="0.3">
      <c r="A3627" s="33">
        <v>3626</v>
      </c>
      <c r="B3627" s="4">
        <v>45</v>
      </c>
      <c r="C3627" s="15">
        <v>6</v>
      </c>
      <c r="D3627" s="16">
        <v>1</v>
      </c>
      <c r="E3627" s="22">
        <v>44577</v>
      </c>
      <c r="F3627" s="19">
        <v>5</v>
      </c>
      <c r="G3627" s="18">
        <v>0.19</v>
      </c>
      <c r="H3627">
        <f>F3627*VLOOKUP(B3627,產品!$A$2:$H$61,7,FALSE)*(1-銷售總表!G3627)</f>
        <v>56700.000000000007</v>
      </c>
      <c r="I3627" s="35">
        <f>H3627-F3627*VLOOKUP(銷售總表!B3627,產品!$A$2:$H$61,8,FALSE)</f>
        <v>11200.000000000007</v>
      </c>
      <c r="J3627" s="20">
        <f t="shared" si="56"/>
        <v>0.19753086419753096</v>
      </c>
    </row>
    <row r="3628" spans="1:10" x14ac:dyDescent="0.3">
      <c r="A3628" s="33">
        <v>3627</v>
      </c>
      <c r="B3628" s="4">
        <v>25</v>
      </c>
      <c r="C3628" s="15">
        <v>264</v>
      </c>
      <c r="D3628" s="16">
        <v>3</v>
      </c>
      <c r="E3628" s="22">
        <v>44577</v>
      </c>
      <c r="F3628" s="17">
        <v>7</v>
      </c>
      <c r="G3628" s="18">
        <v>0.17</v>
      </c>
      <c r="H3628">
        <f>F3628*VLOOKUP(B3628,產品!$A$2:$H$61,7,FALSE)*(1-銷售總表!G3628)</f>
        <v>34860</v>
      </c>
      <c r="I3628" s="35">
        <f>H3628-F3628*VLOOKUP(銷售總表!B3628,產品!$A$2:$H$61,8,FALSE)</f>
        <v>9660</v>
      </c>
      <c r="J3628" s="20">
        <f t="shared" si="56"/>
        <v>0.27710843373493976</v>
      </c>
    </row>
    <row r="3629" spans="1:10" x14ac:dyDescent="0.3">
      <c r="A3629" s="33">
        <v>3628</v>
      </c>
      <c r="B3629" s="4">
        <v>53</v>
      </c>
      <c r="C3629" s="15">
        <v>275</v>
      </c>
      <c r="D3629" s="16">
        <v>9</v>
      </c>
      <c r="E3629" s="22">
        <v>44577</v>
      </c>
      <c r="F3629" s="19">
        <v>13</v>
      </c>
      <c r="G3629" s="18">
        <v>0.17</v>
      </c>
      <c r="H3629">
        <f>F3629*VLOOKUP(B3629,產品!$A$2:$H$61,7,FALSE)*(1-銷售總表!G3629)</f>
        <v>161850</v>
      </c>
      <c r="I3629" s="35">
        <f>H3629-F3629*VLOOKUP(銷售總表!B3629,產品!$A$2:$H$61,8,FALSE)</f>
        <v>25350</v>
      </c>
      <c r="J3629" s="20">
        <f t="shared" si="56"/>
        <v>0.15662650602409639</v>
      </c>
    </row>
    <row r="3630" spans="1:10" x14ac:dyDescent="0.3">
      <c r="A3630" s="33">
        <v>3629</v>
      </c>
      <c r="B3630" s="4">
        <v>17</v>
      </c>
      <c r="C3630" s="15">
        <v>4</v>
      </c>
      <c r="D3630" s="16">
        <v>3</v>
      </c>
      <c r="E3630" s="22">
        <v>44577</v>
      </c>
      <c r="F3630" s="17">
        <v>54</v>
      </c>
      <c r="G3630" s="18">
        <v>0.08</v>
      </c>
      <c r="H3630">
        <f>F3630*VLOOKUP(B3630,產品!$A$2:$H$61,7,FALSE)*(1-銷售總表!G3630)</f>
        <v>89424</v>
      </c>
      <c r="I3630" s="35">
        <f>H3630-F3630*VLOOKUP(銷售總表!B3630,產品!$A$2:$H$61,8,FALSE)</f>
        <v>50544</v>
      </c>
      <c r="J3630" s="20">
        <f t="shared" si="56"/>
        <v>0.56521739130434778</v>
      </c>
    </row>
    <row r="3631" spans="1:10" x14ac:dyDescent="0.3">
      <c r="A3631" s="33">
        <v>3630</v>
      </c>
      <c r="B3631" s="4">
        <v>42</v>
      </c>
      <c r="C3631" s="15">
        <v>2</v>
      </c>
      <c r="D3631" s="16">
        <v>4</v>
      </c>
      <c r="E3631" s="22">
        <v>44578</v>
      </c>
      <c r="F3631" s="19">
        <v>5</v>
      </c>
      <c r="G3631" s="18">
        <v>0.05</v>
      </c>
      <c r="H3631">
        <f>F3631*VLOOKUP(B3631,產品!$A$2:$H$61,7,FALSE)*(1-銷售總表!G3631)</f>
        <v>71250</v>
      </c>
      <c r="I3631" s="35">
        <f>H3631-F3631*VLOOKUP(銷售總表!B3631,產品!$A$2:$H$61,8,FALSE)</f>
        <v>22500</v>
      </c>
      <c r="J3631" s="20">
        <f t="shared" si="56"/>
        <v>0.31578947368421051</v>
      </c>
    </row>
    <row r="3632" spans="1:10" x14ac:dyDescent="0.3">
      <c r="A3632" s="33">
        <v>3631</v>
      </c>
      <c r="B3632" s="4">
        <v>53</v>
      </c>
      <c r="C3632" s="15">
        <v>114</v>
      </c>
      <c r="D3632" s="16">
        <v>5</v>
      </c>
      <c r="E3632" s="22">
        <v>44578</v>
      </c>
      <c r="F3632" s="19">
        <v>5</v>
      </c>
      <c r="G3632" s="18">
        <v>0.18</v>
      </c>
      <c r="H3632">
        <f>F3632*VLOOKUP(B3632,產品!$A$2:$H$61,7,FALSE)*(1-銷售總表!G3632)</f>
        <v>61500.000000000007</v>
      </c>
      <c r="I3632" s="35">
        <f>H3632-F3632*VLOOKUP(銷售總表!B3632,產品!$A$2:$H$61,8,FALSE)</f>
        <v>9000.0000000000073</v>
      </c>
      <c r="J3632" s="20">
        <f t="shared" si="56"/>
        <v>0.14634146341463425</v>
      </c>
    </row>
    <row r="3633" spans="1:10" x14ac:dyDescent="0.3">
      <c r="A3633" s="33">
        <v>3632</v>
      </c>
      <c r="B3633" s="4">
        <v>31</v>
      </c>
      <c r="C3633" s="15">
        <v>293</v>
      </c>
      <c r="D3633" s="16">
        <v>1</v>
      </c>
      <c r="E3633" s="22">
        <v>44578</v>
      </c>
      <c r="F3633" s="17">
        <v>6</v>
      </c>
      <c r="G3633" s="18">
        <v>0.08</v>
      </c>
      <c r="H3633">
        <f>F3633*VLOOKUP(B3633,產品!$A$2:$H$61,7,FALSE)*(1-銷售總表!G3633)</f>
        <v>38640</v>
      </c>
      <c r="I3633" s="35">
        <f>H3633-F3633*VLOOKUP(銷售總表!B3633,產品!$A$2:$H$61,8,FALSE)</f>
        <v>13440</v>
      </c>
      <c r="J3633" s="20">
        <f t="shared" si="56"/>
        <v>0.34782608695652173</v>
      </c>
    </row>
    <row r="3634" spans="1:10" x14ac:dyDescent="0.3">
      <c r="A3634" s="33">
        <v>3633</v>
      </c>
      <c r="B3634" s="4">
        <v>47</v>
      </c>
      <c r="C3634" s="15">
        <v>3</v>
      </c>
      <c r="D3634" s="16">
        <v>2</v>
      </c>
      <c r="E3634" s="22">
        <v>44578</v>
      </c>
      <c r="F3634" s="19">
        <v>8</v>
      </c>
      <c r="G3634" s="18">
        <v>0.15</v>
      </c>
      <c r="H3634">
        <f>F3634*VLOOKUP(B3634,產品!$A$2:$H$61,7,FALSE)*(1-銷售總表!G3634)</f>
        <v>136000</v>
      </c>
      <c r="I3634" s="35">
        <f>H3634-F3634*VLOOKUP(銷售總表!B3634,產品!$A$2:$H$61,8,FALSE)</f>
        <v>32000</v>
      </c>
      <c r="J3634" s="20">
        <f t="shared" si="56"/>
        <v>0.23529411764705882</v>
      </c>
    </row>
    <row r="3635" spans="1:10" x14ac:dyDescent="0.3">
      <c r="A3635" s="33">
        <v>3634</v>
      </c>
      <c r="B3635" s="4">
        <v>30</v>
      </c>
      <c r="C3635" s="15">
        <v>139</v>
      </c>
      <c r="D3635" s="16">
        <v>9</v>
      </c>
      <c r="E3635" s="22">
        <v>44578</v>
      </c>
      <c r="F3635" s="19">
        <v>8</v>
      </c>
      <c r="G3635" s="18">
        <v>0.06</v>
      </c>
      <c r="H3635">
        <f>F3635*VLOOKUP(B3635,產品!$A$2:$H$61,7,FALSE)*(1-銷售總表!G3635)</f>
        <v>48880</v>
      </c>
      <c r="I3635" s="35">
        <f>H3635-F3635*VLOOKUP(銷售總表!B3635,產品!$A$2:$H$61,8,FALSE)</f>
        <v>17680</v>
      </c>
      <c r="J3635" s="20">
        <f t="shared" si="56"/>
        <v>0.36170212765957449</v>
      </c>
    </row>
    <row r="3636" spans="1:10" x14ac:dyDescent="0.3">
      <c r="A3636" s="33">
        <v>3635</v>
      </c>
      <c r="B3636" s="4">
        <v>9</v>
      </c>
      <c r="C3636" s="15">
        <v>1</v>
      </c>
      <c r="D3636" s="16">
        <v>9</v>
      </c>
      <c r="E3636" s="22">
        <v>44578</v>
      </c>
      <c r="F3636" s="19">
        <v>10</v>
      </c>
      <c r="G3636" s="18">
        <v>0.19</v>
      </c>
      <c r="H3636">
        <f>F3636*VLOOKUP(B3636,產品!$A$2:$H$61,7,FALSE)*(1-銷售總表!G3636)</f>
        <v>8100.0000000000009</v>
      </c>
      <c r="I3636" s="35">
        <f>H3636-F3636*VLOOKUP(銷售總表!B3636,產品!$A$2:$H$61,8,FALSE)</f>
        <v>4100.0000000000009</v>
      </c>
      <c r="J3636" s="20">
        <f t="shared" si="56"/>
        <v>0.50617283950617287</v>
      </c>
    </row>
    <row r="3637" spans="1:10" x14ac:dyDescent="0.3">
      <c r="A3637" s="33">
        <v>3636</v>
      </c>
      <c r="B3637" s="4">
        <v>47</v>
      </c>
      <c r="C3637" s="15">
        <v>258</v>
      </c>
      <c r="D3637" s="16">
        <v>2</v>
      </c>
      <c r="E3637" s="22">
        <v>44578</v>
      </c>
      <c r="F3637" s="17">
        <v>10</v>
      </c>
      <c r="G3637" s="18">
        <v>0.13</v>
      </c>
      <c r="H3637">
        <f>F3637*VLOOKUP(B3637,產品!$A$2:$H$61,7,FALSE)*(1-銷售總表!G3637)</f>
        <v>174000</v>
      </c>
      <c r="I3637" s="35">
        <f>H3637-F3637*VLOOKUP(銷售總表!B3637,產品!$A$2:$H$61,8,FALSE)</f>
        <v>44000</v>
      </c>
      <c r="J3637" s="20">
        <f t="shared" si="56"/>
        <v>0.25287356321839083</v>
      </c>
    </row>
    <row r="3638" spans="1:10" x14ac:dyDescent="0.3">
      <c r="A3638" s="33">
        <v>3637</v>
      </c>
      <c r="B3638" s="4">
        <v>55</v>
      </c>
      <c r="C3638" s="15">
        <v>122</v>
      </c>
      <c r="D3638" s="16">
        <v>4</v>
      </c>
      <c r="E3638" s="22">
        <v>44578</v>
      </c>
      <c r="F3638" s="19">
        <v>12</v>
      </c>
      <c r="G3638" s="18">
        <v>0.08</v>
      </c>
      <c r="H3638">
        <f>F3638*VLOOKUP(B3638,產品!$A$2:$H$61,7,FALSE)*(1-銷售總表!G3638)</f>
        <v>220800</v>
      </c>
      <c r="I3638" s="35">
        <f>H3638-F3638*VLOOKUP(銷售總表!B3638,產品!$A$2:$H$61,8,FALSE)</f>
        <v>52800</v>
      </c>
      <c r="J3638" s="20">
        <f t="shared" si="56"/>
        <v>0.2391304347826087</v>
      </c>
    </row>
    <row r="3639" spans="1:10" x14ac:dyDescent="0.3">
      <c r="A3639" s="33">
        <v>3638</v>
      </c>
      <c r="B3639" s="4">
        <v>45</v>
      </c>
      <c r="C3639" s="15">
        <v>7</v>
      </c>
      <c r="D3639" s="16">
        <v>7</v>
      </c>
      <c r="E3639" s="22">
        <v>44578</v>
      </c>
      <c r="F3639" s="19">
        <v>13</v>
      </c>
      <c r="G3639" s="18">
        <v>0.17</v>
      </c>
      <c r="H3639">
        <f>F3639*VLOOKUP(B3639,產品!$A$2:$H$61,7,FALSE)*(1-銷售總表!G3639)</f>
        <v>151060</v>
      </c>
      <c r="I3639" s="35">
        <f>H3639-F3639*VLOOKUP(銷售總表!B3639,產品!$A$2:$H$61,8,FALSE)</f>
        <v>32760</v>
      </c>
      <c r="J3639" s="20">
        <f t="shared" si="56"/>
        <v>0.21686746987951808</v>
      </c>
    </row>
    <row r="3640" spans="1:10" x14ac:dyDescent="0.3">
      <c r="A3640" s="33">
        <v>3639</v>
      </c>
      <c r="B3640" s="4">
        <v>57</v>
      </c>
      <c r="C3640" s="15">
        <v>113</v>
      </c>
      <c r="D3640" s="16">
        <v>8</v>
      </c>
      <c r="E3640" s="22">
        <v>44578</v>
      </c>
      <c r="F3640" s="19">
        <v>15</v>
      </c>
      <c r="G3640" s="18">
        <v>0.14000000000000001</v>
      </c>
      <c r="H3640">
        <f>F3640*VLOOKUP(B3640,產品!$A$2:$H$61,7,FALSE)*(1-銷售總表!G3640)</f>
        <v>232200</v>
      </c>
      <c r="I3640" s="35">
        <f>H3640-F3640*VLOOKUP(銷售總表!B3640,產品!$A$2:$H$61,8,FALSE)</f>
        <v>43200</v>
      </c>
      <c r="J3640" s="20">
        <f t="shared" si="56"/>
        <v>0.18604651162790697</v>
      </c>
    </row>
    <row r="3641" spans="1:10" x14ac:dyDescent="0.3">
      <c r="A3641" s="33">
        <v>3640</v>
      </c>
      <c r="B3641" s="4">
        <v>14</v>
      </c>
      <c r="C3641" s="15">
        <v>116</v>
      </c>
      <c r="D3641" s="16">
        <v>9</v>
      </c>
      <c r="E3641" s="22">
        <v>44578</v>
      </c>
      <c r="F3641" s="19">
        <v>21</v>
      </c>
      <c r="G3641" s="18">
        <v>0.05</v>
      </c>
      <c r="H3641">
        <f>F3641*VLOOKUP(B3641,產品!$A$2:$H$61,7,FALSE)*(1-銷售總表!G3641)</f>
        <v>35910</v>
      </c>
      <c r="I3641" s="35">
        <f>H3641-F3641*VLOOKUP(銷售總表!B3641,產品!$A$2:$H$61,8,FALSE)</f>
        <v>20790</v>
      </c>
      <c r="J3641" s="20">
        <f t="shared" si="56"/>
        <v>0.57894736842105265</v>
      </c>
    </row>
    <row r="3642" spans="1:10" x14ac:dyDescent="0.3">
      <c r="A3642" s="33">
        <v>3641</v>
      </c>
      <c r="B3642" s="4">
        <v>7</v>
      </c>
      <c r="C3642" s="15">
        <v>138</v>
      </c>
      <c r="D3642" s="16">
        <v>5</v>
      </c>
      <c r="E3642" s="22">
        <v>44578</v>
      </c>
      <c r="F3642" s="19">
        <v>50</v>
      </c>
      <c r="G3642" s="18">
        <v>0.18</v>
      </c>
      <c r="H3642">
        <f>F3642*VLOOKUP(B3642,產品!$A$2:$H$61,7,FALSE)*(1-銷售總表!G3642)</f>
        <v>41000</v>
      </c>
      <c r="I3642" s="35">
        <f>H3642-F3642*VLOOKUP(銷售總表!B3642,產品!$A$2:$H$61,8,FALSE)</f>
        <v>21000</v>
      </c>
      <c r="J3642" s="20">
        <f t="shared" si="56"/>
        <v>0.51219512195121952</v>
      </c>
    </row>
    <row r="3643" spans="1:10" x14ac:dyDescent="0.3">
      <c r="A3643" s="33">
        <v>3642</v>
      </c>
      <c r="B3643" s="4">
        <v>5</v>
      </c>
      <c r="C3643" s="15">
        <v>117</v>
      </c>
      <c r="D3643" s="16">
        <v>3</v>
      </c>
      <c r="E3643" s="22">
        <v>44578</v>
      </c>
      <c r="F3643" s="19">
        <v>70</v>
      </c>
      <c r="G3643" s="18">
        <v>0.11</v>
      </c>
      <c r="H3643">
        <f>F3643*VLOOKUP(B3643,產品!$A$2:$H$61,7,FALSE)*(1-銷售總表!G3643)</f>
        <v>62300</v>
      </c>
      <c r="I3643" s="35">
        <f>H3643-F3643*VLOOKUP(銷售總表!B3643,產品!$A$2:$H$61,8,FALSE)</f>
        <v>34300</v>
      </c>
      <c r="J3643" s="20">
        <f t="shared" si="56"/>
        <v>0.550561797752809</v>
      </c>
    </row>
    <row r="3644" spans="1:10" x14ac:dyDescent="0.3">
      <c r="A3644" s="33">
        <v>3643</v>
      </c>
      <c r="B3644" s="4">
        <v>23</v>
      </c>
      <c r="C3644" s="15">
        <v>8</v>
      </c>
      <c r="D3644" s="16">
        <v>9</v>
      </c>
      <c r="E3644" s="22">
        <v>44578</v>
      </c>
      <c r="F3644" s="19">
        <v>100</v>
      </c>
      <c r="G3644" s="18">
        <v>0.16</v>
      </c>
      <c r="H3644">
        <f>F3644*VLOOKUP(B3644,產品!$A$2:$H$61,7,FALSE)*(1-銷售總表!G3644)</f>
        <v>151200</v>
      </c>
      <c r="I3644" s="35">
        <f>H3644-F3644*VLOOKUP(銷售總表!B3644,產品!$A$2:$H$61,8,FALSE)</f>
        <v>79200</v>
      </c>
      <c r="J3644" s="20">
        <f t="shared" si="56"/>
        <v>0.52380952380952384</v>
      </c>
    </row>
    <row r="3645" spans="1:10" x14ac:dyDescent="0.3">
      <c r="A3645" s="33">
        <v>3644</v>
      </c>
      <c r="B3645" s="4">
        <v>1</v>
      </c>
      <c r="C3645" s="15">
        <v>273</v>
      </c>
      <c r="D3645" s="16">
        <v>9</v>
      </c>
      <c r="E3645" s="22">
        <v>44578</v>
      </c>
      <c r="F3645" s="17">
        <v>200</v>
      </c>
      <c r="G3645" s="18">
        <v>0.11</v>
      </c>
      <c r="H3645">
        <f>F3645*VLOOKUP(B3645,產品!$A$2:$H$61,7,FALSE)*(1-銷售總表!G3645)</f>
        <v>178000</v>
      </c>
      <c r="I3645" s="35">
        <f>H3645-F3645*VLOOKUP(銷售總表!B3645,產品!$A$2:$H$61,8,FALSE)</f>
        <v>98000</v>
      </c>
      <c r="J3645" s="20">
        <f t="shared" si="56"/>
        <v>0.550561797752809</v>
      </c>
    </row>
    <row r="3646" spans="1:10" x14ac:dyDescent="0.3">
      <c r="A3646" s="33">
        <v>3645</v>
      </c>
      <c r="B3646" s="4">
        <v>50</v>
      </c>
      <c r="C3646" s="15">
        <v>284</v>
      </c>
      <c r="D3646" s="16">
        <v>3</v>
      </c>
      <c r="E3646" s="22">
        <v>44579</v>
      </c>
      <c r="F3646" s="19">
        <v>4</v>
      </c>
      <c r="G3646" s="18">
        <v>0.2</v>
      </c>
      <c r="H3646">
        <f>F3646*VLOOKUP(B3646,產品!$A$2:$H$61,7,FALSE)*(1-銷售總表!G3646)</f>
        <v>57600</v>
      </c>
      <c r="I3646" s="35">
        <f>H3646-F3646*VLOOKUP(銷售總表!B3646,產品!$A$2:$H$61,8,FALSE)</f>
        <v>7200</v>
      </c>
      <c r="J3646" s="20">
        <f t="shared" si="56"/>
        <v>0.125</v>
      </c>
    </row>
    <row r="3647" spans="1:10" x14ac:dyDescent="0.3">
      <c r="A3647" s="33">
        <v>3646</v>
      </c>
      <c r="B3647" s="4">
        <v>25</v>
      </c>
      <c r="C3647" s="15">
        <v>11</v>
      </c>
      <c r="D3647" s="16">
        <v>3</v>
      </c>
      <c r="E3647" s="22">
        <v>44579</v>
      </c>
      <c r="F3647" s="19">
        <v>6</v>
      </c>
      <c r="G3647" s="18">
        <v>0.2</v>
      </c>
      <c r="H3647">
        <f>F3647*VLOOKUP(B3647,產品!$A$2:$H$61,7,FALSE)*(1-銷售總表!G3647)</f>
        <v>28800</v>
      </c>
      <c r="I3647" s="35">
        <f>H3647-F3647*VLOOKUP(銷售總表!B3647,產品!$A$2:$H$61,8,FALSE)</f>
        <v>7200</v>
      </c>
      <c r="J3647" s="20">
        <f t="shared" si="56"/>
        <v>0.25</v>
      </c>
    </row>
    <row r="3648" spans="1:10" x14ac:dyDescent="0.3">
      <c r="A3648" s="33">
        <v>3647</v>
      </c>
      <c r="B3648" s="4">
        <v>21</v>
      </c>
      <c r="C3648" s="15">
        <v>8</v>
      </c>
      <c r="D3648" s="16">
        <v>7</v>
      </c>
      <c r="E3648" s="22">
        <v>44579</v>
      </c>
      <c r="F3648" s="19">
        <v>10</v>
      </c>
      <c r="G3648" s="18">
        <v>0.1</v>
      </c>
      <c r="H3648">
        <f>F3648*VLOOKUP(B3648,產品!$A$2:$H$61,7,FALSE)*(1-銷售總表!G3648)</f>
        <v>16200</v>
      </c>
      <c r="I3648" s="35">
        <f>H3648-F3648*VLOOKUP(銷售總表!B3648,產品!$A$2:$H$61,8,FALSE)</f>
        <v>9000</v>
      </c>
      <c r="J3648" s="20">
        <f t="shared" si="56"/>
        <v>0.55555555555555558</v>
      </c>
    </row>
    <row r="3649" spans="1:10" x14ac:dyDescent="0.3">
      <c r="A3649" s="33">
        <v>3648</v>
      </c>
      <c r="B3649" s="4">
        <v>49</v>
      </c>
      <c r="C3649" s="15">
        <v>3</v>
      </c>
      <c r="D3649" s="16">
        <v>1</v>
      </c>
      <c r="E3649" s="22">
        <v>44579</v>
      </c>
      <c r="F3649" s="19">
        <v>13</v>
      </c>
      <c r="G3649" s="18">
        <v>0.13</v>
      </c>
      <c r="H3649">
        <f>F3649*VLOOKUP(B3649,產品!$A$2:$H$61,7,FALSE)*(1-銷售總表!G3649)</f>
        <v>169650</v>
      </c>
      <c r="I3649" s="35">
        <f>H3649-F3649*VLOOKUP(銷售總表!B3649,產品!$A$2:$H$61,8,FALSE)</f>
        <v>33150</v>
      </c>
      <c r="J3649" s="20">
        <f t="shared" si="56"/>
        <v>0.19540229885057472</v>
      </c>
    </row>
    <row r="3650" spans="1:10" x14ac:dyDescent="0.3">
      <c r="A3650" s="33">
        <v>3649</v>
      </c>
      <c r="B3650" s="4">
        <v>5</v>
      </c>
      <c r="C3650" s="15">
        <v>272</v>
      </c>
      <c r="D3650" s="16">
        <v>10</v>
      </c>
      <c r="E3650" s="22">
        <v>44579</v>
      </c>
      <c r="F3650" s="19">
        <v>200</v>
      </c>
      <c r="G3650" s="18">
        <v>0.15</v>
      </c>
      <c r="H3650">
        <f>F3650*VLOOKUP(B3650,產品!$A$2:$H$61,7,FALSE)*(1-銷售總表!G3650)</f>
        <v>170000</v>
      </c>
      <c r="I3650" s="35">
        <f>H3650-F3650*VLOOKUP(銷售總表!B3650,產品!$A$2:$H$61,8,FALSE)</f>
        <v>90000</v>
      </c>
      <c r="J3650" s="20">
        <f t="shared" si="56"/>
        <v>0.52941176470588236</v>
      </c>
    </row>
    <row r="3651" spans="1:10" x14ac:dyDescent="0.3">
      <c r="A3651" s="33">
        <v>3650</v>
      </c>
      <c r="B3651" s="4">
        <v>33</v>
      </c>
      <c r="C3651" s="15">
        <v>291</v>
      </c>
      <c r="D3651" s="16">
        <v>4</v>
      </c>
      <c r="E3651" s="22">
        <v>44580</v>
      </c>
      <c r="F3651" s="17">
        <v>4</v>
      </c>
      <c r="G3651" s="18">
        <v>0.14000000000000001</v>
      </c>
      <c r="H3651">
        <f>F3651*VLOOKUP(B3651,產品!$A$2:$H$61,7,FALSE)*(1-銷售總表!G3651)</f>
        <v>25800</v>
      </c>
      <c r="I3651" s="35">
        <f>H3651-F3651*VLOOKUP(銷售總表!B3651,產品!$A$2:$H$61,8,FALSE)</f>
        <v>7800</v>
      </c>
      <c r="J3651" s="20">
        <f t="shared" ref="J3651:J3714" si="57">I3651/H3651</f>
        <v>0.30232558139534882</v>
      </c>
    </row>
    <row r="3652" spans="1:10" x14ac:dyDescent="0.3">
      <c r="A3652" s="33">
        <v>3651</v>
      </c>
      <c r="B3652" s="4">
        <v>29</v>
      </c>
      <c r="C3652" s="15">
        <v>3</v>
      </c>
      <c r="D3652" s="16">
        <v>7</v>
      </c>
      <c r="E3652" s="22">
        <v>44580</v>
      </c>
      <c r="F3652" s="19">
        <v>5</v>
      </c>
      <c r="G3652" s="18">
        <v>0.14000000000000001</v>
      </c>
      <c r="H3652">
        <f>F3652*VLOOKUP(B3652,產品!$A$2:$H$61,7,FALSE)*(1-銷售總表!G3652)</f>
        <v>25800</v>
      </c>
      <c r="I3652" s="35">
        <f>H3652-F3652*VLOOKUP(銷售總表!B3652,產品!$A$2:$H$61,8,FALSE)</f>
        <v>7800</v>
      </c>
      <c r="J3652" s="20">
        <f t="shared" si="57"/>
        <v>0.30232558139534882</v>
      </c>
    </row>
    <row r="3653" spans="1:10" x14ac:dyDescent="0.3">
      <c r="A3653" s="33">
        <v>3652</v>
      </c>
      <c r="B3653" s="4">
        <v>60</v>
      </c>
      <c r="C3653" s="15">
        <v>5</v>
      </c>
      <c r="D3653" s="16">
        <v>7</v>
      </c>
      <c r="E3653" s="22">
        <v>44580</v>
      </c>
      <c r="F3653" s="19">
        <v>9</v>
      </c>
      <c r="G3653" s="18">
        <v>0.12</v>
      </c>
      <c r="H3653">
        <f>F3653*VLOOKUP(B3653,產品!$A$2:$H$61,7,FALSE)*(1-銷售總表!G3653)</f>
        <v>198000</v>
      </c>
      <c r="I3653" s="35">
        <f>H3653-F3653*VLOOKUP(銷售總表!B3653,產品!$A$2:$H$61,8,FALSE)</f>
        <v>40500</v>
      </c>
      <c r="J3653" s="20">
        <f t="shared" si="57"/>
        <v>0.20454545454545456</v>
      </c>
    </row>
    <row r="3654" spans="1:10" x14ac:dyDescent="0.3">
      <c r="A3654" s="33">
        <v>3653</v>
      </c>
      <c r="B3654" s="4">
        <v>25</v>
      </c>
      <c r="C3654" s="15">
        <v>289</v>
      </c>
      <c r="D3654" s="16">
        <v>9</v>
      </c>
      <c r="E3654" s="22">
        <v>44580</v>
      </c>
      <c r="F3654" s="19">
        <v>9</v>
      </c>
      <c r="G3654" s="18">
        <v>0.09</v>
      </c>
      <c r="H3654">
        <f>F3654*VLOOKUP(B3654,產品!$A$2:$H$61,7,FALSE)*(1-銷售總表!G3654)</f>
        <v>49140</v>
      </c>
      <c r="I3654" s="35">
        <f>H3654-F3654*VLOOKUP(銷售總表!B3654,產品!$A$2:$H$61,8,FALSE)</f>
        <v>16740</v>
      </c>
      <c r="J3654" s="20">
        <f t="shared" si="57"/>
        <v>0.34065934065934067</v>
      </c>
    </row>
    <row r="3655" spans="1:10" x14ac:dyDescent="0.3">
      <c r="A3655" s="33">
        <v>3654</v>
      </c>
      <c r="B3655" s="4">
        <v>19</v>
      </c>
      <c r="C3655" s="15">
        <v>9</v>
      </c>
      <c r="D3655" s="16">
        <v>4</v>
      </c>
      <c r="E3655" s="22">
        <v>44580</v>
      </c>
      <c r="F3655" s="19">
        <v>10</v>
      </c>
      <c r="G3655" s="18">
        <v>0.06</v>
      </c>
      <c r="H3655">
        <f>F3655*VLOOKUP(B3655,產品!$A$2:$H$61,7,FALSE)*(1-銷售總表!G3655)</f>
        <v>16920</v>
      </c>
      <c r="I3655" s="35">
        <f>H3655-F3655*VLOOKUP(銷售總表!B3655,產品!$A$2:$H$61,8,FALSE)</f>
        <v>9720</v>
      </c>
      <c r="J3655" s="20">
        <f t="shared" si="57"/>
        <v>0.57446808510638303</v>
      </c>
    </row>
    <row r="3656" spans="1:10" x14ac:dyDescent="0.3">
      <c r="A3656" s="33">
        <v>3655</v>
      </c>
      <c r="B3656" s="4">
        <v>19</v>
      </c>
      <c r="C3656" s="15">
        <v>5</v>
      </c>
      <c r="D3656" s="16">
        <v>2</v>
      </c>
      <c r="E3656" s="22">
        <v>44580</v>
      </c>
      <c r="F3656" s="19">
        <v>10</v>
      </c>
      <c r="G3656" s="18">
        <v>0.05</v>
      </c>
      <c r="H3656">
        <f>F3656*VLOOKUP(B3656,產品!$A$2:$H$61,7,FALSE)*(1-銷售總表!G3656)</f>
        <v>17100</v>
      </c>
      <c r="I3656" s="35">
        <f>H3656-F3656*VLOOKUP(銷售總表!B3656,產品!$A$2:$H$61,8,FALSE)</f>
        <v>9900</v>
      </c>
      <c r="J3656" s="20">
        <f t="shared" si="57"/>
        <v>0.57894736842105265</v>
      </c>
    </row>
    <row r="3657" spans="1:10" x14ac:dyDescent="0.3">
      <c r="A3657" s="33">
        <v>3656</v>
      </c>
      <c r="B3657" s="4">
        <v>37</v>
      </c>
      <c r="C3657" s="15">
        <v>293</v>
      </c>
      <c r="D3657" s="16">
        <v>2</v>
      </c>
      <c r="E3657" s="22">
        <v>44580</v>
      </c>
      <c r="F3657" s="19">
        <v>15</v>
      </c>
      <c r="G3657" s="18">
        <v>0.12</v>
      </c>
      <c r="H3657">
        <f>F3657*VLOOKUP(B3657,產品!$A$2:$H$61,7,FALSE)*(1-銷售總表!G3657)</f>
        <v>158400</v>
      </c>
      <c r="I3657" s="35">
        <f>H3657-F3657*VLOOKUP(銷售總表!B3657,產品!$A$2:$H$61,8,FALSE)</f>
        <v>41400</v>
      </c>
      <c r="J3657" s="20">
        <f t="shared" si="57"/>
        <v>0.26136363636363635</v>
      </c>
    </row>
    <row r="3658" spans="1:10" x14ac:dyDescent="0.3">
      <c r="A3658" s="33">
        <v>3657</v>
      </c>
      <c r="B3658" s="4">
        <v>31</v>
      </c>
      <c r="C3658" s="15">
        <v>124</v>
      </c>
      <c r="D3658" s="16">
        <v>5</v>
      </c>
      <c r="E3658" s="22">
        <v>44580</v>
      </c>
      <c r="F3658" s="19">
        <v>15</v>
      </c>
      <c r="G3658" s="18">
        <v>0.08</v>
      </c>
      <c r="H3658">
        <f>F3658*VLOOKUP(B3658,產品!$A$2:$H$61,7,FALSE)*(1-銷售總表!G3658)</f>
        <v>96600</v>
      </c>
      <c r="I3658" s="35">
        <f>H3658-F3658*VLOOKUP(銷售總表!B3658,產品!$A$2:$H$61,8,FALSE)</f>
        <v>33600</v>
      </c>
      <c r="J3658" s="20">
        <f t="shared" si="57"/>
        <v>0.34782608695652173</v>
      </c>
    </row>
    <row r="3659" spans="1:10" x14ac:dyDescent="0.3">
      <c r="A3659" s="33">
        <v>3658</v>
      </c>
      <c r="B3659" s="4">
        <v>3</v>
      </c>
      <c r="C3659" s="15">
        <v>264</v>
      </c>
      <c r="D3659" s="16">
        <v>6</v>
      </c>
      <c r="E3659" s="22">
        <v>44580</v>
      </c>
      <c r="F3659" s="19">
        <v>30</v>
      </c>
      <c r="G3659" s="18">
        <v>0.16</v>
      </c>
      <c r="H3659">
        <f>F3659*VLOOKUP(B3659,產品!$A$2:$H$61,7,FALSE)*(1-銷售總表!G3659)</f>
        <v>25200</v>
      </c>
      <c r="I3659" s="35">
        <f>H3659-F3659*VLOOKUP(銷售總表!B3659,產品!$A$2:$H$61,8,FALSE)</f>
        <v>13200</v>
      </c>
      <c r="J3659" s="20">
        <f t="shared" si="57"/>
        <v>0.52380952380952384</v>
      </c>
    </row>
    <row r="3660" spans="1:10" x14ac:dyDescent="0.3">
      <c r="A3660" s="33">
        <v>3659</v>
      </c>
      <c r="B3660" s="4">
        <v>3</v>
      </c>
      <c r="C3660" s="15">
        <v>258</v>
      </c>
      <c r="D3660" s="16">
        <v>7</v>
      </c>
      <c r="E3660" s="22">
        <v>44580</v>
      </c>
      <c r="F3660" s="19">
        <v>100</v>
      </c>
      <c r="G3660" s="18">
        <v>0.18</v>
      </c>
      <c r="H3660">
        <f>F3660*VLOOKUP(B3660,產品!$A$2:$H$61,7,FALSE)*(1-銷售總表!G3660)</f>
        <v>82000</v>
      </c>
      <c r="I3660" s="35">
        <f>H3660-F3660*VLOOKUP(銷售總表!B3660,產品!$A$2:$H$61,8,FALSE)</f>
        <v>42000</v>
      </c>
      <c r="J3660" s="20">
        <f t="shared" si="57"/>
        <v>0.51219512195121952</v>
      </c>
    </row>
    <row r="3661" spans="1:10" x14ac:dyDescent="0.3">
      <c r="A3661" s="33">
        <v>3660</v>
      </c>
      <c r="B3661" s="4">
        <v>42</v>
      </c>
      <c r="C3661" s="15">
        <v>282</v>
      </c>
      <c r="D3661" s="16">
        <v>1</v>
      </c>
      <c r="E3661" s="22">
        <v>44581</v>
      </c>
      <c r="F3661" s="19">
        <v>5</v>
      </c>
      <c r="G3661" s="18">
        <v>0.18</v>
      </c>
      <c r="H3661">
        <f>F3661*VLOOKUP(B3661,產品!$A$2:$H$61,7,FALSE)*(1-銷售總表!G3661)</f>
        <v>61500.000000000007</v>
      </c>
      <c r="I3661" s="35">
        <f>H3661-F3661*VLOOKUP(銷售總表!B3661,產品!$A$2:$H$61,8,FALSE)</f>
        <v>12750.000000000007</v>
      </c>
      <c r="J3661" s="20">
        <f t="shared" si="57"/>
        <v>0.20731707317073181</v>
      </c>
    </row>
    <row r="3662" spans="1:10" x14ac:dyDescent="0.3">
      <c r="A3662" s="33">
        <v>3661</v>
      </c>
      <c r="B3662" s="4">
        <v>55</v>
      </c>
      <c r="C3662" s="15">
        <v>136</v>
      </c>
      <c r="D3662" s="16">
        <v>4</v>
      </c>
      <c r="E3662" s="22">
        <v>44581</v>
      </c>
      <c r="F3662" s="19">
        <v>10</v>
      </c>
      <c r="G3662" s="18">
        <v>0.15</v>
      </c>
      <c r="H3662">
        <f>F3662*VLOOKUP(B3662,產品!$A$2:$H$61,7,FALSE)*(1-銷售總表!G3662)</f>
        <v>170000</v>
      </c>
      <c r="I3662" s="35">
        <f>H3662-F3662*VLOOKUP(銷售總表!B3662,產品!$A$2:$H$61,8,FALSE)</f>
        <v>30000</v>
      </c>
      <c r="J3662" s="20">
        <f t="shared" si="57"/>
        <v>0.17647058823529413</v>
      </c>
    </row>
    <row r="3663" spans="1:10" x14ac:dyDescent="0.3">
      <c r="A3663" s="33">
        <v>3662</v>
      </c>
      <c r="B3663" s="4">
        <v>55</v>
      </c>
      <c r="C3663" s="15">
        <v>283</v>
      </c>
      <c r="D3663" s="16">
        <v>10</v>
      </c>
      <c r="E3663" s="22">
        <v>44581</v>
      </c>
      <c r="F3663" s="19">
        <v>10</v>
      </c>
      <c r="G3663" s="18">
        <v>0.2</v>
      </c>
      <c r="H3663">
        <f>F3663*VLOOKUP(B3663,產品!$A$2:$H$61,7,FALSE)*(1-銷售總表!G3663)</f>
        <v>160000</v>
      </c>
      <c r="I3663" s="35">
        <f>H3663-F3663*VLOOKUP(銷售總表!B3663,產品!$A$2:$H$61,8,FALSE)</f>
        <v>20000</v>
      </c>
      <c r="J3663" s="20">
        <f t="shared" si="57"/>
        <v>0.125</v>
      </c>
    </row>
    <row r="3664" spans="1:10" x14ac:dyDescent="0.3">
      <c r="A3664" s="33">
        <v>3663</v>
      </c>
      <c r="B3664" s="4">
        <v>25</v>
      </c>
      <c r="C3664" s="15">
        <v>123</v>
      </c>
      <c r="D3664" s="16">
        <v>2</v>
      </c>
      <c r="E3664" s="22">
        <v>44581</v>
      </c>
      <c r="F3664" s="19">
        <v>33</v>
      </c>
      <c r="G3664" s="18">
        <v>0.12</v>
      </c>
      <c r="H3664">
        <f>F3664*VLOOKUP(B3664,產品!$A$2:$H$61,7,FALSE)*(1-銷售總表!G3664)</f>
        <v>174240</v>
      </c>
      <c r="I3664" s="35">
        <f>H3664-F3664*VLOOKUP(銷售總表!B3664,產品!$A$2:$H$61,8,FALSE)</f>
        <v>55440</v>
      </c>
      <c r="J3664" s="20">
        <f t="shared" si="57"/>
        <v>0.31818181818181818</v>
      </c>
    </row>
    <row r="3665" spans="1:10" x14ac:dyDescent="0.3">
      <c r="A3665" s="33">
        <v>3664</v>
      </c>
      <c r="B3665" s="4">
        <v>13</v>
      </c>
      <c r="C3665" s="15">
        <v>291</v>
      </c>
      <c r="D3665" s="16">
        <v>10</v>
      </c>
      <c r="E3665" s="22">
        <v>44581</v>
      </c>
      <c r="F3665" s="19">
        <v>70</v>
      </c>
      <c r="G3665" s="18">
        <v>0.08</v>
      </c>
      <c r="H3665">
        <f>F3665*VLOOKUP(B3665,產品!$A$2:$H$61,7,FALSE)*(1-銷售總表!G3665)</f>
        <v>115920</v>
      </c>
      <c r="I3665" s="35">
        <f>H3665-F3665*VLOOKUP(銷售總表!B3665,產品!$A$2:$H$61,8,FALSE)</f>
        <v>65520</v>
      </c>
      <c r="J3665" s="20">
        <f t="shared" si="57"/>
        <v>0.56521739130434778</v>
      </c>
    </row>
    <row r="3666" spans="1:10" x14ac:dyDescent="0.3">
      <c r="A3666" s="33">
        <v>3665</v>
      </c>
      <c r="B3666" s="4">
        <v>22</v>
      </c>
      <c r="C3666" s="15">
        <v>139</v>
      </c>
      <c r="D3666" s="16">
        <v>10</v>
      </c>
      <c r="E3666" s="22">
        <v>44581</v>
      </c>
      <c r="F3666" s="19">
        <v>70</v>
      </c>
      <c r="G3666" s="18">
        <v>0.2</v>
      </c>
      <c r="H3666">
        <f>F3666*VLOOKUP(B3666,產品!$A$2:$H$61,7,FALSE)*(1-銷售總表!G3666)</f>
        <v>100800</v>
      </c>
      <c r="I3666" s="35">
        <f>H3666-F3666*VLOOKUP(銷售總表!B3666,產品!$A$2:$H$61,8,FALSE)</f>
        <v>50400</v>
      </c>
      <c r="J3666" s="20">
        <f t="shared" si="57"/>
        <v>0.5</v>
      </c>
    </row>
    <row r="3667" spans="1:10" x14ac:dyDescent="0.3">
      <c r="A3667" s="33">
        <v>3666</v>
      </c>
      <c r="B3667" s="4">
        <v>2</v>
      </c>
      <c r="C3667" s="15">
        <v>122</v>
      </c>
      <c r="D3667" s="16">
        <v>5</v>
      </c>
      <c r="E3667" s="22">
        <v>44581</v>
      </c>
      <c r="F3667" s="19">
        <v>75</v>
      </c>
      <c r="G3667" s="18">
        <v>0.05</v>
      </c>
      <c r="H3667">
        <f>F3667*VLOOKUP(B3667,產品!$A$2:$H$61,7,FALSE)*(1-銷售總表!G3667)</f>
        <v>71250</v>
      </c>
      <c r="I3667" s="35">
        <f>H3667-F3667*VLOOKUP(銷售總表!B3667,產品!$A$2:$H$61,8,FALSE)</f>
        <v>41250</v>
      </c>
      <c r="J3667" s="20">
        <f t="shared" si="57"/>
        <v>0.57894736842105265</v>
      </c>
    </row>
    <row r="3668" spans="1:10" x14ac:dyDescent="0.3">
      <c r="A3668" s="33">
        <v>3667</v>
      </c>
      <c r="B3668" s="4">
        <v>51</v>
      </c>
      <c r="C3668" s="15">
        <v>136</v>
      </c>
      <c r="D3668" s="16">
        <v>10</v>
      </c>
      <c r="E3668" s="22">
        <v>44582</v>
      </c>
      <c r="F3668" s="17">
        <v>1</v>
      </c>
      <c r="G3668" s="18">
        <v>0.15</v>
      </c>
      <c r="H3668">
        <f>F3668*VLOOKUP(B3668,產品!$A$2:$H$61,7,FALSE)*(1-銷售總表!G3668)</f>
        <v>17000</v>
      </c>
      <c r="I3668" s="35">
        <f>H3668-F3668*VLOOKUP(銷售總表!B3668,產品!$A$2:$H$61,8,FALSE)</f>
        <v>3000</v>
      </c>
      <c r="J3668" s="20">
        <f t="shared" si="57"/>
        <v>0.17647058823529413</v>
      </c>
    </row>
    <row r="3669" spans="1:10" x14ac:dyDescent="0.3">
      <c r="A3669" s="33">
        <v>3668</v>
      </c>
      <c r="B3669" s="4">
        <v>52</v>
      </c>
      <c r="C3669" s="15">
        <v>138</v>
      </c>
      <c r="D3669" s="16">
        <v>7</v>
      </c>
      <c r="E3669" s="22">
        <v>44582</v>
      </c>
      <c r="F3669" s="17">
        <v>3</v>
      </c>
      <c r="G3669" s="18">
        <v>0.05</v>
      </c>
      <c r="H3669">
        <f>F3669*VLOOKUP(B3669,產品!$A$2:$H$61,7,FALSE)*(1-銷售總表!G3669)</f>
        <v>62700</v>
      </c>
      <c r="I3669" s="35">
        <f>H3669-F3669*VLOOKUP(銷售總表!B3669,產品!$A$2:$H$61,8,FALSE)</f>
        <v>16500.000000000007</v>
      </c>
      <c r="J3669" s="20">
        <f t="shared" si="57"/>
        <v>0.2631578947368422</v>
      </c>
    </row>
    <row r="3670" spans="1:10" x14ac:dyDescent="0.3">
      <c r="A3670" s="33">
        <v>3669</v>
      </c>
      <c r="B3670" s="4">
        <v>59</v>
      </c>
      <c r="C3670" s="15">
        <v>140</v>
      </c>
      <c r="D3670" s="16">
        <v>9</v>
      </c>
      <c r="E3670" s="22">
        <v>44582</v>
      </c>
      <c r="F3670" s="19">
        <v>6</v>
      </c>
      <c r="G3670" s="18">
        <v>7.0000000000000007E-2</v>
      </c>
      <c r="H3670">
        <f>F3670*VLOOKUP(B3670,產品!$A$2:$H$61,7,FALSE)*(1-銷售總表!G3670)</f>
        <v>133920</v>
      </c>
      <c r="I3670" s="35">
        <f>H3670-F3670*VLOOKUP(銷售總表!B3670,產品!$A$2:$H$61,8,FALSE)</f>
        <v>33120</v>
      </c>
      <c r="J3670" s="20">
        <f t="shared" si="57"/>
        <v>0.24731182795698925</v>
      </c>
    </row>
    <row r="3671" spans="1:10" x14ac:dyDescent="0.3">
      <c r="A3671" s="33">
        <v>3670</v>
      </c>
      <c r="B3671" s="4">
        <v>4</v>
      </c>
      <c r="C3671" s="15">
        <v>139</v>
      </c>
      <c r="D3671" s="16">
        <v>6</v>
      </c>
      <c r="E3671" s="22">
        <v>44582</v>
      </c>
      <c r="F3671" s="19">
        <v>20</v>
      </c>
      <c r="G3671" s="18">
        <v>0.15</v>
      </c>
      <c r="H3671">
        <f>F3671*VLOOKUP(B3671,產品!$A$2:$H$61,7,FALSE)*(1-銷售總表!G3671)</f>
        <v>17000</v>
      </c>
      <c r="I3671" s="35">
        <f>H3671-F3671*VLOOKUP(銷售總表!B3671,產品!$A$2:$H$61,8,FALSE)</f>
        <v>9000</v>
      </c>
      <c r="J3671" s="20">
        <f t="shared" si="57"/>
        <v>0.52941176470588236</v>
      </c>
    </row>
    <row r="3672" spans="1:10" x14ac:dyDescent="0.3">
      <c r="A3672" s="33">
        <v>3671</v>
      </c>
      <c r="B3672" s="4">
        <v>8</v>
      </c>
      <c r="C3672" s="15">
        <v>272</v>
      </c>
      <c r="D3672" s="16">
        <v>9</v>
      </c>
      <c r="E3672" s="22">
        <v>44582</v>
      </c>
      <c r="F3672" s="19">
        <v>60</v>
      </c>
      <c r="G3672" s="18">
        <v>0.09</v>
      </c>
      <c r="H3672">
        <f>F3672*VLOOKUP(B3672,產品!$A$2:$H$61,7,FALSE)*(1-銷售總表!G3672)</f>
        <v>54600</v>
      </c>
      <c r="I3672" s="35">
        <f>H3672-F3672*VLOOKUP(銷售總表!B3672,產品!$A$2:$H$61,8,FALSE)</f>
        <v>30600</v>
      </c>
      <c r="J3672" s="20">
        <f t="shared" si="57"/>
        <v>0.56043956043956045</v>
      </c>
    </row>
    <row r="3673" spans="1:10" x14ac:dyDescent="0.3">
      <c r="A3673" s="33">
        <v>3672</v>
      </c>
      <c r="B3673" s="4">
        <v>53</v>
      </c>
      <c r="C3673" s="15">
        <v>259</v>
      </c>
      <c r="D3673" s="16">
        <v>10</v>
      </c>
      <c r="E3673" s="22">
        <v>44583</v>
      </c>
      <c r="F3673" s="19">
        <v>5</v>
      </c>
      <c r="G3673" s="18">
        <v>0.15</v>
      </c>
      <c r="H3673">
        <f>F3673*VLOOKUP(B3673,產品!$A$2:$H$61,7,FALSE)*(1-銷售總表!G3673)</f>
        <v>63750</v>
      </c>
      <c r="I3673" s="35">
        <f>H3673-F3673*VLOOKUP(銷售總表!B3673,產品!$A$2:$H$61,8,FALSE)</f>
        <v>11250</v>
      </c>
      <c r="J3673" s="20">
        <f t="shared" si="57"/>
        <v>0.17647058823529413</v>
      </c>
    </row>
    <row r="3674" spans="1:10" x14ac:dyDescent="0.3">
      <c r="A3674" s="33">
        <v>3673</v>
      </c>
      <c r="B3674" s="4">
        <v>22</v>
      </c>
      <c r="C3674" s="15">
        <v>258</v>
      </c>
      <c r="D3674" s="16">
        <v>3</v>
      </c>
      <c r="E3674" s="22">
        <v>44583</v>
      </c>
      <c r="F3674" s="19">
        <v>30</v>
      </c>
      <c r="G3674" s="18">
        <v>0.2</v>
      </c>
      <c r="H3674">
        <f>F3674*VLOOKUP(B3674,產品!$A$2:$H$61,7,FALSE)*(1-銷售總表!G3674)</f>
        <v>43200</v>
      </c>
      <c r="I3674" s="35">
        <f>H3674-F3674*VLOOKUP(銷售總表!B3674,產品!$A$2:$H$61,8,FALSE)</f>
        <v>21600</v>
      </c>
      <c r="J3674" s="20">
        <f t="shared" si="57"/>
        <v>0.5</v>
      </c>
    </row>
    <row r="3675" spans="1:10" x14ac:dyDescent="0.3">
      <c r="A3675" s="33">
        <v>3674</v>
      </c>
      <c r="B3675" s="4">
        <v>10</v>
      </c>
      <c r="C3675" s="15">
        <v>134</v>
      </c>
      <c r="D3675" s="16">
        <v>6</v>
      </c>
      <c r="E3675" s="22">
        <v>44583</v>
      </c>
      <c r="F3675" s="19">
        <v>40</v>
      </c>
      <c r="G3675" s="18">
        <v>7.0000000000000007E-2</v>
      </c>
      <c r="H3675">
        <f>F3675*VLOOKUP(B3675,產品!$A$2:$H$61,7,FALSE)*(1-銷售總表!G3675)</f>
        <v>37200</v>
      </c>
      <c r="I3675" s="35">
        <f>H3675-F3675*VLOOKUP(銷售總表!B3675,產品!$A$2:$H$61,8,FALSE)</f>
        <v>21200</v>
      </c>
      <c r="J3675" s="20">
        <f t="shared" si="57"/>
        <v>0.56989247311827962</v>
      </c>
    </row>
    <row r="3676" spans="1:10" x14ac:dyDescent="0.3">
      <c r="A3676" s="33">
        <v>3675</v>
      </c>
      <c r="B3676" s="4">
        <v>9</v>
      </c>
      <c r="C3676" s="15">
        <v>5</v>
      </c>
      <c r="D3676" s="16">
        <v>2</v>
      </c>
      <c r="E3676" s="22">
        <v>44583</v>
      </c>
      <c r="F3676" s="19">
        <v>40</v>
      </c>
      <c r="G3676" s="18">
        <v>0.15</v>
      </c>
      <c r="H3676">
        <f>F3676*VLOOKUP(B3676,產品!$A$2:$H$61,7,FALSE)*(1-銷售總表!G3676)</f>
        <v>34000</v>
      </c>
      <c r="I3676" s="35">
        <f>H3676-F3676*VLOOKUP(銷售總表!B3676,產品!$A$2:$H$61,8,FALSE)</f>
        <v>18000</v>
      </c>
      <c r="J3676" s="20">
        <f t="shared" si="57"/>
        <v>0.52941176470588236</v>
      </c>
    </row>
    <row r="3677" spans="1:10" x14ac:dyDescent="0.3">
      <c r="A3677" s="33">
        <v>3676</v>
      </c>
      <c r="B3677" s="4">
        <v>10</v>
      </c>
      <c r="C3677" s="15">
        <v>257</v>
      </c>
      <c r="D3677" s="16">
        <v>6</v>
      </c>
      <c r="E3677" s="22">
        <v>44583</v>
      </c>
      <c r="F3677" s="19">
        <v>50</v>
      </c>
      <c r="G3677" s="18">
        <v>0.08</v>
      </c>
      <c r="H3677">
        <f>F3677*VLOOKUP(B3677,產品!$A$2:$H$61,7,FALSE)*(1-銷售總表!G3677)</f>
        <v>46000</v>
      </c>
      <c r="I3677" s="35">
        <f>H3677-F3677*VLOOKUP(銷售總表!B3677,產品!$A$2:$H$61,8,FALSE)</f>
        <v>26000</v>
      </c>
      <c r="J3677" s="20">
        <f t="shared" si="57"/>
        <v>0.56521739130434778</v>
      </c>
    </row>
    <row r="3678" spans="1:10" x14ac:dyDescent="0.3">
      <c r="A3678" s="33">
        <v>3677</v>
      </c>
      <c r="B3678" s="4">
        <v>47</v>
      </c>
      <c r="C3678" s="15">
        <v>266</v>
      </c>
      <c r="D3678" s="16">
        <v>4</v>
      </c>
      <c r="E3678" s="22">
        <v>44584</v>
      </c>
      <c r="F3678" s="19">
        <v>2</v>
      </c>
      <c r="G3678" s="18">
        <v>0.16</v>
      </c>
      <c r="H3678">
        <f>F3678*VLOOKUP(B3678,產品!$A$2:$H$61,7,FALSE)*(1-銷售總表!G3678)</f>
        <v>33600</v>
      </c>
      <c r="I3678" s="35">
        <f>H3678-F3678*VLOOKUP(銷售總表!B3678,產品!$A$2:$H$61,8,FALSE)</f>
        <v>7600</v>
      </c>
      <c r="J3678" s="20">
        <f t="shared" si="57"/>
        <v>0.22619047619047619</v>
      </c>
    </row>
    <row r="3679" spans="1:10" x14ac:dyDescent="0.3">
      <c r="A3679" s="33">
        <v>3678</v>
      </c>
      <c r="B3679" s="4">
        <v>54</v>
      </c>
      <c r="C3679" s="15">
        <v>3</v>
      </c>
      <c r="D3679" s="16">
        <v>9</v>
      </c>
      <c r="E3679" s="22">
        <v>44584</v>
      </c>
      <c r="F3679" s="19">
        <v>6</v>
      </c>
      <c r="G3679" s="18">
        <v>0.2</v>
      </c>
      <c r="H3679">
        <f>F3679*VLOOKUP(B3679,產品!$A$2:$H$61,7,FALSE)*(1-銷售總表!G3679)</f>
        <v>86400</v>
      </c>
      <c r="I3679" s="35">
        <f>H3679-F3679*VLOOKUP(銷售總表!B3679,產品!$A$2:$H$61,8,FALSE)</f>
        <v>10800</v>
      </c>
      <c r="J3679" s="20">
        <f t="shared" si="57"/>
        <v>0.125</v>
      </c>
    </row>
    <row r="3680" spans="1:10" x14ac:dyDescent="0.3">
      <c r="A3680" s="33">
        <v>3679</v>
      </c>
      <c r="B3680" s="4">
        <v>12</v>
      </c>
      <c r="C3680" s="15">
        <v>278</v>
      </c>
      <c r="D3680" s="16">
        <v>10</v>
      </c>
      <c r="E3680" s="22">
        <v>44584</v>
      </c>
      <c r="F3680" s="17">
        <v>10</v>
      </c>
      <c r="G3680" s="18">
        <v>0.16</v>
      </c>
      <c r="H3680">
        <f>F3680*VLOOKUP(B3680,產品!$A$2:$H$61,7,FALSE)*(1-銷售總表!G3680)</f>
        <v>8400</v>
      </c>
      <c r="I3680" s="35">
        <f>H3680-F3680*VLOOKUP(銷售總表!B3680,產品!$A$2:$H$61,8,FALSE)</f>
        <v>4400</v>
      </c>
      <c r="J3680" s="20">
        <f t="shared" si="57"/>
        <v>0.52380952380952384</v>
      </c>
    </row>
    <row r="3681" spans="1:10" x14ac:dyDescent="0.3">
      <c r="A3681" s="33">
        <v>3680</v>
      </c>
      <c r="B3681" s="4">
        <v>17</v>
      </c>
      <c r="C3681" s="15">
        <v>272</v>
      </c>
      <c r="D3681" s="16">
        <v>9</v>
      </c>
      <c r="E3681" s="22">
        <v>44584</v>
      </c>
      <c r="F3681" s="19">
        <v>30</v>
      </c>
      <c r="G3681" s="18">
        <v>0.11</v>
      </c>
      <c r="H3681">
        <f>F3681*VLOOKUP(B3681,產品!$A$2:$H$61,7,FALSE)*(1-銷售總表!G3681)</f>
        <v>48060</v>
      </c>
      <c r="I3681" s="35">
        <f>H3681-F3681*VLOOKUP(銷售總表!B3681,產品!$A$2:$H$61,8,FALSE)</f>
        <v>26460</v>
      </c>
      <c r="J3681" s="20">
        <f t="shared" si="57"/>
        <v>0.550561797752809</v>
      </c>
    </row>
    <row r="3682" spans="1:10" x14ac:dyDescent="0.3">
      <c r="A3682" s="33">
        <v>3681</v>
      </c>
      <c r="B3682" s="4">
        <v>7</v>
      </c>
      <c r="C3682" s="15">
        <v>134</v>
      </c>
      <c r="D3682" s="16">
        <v>1</v>
      </c>
      <c r="E3682" s="22">
        <v>44584</v>
      </c>
      <c r="F3682" s="17">
        <v>30</v>
      </c>
      <c r="G3682" s="18">
        <v>7.0000000000000007E-2</v>
      </c>
      <c r="H3682">
        <f>F3682*VLOOKUP(B3682,產品!$A$2:$H$61,7,FALSE)*(1-銷售總表!G3682)</f>
        <v>27899.999999999996</v>
      </c>
      <c r="I3682" s="35">
        <f>H3682-F3682*VLOOKUP(銷售總表!B3682,產品!$A$2:$H$61,8,FALSE)</f>
        <v>15899.999999999996</v>
      </c>
      <c r="J3682" s="20">
        <f t="shared" si="57"/>
        <v>0.56989247311827951</v>
      </c>
    </row>
    <row r="3683" spans="1:10" x14ac:dyDescent="0.3">
      <c r="A3683" s="33">
        <v>3682</v>
      </c>
      <c r="B3683" s="4">
        <v>5</v>
      </c>
      <c r="C3683" s="15">
        <v>271</v>
      </c>
      <c r="D3683" s="16">
        <v>2</v>
      </c>
      <c r="E3683" s="22">
        <v>44584</v>
      </c>
      <c r="F3683" s="19">
        <v>90</v>
      </c>
      <c r="G3683" s="18">
        <v>0.18</v>
      </c>
      <c r="H3683">
        <f>F3683*VLOOKUP(B3683,產品!$A$2:$H$61,7,FALSE)*(1-銷售總表!G3683)</f>
        <v>73800</v>
      </c>
      <c r="I3683" s="35">
        <f>H3683-F3683*VLOOKUP(銷售總表!B3683,產品!$A$2:$H$61,8,FALSE)</f>
        <v>37800</v>
      </c>
      <c r="J3683" s="20">
        <f t="shared" si="57"/>
        <v>0.51219512195121952</v>
      </c>
    </row>
    <row r="3684" spans="1:10" x14ac:dyDescent="0.3">
      <c r="A3684" s="33">
        <v>3683</v>
      </c>
      <c r="B3684" s="4">
        <v>14</v>
      </c>
      <c r="C3684" s="15">
        <v>286</v>
      </c>
      <c r="D3684" s="16">
        <v>5</v>
      </c>
      <c r="E3684" s="22">
        <v>44584</v>
      </c>
      <c r="F3684" s="17">
        <v>100</v>
      </c>
      <c r="G3684" s="18">
        <v>0.05</v>
      </c>
      <c r="H3684">
        <f>F3684*VLOOKUP(B3684,產品!$A$2:$H$61,7,FALSE)*(1-銷售總表!G3684)</f>
        <v>171000</v>
      </c>
      <c r="I3684" s="35">
        <f>H3684-F3684*VLOOKUP(銷售總表!B3684,產品!$A$2:$H$61,8,FALSE)</f>
        <v>99000</v>
      </c>
      <c r="J3684" s="20">
        <f t="shared" si="57"/>
        <v>0.57894736842105265</v>
      </c>
    </row>
    <row r="3685" spans="1:10" x14ac:dyDescent="0.3">
      <c r="A3685" s="33">
        <v>3684</v>
      </c>
      <c r="B3685" s="4">
        <v>37</v>
      </c>
      <c r="C3685" s="15">
        <v>289</v>
      </c>
      <c r="D3685" s="16">
        <v>8</v>
      </c>
      <c r="E3685" s="22">
        <v>44585</v>
      </c>
      <c r="F3685" s="19">
        <v>2</v>
      </c>
      <c r="G3685" s="18">
        <v>0.17</v>
      </c>
      <c r="H3685">
        <f>F3685*VLOOKUP(B3685,產品!$A$2:$H$61,7,FALSE)*(1-銷售總表!G3685)</f>
        <v>19920</v>
      </c>
      <c r="I3685" s="35">
        <f>H3685-F3685*VLOOKUP(銷售總表!B3685,產品!$A$2:$H$61,8,FALSE)</f>
        <v>4320</v>
      </c>
      <c r="J3685" s="20">
        <f t="shared" si="57"/>
        <v>0.21686746987951808</v>
      </c>
    </row>
    <row r="3686" spans="1:10" x14ac:dyDescent="0.3">
      <c r="A3686" s="33">
        <v>3685</v>
      </c>
      <c r="B3686" s="4">
        <v>39</v>
      </c>
      <c r="C3686" s="15">
        <v>282</v>
      </c>
      <c r="D3686" s="16">
        <v>10</v>
      </c>
      <c r="E3686" s="22">
        <v>44585</v>
      </c>
      <c r="F3686" s="19">
        <v>5</v>
      </c>
      <c r="G3686" s="18">
        <v>0.19</v>
      </c>
      <c r="H3686">
        <f>F3686*VLOOKUP(B3686,產品!$A$2:$H$61,7,FALSE)*(1-銷售總表!G3686)</f>
        <v>72900</v>
      </c>
      <c r="I3686" s="35">
        <f>H3686-F3686*VLOOKUP(銷售總表!B3686,產品!$A$2:$H$61,8,FALSE)</f>
        <v>14400</v>
      </c>
      <c r="J3686" s="20">
        <f t="shared" si="57"/>
        <v>0.19753086419753085</v>
      </c>
    </row>
    <row r="3687" spans="1:10" x14ac:dyDescent="0.3">
      <c r="A3687" s="33">
        <v>3686</v>
      </c>
      <c r="B3687" s="4">
        <v>42</v>
      </c>
      <c r="C3687" s="15">
        <v>289</v>
      </c>
      <c r="D3687" s="16">
        <v>4</v>
      </c>
      <c r="E3687" s="22">
        <v>44585</v>
      </c>
      <c r="F3687" s="19">
        <v>6</v>
      </c>
      <c r="G3687" s="18">
        <v>0.11</v>
      </c>
      <c r="H3687">
        <f>F3687*VLOOKUP(B3687,產品!$A$2:$H$61,7,FALSE)*(1-銷售總表!G3687)</f>
        <v>80100</v>
      </c>
      <c r="I3687" s="35">
        <f>H3687-F3687*VLOOKUP(銷售總表!B3687,產品!$A$2:$H$61,8,FALSE)</f>
        <v>21600</v>
      </c>
      <c r="J3687" s="20">
        <f t="shared" si="57"/>
        <v>0.2696629213483146</v>
      </c>
    </row>
    <row r="3688" spans="1:10" x14ac:dyDescent="0.3">
      <c r="A3688" s="33">
        <v>3687</v>
      </c>
      <c r="B3688" s="4">
        <v>2</v>
      </c>
      <c r="C3688" s="15">
        <v>7</v>
      </c>
      <c r="D3688" s="16">
        <v>1</v>
      </c>
      <c r="E3688" s="22">
        <v>44585</v>
      </c>
      <c r="F3688" s="19">
        <v>10</v>
      </c>
      <c r="G3688" s="18">
        <v>0.16</v>
      </c>
      <c r="H3688">
        <f>F3688*VLOOKUP(B3688,產品!$A$2:$H$61,7,FALSE)*(1-銷售總表!G3688)</f>
        <v>8400</v>
      </c>
      <c r="I3688" s="35">
        <f>H3688-F3688*VLOOKUP(銷售總表!B3688,產品!$A$2:$H$61,8,FALSE)</f>
        <v>4400</v>
      </c>
      <c r="J3688" s="20">
        <f t="shared" si="57"/>
        <v>0.52380952380952384</v>
      </c>
    </row>
    <row r="3689" spans="1:10" x14ac:dyDescent="0.3">
      <c r="A3689" s="33">
        <v>3688</v>
      </c>
      <c r="B3689" s="4">
        <v>47</v>
      </c>
      <c r="C3689" s="15">
        <v>262</v>
      </c>
      <c r="D3689" s="16">
        <v>6</v>
      </c>
      <c r="E3689" s="22">
        <v>44585</v>
      </c>
      <c r="F3689" s="19">
        <v>15</v>
      </c>
      <c r="G3689" s="18">
        <v>7.0000000000000007E-2</v>
      </c>
      <c r="H3689">
        <f>F3689*VLOOKUP(B3689,產品!$A$2:$H$61,7,FALSE)*(1-銷售總表!G3689)</f>
        <v>279000</v>
      </c>
      <c r="I3689" s="35">
        <f>H3689-F3689*VLOOKUP(銷售總表!B3689,產品!$A$2:$H$61,8,FALSE)</f>
        <v>84000</v>
      </c>
      <c r="J3689" s="20">
        <f t="shared" si="57"/>
        <v>0.30107526881720431</v>
      </c>
    </row>
    <row r="3690" spans="1:10" x14ac:dyDescent="0.3">
      <c r="A3690" s="33">
        <v>3689</v>
      </c>
      <c r="B3690" s="4">
        <v>21</v>
      </c>
      <c r="C3690" s="15">
        <v>284</v>
      </c>
      <c r="D3690" s="16">
        <v>9</v>
      </c>
      <c r="E3690" s="22">
        <v>44585</v>
      </c>
      <c r="F3690" s="19">
        <v>30</v>
      </c>
      <c r="G3690" s="18">
        <v>0.19</v>
      </c>
      <c r="H3690">
        <f>F3690*VLOOKUP(B3690,產品!$A$2:$H$61,7,FALSE)*(1-銷售總表!G3690)</f>
        <v>43740</v>
      </c>
      <c r="I3690" s="35">
        <f>H3690-F3690*VLOOKUP(銷售總表!B3690,產品!$A$2:$H$61,8,FALSE)</f>
        <v>22140</v>
      </c>
      <c r="J3690" s="20">
        <f t="shared" si="57"/>
        <v>0.50617283950617287</v>
      </c>
    </row>
    <row r="3691" spans="1:10" x14ac:dyDescent="0.3">
      <c r="A3691" s="33">
        <v>3690</v>
      </c>
      <c r="B3691" s="4">
        <v>40</v>
      </c>
      <c r="C3691" s="15">
        <v>262</v>
      </c>
      <c r="D3691" s="16">
        <v>4</v>
      </c>
      <c r="E3691" s="22">
        <v>44586</v>
      </c>
      <c r="F3691" s="19">
        <v>5</v>
      </c>
      <c r="G3691" s="18">
        <v>0.09</v>
      </c>
      <c r="H3691">
        <f>F3691*VLOOKUP(B3691,產品!$A$2:$H$61,7,FALSE)*(1-銷售總表!G3691)</f>
        <v>91000</v>
      </c>
      <c r="I3691" s="35">
        <f>H3691-F3691*VLOOKUP(銷售總表!B3691,產品!$A$2:$H$61,8,FALSE)</f>
        <v>26000</v>
      </c>
      <c r="J3691" s="20">
        <f t="shared" si="57"/>
        <v>0.2857142857142857</v>
      </c>
    </row>
    <row r="3692" spans="1:10" x14ac:dyDescent="0.3">
      <c r="A3692" s="33">
        <v>3691</v>
      </c>
      <c r="B3692" s="4">
        <v>17</v>
      </c>
      <c r="C3692" s="15">
        <v>269</v>
      </c>
      <c r="D3692" s="16">
        <v>5</v>
      </c>
      <c r="E3692" s="22">
        <v>44586</v>
      </c>
      <c r="F3692" s="19">
        <v>30</v>
      </c>
      <c r="G3692" s="18">
        <v>0.19</v>
      </c>
      <c r="H3692">
        <f>F3692*VLOOKUP(B3692,產品!$A$2:$H$61,7,FALSE)*(1-銷售總表!G3692)</f>
        <v>43740</v>
      </c>
      <c r="I3692" s="35">
        <f>H3692-F3692*VLOOKUP(銷售總表!B3692,產品!$A$2:$H$61,8,FALSE)</f>
        <v>22140</v>
      </c>
      <c r="J3692" s="20">
        <f t="shared" si="57"/>
        <v>0.50617283950617287</v>
      </c>
    </row>
    <row r="3693" spans="1:10" x14ac:dyDescent="0.3">
      <c r="A3693" s="33">
        <v>3692</v>
      </c>
      <c r="B3693" s="4">
        <v>5</v>
      </c>
      <c r="C3693" s="15">
        <v>257</v>
      </c>
      <c r="D3693" s="16">
        <v>4</v>
      </c>
      <c r="E3693" s="22">
        <v>44586</v>
      </c>
      <c r="F3693" s="19">
        <v>60</v>
      </c>
      <c r="G3693" s="18">
        <v>0.16</v>
      </c>
      <c r="H3693">
        <f>F3693*VLOOKUP(B3693,產品!$A$2:$H$61,7,FALSE)*(1-銷售總表!G3693)</f>
        <v>50400</v>
      </c>
      <c r="I3693" s="35">
        <f>H3693-F3693*VLOOKUP(銷售總表!B3693,產品!$A$2:$H$61,8,FALSE)</f>
        <v>26400</v>
      </c>
      <c r="J3693" s="20">
        <f t="shared" si="57"/>
        <v>0.52380952380952384</v>
      </c>
    </row>
    <row r="3694" spans="1:10" x14ac:dyDescent="0.3">
      <c r="A3694" s="33">
        <v>3693</v>
      </c>
      <c r="B3694" s="4">
        <v>14</v>
      </c>
      <c r="C3694" s="15">
        <v>274</v>
      </c>
      <c r="D3694" s="16">
        <v>6</v>
      </c>
      <c r="E3694" s="22">
        <v>44586</v>
      </c>
      <c r="F3694" s="19">
        <v>125</v>
      </c>
      <c r="G3694" s="18">
        <v>0.17</v>
      </c>
      <c r="H3694">
        <f>F3694*VLOOKUP(B3694,產品!$A$2:$H$61,7,FALSE)*(1-銷售總表!G3694)</f>
        <v>186750</v>
      </c>
      <c r="I3694" s="35">
        <f>H3694-F3694*VLOOKUP(銷售總表!B3694,產品!$A$2:$H$61,8,FALSE)</f>
        <v>96750</v>
      </c>
      <c r="J3694" s="20">
        <f t="shared" si="57"/>
        <v>0.51807228915662651</v>
      </c>
    </row>
    <row r="3695" spans="1:10" x14ac:dyDescent="0.3">
      <c r="A3695" s="33">
        <v>3694</v>
      </c>
      <c r="B3695" s="4">
        <v>56</v>
      </c>
      <c r="C3695" s="15">
        <v>284</v>
      </c>
      <c r="D3695" s="16">
        <v>4</v>
      </c>
      <c r="E3695" s="22">
        <v>44587</v>
      </c>
      <c r="F3695" s="19">
        <v>2</v>
      </c>
      <c r="G3695" s="18">
        <v>0.17</v>
      </c>
      <c r="H3695">
        <f>F3695*VLOOKUP(B3695,產品!$A$2:$H$61,7,FALSE)*(1-銷售總表!G3695)</f>
        <v>36520</v>
      </c>
      <c r="I3695" s="35">
        <f>H3695-F3695*VLOOKUP(銷售總表!B3695,產品!$A$2:$H$61,8,FALSE)</f>
        <v>5720.0000000000036</v>
      </c>
      <c r="J3695" s="20">
        <f t="shared" si="57"/>
        <v>0.15662650602409647</v>
      </c>
    </row>
    <row r="3696" spans="1:10" x14ac:dyDescent="0.3">
      <c r="A3696" s="33">
        <v>3695</v>
      </c>
      <c r="B3696" s="4">
        <v>25</v>
      </c>
      <c r="C3696" s="15">
        <v>6</v>
      </c>
      <c r="D3696" s="16">
        <v>8</v>
      </c>
      <c r="E3696" s="22">
        <v>44587</v>
      </c>
      <c r="F3696" s="17">
        <v>3</v>
      </c>
      <c r="G3696" s="18">
        <v>0.11</v>
      </c>
      <c r="H3696">
        <f>F3696*VLOOKUP(B3696,產品!$A$2:$H$61,7,FALSE)*(1-銷售總表!G3696)</f>
        <v>16020</v>
      </c>
      <c r="I3696" s="35">
        <f>H3696-F3696*VLOOKUP(銷售總表!B3696,產品!$A$2:$H$61,8,FALSE)</f>
        <v>5220</v>
      </c>
      <c r="J3696" s="20">
        <f t="shared" si="57"/>
        <v>0.3258426966292135</v>
      </c>
    </row>
    <row r="3697" spans="1:10" x14ac:dyDescent="0.3">
      <c r="A3697" s="33">
        <v>3696</v>
      </c>
      <c r="B3697" s="4">
        <v>30</v>
      </c>
      <c r="C3697" s="15">
        <v>140</v>
      </c>
      <c r="D3697" s="16">
        <v>10</v>
      </c>
      <c r="E3697" s="22">
        <v>44587</v>
      </c>
      <c r="F3697" s="17">
        <v>5</v>
      </c>
      <c r="G3697" s="18">
        <v>0.15</v>
      </c>
      <c r="H3697">
        <f>F3697*VLOOKUP(B3697,產品!$A$2:$H$61,7,FALSE)*(1-銷售總表!G3697)</f>
        <v>27625</v>
      </c>
      <c r="I3697" s="35">
        <f>H3697-F3697*VLOOKUP(銷售總表!B3697,產品!$A$2:$H$61,8,FALSE)</f>
        <v>8125</v>
      </c>
      <c r="J3697" s="20">
        <f t="shared" si="57"/>
        <v>0.29411764705882354</v>
      </c>
    </row>
    <row r="3698" spans="1:10" x14ac:dyDescent="0.3">
      <c r="A3698" s="33">
        <v>3697</v>
      </c>
      <c r="B3698" s="4">
        <v>42</v>
      </c>
      <c r="C3698" s="15">
        <v>125</v>
      </c>
      <c r="D3698" s="16">
        <v>9</v>
      </c>
      <c r="E3698" s="22">
        <v>44587</v>
      </c>
      <c r="F3698" s="19">
        <v>6</v>
      </c>
      <c r="G3698" s="18">
        <v>0.15</v>
      </c>
      <c r="H3698">
        <f>F3698*VLOOKUP(B3698,產品!$A$2:$H$61,7,FALSE)*(1-銷售總表!G3698)</f>
        <v>76500</v>
      </c>
      <c r="I3698" s="35">
        <f>H3698-F3698*VLOOKUP(銷售總表!B3698,產品!$A$2:$H$61,8,FALSE)</f>
        <v>18000</v>
      </c>
      <c r="J3698" s="20">
        <f t="shared" si="57"/>
        <v>0.23529411764705882</v>
      </c>
    </row>
    <row r="3699" spans="1:10" x14ac:dyDescent="0.3">
      <c r="A3699" s="33">
        <v>3698</v>
      </c>
      <c r="B3699" s="4">
        <v>54</v>
      </c>
      <c r="C3699" s="15">
        <v>257</v>
      </c>
      <c r="D3699" s="16">
        <v>2</v>
      </c>
      <c r="E3699" s="22">
        <v>44587</v>
      </c>
      <c r="F3699" s="19">
        <v>7</v>
      </c>
      <c r="G3699" s="18">
        <v>0.15</v>
      </c>
      <c r="H3699">
        <f>F3699*VLOOKUP(B3699,產品!$A$2:$H$61,7,FALSE)*(1-銷售總表!G3699)</f>
        <v>107100</v>
      </c>
      <c r="I3699" s="35">
        <f>H3699-F3699*VLOOKUP(銷售總表!B3699,產品!$A$2:$H$61,8,FALSE)</f>
        <v>18900</v>
      </c>
      <c r="J3699" s="20">
        <f t="shared" si="57"/>
        <v>0.17647058823529413</v>
      </c>
    </row>
    <row r="3700" spans="1:10" x14ac:dyDescent="0.3">
      <c r="A3700" s="33">
        <v>3699</v>
      </c>
      <c r="B3700" s="4">
        <v>1</v>
      </c>
      <c r="C3700" s="15">
        <v>288</v>
      </c>
      <c r="D3700" s="16">
        <v>6</v>
      </c>
      <c r="E3700" s="22">
        <v>44587</v>
      </c>
      <c r="F3700" s="19">
        <v>16</v>
      </c>
      <c r="G3700" s="18">
        <v>0.2</v>
      </c>
      <c r="H3700">
        <f>F3700*VLOOKUP(B3700,產品!$A$2:$H$61,7,FALSE)*(1-銷售總表!G3700)</f>
        <v>12800</v>
      </c>
      <c r="I3700" s="35">
        <f>H3700-F3700*VLOOKUP(銷售總表!B3700,產品!$A$2:$H$61,8,FALSE)</f>
        <v>6400</v>
      </c>
      <c r="J3700" s="20">
        <f t="shared" si="57"/>
        <v>0.5</v>
      </c>
    </row>
    <row r="3701" spans="1:10" x14ac:dyDescent="0.3">
      <c r="A3701" s="33">
        <v>3700</v>
      </c>
      <c r="B3701" s="4">
        <v>18</v>
      </c>
      <c r="C3701" s="15">
        <v>258</v>
      </c>
      <c r="D3701" s="16">
        <v>9</v>
      </c>
      <c r="E3701" s="22">
        <v>44587</v>
      </c>
      <c r="F3701" s="19">
        <v>50</v>
      </c>
      <c r="G3701" s="18">
        <v>0.15</v>
      </c>
      <c r="H3701">
        <f>F3701*VLOOKUP(B3701,產品!$A$2:$H$61,7,FALSE)*(1-銷售總表!G3701)</f>
        <v>76500</v>
      </c>
      <c r="I3701" s="35">
        <f>H3701-F3701*VLOOKUP(銷售總表!B3701,產品!$A$2:$H$61,8,FALSE)</f>
        <v>40500</v>
      </c>
      <c r="J3701" s="20">
        <f t="shared" si="57"/>
        <v>0.52941176470588236</v>
      </c>
    </row>
    <row r="3702" spans="1:10" x14ac:dyDescent="0.3">
      <c r="A3702" s="33">
        <v>3701</v>
      </c>
      <c r="B3702" s="4">
        <v>6</v>
      </c>
      <c r="C3702" s="15">
        <v>270</v>
      </c>
      <c r="D3702" s="16">
        <v>2</v>
      </c>
      <c r="E3702" s="22">
        <v>44587</v>
      </c>
      <c r="F3702" s="19">
        <v>80</v>
      </c>
      <c r="G3702" s="18">
        <v>0.19</v>
      </c>
      <c r="H3702">
        <f>F3702*VLOOKUP(B3702,產品!$A$2:$H$61,7,FALSE)*(1-銷售總表!G3702)</f>
        <v>64800.000000000007</v>
      </c>
      <c r="I3702" s="35">
        <f>H3702-F3702*VLOOKUP(銷售總表!B3702,產品!$A$2:$H$61,8,FALSE)</f>
        <v>32800.000000000007</v>
      </c>
      <c r="J3702" s="20">
        <f t="shared" si="57"/>
        <v>0.50617283950617287</v>
      </c>
    </row>
    <row r="3703" spans="1:10" x14ac:dyDescent="0.3">
      <c r="A3703" s="33">
        <v>3702</v>
      </c>
      <c r="B3703" s="4">
        <v>51</v>
      </c>
      <c r="C3703" s="15">
        <v>140</v>
      </c>
      <c r="D3703" s="16">
        <v>7</v>
      </c>
      <c r="E3703" s="22">
        <v>44588</v>
      </c>
      <c r="F3703" s="17">
        <v>6</v>
      </c>
      <c r="G3703" s="18">
        <v>0.18</v>
      </c>
      <c r="H3703">
        <f>F3703*VLOOKUP(B3703,產品!$A$2:$H$61,7,FALSE)*(1-銷售總表!G3703)</f>
        <v>98400.000000000015</v>
      </c>
      <c r="I3703" s="35">
        <f>H3703-F3703*VLOOKUP(銷售總表!B3703,產品!$A$2:$H$61,8,FALSE)</f>
        <v>14400.000000000015</v>
      </c>
      <c r="J3703" s="20">
        <f t="shared" si="57"/>
        <v>0.14634146341463428</v>
      </c>
    </row>
    <row r="3704" spans="1:10" x14ac:dyDescent="0.3">
      <c r="A3704" s="33">
        <v>3703</v>
      </c>
      <c r="B3704" s="4">
        <v>52</v>
      </c>
      <c r="C3704" s="15">
        <v>125</v>
      </c>
      <c r="D3704" s="16">
        <v>7</v>
      </c>
      <c r="E3704" s="22">
        <v>44588</v>
      </c>
      <c r="F3704" s="19">
        <v>9</v>
      </c>
      <c r="G3704" s="18">
        <v>0.16</v>
      </c>
      <c r="H3704">
        <f>F3704*VLOOKUP(B3704,產品!$A$2:$H$61,7,FALSE)*(1-銷售總表!G3704)</f>
        <v>166320</v>
      </c>
      <c r="I3704" s="35">
        <f>H3704-F3704*VLOOKUP(銷售總表!B3704,產品!$A$2:$H$61,8,FALSE)</f>
        <v>27720.000000000029</v>
      </c>
      <c r="J3704" s="20">
        <f t="shared" si="57"/>
        <v>0.16666666666666685</v>
      </c>
    </row>
    <row r="3705" spans="1:10" x14ac:dyDescent="0.3">
      <c r="A3705" s="33">
        <v>3704</v>
      </c>
      <c r="B3705" s="4">
        <v>46</v>
      </c>
      <c r="C3705" s="15">
        <v>258</v>
      </c>
      <c r="D3705" s="16">
        <v>9</v>
      </c>
      <c r="E3705" s="22">
        <v>44588</v>
      </c>
      <c r="F3705" s="19">
        <v>9</v>
      </c>
      <c r="G3705" s="18">
        <v>0.17</v>
      </c>
      <c r="H3705">
        <f>F3705*VLOOKUP(B3705,產品!$A$2:$H$61,7,FALSE)*(1-銷售總表!G3705)</f>
        <v>126990</v>
      </c>
      <c r="I3705" s="35">
        <f>H3705-F3705*VLOOKUP(銷售總表!B3705,產品!$A$2:$H$61,8,FALSE)</f>
        <v>27540</v>
      </c>
      <c r="J3705" s="20">
        <f t="shared" si="57"/>
        <v>0.21686746987951808</v>
      </c>
    </row>
    <row r="3706" spans="1:10" x14ac:dyDescent="0.3">
      <c r="A3706" s="33">
        <v>3705</v>
      </c>
      <c r="B3706" s="4">
        <v>58</v>
      </c>
      <c r="C3706" s="15">
        <v>276</v>
      </c>
      <c r="D3706" s="16">
        <v>10</v>
      </c>
      <c r="E3706" s="22">
        <v>44588</v>
      </c>
      <c r="F3706" s="17">
        <v>10</v>
      </c>
      <c r="G3706" s="18">
        <v>0.16</v>
      </c>
      <c r="H3706">
        <f>F3706*VLOOKUP(B3706,產品!$A$2:$H$61,7,FALSE)*(1-銷售總表!G3706)</f>
        <v>176400</v>
      </c>
      <c r="I3706" s="35">
        <f>H3706-F3706*VLOOKUP(銷售總表!B3706,產品!$A$2:$H$61,8,FALSE)</f>
        <v>29400.000000000029</v>
      </c>
      <c r="J3706" s="20">
        <f t="shared" si="57"/>
        <v>0.16666666666666682</v>
      </c>
    </row>
    <row r="3707" spans="1:10" x14ac:dyDescent="0.3">
      <c r="A3707" s="33">
        <v>3706</v>
      </c>
      <c r="B3707" s="4">
        <v>25</v>
      </c>
      <c r="C3707" s="15">
        <v>10</v>
      </c>
      <c r="D3707" s="16">
        <v>8</v>
      </c>
      <c r="E3707" s="22">
        <v>44588</v>
      </c>
      <c r="F3707" s="19">
        <v>20</v>
      </c>
      <c r="G3707" s="18">
        <v>0.15</v>
      </c>
      <c r="H3707">
        <f>F3707*VLOOKUP(B3707,產品!$A$2:$H$61,7,FALSE)*(1-銷售總表!G3707)</f>
        <v>102000</v>
      </c>
      <c r="I3707" s="35">
        <f>H3707-F3707*VLOOKUP(銷售總表!B3707,產品!$A$2:$H$61,8,FALSE)</f>
        <v>30000</v>
      </c>
      <c r="J3707" s="20">
        <f t="shared" si="57"/>
        <v>0.29411764705882354</v>
      </c>
    </row>
    <row r="3708" spans="1:10" x14ac:dyDescent="0.3">
      <c r="A3708" s="33">
        <v>3707</v>
      </c>
      <c r="B3708" s="4">
        <v>21</v>
      </c>
      <c r="C3708" s="15">
        <v>5</v>
      </c>
      <c r="D3708" s="16">
        <v>7</v>
      </c>
      <c r="E3708" s="22">
        <v>44588</v>
      </c>
      <c r="F3708" s="19">
        <v>20</v>
      </c>
      <c r="G3708" s="18">
        <v>7.0000000000000007E-2</v>
      </c>
      <c r="H3708">
        <f>F3708*VLOOKUP(B3708,產品!$A$2:$H$61,7,FALSE)*(1-銷售總表!G3708)</f>
        <v>33480</v>
      </c>
      <c r="I3708" s="35">
        <f>H3708-F3708*VLOOKUP(銷售總表!B3708,產品!$A$2:$H$61,8,FALSE)</f>
        <v>19080</v>
      </c>
      <c r="J3708" s="20">
        <f t="shared" si="57"/>
        <v>0.56989247311827962</v>
      </c>
    </row>
    <row r="3709" spans="1:10" x14ac:dyDescent="0.3">
      <c r="A3709" s="33">
        <v>3708</v>
      </c>
      <c r="B3709" s="4">
        <v>26</v>
      </c>
      <c r="C3709" s="15">
        <v>125</v>
      </c>
      <c r="D3709" s="16">
        <v>5</v>
      </c>
      <c r="E3709" s="22">
        <v>44588</v>
      </c>
      <c r="F3709" s="19">
        <v>30</v>
      </c>
      <c r="G3709" s="18">
        <v>0.19</v>
      </c>
      <c r="H3709">
        <f>F3709*VLOOKUP(B3709,產品!$A$2:$H$61,7,FALSE)*(1-銷售總表!G3709)</f>
        <v>157950</v>
      </c>
      <c r="I3709" s="35">
        <f>H3709-F3709*VLOOKUP(銷售總表!B3709,產品!$A$2:$H$61,8,FALSE)</f>
        <v>40950</v>
      </c>
      <c r="J3709" s="20">
        <f t="shared" si="57"/>
        <v>0.25925925925925924</v>
      </c>
    </row>
    <row r="3710" spans="1:10" x14ac:dyDescent="0.3">
      <c r="A3710" s="33">
        <v>3709</v>
      </c>
      <c r="B3710" s="4">
        <v>9</v>
      </c>
      <c r="C3710" s="15">
        <v>139</v>
      </c>
      <c r="D3710" s="16">
        <v>9</v>
      </c>
      <c r="E3710" s="22">
        <v>44588</v>
      </c>
      <c r="F3710" s="19">
        <v>50</v>
      </c>
      <c r="G3710" s="18">
        <v>7.0000000000000007E-2</v>
      </c>
      <c r="H3710">
        <f>F3710*VLOOKUP(B3710,產品!$A$2:$H$61,7,FALSE)*(1-銷售總表!G3710)</f>
        <v>46500</v>
      </c>
      <c r="I3710" s="35">
        <f>H3710-F3710*VLOOKUP(銷售總表!B3710,產品!$A$2:$H$61,8,FALSE)</f>
        <v>26500</v>
      </c>
      <c r="J3710" s="20">
        <f t="shared" si="57"/>
        <v>0.56989247311827962</v>
      </c>
    </row>
    <row r="3711" spans="1:10" x14ac:dyDescent="0.3">
      <c r="A3711" s="33">
        <v>3710</v>
      </c>
      <c r="B3711" s="4">
        <v>12</v>
      </c>
      <c r="C3711" s="15">
        <v>264</v>
      </c>
      <c r="D3711" s="16">
        <v>3</v>
      </c>
      <c r="E3711" s="22">
        <v>44588</v>
      </c>
      <c r="F3711" s="19">
        <v>70</v>
      </c>
      <c r="G3711" s="18">
        <v>0.14000000000000001</v>
      </c>
      <c r="H3711">
        <f>F3711*VLOOKUP(B3711,產品!$A$2:$H$61,7,FALSE)*(1-銷售總表!G3711)</f>
        <v>60200</v>
      </c>
      <c r="I3711" s="35">
        <f>H3711-F3711*VLOOKUP(銷售總表!B3711,產品!$A$2:$H$61,8,FALSE)</f>
        <v>32200</v>
      </c>
      <c r="J3711" s="20">
        <f t="shared" si="57"/>
        <v>0.53488372093023251</v>
      </c>
    </row>
    <row r="3712" spans="1:10" x14ac:dyDescent="0.3">
      <c r="A3712" s="33">
        <v>3711</v>
      </c>
      <c r="B3712" s="4">
        <v>23</v>
      </c>
      <c r="C3712" s="15">
        <v>124</v>
      </c>
      <c r="D3712" s="16">
        <v>3</v>
      </c>
      <c r="E3712" s="22">
        <v>44588</v>
      </c>
      <c r="F3712" s="19">
        <v>100</v>
      </c>
      <c r="G3712" s="18">
        <v>0.18</v>
      </c>
      <c r="H3712">
        <f>F3712*VLOOKUP(B3712,產品!$A$2:$H$61,7,FALSE)*(1-銷售總表!G3712)</f>
        <v>147600</v>
      </c>
      <c r="I3712" s="35">
        <f>H3712-F3712*VLOOKUP(銷售總表!B3712,產品!$A$2:$H$61,8,FALSE)</f>
        <v>75600</v>
      </c>
      <c r="J3712" s="20">
        <f t="shared" si="57"/>
        <v>0.51219512195121952</v>
      </c>
    </row>
    <row r="3713" spans="1:10" x14ac:dyDescent="0.3">
      <c r="A3713" s="33">
        <v>3712</v>
      </c>
      <c r="B3713" s="4">
        <v>48</v>
      </c>
      <c r="C3713" s="15">
        <v>8</v>
      </c>
      <c r="D3713" s="16">
        <v>1</v>
      </c>
      <c r="E3713" s="22">
        <v>44589</v>
      </c>
      <c r="F3713" s="17">
        <v>5</v>
      </c>
      <c r="G3713" s="18">
        <v>0.05</v>
      </c>
      <c r="H3713">
        <f>F3713*VLOOKUP(B3713,產品!$A$2:$H$61,7,FALSE)*(1-銷售總表!G3713)</f>
        <v>104500</v>
      </c>
      <c r="I3713" s="35">
        <f>H3713-F3713*VLOOKUP(銷售總表!B3713,產品!$A$2:$H$61,8,FALSE)</f>
        <v>33000</v>
      </c>
      <c r="J3713" s="20">
        <f t="shared" si="57"/>
        <v>0.31578947368421051</v>
      </c>
    </row>
    <row r="3714" spans="1:10" x14ac:dyDescent="0.3">
      <c r="A3714" s="33">
        <v>3713</v>
      </c>
      <c r="B3714" s="4">
        <v>41</v>
      </c>
      <c r="C3714" s="15">
        <v>7</v>
      </c>
      <c r="D3714" s="16">
        <v>4</v>
      </c>
      <c r="E3714" s="22">
        <v>44589</v>
      </c>
      <c r="F3714" s="17">
        <v>5</v>
      </c>
      <c r="G3714" s="18">
        <v>0.06</v>
      </c>
      <c r="H3714">
        <f>F3714*VLOOKUP(B3714,產品!$A$2:$H$61,7,FALSE)*(1-銷售總表!G3714)</f>
        <v>56400</v>
      </c>
      <c r="I3714" s="35">
        <f>H3714-F3714*VLOOKUP(銷售總表!B3714,產品!$A$2:$H$61,8,FALSE)</f>
        <v>17400</v>
      </c>
      <c r="J3714" s="20">
        <f t="shared" si="57"/>
        <v>0.30851063829787234</v>
      </c>
    </row>
    <row r="3715" spans="1:10" x14ac:dyDescent="0.3">
      <c r="A3715" s="33">
        <v>3714</v>
      </c>
      <c r="B3715" s="4">
        <v>51</v>
      </c>
      <c r="C3715" s="15">
        <v>272</v>
      </c>
      <c r="D3715" s="16">
        <v>8</v>
      </c>
      <c r="E3715" s="22">
        <v>44589</v>
      </c>
      <c r="F3715" s="19">
        <v>8</v>
      </c>
      <c r="G3715" s="18">
        <v>0.06</v>
      </c>
      <c r="H3715">
        <f>F3715*VLOOKUP(B3715,產品!$A$2:$H$61,7,FALSE)*(1-銷售總表!G3715)</f>
        <v>150400</v>
      </c>
      <c r="I3715" s="35">
        <f>H3715-F3715*VLOOKUP(銷售總表!B3715,產品!$A$2:$H$61,8,FALSE)</f>
        <v>38400</v>
      </c>
      <c r="J3715" s="20">
        <f t="shared" ref="J3715:J3778" si="58">I3715/H3715</f>
        <v>0.25531914893617019</v>
      </c>
    </row>
    <row r="3716" spans="1:10" x14ac:dyDescent="0.3">
      <c r="A3716" s="33">
        <v>3715</v>
      </c>
      <c r="B3716" s="4">
        <v>9</v>
      </c>
      <c r="C3716" s="15">
        <v>272</v>
      </c>
      <c r="D3716" s="16">
        <v>1</v>
      </c>
      <c r="E3716" s="22">
        <v>44589</v>
      </c>
      <c r="F3716" s="19">
        <v>10</v>
      </c>
      <c r="G3716" s="18">
        <v>0.08</v>
      </c>
      <c r="H3716">
        <f>F3716*VLOOKUP(B3716,產品!$A$2:$H$61,7,FALSE)*(1-銷售總表!G3716)</f>
        <v>9200</v>
      </c>
      <c r="I3716" s="35">
        <f>H3716-F3716*VLOOKUP(銷售總表!B3716,產品!$A$2:$H$61,8,FALSE)</f>
        <v>5200</v>
      </c>
      <c r="J3716" s="20">
        <f t="shared" si="58"/>
        <v>0.56521739130434778</v>
      </c>
    </row>
    <row r="3717" spans="1:10" x14ac:dyDescent="0.3">
      <c r="A3717" s="33">
        <v>3716</v>
      </c>
      <c r="B3717" s="4">
        <v>20</v>
      </c>
      <c r="C3717" s="15">
        <v>7</v>
      </c>
      <c r="D3717" s="16">
        <v>10</v>
      </c>
      <c r="E3717" s="22">
        <v>44589</v>
      </c>
      <c r="F3717" s="19">
        <v>10</v>
      </c>
      <c r="G3717" s="18">
        <v>0.11</v>
      </c>
      <c r="H3717">
        <f>F3717*VLOOKUP(B3717,產品!$A$2:$H$61,7,FALSE)*(1-銷售總表!G3717)</f>
        <v>16020</v>
      </c>
      <c r="I3717" s="35">
        <f>H3717-F3717*VLOOKUP(銷售總表!B3717,產品!$A$2:$H$61,8,FALSE)</f>
        <v>8820</v>
      </c>
      <c r="J3717" s="20">
        <f t="shared" si="58"/>
        <v>0.550561797752809</v>
      </c>
    </row>
    <row r="3718" spans="1:10" x14ac:dyDescent="0.3">
      <c r="A3718" s="33">
        <v>3717</v>
      </c>
      <c r="B3718" s="4">
        <v>30</v>
      </c>
      <c r="C3718" s="15">
        <v>280</v>
      </c>
      <c r="D3718" s="16">
        <v>6</v>
      </c>
      <c r="E3718" s="22">
        <v>44589</v>
      </c>
      <c r="F3718" s="19">
        <v>14</v>
      </c>
      <c r="G3718" s="18">
        <v>0.19</v>
      </c>
      <c r="H3718">
        <f>F3718*VLOOKUP(B3718,產品!$A$2:$H$61,7,FALSE)*(1-銷售總表!G3718)</f>
        <v>73710</v>
      </c>
      <c r="I3718" s="35">
        <f>H3718-F3718*VLOOKUP(銷售總表!B3718,產品!$A$2:$H$61,8,FALSE)</f>
        <v>19110</v>
      </c>
      <c r="J3718" s="20">
        <f t="shared" si="58"/>
        <v>0.25925925925925924</v>
      </c>
    </row>
    <row r="3719" spans="1:10" x14ac:dyDescent="0.3">
      <c r="A3719" s="33">
        <v>3718</v>
      </c>
      <c r="B3719" s="4">
        <v>23</v>
      </c>
      <c r="C3719" s="15">
        <v>260</v>
      </c>
      <c r="D3719" s="16">
        <v>9</v>
      </c>
      <c r="E3719" s="22">
        <v>44589</v>
      </c>
      <c r="F3719" s="19">
        <v>20</v>
      </c>
      <c r="G3719" s="18">
        <v>0.09</v>
      </c>
      <c r="H3719">
        <f>F3719*VLOOKUP(B3719,產品!$A$2:$H$61,7,FALSE)*(1-銷售總表!G3719)</f>
        <v>32760</v>
      </c>
      <c r="I3719" s="35">
        <f>H3719-F3719*VLOOKUP(銷售總表!B3719,產品!$A$2:$H$61,8,FALSE)</f>
        <v>18360</v>
      </c>
      <c r="J3719" s="20">
        <f t="shared" si="58"/>
        <v>0.56043956043956045</v>
      </c>
    </row>
    <row r="3720" spans="1:10" x14ac:dyDescent="0.3">
      <c r="A3720" s="33">
        <v>3719</v>
      </c>
      <c r="B3720" s="4">
        <v>4</v>
      </c>
      <c r="C3720" s="15">
        <v>115</v>
      </c>
      <c r="D3720" s="16">
        <v>6</v>
      </c>
      <c r="E3720" s="22">
        <v>44589</v>
      </c>
      <c r="F3720" s="17">
        <v>40</v>
      </c>
      <c r="G3720" s="18">
        <v>0.17</v>
      </c>
      <c r="H3720">
        <f>F3720*VLOOKUP(B3720,產品!$A$2:$H$61,7,FALSE)*(1-銷售總表!G3720)</f>
        <v>33200</v>
      </c>
      <c r="I3720" s="35">
        <f>H3720-F3720*VLOOKUP(銷售總表!B3720,產品!$A$2:$H$61,8,FALSE)</f>
        <v>17200</v>
      </c>
      <c r="J3720" s="20">
        <f t="shared" si="58"/>
        <v>0.51807228915662651</v>
      </c>
    </row>
    <row r="3721" spans="1:10" x14ac:dyDescent="0.3">
      <c r="A3721" s="33">
        <v>3720</v>
      </c>
      <c r="B3721" s="4">
        <v>38</v>
      </c>
      <c r="C3721" s="15">
        <v>1</v>
      </c>
      <c r="D3721" s="16">
        <v>1</v>
      </c>
      <c r="E3721" s="22">
        <v>44590</v>
      </c>
      <c r="F3721" s="17">
        <v>4</v>
      </c>
      <c r="G3721" s="18">
        <v>0.1</v>
      </c>
      <c r="H3721">
        <f>F3721*VLOOKUP(B3721,產品!$A$2:$H$61,7,FALSE)*(1-銷售總表!G3721)</f>
        <v>54000</v>
      </c>
      <c r="I3721" s="35">
        <f>H3721-F3721*VLOOKUP(銷售總表!B3721,產品!$A$2:$H$61,8,FALSE)</f>
        <v>15000</v>
      </c>
      <c r="J3721" s="20">
        <f t="shared" si="58"/>
        <v>0.27777777777777779</v>
      </c>
    </row>
    <row r="3722" spans="1:10" x14ac:dyDescent="0.3">
      <c r="A3722" s="33">
        <v>3721</v>
      </c>
      <c r="B3722" s="4">
        <v>31</v>
      </c>
      <c r="C3722" s="15">
        <v>5</v>
      </c>
      <c r="D3722" s="16">
        <v>6</v>
      </c>
      <c r="E3722" s="22">
        <v>44590</v>
      </c>
      <c r="F3722" s="17">
        <v>5</v>
      </c>
      <c r="G3722" s="18">
        <v>0.2</v>
      </c>
      <c r="H3722">
        <f>F3722*VLOOKUP(B3722,產品!$A$2:$H$61,7,FALSE)*(1-銷售總表!G3722)</f>
        <v>28000</v>
      </c>
      <c r="I3722" s="35">
        <f>H3722-F3722*VLOOKUP(銷售總表!B3722,產品!$A$2:$H$61,8,FALSE)</f>
        <v>7000</v>
      </c>
      <c r="J3722" s="20">
        <f t="shared" si="58"/>
        <v>0.25</v>
      </c>
    </row>
    <row r="3723" spans="1:10" x14ac:dyDescent="0.3">
      <c r="A3723" s="33">
        <v>3722</v>
      </c>
      <c r="B3723" s="4">
        <v>39</v>
      </c>
      <c r="C3723" s="15">
        <v>268</v>
      </c>
      <c r="D3723" s="16">
        <v>3</v>
      </c>
      <c r="E3723" s="22">
        <v>44590</v>
      </c>
      <c r="F3723" s="19">
        <v>6</v>
      </c>
      <c r="G3723" s="18">
        <v>0.11</v>
      </c>
      <c r="H3723">
        <f>F3723*VLOOKUP(B3723,產品!$A$2:$H$61,7,FALSE)*(1-銷售總表!G3723)</f>
        <v>96120</v>
      </c>
      <c r="I3723" s="35">
        <f>H3723-F3723*VLOOKUP(銷售總表!B3723,產品!$A$2:$H$61,8,FALSE)</f>
        <v>25920</v>
      </c>
      <c r="J3723" s="20">
        <f t="shared" si="58"/>
        <v>0.2696629213483146</v>
      </c>
    </row>
    <row r="3724" spans="1:10" x14ac:dyDescent="0.3">
      <c r="A3724" s="33">
        <v>3723</v>
      </c>
      <c r="B3724" s="4">
        <v>26</v>
      </c>
      <c r="C3724" s="15">
        <v>134</v>
      </c>
      <c r="D3724" s="16">
        <v>1</v>
      </c>
      <c r="E3724" s="22">
        <v>44590</v>
      </c>
      <c r="F3724" s="19">
        <v>6</v>
      </c>
      <c r="G3724" s="18">
        <v>0.16</v>
      </c>
      <c r="H3724">
        <f>F3724*VLOOKUP(B3724,產品!$A$2:$H$61,7,FALSE)*(1-銷售總表!G3724)</f>
        <v>32760</v>
      </c>
      <c r="I3724" s="35">
        <f>H3724-F3724*VLOOKUP(銷售總表!B3724,產品!$A$2:$H$61,8,FALSE)</f>
        <v>9360</v>
      </c>
      <c r="J3724" s="20">
        <f t="shared" si="58"/>
        <v>0.2857142857142857</v>
      </c>
    </row>
    <row r="3725" spans="1:10" x14ac:dyDescent="0.3">
      <c r="A3725" s="33">
        <v>3724</v>
      </c>
      <c r="B3725" s="4">
        <v>3</v>
      </c>
      <c r="C3725" s="15">
        <v>272</v>
      </c>
      <c r="D3725" s="16">
        <v>10</v>
      </c>
      <c r="E3725" s="22">
        <v>44590</v>
      </c>
      <c r="F3725" s="19">
        <v>60</v>
      </c>
      <c r="G3725" s="18">
        <v>0.06</v>
      </c>
      <c r="H3725">
        <f>F3725*VLOOKUP(B3725,產品!$A$2:$H$61,7,FALSE)*(1-銷售總表!G3725)</f>
        <v>56400</v>
      </c>
      <c r="I3725" s="35">
        <f>H3725-F3725*VLOOKUP(銷售總表!B3725,產品!$A$2:$H$61,8,FALSE)</f>
        <v>32400</v>
      </c>
      <c r="J3725" s="20">
        <f t="shared" si="58"/>
        <v>0.57446808510638303</v>
      </c>
    </row>
    <row r="3726" spans="1:10" x14ac:dyDescent="0.3">
      <c r="A3726" s="33">
        <v>3725</v>
      </c>
      <c r="B3726" s="4">
        <v>6</v>
      </c>
      <c r="C3726" s="15">
        <v>116</v>
      </c>
      <c r="D3726" s="16">
        <v>5</v>
      </c>
      <c r="E3726" s="22">
        <v>44590</v>
      </c>
      <c r="F3726" s="19">
        <v>200</v>
      </c>
      <c r="G3726" s="18">
        <v>7.0000000000000007E-2</v>
      </c>
      <c r="H3726">
        <f>F3726*VLOOKUP(B3726,產品!$A$2:$H$61,7,FALSE)*(1-銷售總表!G3726)</f>
        <v>186000</v>
      </c>
      <c r="I3726" s="35">
        <f>H3726-F3726*VLOOKUP(銷售總表!B3726,產品!$A$2:$H$61,8,FALSE)</f>
        <v>106000</v>
      </c>
      <c r="J3726" s="20">
        <f t="shared" si="58"/>
        <v>0.56989247311827962</v>
      </c>
    </row>
    <row r="3727" spans="1:10" x14ac:dyDescent="0.3">
      <c r="A3727" s="33">
        <v>3726</v>
      </c>
      <c r="B3727" s="4">
        <v>49</v>
      </c>
      <c r="C3727" s="15">
        <v>276</v>
      </c>
      <c r="D3727" s="16">
        <v>9</v>
      </c>
      <c r="E3727" s="22">
        <v>44591</v>
      </c>
      <c r="F3727" s="19">
        <v>9</v>
      </c>
      <c r="G3727" s="18">
        <v>0.11</v>
      </c>
      <c r="H3727">
        <f>F3727*VLOOKUP(B3727,產品!$A$2:$H$61,7,FALSE)*(1-銷售總表!G3727)</f>
        <v>120150</v>
      </c>
      <c r="I3727" s="35">
        <f>H3727-F3727*VLOOKUP(銷售總表!B3727,產品!$A$2:$H$61,8,FALSE)</f>
        <v>25650</v>
      </c>
      <c r="J3727" s="20">
        <f t="shared" si="58"/>
        <v>0.21348314606741572</v>
      </c>
    </row>
    <row r="3728" spans="1:10" x14ac:dyDescent="0.3">
      <c r="A3728" s="33">
        <v>3727</v>
      </c>
      <c r="B3728" s="4">
        <v>3</v>
      </c>
      <c r="C3728" s="15">
        <v>134</v>
      </c>
      <c r="D3728" s="16">
        <v>6</v>
      </c>
      <c r="E3728" s="22">
        <v>44591</v>
      </c>
      <c r="F3728" s="19">
        <v>10</v>
      </c>
      <c r="G3728" s="18">
        <v>0.09</v>
      </c>
      <c r="H3728">
        <f>F3728*VLOOKUP(B3728,產品!$A$2:$H$61,7,FALSE)*(1-銷售總表!G3728)</f>
        <v>9100</v>
      </c>
      <c r="I3728" s="35">
        <f>H3728-F3728*VLOOKUP(銷售總表!B3728,產品!$A$2:$H$61,8,FALSE)</f>
        <v>5100</v>
      </c>
      <c r="J3728" s="20">
        <f t="shared" si="58"/>
        <v>0.56043956043956045</v>
      </c>
    </row>
    <row r="3729" spans="1:10" x14ac:dyDescent="0.3">
      <c r="A3729" s="33">
        <v>3728</v>
      </c>
      <c r="B3729" s="4">
        <v>48</v>
      </c>
      <c r="C3729" s="15">
        <v>138</v>
      </c>
      <c r="D3729" s="16">
        <v>8</v>
      </c>
      <c r="E3729" s="22">
        <v>44591</v>
      </c>
      <c r="F3729" s="19">
        <v>10</v>
      </c>
      <c r="G3729" s="18">
        <v>0.06</v>
      </c>
      <c r="H3729">
        <f>F3729*VLOOKUP(B3729,產品!$A$2:$H$61,7,FALSE)*(1-銷售總表!G3729)</f>
        <v>206800</v>
      </c>
      <c r="I3729" s="35">
        <f>H3729-F3729*VLOOKUP(銷售總表!B3729,產品!$A$2:$H$61,8,FALSE)</f>
        <v>63800</v>
      </c>
      <c r="J3729" s="20">
        <f t="shared" si="58"/>
        <v>0.30851063829787234</v>
      </c>
    </row>
    <row r="3730" spans="1:10" x14ac:dyDescent="0.3">
      <c r="A3730" s="33">
        <v>3729</v>
      </c>
      <c r="B3730" s="4">
        <v>46</v>
      </c>
      <c r="C3730" s="15">
        <v>281</v>
      </c>
      <c r="D3730" s="16">
        <v>5</v>
      </c>
      <c r="E3730" s="22">
        <v>44591</v>
      </c>
      <c r="F3730" s="19">
        <v>13</v>
      </c>
      <c r="G3730" s="18">
        <v>0.13</v>
      </c>
      <c r="H3730">
        <f>F3730*VLOOKUP(B3730,產品!$A$2:$H$61,7,FALSE)*(1-銷售總表!G3730)</f>
        <v>192270</v>
      </c>
      <c r="I3730" s="35">
        <f>H3730-F3730*VLOOKUP(銷售總表!B3730,產品!$A$2:$H$61,8,FALSE)</f>
        <v>48620</v>
      </c>
      <c r="J3730" s="20">
        <f t="shared" si="58"/>
        <v>0.25287356321839083</v>
      </c>
    </row>
    <row r="3731" spans="1:10" x14ac:dyDescent="0.3">
      <c r="A3731" s="33">
        <v>3730</v>
      </c>
      <c r="B3731" s="4">
        <v>3</v>
      </c>
      <c r="C3731" s="15">
        <v>115</v>
      </c>
      <c r="D3731" s="16">
        <v>9</v>
      </c>
      <c r="E3731" s="22">
        <v>44591</v>
      </c>
      <c r="F3731" s="17">
        <v>13</v>
      </c>
      <c r="G3731" s="18">
        <v>0.18</v>
      </c>
      <c r="H3731">
        <f>F3731*VLOOKUP(B3731,產品!$A$2:$H$61,7,FALSE)*(1-銷售總表!G3731)</f>
        <v>10660</v>
      </c>
      <c r="I3731" s="35">
        <f>H3731-F3731*VLOOKUP(銷售總表!B3731,產品!$A$2:$H$61,8,FALSE)</f>
        <v>5460</v>
      </c>
      <c r="J3731" s="20">
        <f t="shared" si="58"/>
        <v>0.51219512195121952</v>
      </c>
    </row>
    <row r="3732" spans="1:10" x14ac:dyDescent="0.3">
      <c r="A3732" s="33">
        <v>3731</v>
      </c>
      <c r="B3732" s="4">
        <v>14</v>
      </c>
      <c r="C3732" s="15">
        <v>269</v>
      </c>
      <c r="D3732" s="16">
        <v>3</v>
      </c>
      <c r="E3732" s="22">
        <v>44591</v>
      </c>
      <c r="F3732" s="17">
        <v>40</v>
      </c>
      <c r="G3732" s="18">
        <v>0.15</v>
      </c>
      <c r="H3732">
        <f>F3732*VLOOKUP(B3732,產品!$A$2:$H$61,7,FALSE)*(1-銷售總表!G3732)</f>
        <v>61200</v>
      </c>
      <c r="I3732" s="35">
        <f>H3732-F3732*VLOOKUP(銷售總表!B3732,產品!$A$2:$H$61,8,FALSE)</f>
        <v>32400</v>
      </c>
      <c r="J3732" s="20">
        <f t="shared" si="58"/>
        <v>0.52941176470588236</v>
      </c>
    </row>
    <row r="3733" spans="1:10" x14ac:dyDescent="0.3">
      <c r="A3733" s="33">
        <v>3732</v>
      </c>
      <c r="B3733" s="4">
        <v>24</v>
      </c>
      <c r="C3733" s="15">
        <v>117</v>
      </c>
      <c r="D3733" s="16">
        <v>8</v>
      </c>
      <c r="E3733" s="22">
        <v>44591</v>
      </c>
      <c r="F3733" s="19">
        <v>40</v>
      </c>
      <c r="G3733" s="18">
        <v>0.16</v>
      </c>
      <c r="H3733">
        <f>F3733*VLOOKUP(B3733,產品!$A$2:$H$61,7,FALSE)*(1-銷售總表!G3733)</f>
        <v>60480</v>
      </c>
      <c r="I3733" s="35">
        <f>H3733-F3733*VLOOKUP(銷售總表!B3733,產品!$A$2:$H$61,8,FALSE)</f>
        <v>31680</v>
      </c>
      <c r="J3733" s="20">
        <f t="shared" si="58"/>
        <v>0.52380952380952384</v>
      </c>
    </row>
    <row r="3734" spans="1:10" x14ac:dyDescent="0.3">
      <c r="A3734" s="33">
        <v>3733</v>
      </c>
      <c r="B3734" s="4">
        <v>54</v>
      </c>
      <c r="C3734" s="15">
        <v>271</v>
      </c>
      <c r="D3734" s="16">
        <v>10</v>
      </c>
      <c r="E3734" s="22">
        <v>44592</v>
      </c>
      <c r="F3734" s="19">
        <v>1</v>
      </c>
      <c r="G3734" s="18">
        <v>0.14000000000000001</v>
      </c>
      <c r="H3734">
        <f>F3734*VLOOKUP(B3734,產品!$A$2:$H$61,7,FALSE)*(1-銷售總表!G3734)</f>
        <v>15480</v>
      </c>
      <c r="I3734" s="35">
        <f>H3734-F3734*VLOOKUP(銷售總表!B3734,產品!$A$2:$H$61,8,FALSE)</f>
        <v>2880</v>
      </c>
      <c r="J3734" s="20">
        <f t="shared" si="58"/>
        <v>0.18604651162790697</v>
      </c>
    </row>
    <row r="3735" spans="1:10" x14ac:dyDescent="0.3">
      <c r="A3735" s="33">
        <v>3734</v>
      </c>
      <c r="B3735" s="4">
        <v>25</v>
      </c>
      <c r="C3735" s="15">
        <v>6</v>
      </c>
      <c r="D3735" s="16">
        <v>2</v>
      </c>
      <c r="E3735" s="22">
        <v>44592</v>
      </c>
      <c r="F3735" s="19">
        <v>3</v>
      </c>
      <c r="G3735" s="18">
        <v>7.0000000000000007E-2</v>
      </c>
      <c r="H3735">
        <f>F3735*VLOOKUP(B3735,產品!$A$2:$H$61,7,FALSE)*(1-銷售總表!G3735)</f>
        <v>16740</v>
      </c>
      <c r="I3735" s="35">
        <f>H3735-F3735*VLOOKUP(銷售總表!B3735,產品!$A$2:$H$61,8,FALSE)</f>
        <v>5940</v>
      </c>
      <c r="J3735" s="20">
        <f t="shared" si="58"/>
        <v>0.35483870967741937</v>
      </c>
    </row>
    <row r="3736" spans="1:10" x14ac:dyDescent="0.3">
      <c r="A3736" s="33">
        <v>3735</v>
      </c>
      <c r="B3736" s="4">
        <v>26</v>
      </c>
      <c r="C3736" s="15">
        <v>292</v>
      </c>
      <c r="D3736" s="16">
        <v>2</v>
      </c>
      <c r="E3736" s="22">
        <v>44592</v>
      </c>
      <c r="F3736" s="19">
        <v>5</v>
      </c>
      <c r="G3736" s="18">
        <v>0.06</v>
      </c>
      <c r="H3736">
        <f>F3736*VLOOKUP(B3736,產品!$A$2:$H$61,7,FALSE)*(1-銷售總表!G3736)</f>
        <v>30550</v>
      </c>
      <c r="I3736" s="35">
        <f>H3736-F3736*VLOOKUP(銷售總表!B3736,產品!$A$2:$H$61,8,FALSE)</f>
        <v>11050</v>
      </c>
      <c r="J3736" s="20">
        <f t="shared" si="58"/>
        <v>0.36170212765957449</v>
      </c>
    </row>
    <row r="3737" spans="1:10" x14ac:dyDescent="0.3">
      <c r="A3737" s="33">
        <v>3736</v>
      </c>
      <c r="B3737" s="4">
        <v>37</v>
      </c>
      <c r="C3737" s="15">
        <v>276</v>
      </c>
      <c r="D3737" s="16">
        <v>7</v>
      </c>
      <c r="E3737" s="22">
        <v>44592</v>
      </c>
      <c r="F3737" s="19">
        <v>15</v>
      </c>
      <c r="G3737" s="18">
        <v>0.1</v>
      </c>
      <c r="H3737">
        <f>F3737*VLOOKUP(B3737,產品!$A$2:$H$61,7,FALSE)*(1-銷售總表!G3737)</f>
        <v>162000</v>
      </c>
      <c r="I3737" s="35">
        <f>H3737-F3737*VLOOKUP(銷售總表!B3737,產品!$A$2:$H$61,8,FALSE)</f>
        <v>45000</v>
      </c>
      <c r="J3737" s="20">
        <f t="shared" si="58"/>
        <v>0.27777777777777779</v>
      </c>
    </row>
    <row r="3738" spans="1:10" x14ac:dyDescent="0.3">
      <c r="A3738" s="33">
        <v>3737</v>
      </c>
      <c r="B3738" s="4">
        <v>30</v>
      </c>
      <c r="C3738" s="15">
        <v>285</v>
      </c>
      <c r="D3738" s="16">
        <v>2</v>
      </c>
      <c r="E3738" s="22">
        <v>44592</v>
      </c>
      <c r="F3738" s="19">
        <v>15</v>
      </c>
      <c r="G3738" s="18">
        <v>0.16</v>
      </c>
      <c r="H3738">
        <f>F3738*VLOOKUP(B3738,產品!$A$2:$H$61,7,FALSE)*(1-銷售總表!G3738)</f>
        <v>81900</v>
      </c>
      <c r="I3738" s="35">
        <f>H3738-F3738*VLOOKUP(銷售總表!B3738,產品!$A$2:$H$61,8,FALSE)</f>
        <v>23400</v>
      </c>
      <c r="J3738" s="20">
        <f t="shared" si="58"/>
        <v>0.2857142857142857</v>
      </c>
    </row>
    <row r="3739" spans="1:10" x14ac:dyDescent="0.3">
      <c r="A3739" s="33">
        <v>3738</v>
      </c>
      <c r="B3739" s="4">
        <v>15</v>
      </c>
      <c r="C3739" s="15">
        <v>292</v>
      </c>
      <c r="D3739" s="16">
        <v>6</v>
      </c>
      <c r="E3739" s="22">
        <v>44592</v>
      </c>
      <c r="F3739" s="19">
        <v>60</v>
      </c>
      <c r="G3739" s="18">
        <v>0.08</v>
      </c>
      <c r="H3739">
        <f>F3739*VLOOKUP(B3739,產品!$A$2:$H$61,7,FALSE)*(1-銷售總表!G3739)</f>
        <v>99360</v>
      </c>
      <c r="I3739" s="35">
        <f>H3739-F3739*VLOOKUP(銷售總表!B3739,產品!$A$2:$H$61,8,FALSE)</f>
        <v>56160</v>
      </c>
      <c r="J3739" s="20">
        <f t="shared" si="58"/>
        <v>0.56521739130434778</v>
      </c>
    </row>
    <row r="3740" spans="1:10" x14ac:dyDescent="0.3">
      <c r="A3740" s="33">
        <v>3739</v>
      </c>
      <c r="B3740" s="4">
        <v>7</v>
      </c>
      <c r="C3740" s="15">
        <v>138</v>
      </c>
      <c r="D3740" s="16">
        <v>6</v>
      </c>
      <c r="E3740" s="22">
        <v>44592</v>
      </c>
      <c r="F3740" s="19">
        <v>100</v>
      </c>
      <c r="G3740" s="18">
        <v>7.0000000000000007E-2</v>
      </c>
      <c r="H3740">
        <f>F3740*VLOOKUP(B3740,產品!$A$2:$H$61,7,FALSE)*(1-銷售總表!G3740)</f>
        <v>93000</v>
      </c>
      <c r="I3740" s="35">
        <f>H3740-F3740*VLOOKUP(銷售總表!B3740,產品!$A$2:$H$61,8,FALSE)</f>
        <v>53000</v>
      </c>
      <c r="J3740" s="20">
        <f t="shared" si="58"/>
        <v>0.56989247311827962</v>
      </c>
    </row>
    <row r="3741" spans="1:10" x14ac:dyDescent="0.3">
      <c r="A3741" s="33">
        <v>3740</v>
      </c>
      <c r="B3741" s="4">
        <v>37</v>
      </c>
      <c r="C3741" s="15">
        <v>257</v>
      </c>
      <c r="D3741" s="16">
        <v>4</v>
      </c>
      <c r="E3741" s="22">
        <v>44593</v>
      </c>
      <c r="F3741" s="19">
        <v>9</v>
      </c>
      <c r="G3741" s="18">
        <v>0.08</v>
      </c>
      <c r="H3741">
        <f>F3741*VLOOKUP(B3741,產品!$A$2:$H$61,7,FALSE)*(1-銷售總表!G3741)</f>
        <v>99360</v>
      </c>
      <c r="I3741" s="35">
        <f>H3741-F3741*VLOOKUP(銷售總表!B3741,產品!$A$2:$H$61,8,FALSE)</f>
        <v>29160</v>
      </c>
      <c r="J3741" s="20">
        <f t="shared" si="58"/>
        <v>0.29347826086956524</v>
      </c>
    </row>
    <row r="3742" spans="1:10" x14ac:dyDescent="0.3">
      <c r="A3742" s="33">
        <v>3741</v>
      </c>
      <c r="B3742" s="4">
        <v>59</v>
      </c>
      <c r="C3742" s="15">
        <v>12</v>
      </c>
      <c r="D3742" s="16">
        <v>3</v>
      </c>
      <c r="E3742" s="22">
        <v>44593</v>
      </c>
      <c r="F3742" s="19">
        <v>12</v>
      </c>
      <c r="G3742" s="18">
        <v>0.2</v>
      </c>
      <c r="H3742">
        <f>F3742*VLOOKUP(B3742,產品!$A$2:$H$61,7,FALSE)*(1-銷售總表!G3742)</f>
        <v>230400</v>
      </c>
      <c r="I3742" s="35">
        <f>H3742-F3742*VLOOKUP(銷售總表!B3742,產品!$A$2:$H$61,8,FALSE)</f>
        <v>28800</v>
      </c>
      <c r="J3742" s="20">
        <f t="shared" si="58"/>
        <v>0.125</v>
      </c>
    </row>
    <row r="3743" spans="1:10" x14ac:dyDescent="0.3">
      <c r="A3743" s="33">
        <v>3742</v>
      </c>
      <c r="B3743" s="4">
        <v>41</v>
      </c>
      <c r="C3743" s="15">
        <v>135</v>
      </c>
      <c r="D3743" s="16">
        <v>7</v>
      </c>
      <c r="E3743" s="22">
        <v>44593</v>
      </c>
      <c r="F3743" s="17">
        <v>15</v>
      </c>
      <c r="G3743" s="18">
        <v>0.16</v>
      </c>
      <c r="H3743">
        <f>F3743*VLOOKUP(B3743,產品!$A$2:$H$61,7,FALSE)*(1-銷售總表!G3743)</f>
        <v>151200</v>
      </c>
      <c r="I3743" s="35">
        <f>H3743-F3743*VLOOKUP(銷售總表!B3743,產品!$A$2:$H$61,8,FALSE)</f>
        <v>34200</v>
      </c>
      <c r="J3743" s="20">
        <f t="shared" si="58"/>
        <v>0.22619047619047619</v>
      </c>
    </row>
    <row r="3744" spans="1:10" x14ac:dyDescent="0.3">
      <c r="A3744" s="33">
        <v>3743</v>
      </c>
      <c r="B3744" s="4">
        <v>3</v>
      </c>
      <c r="C3744" s="15">
        <v>3</v>
      </c>
      <c r="D3744" s="16">
        <v>7</v>
      </c>
      <c r="E3744" s="22">
        <v>44593</v>
      </c>
      <c r="F3744" s="19">
        <v>16</v>
      </c>
      <c r="G3744" s="18">
        <v>0.17</v>
      </c>
      <c r="H3744">
        <f>F3744*VLOOKUP(B3744,產品!$A$2:$H$61,7,FALSE)*(1-銷售總表!G3744)</f>
        <v>13280</v>
      </c>
      <c r="I3744" s="35">
        <f>H3744-F3744*VLOOKUP(銷售總表!B3744,產品!$A$2:$H$61,8,FALSE)</f>
        <v>6880</v>
      </c>
      <c r="J3744" s="20">
        <f t="shared" si="58"/>
        <v>0.51807228915662651</v>
      </c>
    </row>
    <row r="3745" spans="1:10" x14ac:dyDescent="0.3">
      <c r="A3745" s="33">
        <v>3744</v>
      </c>
      <c r="B3745" s="4">
        <v>12</v>
      </c>
      <c r="C3745" s="15">
        <v>282</v>
      </c>
      <c r="D3745" s="16">
        <v>1</v>
      </c>
      <c r="E3745" s="22">
        <v>44593</v>
      </c>
      <c r="F3745" s="19">
        <v>20</v>
      </c>
      <c r="G3745" s="18">
        <v>0.16</v>
      </c>
      <c r="H3745">
        <f>F3745*VLOOKUP(B3745,產品!$A$2:$H$61,7,FALSE)*(1-銷售總表!G3745)</f>
        <v>16800</v>
      </c>
      <c r="I3745" s="35">
        <f>H3745-F3745*VLOOKUP(銷售總表!B3745,產品!$A$2:$H$61,8,FALSE)</f>
        <v>8800</v>
      </c>
      <c r="J3745" s="20">
        <f t="shared" si="58"/>
        <v>0.52380952380952384</v>
      </c>
    </row>
    <row r="3746" spans="1:10" x14ac:dyDescent="0.3">
      <c r="A3746" s="33">
        <v>3745</v>
      </c>
      <c r="B3746" s="4">
        <v>24</v>
      </c>
      <c r="C3746" s="15">
        <v>10</v>
      </c>
      <c r="D3746" s="16">
        <v>5</v>
      </c>
      <c r="E3746" s="22">
        <v>44593</v>
      </c>
      <c r="F3746" s="19">
        <v>30</v>
      </c>
      <c r="G3746" s="18">
        <v>0.15</v>
      </c>
      <c r="H3746">
        <f>F3746*VLOOKUP(B3746,產品!$A$2:$H$61,7,FALSE)*(1-銷售總表!G3746)</f>
        <v>45900</v>
      </c>
      <c r="I3746" s="35">
        <f>H3746-F3746*VLOOKUP(銷售總表!B3746,產品!$A$2:$H$61,8,FALSE)</f>
        <v>24300</v>
      </c>
      <c r="J3746" s="20">
        <f t="shared" si="58"/>
        <v>0.52941176470588236</v>
      </c>
    </row>
    <row r="3747" spans="1:10" x14ac:dyDescent="0.3">
      <c r="A3747" s="33">
        <v>3746</v>
      </c>
      <c r="B3747" s="4">
        <v>5</v>
      </c>
      <c r="C3747" s="15">
        <v>259</v>
      </c>
      <c r="D3747" s="16">
        <v>6</v>
      </c>
      <c r="E3747" s="22">
        <v>44593</v>
      </c>
      <c r="F3747" s="19">
        <v>30</v>
      </c>
      <c r="G3747" s="18">
        <v>0.12</v>
      </c>
      <c r="H3747">
        <f>F3747*VLOOKUP(B3747,產品!$A$2:$H$61,7,FALSE)*(1-銷售總表!G3747)</f>
        <v>26400</v>
      </c>
      <c r="I3747" s="35">
        <f>H3747-F3747*VLOOKUP(銷售總表!B3747,產品!$A$2:$H$61,8,FALSE)</f>
        <v>14400</v>
      </c>
      <c r="J3747" s="20">
        <f t="shared" si="58"/>
        <v>0.54545454545454541</v>
      </c>
    </row>
    <row r="3748" spans="1:10" x14ac:dyDescent="0.3">
      <c r="A3748" s="33">
        <v>3747</v>
      </c>
      <c r="B3748" s="4">
        <v>17</v>
      </c>
      <c r="C3748" s="15">
        <v>280</v>
      </c>
      <c r="D3748" s="16">
        <v>6</v>
      </c>
      <c r="E3748" s="22">
        <v>44593</v>
      </c>
      <c r="F3748" s="19">
        <v>75</v>
      </c>
      <c r="G3748" s="18">
        <v>0.08</v>
      </c>
      <c r="H3748">
        <f>F3748*VLOOKUP(B3748,產品!$A$2:$H$61,7,FALSE)*(1-銷售總表!G3748)</f>
        <v>124200</v>
      </c>
      <c r="I3748" s="35">
        <f>H3748-F3748*VLOOKUP(銷售總表!B3748,產品!$A$2:$H$61,8,FALSE)</f>
        <v>70200</v>
      </c>
      <c r="J3748" s="20">
        <f t="shared" si="58"/>
        <v>0.56521739130434778</v>
      </c>
    </row>
    <row r="3749" spans="1:10" x14ac:dyDescent="0.3">
      <c r="A3749" s="33">
        <v>3748</v>
      </c>
      <c r="B3749" s="4">
        <v>59</v>
      </c>
      <c r="C3749" s="15">
        <v>257</v>
      </c>
      <c r="D3749" s="16">
        <v>1</v>
      </c>
      <c r="E3749" s="22">
        <v>44594</v>
      </c>
      <c r="F3749" s="19">
        <v>3</v>
      </c>
      <c r="G3749" s="18">
        <v>0.11</v>
      </c>
      <c r="H3749">
        <f>F3749*VLOOKUP(B3749,產品!$A$2:$H$61,7,FALSE)*(1-銷售總表!G3749)</f>
        <v>64080</v>
      </c>
      <c r="I3749" s="35">
        <f>H3749-F3749*VLOOKUP(銷售總表!B3749,產品!$A$2:$H$61,8,FALSE)</f>
        <v>13680</v>
      </c>
      <c r="J3749" s="20">
        <f t="shared" si="58"/>
        <v>0.21348314606741572</v>
      </c>
    </row>
    <row r="3750" spans="1:10" x14ac:dyDescent="0.3">
      <c r="A3750" s="33">
        <v>3749</v>
      </c>
      <c r="B3750" s="4">
        <v>25</v>
      </c>
      <c r="C3750" s="15">
        <v>292</v>
      </c>
      <c r="D3750" s="16">
        <v>8</v>
      </c>
      <c r="E3750" s="22">
        <v>44594</v>
      </c>
      <c r="F3750" s="19">
        <v>5</v>
      </c>
      <c r="G3750" s="18">
        <v>0.06</v>
      </c>
      <c r="H3750">
        <f>F3750*VLOOKUP(B3750,產品!$A$2:$H$61,7,FALSE)*(1-銷售總表!G3750)</f>
        <v>28200</v>
      </c>
      <c r="I3750" s="35">
        <f>H3750-F3750*VLOOKUP(銷售總表!B3750,產品!$A$2:$H$61,8,FALSE)</f>
        <v>10200</v>
      </c>
      <c r="J3750" s="20">
        <f t="shared" si="58"/>
        <v>0.36170212765957449</v>
      </c>
    </row>
    <row r="3751" spans="1:10" x14ac:dyDescent="0.3">
      <c r="A3751" s="33">
        <v>3750</v>
      </c>
      <c r="B3751" s="4">
        <v>40</v>
      </c>
      <c r="C3751" s="15">
        <v>257</v>
      </c>
      <c r="D3751" s="16">
        <v>6</v>
      </c>
      <c r="E3751" s="22">
        <v>44594</v>
      </c>
      <c r="F3751" s="19">
        <v>6</v>
      </c>
      <c r="G3751" s="18">
        <v>0.05</v>
      </c>
      <c r="H3751">
        <f>F3751*VLOOKUP(B3751,產品!$A$2:$H$61,7,FALSE)*(1-銷售總表!G3751)</f>
        <v>114000</v>
      </c>
      <c r="I3751" s="35">
        <f>H3751-F3751*VLOOKUP(銷售總表!B3751,產品!$A$2:$H$61,8,FALSE)</f>
        <v>36000</v>
      </c>
      <c r="J3751" s="20">
        <f t="shared" si="58"/>
        <v>0.31578947368421051</v>
      </c>
    </row>
    <row r="3752" spans="1:10" x14ac:dyDescent="0.3">
      <c r="A3752" s="33">
        <v>3751</v>
      </c>
      <c r="B3752" s="4">
        <v>36</v>
      </c>
      <c r="C3752" s="15">
        <v>291</v>
      </c>
      <c r="D3752" s="16">
        <v>1</v>
      </c>
      <c r="E3752" s="22">
        <v>44594</v>
      </c>
      <c r="F3752" s="17">
        <v>8</v>
      </c>
      <c r="G3752" s="18">
        <v>0.09</v>
      </c>
      <c r="H3752">
        <f>F3752*VLOOKUP(B3752,產品!$A$2:$H$61,7,FALSE)*(1-銷售總表!G3752)</f>
        <v>65520</v>
      </c>
      <c r="I3752" s="35">
        <f>H3752-F3752*VLOOKUP(銷售總表!B3752,產品!$A$2:$H$61,8,FALSE)</f>
        <v>22320</v>
      </c>
      <c r="J3752" s="20">
        <f t="shared" si="58"/>
        <v>0.34065934065934067</v>
      </c>
    </row>
    <row r="3753" spans="1:10" x14ac:dyDescent="0.3">
      <c r="A3753" s="33">
        <v>3752</v>
      </c>
      <c r="B3753" s="4">
        <v>2</v>
      </c>
      <c r="C3753" s="15">
        <v>1</v>
      </c>
      <c r="D3753" s="16">
        <v>8</v>
      </c>
      <c r="E3753" s="22">
        <v>44594</v>
      </c>
      <c r="F3753" s="19">
        <v>20</v>
      </c>
      <c r="G3753" s="18">
        <v>0.19</v>
      </c>
      <c r="H3753">
        <f>F3753*VLOOKUP(B3753,產品!$A$2:$H$61,7,FALSE)*(1-銷售總表!G3753)</f>
        <v>16200.000000000002</v>
      </c>
      <c r="I3753" s="35">
        <f>H3753-F3753*VLOOKUP(銷售總表!B3753,產品!$A$2:$H$61,8,FALSE)</f>
        <v>8200.0000000000018</v>
      </c>
      <c r="J3753" s="20">
        <f t="shared" si="58"/>
        <v>0.50617283950617287</v>
      </c>
    </row>
    <row r="3754" spans="1:10" x14ac:dyDescent="0.3">
      <c r="A3754" s="33">
        <v>3753</v>
      </c>
      <c r="B3754" s="4">
        <v>14</v>
      </c>
      <c r="C3754" s="15">
        <v>257</v>
      </c>
      <c r="D3754" s="16">
        <v>2</v>
      </c>
      <c r="E3754" s="22">
        <v>44594</v>
      </c>
      <c r="F3754" s="19">
        <v>40</v>
      </c>
      <c r="G3754" s="18">
        <v>0.08</v>
      </c>
      <c r="H3754">
        <f>F3754*VLOOKUP(B3754,產品!$A$2:$H$61,7,FALSE)*(1-銷售總表!G3754)</f>
        <v>66240</v>
      </c>
      <c r="I3754" s="35">
        <f>H3754-F3754*VLOOKUP(銷售總表!B3754,產品!$A$2:$H$61,8,FALSE)</f>
        <v>37440</v>
      </c>
      <c r="J3754" s="20">
        <f t="shared" si="58"/>
        <v>0.56521739130434778</v>
      </c>
    </row>
    <row r="3755" spans="1:10" x14ac:dyDescent="0.3">
      <c r="A3755" s="33">
        <v>3754</v>
      </c>
      <c r="B3755" s="4">
        <v>24</v>
      </c>
      <c r="C3755" s="15">
        <v>258</v>
      </c>
      <c r="D3755" s="16">
        <v>6</v>
      </c>
      <c r="E3755" s="22">
        <v>44594</v>
      </c>
      <c r="F3755" s="19">
        <v>50</v>
      </c>
      <c r="G3755" s="18">
        <v>0.12</v>
      </c>
      <c r="H3755">
        <f>F3755*VLOOKUP(B3755,產品!$A$2:$H$61,7,FALSE)*(1-銷售總表!G3755)</f>
        <v>79200</v>
      </c>
      <c r="I3755" s="35">
        <f>H3755-F3755*VLOOKUP(銷售總表!B3755,產品!$A$2:$H$61,8,FALSE)</f>
        <v>43200</v>
      </c>
      <c r="J3755" s="20">
        <f t="shared" si="58"/>
        <v>0.54545454545454541</v>
      </c>
    </row>
    <row r="3756" spans="1:10" x14ac:dyDescent="0.3">
      <c r="A3756" s="33">
        <v>3755</v>
      </c>
      <c r="B3756" s="4">
        <v>2</v>
      </c>
      <c r="C3756" s="15">
        <v>263</v>
      </c>
      <c r="D3756" s="16">
        <v>6</v>
      </c>
      <c r="E3756" s="22">
        <v>44594</v>
      </c>
      <c r="F3756" s="19">
        <v>75</v>
      </c>
      <c r="G3756" s="18">
        <v>0.2</v>
      </c>
      <c r="H3756">
        <f>F3756*VLOOKUP(B3756,產品!$A$2:$H$61,7,FALSE)*(1-銷售總表!G3756)</f>
        <v>60000</v>
      </c>
      <c r="I3756" s="35">
        <f>H3756-F3756*VLOOKUP(銷售總表!B3756,產品!$A$2:$H$61,8,FALSE)</f>
        <v>30000</v>
      </c>
      <c r="J3756" s="20">
        <f t="shared" si="58"/>
        <v>0.5</v>
      </c>
    </row>
    <row r="3757" spans="1:10" x14ac:dyDescent="0.3">
      <c r="A3757" s="33">
        <v>3756</v>
      </c>
      <c r="B3757" s="4">
        <v>51</v>
      </c>
      <c r="C3757" s="15">
        <v>121</v>
      </c>
      <c r="D3757" s="16">
        <v>9</v>
      </c>
      <c r="E3757" s="22">
        <v>44595</v>
      </c>
      <c r="F3757" s="19">
        <v>3</v>
      </c>
      <c r="G3757" s="18">
        <v>0.06</v>
      </c>
      <c r="H3757">
        <f>F3757*VLOOKUP(B3757,產品!$A$2:$H$61,7,FALSE)*(1-銷售總表!G3757)</f>
        <v>56400</v>
      </c>
      <c r="I3757" s="35">
        <f>H3757-F3757*VLOOKUP(銷售總表!B3757,產品!$A$2:$H$61,8,FALSE)</f>
        <v>14400</v>
      </c>
      <c r="J3757" s="20">
        <f t="shared" si="58"/>
        <v>0.25531914893617019</v>
      </c>
    </row>
    <row r="3758" spans="1:10" x14ac:dyDescent="0.3">
      <c r="A3758" s="33">
        <v>3757</v>
      </c>
      <c r="B3758" s="4">
        <v>46</v>
      </c>
      <c r="C3758" s="15">
        <v>114</v>
      </c>
      <c r="D3758" s="16">
        <v>8</v>
      </c>
      <c r="E3758" s="22">
        <v>44595</v>
      </c>
      <c r="F3758" s="19">
        <v>5</v>
      </c>
      <c r="G3758" s="18">
        <v>0.15</v>
      </c>
      <c r="H3758">
        <f>F3758*VLOOKUP(B3758,產品!$A$2:$H$61,7,FALSE)*(1-銷售總表!G3758)</f>
        <v>72250</v>
      </c>
      <c r="I3758" s="35">
        <f>H3758-F3758*VLOOKUP(銷售總表!B3758,產品!$A$2:$H$61,8,FALSE)</f>
        <v>17000</v>
      </c>
      <c r="J3758" s="20">
        <f t="shared" si="58"/>
        <v>0.23529411764705882</v>
      </c>
    </row>
    <row r="3759" spans="1:10" x14ac:dyDescent="0.3">
      <c r="A3759" s="33">
        <v>3758</v>
      </c>
      <c r="B3759" s="4">
        <v>60</v>
      </c>
      <c r="C3759" s="15">
        <v>293</v>
      </c>
      <c r="D3759" s="16">
        <v>3</v>
      </c>
      <c r="E3759" s="22">
        <v>44595</v>
      </c>
      <c r="F3759" s="17">
        <v>7</v>
      </c>
      <c r="G3759" s="18">
        <v>0.14000000000000001</v>
      </c>
      <c r="H3759">
        <f>F3759*VLOOKUP(B3759,產品!$A$2:$H$61,7,FALSE)*(1-銷售總表!G3759)</f>
        <v>150500</v>
      </c>
      <c r="I3759" s="35">
        <f>H3759-F3759*VLOOKUP(銷售總表!B3759,產品!$A$2:$H$61,8,FALSE)</f>
        <v>28000</v>
      </c>
      <c r="J3759" s="20">
        <f t="shared" si="58"/>
        <v>0.18604651162790697</v>
      </c>
    </row>
    <row r="3760" spans="1:10" x14ac:dyDescent="0.3">
      <c r="A3760" s="33">
        <v>3759</v>
      </c>
      <c r="B3760" s="4">
        <v>57</v>
      </c>
      <c r="C3760" s="15">
        <v>268</v>
      </c>
      <c r="D3760" s="16">
        <v>7</v>
      </c>
      <c r="E3760" s="22">
        <v>44595</v>
      </c>
      <c r="F3760" s="19">
        <v>9</v>
      </c>
      <c r="G3760" s="18">
        <v>0.09</v>
      </c>
      <c r="H3760">
        <f>F3760*VLOOKUP(B3760,產品!$A$2:$H$61,7,FALSE)*(1-銷售總表!G3760)</f>
        <v>147420</v>
      </c>
      <c r="I3760" s="35">
        <f>H3760-F3760*VLOOKUP(銷售總表!B3760,產品!$A$2:$H$61,8,FALSE)</f>
        <v>34020</v>
      </c>
      <c r="J3760" s="20">
        <f t="shared" si="58"/>
        <v>0.23076923076923078</v>
      </c>
    </row>
    <row r="3761" spans="1:10" x14ac:dyDescent="0.3">
      <c r="A3761" s="33">
        <v>3760</v>
      </c>
      <c r="B3761" s="4">
        <v>48</v>
      </c>
      <c r="C3761" s="15">
        <v>266</v>
      </c>
      <c r="D3761" s="16">
        <v>4</v>
      </c>
      <c r="E3761" s="22">
        <v>44595</v>
      </c>
      <c r="F3761" s="19">
        <v>15</v>
      </c>
      <c r="G3761" s="18">
        <v>0.1</v>
      </c>
      <c r="H3761">
        <f>F3761*VLOOKUP(B3761,產品!$A$2:$H$61,7,FALSE)*(1-銷售總表!G3761)</f>
        <v>297000</v>
      </c>
      <c r="I3761" s="35">
        <f>H3761-F3761*VLOOKUP(銷售總表!B3761,產品!$A$2:$H$61,8,FALSE)</f>
        <v>82500</v>
      </c>
      <c r="J3761" s="20">
        <f t="shared" si="58"/>
        <v>0.27777777777777779</v>
      </c>
    </row>
    <row r="3762" spans="1:10" x14ac:dyDescent="0.3">
      <c r="A3762" s="33">
        <v>3761</v>
      </c>
      <c r="B3762" s="4">
        <v>1</v>
      </c>
      <c r="C3762" s="15">
        <v>136</v>
      </c>
      <c r="D3762" s="16">
        <v>1</v>
      </c>
      <c r="E3762" s="22">
        <v>44595</v>
      </c>
      <c r="F3762" s="19">
        <v>70</v>
      </c>
      <c r="G3762" s="18">
        <v>0.11</v>
      </c>
      <c r="H3762">
        <f>F3762*VLOOKUP(B3762,產品!$A$2:$H$61,7,FALSE)*(1-銷售總表!G3762)</f>
        <v>62300</v>
      </c>
      <c r="I3762" s="35">
        <f>H3762-F3762*VLOOKUP(銷售總表!B3762,產品!$A$2:$H$61,8,FALSE)</f>
        <v>34300</v>
      </c>
      <c r="J3762" s="20">
        <f t="shared" si="58"/>
        <v>0.550561797752809</v>
      </c>
    </row>
    <row r="3763" spans="1:10" x14ac:dyDescent="0.3">
      <c r="A3763" s="33">
        <v>3762</v>
      </c>
      <c r="B3763" s="4">
        <v>38</v>
      </c>
      <c r="C3763" s="15">
        <v>8</v>
      </c>
      <c r="D3763" s="16">
        <v>8</v>
      </c>
      <c r="E3763" s="22">
        <v>44596</v>
      </c>
      <c r="F3763" s="19">
        <v>2</v>
      </c>
      <c r="G3763" s="18">
        <v>0.15</v>
      </c>
      <c r="H3763">
        <f>F3763*VLOOKUP(B3763,產品!$A$2:$H$61,7,FALSE)*(1-銷售總表!G3763)</f>
        <v>25500</v>
      </c>
      <c r="I3763" s="35">
        <f>H3763-F3763*VLOOKUP(銷售總表!B3763,產品!$A$2:$H$61,8,FALSE)</f>
        <v>6000</v>
      </c>
      <c r="J3763" s="20">
        <f t="shared" si="58"/>
        <v>0.23529411764705882</v>
      </c>
    </row>
    <row r="3764" spans="1:10" x14ac:dyDescent="0.3">
      <c r="A3764" s="33">
        <v>3763</v>
      </c>
      <c r="B3764" s="4">
        <v>52</v>
      </c>
      <c r="C3764" s="15">
        <v>277</v>
      </c>
      <c r="D3764" s="16">
        <v>6</v>
      </c>
      <c r="E3764" s="22">
        <v>44596</v>
      </c>
      <c r="F3764" s="19">
        <v>8</v>
      </c>
      <c r="G3764" s="18">
        <v>0.16</v>
      </c>
      <c r="H3764">
        <f>F3764*VLOOKUP(B3764,產品!$A$2:$H$61,7,FALSE)*(1-銷售總表!G3764)</f>
        <v>147840</v>
      </c>
      <c r="I3764" s="35">
        <f>H3764-F3764*VLOOKUP(銷售總表!B3764,產品!$A$2:$H$61,8,FALSE)</f>
        <v>24640.000000000015</v>
      </c>
      <c r="J3764" s="20">
        <f t="shared" si="58"/>
        <v>0.16666666666666677</v>
      </c>
    </row>
    <row r="3765" spans="1:10" x14ac:dyDescent="0.3">
      <c r="A3765" s="33">
        <v>3764</v>
      </c>
      <c r="B3765" s="4">
        <v>37</v>
      </c>
      <c r="C3765" s="15">
        <v>114</v>
      </c>
      <c r="D3765" s="16">
        <v>3</v>
      </c>
      <c r="E3765" s="22">
        <v>44596</v>
      </c>
      <c r="F3765" s="19">
        <v>9</v>
      </c>
      <c r="G3765" s="18">
        <v>0.13</v>
      </c>
      <c r="H3765">
        <f>F3765*VLOOKUP(B3765,產品!$A$2:$H$61,7,FALSE)*(1-銷售總表!G3765)</f>
        <v>93960</v>
      </c>
      <c r="I3765" s="35">
        <f>H3765-F3765*VLOOKUP(銷售總表!B3765,產品!$A$2:$H$61,8,FALSE)</f>
        <v>23760</v>
      </c>
      <c r="J3765" s="20">
        <f t="shared" si="58"/>
        <v>0.25287356321839083</v>
      </c>
    </row>
    <row r="3766" spans="1:10" x14ac:dyDescent="0.3">
      <c r="A3766" s="33">
        <v>3765</v>
      </c>
      <c r="B3766" s="4">
        <v>30</v>
      </c>
      <c r="C3766" s="15">
        <v>117</v>
      </c>
      <c r="D3766" s="16">
        <v>6</v>
      </c>
      <c r="E3766" s="22">
        <v>44596</v>
      </c>
      <c r="F3766" s="19">
        <v>30</v>
      </c>
      <c r="G3766" s="18">
        <v>0.16</v>
      </c>
      <c r="H3766">
        <f>F3766*VLOOKUP(B3766,產品!$A$2:$H$61,7,FALSE)*(1-銷售總表!G3766)</f>
        <v>163800</v>
      </c>
      <c r="I3766" s="35">
        <f>H3766-F3766*VLOOKUP(銷售總表!B3766,產品!$A$2:$H$61,8,FALSE)</f>
        <v>46800</v>
      </c>
      <c r="J3766" s="20">
        <f t="shared" si="58"/>
        <v>0.2857142857142857</v>
      </c>
    </row>
    <row r="3767" spans="1:10" x14ac:dyDescent="0.3">
      <c r="A3767" s="33">
        <v>3766</v>
      </c>
      <c r="B3767" s="4">
        <v>15</v>
      </c>
      <c r="C3767" s="15">
        <v>8</v>
      </c>
      <c r="D3767" s="16">
        <v>5</v>
      </c>
      <c r="E3767" s="22">
        <v>44596</v>
      </c>
      <c r="F3767" s="19">
        <v>30</v>
      </c>
      <c r="G3767" s="18">
        <v>0.11</v>
      </c>
      <c r="H3767">
        <f>F3767*VLOOKUP(B3767,產品!$A$2:$H$61,7,FALSE)*(1-銷售總表!G3767)</f>
        <v>48060</v>
      </c>
      <c r="I3767" s="35">
        <f>H3767-F3767*VLOOKUP(銷售總表!B3767,產品!$A$2:$H$61,8,FALSE)</f>
        <v>26460</v>
      </c>
      <c r="J3767" s="20">
        <f t="shared" si="58"/>
        <v>0.550561797752809</v>
      </c>
    </row>
    <row r="3768" spans="1:10" x14ac:dyDescent="0.3">
      <c r="A3768" s="33">
        <v>3767</v>
      </c>
      <c r="B3768" s="4">
        <v>28</v>
      </c>
      <c r="C3768" s="15">
        <v>10</v>
      </c>
      <c r="D3768" s="16">
        <v>4</v>
      </c>
      <c r="E3768" s="22">
        <v>44597</v>
      </c>
      <c r="F3768" s="19">
        <v>5</v>
      </c>
      <c r="G3768" s="18">
        <v>0.19</v>
      </c>
      <c r="H3768">
        <f>F3768*VLOOKUP(B3768,產品!$A$2:$H$61,7,FALSE)*(1-銷售總表!G3768)</f>
        <v>30375.000000000004</v>
      </c>
      <c r="I3768" s="35">
        <f>H3768-F3768*VLOOKUP(銷售總表!B3768,產品!$A$2:$H$61,8,FALSE)</f>
        <v>7875.0000000000036</v>
      </c>
      <c r="J3768" s="20">
        <f t="shared" si="58"/>
        <v>0.25925925925925936</v>
      </c>
    </row>
    <row r="3769" spans="1:10" x14ac:dyDescent="0.3">
      <c r="A3769" s="33">
        <v>3768</v>
      </c>
      <c r="B3769" s="4">
        <v>49</v>
      </c>
      <c r="C3769" s="15">
        <v>262</v>
      </c>
      <c r="D3769" s="16">
        <v>8</v>
      </c>
      <c r="E3769" s="22">
        <v>44597</v>
      </c>
      <c r="F3769" s="19">
        <v>7</v>
      </c>
      <c r="G3769" s="18">
        <v>7.0000000000000007E-2</v>
      </c>
      <c r="H3769">
        <f>F3769*VLOOKUP(B3769,產品!$A$2:$H$61,7,FALSE)*(1-銷售總表!G3769)</f>
        <v>97650</v>
      </c>
      <c r="I3769" s="35">
        <f>H3769-F3769*VLOOKUP(銷售總表!B3769,產品!$A$2:$H$61,8,FALSE)</f>
        <v>24150</v>
      </c>
      <c r="J3769" s="20">
        <f t="shared" si="58"/>
        <v>0.24731182795698925</v>
      </c>
    </row>
    <row r="3770" spans="1:10" x14ac:dyDescent="0.3">
      <c r="A3770" s="33">
        <v>3769</v>
      </c>
      <c r="B3770" s="4">
        <v>42</v>
      </c>
      <c r="C3770" s="15">
        <v>267</v>
      </c>
      <c r="D3770" s="16">
        <v>2</v>
      </c>
      <c r="E3770" s="22">
        <v>44597</v>
      </c>
      <c r="F3770" s="19">
        <v>9</v>
      </c>
      <c r="G3770" s="18">
        <v>7.0000000000000007E-2</v>
      </c>
      <c r="H3770">
        <f>F3770*VLOOKUP(B3770,產品!$A$2:$H$61,7,FALSE)*(1-銷售總表!G3770)</f>
        <v>125549.99999999999</v>
      </c>
      <c r="I3770" s="35">
        <f>H3770-F3770*VLOOKUP(銷售總表!B3770,產品!$A$2:$H$61,8,FALSE)</f>
        <v>37799.999999999985</v>
      </c>
      <c r="J3770" s="20">
        <f t="shared" si="58"/>
        <v>0.3010752688172042</v>
      </c>
    </row>
    <row r="3771" spans="1:10" x14ac:dyDescent="0.3">
      <c r="A3771" s="33">
        <v>3770</v>
      </c>
      <c r="B3771" s="4">
        <v>52</v>
      </c>
      <c r="C3771" s="15">
        <v>112</v>
      </c>
      <c r="D3771" s="16">
        <v>1</v>
      </c>
      <c r="E3771" s="22">
        <v>44597</v>
      </c>
      <c r="F3771" s="19">
        <v>15</v>
      </c>
      <c r="G3771" s="18">
        <v>0.12</v>
      </c>
      <c r="H3771">
        <f>F3771*VLOOKUP(B3771,產品!$A$2:$H$61,7,FALSE)*(1-銷售總表!G3771)</f>
        <v>290400</v>
      </c>
      <c r="I3771" s="35">
        <f>H3771-F3771*VLOOKUP(銷售總表!B3771,產品!$A$2:$H$61,8,FALSE)</f>
        <v>59400.000000000029</v>
      </c>
      <c r="J3771" s="20">
        <f t="shared" si="58"/>
        <v>0.20454545454545464</v>
      </c>
    </row>
    <row r="3772" spans="1:10" x14ac:dyDescent="0.3">
      <c r="A3772" s="33">
        <v>3771</v>
      </c>
      <c r="B3772" s="4">
        <v>18</v>
      </c>
      <c r="C3772" s="15">
        <v>273</v>
      </c>
      <c r="D3772" s="16">
        <v>4</v>
      </c>
      <c r="E3772" s="22">
        <v>44597</v>
      </c>
      <c r="F3772" s="17">
        <v>30</v>
      </c>
      <c r="G3772" s="18">
        <v>0.1</v>
      </c>
      <c r="H3772">
        <f>F3772*VLOOKUP(B3772,產品!$A$2:$H$61,7,FALSE)*(1-銷售總表!G3772)</f>
        <v>48600</v>
      </c>
      <c r="I3772" s="35">
        <f>H3772-F3772*VLOOKUP(銷售總表!B3772,產品!$A$2:$H$61,8,FALSE)</f>
        <v>27000</v>
      </c>
      <c r="J3772" s="20">
        <f t="shared" si="58"/>
        <v>0.55555555555555558</v>
      </c>
    </row>
    <row r="3773" spans="1:10" x14ac:dyDescent="0.3">
      <c r="A3773" s="33">
        <v>3772</v>
      </c>
      <c r="B3773" s="4">
        <v>16</v>
      </c>
      <c r="C3773" s="15">
        <v>3</v>
      </c>
      <c r="D3773" s="16">
        <v>7</v>
      </c>
      <c r="E3773" s="22">
        <v>44597</v>
      </c>
      <c r="F3773" s="19">
        <v>60</v>
      </c>
      <c r="G3773" s="18">
        <v>0.14000000000000001</v>
      </c>
      <c r="H3773">
        <f>F3773*VLOOKUP(B3773,產品!$A$2:$H$61,7,FALSE)*(1-銷售總表!G3773)</f>
        <v>92880</v>
      </c>
      <c r="I3773" s="35">
        <f>H3773-F3773*VLOOKUP(銷售總表!B3773,產品!$A$2:$H$61,8,FALSE)</f>
        <v>49680</v>
      </c>
      <c r="J3773" s="20">
        <f t="shared" si="58"/>
        <v>0.53488372093023251</v>
      </c>
    </row>
    <row r="3774" spans="1:10" x14ac:dyDescent="0.3">
      <c r="A3774" s="33">
        <v>3773</v>
      </c>
      <c r="B3774" s="4">
        <v>14</v>
      </c>
      <c r="C3774" s="15">
        <v>262</v>
      </c>
      <c r="D3774" s="16">
        <v>8</v>
      </c>
      <c r="E3774" s="22">
        <v>44597</v>
      </c>
      <c r="F3774" s="19">
        <v>75</v>
      </c>
      <c r="G3774" s="18">
        <v>0.19</v>
      </c>
      <c r="H3774">
        <f>F3774*VLOOKUP(B3774,產品!$A$2:$H$61,7,FALSE)*(1-銷售總表!G3774)</f>
        <v>109350</v>
      </c>
      <c r="I3774" s="35">
        <f>H3774-F3774*VLOOKUP(銷售總表!B3774,產品!$A$2:$H$61,8,FALSE)</f>
        <v>55350</v>
      </c>
      <c r="J3774" s="20">
        <f t="shared" si="58"/>
        <v>0.50617283950617287</v>
      </c>
    </row>
    <row r="3775" spans="1:10" x14ac:dyDescent="0.3">
      <c r="A3775" s="33">
        <v>3774</v>
      </c>
      <c r="B3775" s="4">
        <v>56</v>
      </c>
      <c r="C3775" s="15">
        <v>112</v>
      </c>
      <c r="D3775" s="16">
        <v>9</v>
      </c>
      <c r="E3775" s="22">
        <v>44598</v>
      </c>
      <c r="F3775" s="19">
        <v>4</v>
      </c>
      <c r="G3775" s="18">
        <v>0.19</v>
      </c>
      <c r="H3775">
        <f>F3775*VLOOKUP(B3775,產品!$A$2:$H$61,7,FALSE)*(1-銷售總表!G3775)</f>
        <v>71280</v>
      </c>
      <c r="I3775" s="35">
        <f>H3775-F3775*VLOOKUP(銷售總表!B3775,產品!$A$2:$H$61,8,FALSE)</f>
        <v>9680.0000000000073</v>
      </c>
      <c r="J3775" s="20">
        <f t="shared" si="58"/>
        <v>0.13580246913580257</v>
      </c>
    </row>
    <row r="3776" spans="1:10" x14ac:dyDescent="0.3">
      <c r="A3776" s="33">
        <v>3775</v>
      </c>
      <c r="B3776" s="4">
        <v>43</v>
      </c>
      <c r="C3776" s="15">
        <v>118</v>
      </c>
      <c r="D3776" s="16">
        <v>6</v>
      </c>
      <c r="E3776" s="22">
        <v>44598</v>
      </c>
      <c r="F3776" s="19">
        <v>5</v>
      </c>
      <c r="G3776" s="18">
        <v>7.0000000000000007E-2</v>
      </c>
      <c r="H3776">
        <f>F3776*VLOOKUP(B3776,產品!$A$2:$H$61,7,FALSE)*(1-銷售總表!G3776)</f>
        <v>83700</v>
      </c>
      <c r="I3776" s="35">
        <f>H3776-F3776*VLOOKUP(銷售總表!B3776,產品!$A$2:$H$61,8,FALSE)</f>
        <v>25200</v>
      </c>
      <c r="J3776" s="20">
        <f t="shared" si="58"/>
        <v>0.30107526881720431</v>
      </c>
    </row>
    <row r="3777" spans="1:10" x14ac:dyDescent="0.3">
      <c r="A3777" s="33">
        <v>3776</v>
      </c>
      <c r="B3777" s="4">
        <v>57</v>
      </c>
      <c r="C3777" s="15">
        <v>7</v>
      </c>
      <c r="D3777" s="16">
        <v>8</v>
      </c>
      <c r="E3777" s="22">
        <v>44598</v>
      </c>
      <c r="F3777" s="19">
        <v>6</v>
      </c>
      <c r="G3777" s="18">
        <v>0.2</v>
      </c>
      <c r="H3777">
        <f>F3777*VLOOKUP(B3777,產品!$A$2:$H$61,7,FALSE)*(1-銷售總表!G3777)</f>
        <v>86400</v>
      </c>
      <c r="I3777" s="35">
        <f>H3777-F3777*VLOOKUP(銷售總表!B3777,產品!$A$2:$H$61,8,FALSE)</f>
        <v>10800</v>
      </c>
      <c r="J3777" s="20">
        <f t="shared" si="58"/>
        <v>0.125</v>
      </c>
    </row>
    <row r="3778" spans="1:10" x14ac:dyDescent="0.3">
      <c r="A3778" s="33">
        <v>3777</v>
      </c>
      <c r="B3778" s="4">
        <v>18</v>
      </c>
      <c r="C3778" s="15">
        <v>134</v>
      </c>
      <c r="D3778" s="16">
        <v>1</v>
      </c>
      <c r="E3778" s="22">
        <v>44598</v>
      </c>
      <c r="F3778" s="19">
        <v>100</v>
      </c>
      <c r="G3778" s="18">
        <v>0.12</v>
      </c>
      <c r="H3778">
        <f>F3778*VLOOKUP(B3778,產品!$A$2:$H$61,7,FALSE)*(1-銷售總表!G3778)</f>
        <v>158400</v>
      </c>
      <c r="I3778" s="35">
        <f>H3778-F3778*VLOOKUP(銷售總表!B3778,產品!$A$2:$H$61,8,FALSE)</f>
        <v>86400</v>
      </c>
      <c r="J3778" s="20">
        <f t="shared" si="58"/>
        <v>0.54545454545454541</v>
      </c>
    </row>
    <row r="3779" spans="1:10" x14ac:dyDescent="0.3">
      <c r="A3779" s="33">
        <v>3778</v>
      </c>
      <c r="B3779" s="4">
        <v>16</v>
      </c>
      <c r="C3779" s="15">
        <v>1</v>
      </c>
      <c r="D3779" s="16">
        <v>1</v>
      </c>
      <c r="E3779" s="22">
        <v>44598</v>
      </c>
      <c r="F3779" s="19">
        <v>100</v>
      </c>
      <c r="G3779" s="18">
        <v>0.15</v>
      </c>
      <c r="H3779">
        <f>F3779*VLOOKUP(B3779,產品!$A$2:$H$61,7,FALSE)*(1-銷售總表!G3779)</f>
        <v>153000</v>
      </c>
      <c r="I3779" s="35">
        <f>H3779-F3779*VLOOKUP(銷售總表!B3779,產品!$A$2:$H$61,8,FALSE)</f>
        <v>81000</v>
      </c>
      <c r="J3779" s="20">
        <f t="shared" ref="J3779:J3842" si="59">I3779/H3779</f>
        <v>0.52941176470588236</v>
      </c>
    </row>
    <row r="3780" spans="1:10" x14ac:dyDescent="0.3">
      <c r="A3780" s="33">
        <v>3779</v>
      </c>
      <c r="B3780" s="4">
        <v>4</v>
      </c>
      <c r="C3780" s="15">
        <v>287</v>
      </c>
      <c r="D3780" s="16">
        <v>10</v>
      </c>
      <c r="E3780" s="22">
        <v>44598</v>
      </c>
      <c r="F3780" s="19">
        <v>120</v>
      </c>
      <c r="G3780" s="18">
        <v>0.06</v>
      </c>
      <c r="H3780">
        <f>F3780*VLOOKUP(B3780,產品!$A$2:$H$61,7,FALSE)*(1-銷售總表!G3780)</f>
        <v>112800</v>
      </c>
      <c r="I3780" s="35">
        <f>H3780-F3780*VLOOKUP(銷售總表!B3780,產品!$A$2:$H$61,8,FALSE)</f>
        <v>64800</v>
      </c>
      <c r="J3780" s="20">
        <f t="shared" si="59"/>
        <v>0.57446808510638303</v>
      </c>
    </row>
    <row r="3781" spans="1:10" x14ac:dyDescent="0.3">
      <c r="A3781" s="33">
        <v>3780</v>
      </c>
      <c r="B3781" s="4">
        <v>45</v>
      </c>
      <c r="C3781" s="15">
        <v>4</v>
      </c>
      <c r="D3781" s="16">
        <v>5</v>
      </c>
      <c r="E3781" s="22">
        <v>44599</v>
      </c>
      <c r="F3781" s="19">
        <v>2</v>
      </c>
      <c r="G3781" s="18">
        <v>0.12</v>
      </c>
      <c r="H3781">
        <f>F3781*VLOOKUP(B3781,產品!$A$2:$H$61,7,FALSE)*(1-銷售總表!G3781)</f>
        <v>24640</v>
      </c>
      <c r="I3781" s="35">
        <f>H3781-F3781*VLOOKUP(銷售總表!B3781,產品!$A$2:$H$61,8,FALSE)</f>
        <v>6440</v>
      </c>
      <c r="J3781" s="20">
        <f t="shared" si="59"/>
        <v>0.26136363636363635</v>
      </c>
    </row>
    <row r="3782" spans="1:10" x14ac:dyDescent="0.3">
      <c r="A3782" s="33">
        <v>3781</v>
      </c>
      <c r="B3782" s="4">
        <v>22</v>
      </c>
      <c r="C3782" s="15">
        <v>289</v>
      </c>
      <c r="D3782" s="16">
        <v>2</v>
      </c>
      <c r="E3782" s="22">
        <v>44599</v>
      </c>
      <c r="F3782" s="17">
        <v>10</v>
      </c>
      <c r="G3782" s="18">
        <v>0.15</v>
      </c>
      <c r="H3782">
        <f>F3782*VLOOKUP(B3782,產品!$A$2:$H$61,7,FALSE)*(1-銷售總表!G3782)</f>
        <v>15300</v>
      </c>
      <c r="I3782" s="35">
        <f>H3782-F3782*VLOOKUP(銷售總表!B3782,產品!$A$2:$H$61,8,FALSE)</f>
        <v>8100</v>
      </c>
      <c r="J3782" s="20">
        <f t="shared" si="59"/>
        <v>0.52941176470588236</v>
      </c>
    </row>
    <row r="3783" spans="1:10" x14ac:dyDescent="0.3">
      <c r="A3783" s="33">
        <v>3782</v>
      </c>
      <c r="B3783" s="4">
        <v>40</v>
      </c>
      <c r="C3783" s="15">
        <v>6</v>
      </c>
      <c r="D3783" s="16">
        <v>4</v>
      </c>
      <c r="E3783" s="22">
        <v>44599</v>
      </c>
      <c r="F3783" s="19">
        <v>11</v>
      </c>
      <c r="G3783" s="18">
        <v>0.1</v>
      </c>
      <c r="H3783">
        <f>F3783*VLOOKUP(B3783,產品!$A$2:$H$61,7,FALSE)*(1-銷售總表!G3783)</f>
        <v>198000</v>
      </c>
      <c r="I3783" s="35">
        <f>H3783-F3783*VLOOKUP(銷售總表!B3783,產品!$A$2:$H$61,8,FALSE)</f>
        <v>55000</v>
      </c>
      <c r="J3783" s="20">
        <f t="shared" si="59"/>
        <v>0.27777777777777779</v>
      </c>
    </row>
    <row r="3784" spans="1:10" x14ac:dyDescent="0.3">
      <c r="A3784" s="33">
        <v>3783</v>
      </c>
      <c r="B3784" s="4">
        <v>42</v>
      </c>
      <c r="C3784" s="15">
        <v>112</v>
      </c>
      <c r="D3784" s="16">
        <v>3</v>
      </c>
      <c r="E3784" s="22">
        <v>44600</v>
      </c>
      <c r="F3784" s="19">
        <v>4</v>
      </c>
      <c r="G3784" s="18">
        <v>0.14000000000000001</v>
      </c>
      <c r="H3784">
        <f>F3784*VLOOKUP(B3784,產品!$A$2:$H$61,7,FALSE)*(1-銷售總表!G3784)</f>
        <v>51600</v>
      </c>
      <c r="I3784" s="35">
        <f>H3784-F3784*VLOOKUP(銷售總表!B3784,產品!$A$2:$H$61,8,FALSE)</f>
        <v>12600</v>
      </c>
      <c r="J3784" s="20">
        <f t="shared" si="59"/>
        <v>0.2441860465116279</v>
      </c>
    </row>
    <row r="3785" spans="1:10" x14ac:dyDescent="0.3">
      <c r="A3785" s="33">
        <v>3784</v>
      </c>
      <c r="B3785" s="4">
        <v>46</v>
      </c>
      <c r="C3785" s="15">
        <v>6</v>
      </c>
      <c r="D3785" s="16">
        <v>7</v>
      </c>
      <c r="E3785" s="22">
        <v>44600</v>
      </c>
      <c r="F3785" s="19">
        <v>6</v>
      </c>
      <c r="G3785" s="18">
        <v>0.12</v>
      </c>
      <c r="H3785">
        <f>F3785*VLOOKUP(B3785,產品!$A$2:$H$61,7,FALSE)*(1-銷售總表!G3785)</f>
        <v>89760</v>
      </c>
      <c r="I3785" s="35">
        <f>H3785-F3785*VLOOKUP(銷售總表!B3785,產品!$A$2:$H$61,8,FALSE)</f>
        <v>23460</v>
      </c>
      <c r="J3785" s="20">
        <f t="shared" si="59"/>
        <v>0.26136363636363635</v>
      </c>
    </row>
    <row r="3786" spans="1:10" x14ac:dyDescent="0.3">
      <c r="A3786" s="33">
        <v>3785</v>
      </c>
      <c r="B3786" s="4">
        <v>31</v>
      </c>
      <c r="C3786" s="15">
        <v>257</v>
      </c>
      <c r="D3786" s="16">
        <v>1</v>
      </c>
      <c r="E3786" s="22">
        <v>44600</v>
      </c>
      <c r="F3786" s="19">
        <v>6</v>
      </c>
      <c r="G3786" s="18">
        <v>0.05</v>
      </c>
      <c r="H3786">
        <f>F3786*VLOOKUP(B3786,產品!$A$2:$H$61,7,FALSE)*(1-銷售總表!G3786)</f>
        <v>39900</v>
      </c>
      <c r="I3786" s="35">
        <f>H3786-F3786*VLOOKUP(銷售總表!B3786,產品!$A$2:$H$61,8,FALSE)</f>
        <v>14700</v>
      </c>
      <c r="J3786" s="20">
        <f t="shared" si="59"/>
        <v>0.36842105263157893</v>
      </c>
    </row>
    <row r="3787" spans="1:10" x14ac:dyDescent="0.3">
      <c r="A3787" s="33">
        <v>3786</v>
      </c>
      <c r="B3787" s="4">
        <v>37</v>
      </c>
      <c r="C3787" s="15">
        <v>257</v>
      </c>
      <c r="D3787" s="16">
        <v>3</v>
      </c>
      <c r="E3787" s="22">
        <v>44600</v>
      </c>
      <c r="F3787" s="19">
        <v>6</v>
      </c>
      <c r="G3787" s="18">
        <v>0.17</v>
      </c>
      <c r="H3787">
        <f>F3787*VLOOKUP(B3787,產品!$A$2:$H$61,7,FALSE)*(1-銷售總表!G3787)</f>
        <v>59760</v>
      </c>
      <c r="I3787" s="35">
        <f>H3787-F3787*VLOOKUP(銷售總表!B3787,產品!$A$2:$H$61,8,FALSE)</f>
        <v>12960</v>
      </c>
      <c r="J3787" s="20">
        <f t="shared" si="59"/>
        <v>0.21686746987951808</v>
      </c>
    </row>
    <row r="3788" spans="1:10" x14ac:dyDescent="0.3">
      <c r="A3788" s="33">
        <v>3787</v>
      </c>
      <c r="B3788" s="4">
        <v>30</v>
      </c>
      <c r="C3788" s="15">
        <v>4</v>
      </c>
      <c r="D3788" s="16">
        <v>2</v>
      </c>
      <c r="E3788" s="22">
        <v>44600</v>
      </c>
      <c r="F3788" s="17">
        <v>7</v>
      </c>
      <c r="G3788" s="18">
        <v>0.06</v>
      </c>
      <c r="H3788">
        <f>F3788*VLOOKUP(B3788,產品!$A$2:$H$61,7,FALSE)*(1-銷售總表!G3788)</f>
        <v>42770</v>
      </c>
      <c r="I3788" s="35">
        <f>H3788-F3788*VLOOKUP(銷售總表!B3788,產品!$A$2:$H$61,8,FALSE)</f>
        <v>15470</v>
      </c>
      <c r="J3788" s="20">
        <f t="shared" si="59"/>
        <v>0.36170212765957449</v>
      </c>
    </row>
    <row r="3789" spans="1:10" x14ac:dyDescent="0.3">
      <c r="A3789" s="33">
        <v>3788</v>
      </c>
      <c r="B3789" s="4">
        <v>48</v>
      </c>
      <c r="C3789" s="15">
        <v>7</v>
      </c>
      <c r="D3789" s="16">
        <v>7</v>
      </c>
      <c r="E3789" s="22">
        <v>44600</v>
      </c>
      <c r="F3789" s="19">
        <v>8</v>
      </c>
      <c r="G3789" s="18">
        <v>0.08</v>
      </c>
      <c r="H3789">
        <f>F3789*VLOOKUP(B3789,產品!$A$2:$H$61,7,FALSE)*(1-銷售總表!G3789)</f>
        <v>161920</v>
      </c>
      <c r="I3789" s="35">
        <f>H3789-F3789*VLOOKUP(銷售總表!B3789,產品!$A$2:$H$61,8,FALSE)</f>
        <v>47520</v>
      </c>
      <c r="J3789" s="20">
        <f t="shared" si="59"/>
        <v>0.29347826086956524</v>
      </c>
    </row>
    <row r="3790" spans="1:10" x14ac:dyDescent="0.3">
      <c r="A3790" s="33">
        <v>3789</v>
      </c>
      <c r="B3790" s="4">
        <v>42</v>
      </c>
      <c r="C3790" s="15">
        <v>292</v>
      </c>
      <c r="D3790" s="16">
        <v>9</v>
      </c>
      <c r="E3790" s="22">
        <v>44600</v>
      </c>
      <c r="F3790" s="19">
        <v>8</v>
      </c>
      <c r="G3790" s="18">
        <v>0.18</v>
      </c>
      <c r="H3790">
        <f>F3790*VLOOKUP(B3790,產品!$A$2:$H$61,7,FALSE)*(1-銷售總表!G3790)</f>
        <v>98400.000000000015</v>
      </c>
      <c r="I3790" s="35">
        <f>H3790-F3790*VLOOKUP(銷售總表!B3790,產品!$A$2:$H$61,8,FALSE)</f>
        <v>20400.000000000015</v>
      </c>
      <c r="J3790" s="20">
        <f t="shared" si="59"/>
        <v>0.20731707317073184</v>
      </c>
    </row>
    <row r="3791" spans="1:10" x14ac:dyDescent="0.3">
      <c r="A3791" s="33">
        <v>3790</v>
      </c>
      <c r="B3791" s="4">
        <v>29</v>
      </c>
      <c r="C3791" s="15">
        <v>122</v>
      </c>
      <c r="D3791" s="16">
        <v>2</v>
      </c>
      <c r="E3791" s="22">
        <v>44600</v>
      </c>
      <c r="F3791" s="19">
        <v>14</v>
      </c>
      <c r="G3791" s="18">
        <v>0.13</v>
      </c>
      <c r="H3791">
        <f>F3791*VLOOKUP(B3791,產品!$A$2:$H$61,7,FALSE)*(1-銷售總表!G3791)</f>
        <v>73080</v>
      </c>
      <c r="I3791" s="35">
        <f>H3791-F3791*VLOOKUP(銷售總表!B3791,產品!$A$2:$H$61,8,FALSE)</f>
        <v>22680</v>
      </c>
      <c r="J3791" s="20">
        <f t="shared" si="59"/>
        <v>0.31034482758620691</v>
      </c>
    </row>
    <row r="3792" spans="1:10" x14ac:dyDescent="0.3">
      <c r="A3792" s="33">
        <v>3791</v>
      </c>
      <c r="B3792" s="4">
        <v>6</v>
      </c>
      <c r="C3792" s="15">
        <v>258</v>
      </c>
      <c r="D3792" s="16">
        <v>1</v>
      </c>
      <c r="E3792" s="22">
        <v>44600</v>
      </c>
      <c r="F3792" s="19">
        <v>16</v>
      </c>
      <c r="G3792" s="18">
        <v>7.0000000000000007E-2</v>
      </c>
      <c r="H3792">
        <f>F3792*VLOOKUP(B3792,產品!$A$2:$H$61,7,FALSE)*(1-銷售總表!G3792)</f>
        <v>14879.999999999998</v>
      </c>
      <c r="I3792" s="35">
        <f>H3792-F3792*VLOOKUP(銷售總表!B3792,產品!$A$2:$H$61,8,FALSE)</f>
        <v>8479.9999999999982</v>
      </c>
      <c r="J3792" s="20">
        <f t="shared" si="59"/>
        <v>0.56989247311827951</v>
      </c>
    </row>
    <row r="3793" spans="1:10" x14ac:dyDescent="0.3">
      <c r="A3793" s="33">
        <v>3792</v>
      </c>
      <c r="B3793" s="4">
        <v>19</v>
      </c>
      <c r="C3793" s="15">
        <v>1</v>
      </c>
      <c r="D3793" s="16">
        <v>3</v>
      </c>
      <c r="E3793" s="22">
        <v>44600</v>
      </c>
      <c r="F3793" s="19">
        <v>80</v>
      </c>
      <c r="G3793" s="18">
        <v>0.2</v>
      </c>
      <c r="H3793">
        <f>F3793*VLOOKUP(B3793,產品!$A$2:$H$61,7,FALSE)*(1-銷售總表!G3793)</f>
        <v>115200</v>
      </c>
      <c r="I3793" s="35">
        <f>H3793-F3793*VLOOKUP(銷售總表!B3793,產品!$A$2:$H$61,8,FALSE)</f>
        <v>57600</v>
      </c>
      <c r="J3793" s="20">
        <f t="shared" si="59"/>
        <v>0.5</v>
      </c>
    </row>
    <row r="3794" spans="1:10" x14ac:dyDescent="0.3">
      <c r="A3794" s="33">
        <v>3793</v>
      </c>
      <c r="B3794" s="4">
        <v>45</v>
      </c>
      <c r="C3794" s="15">
        <v>8</v>
      </c>
      <c r="D3794" s="16">
        <v>8</v>
      </c>
      <c r="E3794" s="22">
        <v>44601</v>
      </c>
      <c r="F3794" s="19">
        <v>1</v>
      </c>
      <c r="G3794" s="18">
        <v>0.2</v>
      </c>
      <c r="H3794">
        <f>F3794*VLOOKUP(B3794,產品!$A$2:$H$61,7,FALSE)*(1-銷售總表!G3794)</f>
        <v>11200</v>
      </c>
      <c r="I3794" s="35">
        <f>H3794-F3794*VLOOKUP(銷售總表!B3794,產品!$A$2:$H$61,8,FALSE)</f>
        <v>2100</v>
      </c>
      <c r="J3794" s="20">
        <f t="shared" si="59"/>
        <v>0.1875</v>
      </c>
    </row>
    <row r="3795" spans="1:10" x14ac:dyDescent="0.3">
      <c r="A3795" s="33">
        <v>3794</v>
      </c>
      <c r="B3795" s="4">
        <v>48</v>
      </c>
      <c r="C3795" s="15">
        <v>118</v>
      </c>
      <c r="D3795" s="16">
        <v>2</v>
      </c>
      <c r="E3795" s="22">
        <v>44601</v>
      </c>
      <c r="F3795" s="17">
        <v>2</v>
      </c>
      <c r="G3795" s="18">
        <v>0.13</v>
      </c>
      <c r="H3795">
        <f>F3795*VLOOKUP(B3795,產品!$A$2:$H$61,7,FALSE)*(1-銷售總表!G3795)</f>
        <v>38280</v>
      </c>
      <c r="I3795" s="35">
        <f>H3795-F3795*VLOOKUP(銷售總表!B3795,產品!$A$2:$H$61,8,FALSE)</f>
        <v>9680</v>
      </c>
      <c r="J3795" s="20">
        <f t="shared" si="59"/>
        <v>0.25287356321839083</v>
      </c>
    </row>
    <row r="3796" spans="1:10" x14ac:dyDescent="0.3">
      <c r="A3796" s="33">
        <v>3795</v>
      </c>
      <c r="B3796" s="4">
        <v>51</v>
      </c>
      <c r="C3796" s="15">
        <v>287</v>
      </c>
      <c r="D3796" s="16">
        <v>3</v>
      </c>
      <c r="E3796" s="22">
        <v>44601</v>
      </c>
      <c r="F3796" s="19">
        <v>3</v>
      </c>
      <c r="G3796" s="18">
        <v>0.2</v>
      </c>
      <c r="H3796">
        <f>F3796*VLOOKUP(B3796,產品!$A$2:$H$61,7,FALSE)*(1-銷售總表!G3796)</f>
        <v>48000</v>
      </c>
      <c r="I3796" s="35">
        <f>H3796-F3796*VLOOKUP(銷售總表!B3796,產品!$A$2:$H$61,8,FALSE)</f>
        <v>6000</v>
      </c>
      <c r="J3796" s="20">
        <f t="shared" si="59"/>
        <v>0.125</v>
      </c>
    </row>
    <row r="3797" spans="1:10" x14ac:dyDescent="0.3">
      <c r="A3797" s="33">
        <v>3796</v>
      </c>
      <c r="B3797" s="4">
        <v>21</v>
      </c>
      <c r="C3797" s="15">
        <v>12</v>
      </c>
      <c r="D3797" s="16">
        <v>1</v>
      </c>
      <c r="E3797" s="22">
        <v>44601</v>
      </c>
      <c r="F3797" s="19">
        <v>8</v>
      </c>
      <c r="G3797" s="18">
        <v>0.08</v>
      </c>
      <c r="H3797">
        <f>F3797*VLOOKUP(B3797,產品!$A$2:$H$61,7,FALSE)*(1-銷售總表!G3797)</f>
        <v>13248</v>
      </c>
      <c r="I3797" s="35">
        <f>H3797-F3797*VLOOKUP(銷售總表!B3797,產品!$A$2:$H$61,8,FALSE)</f>
        <v>7488</v>
      </c>
      <c r="J3797" s="20">
        <f t="shared" si="59"/>
        <v>0.56521739130434778</v>
      </c>
    </row>
    <row r="3798" spans="1:10" x14ac:dyDescent="0.3">
      <c r="A3798" s="33">
        <v>3797</v>
      </c>
      <c r="B3798" s="4">
        <v>1</v>
      </c>
      <c r="C3798" s="15">
        <v>6</v>
      </c>
      <c r="D3798" s="16">
        <v>2</v>
      </c>
      <c r="E3798" s="22">
        <v>44601</v>
      </c>
      <c r="F3798" s="19">
        <v>10</v>
      </c>
      <c r="G3798" s="18">
        <v>0.08</v>
      </c>
      <c r="H3798">
        <f>F3798*VLOOKUP(B3798,產品!$A$2:$H$61,7,FALSE)*(1-銷售總表!G3798)</f>
        <v>9200</v>
      </c>
      <c r="I3798" s="35">
        <f>H3798-F3798*VLOOKUP(銷售總表!B3798,產品!$A$2:$H$61,8,FALSE)</f>
        <v>5200</v>
      </c>
      <c r="J3798" s="20">
        <f t="shared" si="59"/>
        <v>0.56521739130434778</v>
      </c>
    </row>
    <row r="3799" spans="1:10" x14ac:dyDescent="0.3">
      <c r="A3799" s="33">
        <v>3798</v>
      </c>
      <c r="B3799" s="4">
        <v>51</v>
      </c>
      <c r="C3799" s="15">
        <v>10</v>
      </c>
      <c r="D3799" s="16">
        <v>6</v>
      </c>
      <c r="E3799" s="22">
        <v>44601</v>
      </c>
      <c r="F3799" s="19">
        <v>18</v>
      </c>
      <c r="G3799" s="18">
        <v>0.18</v>
      </c>
      <c r="H3799">
        <f>F3799*VLOOKUP(B3799,產品!$A$2:$H$61,7,FALSE)*(1-銷售總表!G3799)</f>
        <v>295200</v>
      </c>
      <c r="I3799" s="35">
        <f>H3799-F3799*VLOOKUP(銷售總表!B3799,產品!$A$2:$H$61,8,FALSE)</f>
        <v>43200</v>
      </c>
      <c r="J3799" s="20">
        <f t="shared" si="59"/>
        <v>0.14634146341463414</v>
      </c>
    </row>
    <row r="3800" spans="1:10" x14ac:dyDescent="0.3">
      <c r="A3800" s="33">
        <v>3799</v>
      </c>
      <c r="B3800" s="4">
        <v>26</v>
      </c>
      <c r="C3800" s="15">
        <v>262</v>
      </c>
      <c r="D3800" s="16">
        <v>8</v>
      </c>
      <c r="E3800" s="22">
        <v>44601</v>
      </c>
      <c r="F3800" s="17">
        <v>18</v>
      </c>
      <c r="G3800" s="18">
        <v>0.15</v>
      </c>
      <c r="H3800">
        <f>F3800*VLOOKUP(B3800,產品!$A$2:$H$61,7,FALSE)*(1-銷售總表!G3800)</f>
        <v>99450</v>
      </c>
      <c r="I3800" s="35">
        <f>H3800-F3800*VLOOKUP(銷售總表!B3800,產品!$A$2:$H$61,8,FALSE)</f>
        <v>29250</v>
      </c>
      <c r="J3800" s="20">
        <f t="shared" si="59"/>
        <v>0.29411764705882354</v>
      </c>
    </row>
    <row r="3801" spans="1:10" x14ac:dyDescent="0.3">
      <c r="A3801" s="33">
        <v>3800</v>
      </c>
      <c r="B3801" s="4">
        <v>31</v>
      </c>
      <c r="C3801" s="15">
        <v>112</v>
      </c>
      <c r="D3801" s="16">
        <v>4</v>
      </c>
      <c r="E3801" s="22">
        <v>44601</v>
      </c>
      <c r="F3801" s="17">
        <v>20</v>
      </c>
      <c r="G3801" s="18">
        <v>0.16</v>
      </c>
      <c r="H3801">
        <f>F3801*VLOOKUP(B3801,產品!$A$2:$H$61,7,FALSE)*(1-銷售總表!G3801)</f>
        <v>117600</v>
      </c>
      <c r="I3801" s="35">
        <f>H3801-F3801*VLOOKUP(銷售總表!B3801,產品!$A$2:$H$61,8,FALSE)</f>
        <v>33600</v>
      </c>
      <c r="J3801" s="20">
        <f t="shared" si="59"/>
        <v>0.2857142857142857</v>
      </c>
    </row>
    <row r="3802" spans="1:10" x14ac:dyDescent="0.3">
      <c r="A3802" s="33">
        <v>3801</v>
      </c>
      <c r="B3802" s="4">
        <v>42</v>
      </c>
      <c r="C3802" s="15">
        <v>283</v>
      </c>
      <c r="D3802" s="16">
        <v>6</v>
      </c>
      <c r="E3802" s="22">
        <v>44602</v>
      </c>
      <c r="F3802" s="19">
        <v>1</v>
      </c>
      <c r="G3802" s="18">
        <v>0.05</v>
      </c>
      <c r="H3802">
        <f>F3802*VLOOKUP(B3802,產品!$A$2:$H$61,7,FALSE)*(1-銷售總表!G3802)</f>
        <v>14250</v>
      </c>
      <c r="I3802" s="35">
        <f>H3802-F3802*VLOOKUP(銷售總表!B3802,產品!$A$2:$H$61,8,FALSE)</f>
        <v>4500</v>
      </c>
      <c r="J3802" s="20">
        <f t="shared" si="59"/>
        <v>0.31578947368421051</v>
      </c>
    </row>
    <row r="3803" spans="1:10" x14ac:dyDescent="0.3">
      <c r="A3803" s="33">
        <v>3802</v>
      </c>
      <c r="B3803" s="4">
        <v>57</v>
      </c>
      <c r="C3803" s="15">
        <v>4</v>
      </c>
      <c r="D3803" s="16">
        <v>10</v>
      </c>
      <c r="E3803" s="22">
        <v>44602</v>
      </c>
      <c r="F3803" s="19">
        <v>2</v>
      </c>
      <c r="G3803" s="18">
        <v>0.16</v>
      </c>
      <c r="H3803">
        <f>F3803*VLOOKUP(B3803,產品!$A$2:$H$61,7,FALSE)*(1-銷售總表!G3803)</f>
        <v>30240</v>
      </c>
      <c r="I3803" s="35">
        <f>H3803-F3803*VLOOKUP(銷售總表!B3803,產品!$A$2:$H$61,8,FALSE)</f>
        <v>5040</v>
      </c>
      <c r="J3803" s="20">
        <f t="shared" si="59"/>
        <v>0.16666666666666666</v>
      </c>
    </row>
    <row r="3804" spans="1:10" x14ac:dyDescent="0.3">
      <c r="A3804" s="33">
        <v>3803</v>
      </c>
      <c r="B3804" s="4">
        <v>40</v>
      </c>
      <c r="C3804" s="15">
        <v>270</v>
      </c>
      <c r="D3804" s="16">
        <v>9</v>
      </c>
      <c r="E3804" s="22">
        <v>44602</v>
      </c>
      <c r="F3804" s="19">
        <v>5</v>
      </c>
      <c r="G3804" s="18">
        <v>0.19</v>
      </c>
      <c r="H3804">
        <f>F3804*VLOOKUP(B3804,產品!$A$2:$H$61,7,FALSE)*(1-銷售總表!G3804)</f>
        <v>81000</v>
      </c>
      <c r="I3804" s="35">
        <f>H3804-F3804*VLOOKUP(銷售總表!B3804,產品!$A$2:$H$61,8,FALSE)</f>
        <v>16000</v>
      </c>
      <c r="J3804" s="20">
        <f t="shared" si="59"/>
        <v>0.19753086419753085</v>
      </c>
    </row>
    <row r="3805" spans="1:10" x14ac:dyDescent="0.3">
      <c r="A3805" s="33">
        <v>3804</v>
      </c>
      <c r="B3805" s="4">
        <v>60</v>
      </c>
      <c r="C3805" s="15">
        <v>294</v>
      </c>
      <c r="D3805" s="16">
        <v>8</v>
      </c>
      <c r="E3805" s="22">
        <v>44602</v>
      </c>
      <c r="F3805" s="19">
        <v>5</v>
      </c>
      <c r="G3805" s="18">
        <v>0.18</v>
      </c>
      <c r="H3805">
        <f>F3805*VLOOKUP(B3805,產品!$A$2:$H$61,7,FALSE)*(1-銷售總表!G3805)</f>
        <v>102500.00000000001</v>
      </c>
      <c r="I3805" s="35">
        <f>H3805-F3805*VLOOKUP(銷售總表!B3805,產品!$A$2:$H$61,8,FALSE)</f>
        <v>15000.000000000015</v>
      </c>
      <c r="J3805" s="20">
        <f t="shared" si="59"/>
        <v>0.14634146341463428</v>
      </c>
    </row>
    <row r="3806" spans="1:10" x14ac:dyDescent="0.3">
      <c r="A3806" s="33">
        <v>3805</v>
      </c>
      <c r="B3806" s="4">
        <v>48</v>
      </c>
      <c r="C3806" s="15">
        <v>7</v>
      </c>
      <c r="D3806" s="16">
        <v>4</v>
      </c>
      <c r="E3806" s="22">
        <v>44602</v>
      </c>
      <c r="F3806" s="19">
        <v>8</v>
      </c>
      <c r="G3806" s="18">
        <v>0.05</v>
      </c>
      <c r="H3806">
        <f>F3806*VLOOKUP(B3806,產品!$A$2:$H$61,7,FALSE)*(1-銷售總表!G3806)</f>
        <v>167200</v>
      </c>
      <c r="I3806" s="35">
        <f>H3806-F3806*VLOOKUP(銷售總表!B3806,產品!$A$2:$H$61,8,FALSE)</f>
        <v>52800</v>
      </c>
      <c r="J3806" s="20">
        <f t="shared" si="59"/>
        <v>0.31578947368421051</v>
      </c>
    </row>
    <row r="3807" spans="1:10" x14ac:dyDescent="0.3">
      <c r="A3807" s="33">
        <v>3806</v>
      </c>
      <c r="B3807" s="4">
        <v>14</v>
      </c>
      <c r="C3807" s="15">
        <v>4</v>
      </c>
      <c r="D3807" s="16">
        <v>10</v>
      </c>
      <c r="E3807" s="22">
        <v>44602</v>
      </c>
      <c r="F3807" s="19">
        <v>70</v>
      </c>
      <c r="G3807" s="18">
        <v>0.12</v>
      </c>
      <c r="H3807">
        <f>F3807*VLOOKUP(B3807,產品!$A$2:$H$61,7,FALSE)*(1-銷售總表!G3807)</f>
        <v>110880</v>
      </c>
      <c r="I3807" s="35">
        <f>H3807-F3807*VLOOKUP(銷售總表!B3807,產品!$A$2:$H$61,8,FALSE)</f>
        <v>60480</v>
      </c>
      <c r="J3807" s="20">
        <f t="shared" si="59"/>
        <v>0.54545454545454541</v>
      </c>
    </row>
    <row r="3808" spans="1:10" x14ac:dyDescent="0.3">
      <c r="A3808" s="33">
        <v>3807</v>
      </c>
      <c r="B3808" s="4">
        <v>2</v>
      </c>
      <c r="C3808" s="15">
        <v>3</v>
      </c>
      <c r="D3808" s="16">
        <v>6</v>
      </c>
      <c r="E3808" s="22">
        <v>44602</v>
      </c>
      <c r="F3808" s="19">
        <v>150</v>
      </c>
      <c r="G3808" s="18">
        <v>0.18</v>
      </c>
      <c r="H3808">
        <f>F3808*VLOOKUP(B3808,產品!$A$2:$H$61,7,FALSE)*(1-銷售總表!G3808)</f>
        <v>123000.00000000001</v>
      </c>
      <c r="I3808" s="35">
        <f>H3808-F3808*VLOOKUP(銷售總表!B3808,產品!$A$2:$H$61,8,FALSE)</f>
        <v>63000.000000000015</v>
      </c>
      <c r="J3808" s="20">
        <f t="shared" si="59"/>
        <v>0.51219512195121952</v>
      </c>
    </row>
    <row r="3809" spans="1:10" x14ac:dyDescent="0.3">
      <c r="A3809" s="33">
        <v>3808</v>
      </c>
      <c r="B3809" s="4">
        <v>36</v>
      </c>
      <c r="C3809" s="15">
        <v>11</v>
      </c>
      <c r="D3809" s="16">
        <v>10</v>
      </c>
      <c r="E3809" s="22">
        <v>44603</v>
      </c>
      <c r="F3809" s="19">
        <v>3</v>
      </c>
      <c r="G3809" s="18">
        <v>0.11</v>
      </c>
      <c r="H3809">
        <f>F3809*VLOOKUP(B3809,產品!$A$2:$H$61,7,FALSE)*(1-銷售總表!G3809)</f>
        <v>24030</v>
      </c>
      <c r="I3809" s="35">
        <f>H3809-F3809*VLOOKUP(銷售總表!B3809,產品!$A$2:$H$61,8,FALSE)</f>
        <v>7830</v>
      </c>
      <c r="J3809" s="20">
        <f t="shared" si="59"/>
        <v>0.3258426966292135</v>
      </c>
    </row>
    <row r="3810" spans="1:10" x14ac:dyDescent="0.3">
      <c r="A3810" s="33">
        <v>3809</v>
      </c>
      <c r="B3810" s="4">
        <v>32</v>
      </c>
      <c r="C3810" s="15">
        <v>282</v>
      </c>
      <c r="D3810" s="16">
        <v>1</v>
      </c>
      <c r="E3810" s="22">
        <v>44603</v>
      </c>
      <c r="F3810" s="17">
        <v>4</v>
      </c>
      <c r="G3810" s="18">
        <v>0.05</v>
      </c>
      <c r="H3810">
        <f>F3810*VLOOKUP(B3810,產品!$A$2:$H$61,7,FALSE)*(1-銷售總表!G3810)</f>
        <v>28500</v>
      </c>
      <c r="I3810" s="35">
        <f>H3810-F3810*VLOOKUP(銷售總表!B3810,產品!$A$2:$H$61,8,FALSE)</f>
        <v>10500</v>
      </c>
      <c r="J3810" s="20">
        <f t="shared" si="59"/>
        <v>0.36842105263157893</v>
      </c>
    </row>
    <row r="3811" spans="1:10" x14ac:dyDescent="0.3">
      <c r="A3811" s="33">
        <v>3810</v>
      </c>
      <c r="B3811" s="4">
        <v>51</v>
      </c>
      <c r="C3811" s="15">
        <v>5</v>
      </c>
      <c r="D3811" s="16">
        <v>7</v>
      </c>
      <c r="E3811" s="22">
        <v>44603</v>
      </c>
      <c r="F3811" s="19">
        <v>8</v>
      </c>
      <c r="G3811" s="18">
        <v>0.05</v>
      </c>
      <c r="H3811">
        <f>F3811*VLOOKUP(B3811,產品!$A$2:$H$61,7,FALSE)*(1-銷售總表!G3811)</f>
        <v>152000</v>
      </c>
      <c r="I3811" s="35">
        <f>H3811-F3811*VLOOKUP(銷售總表!B3811,產品!$A$2:$H$61,8,FALSE)</f>
        <v>40000</v>
      </c>
      <c r="J3811" s="20">
        <f t="shared" si="59"/>
        <v>0.26315789473684209</v>
      </c>
    </row>
    <row r="3812" spans="1:10" x14ac:dyDescent="0.3">
      <c r="A3812" s="33">
        <v>3811</v>
      </c>
      <c r="B3812" s="4">
        <v>11</v>
      </c>
      <c r="C3812" s="15">
        <v>261</v>
      </c>
      <c r="D3812" s="16">
        <v>7</v>
      </c>
      <c r="E3812" s="22">
        <v>44603</v>
      </c>
      <c r="F3812" s="19">
        <v>50</v>
      </c>
      <c r="G3812" s="18">
        <v>0.18</v>
      </c>
      <c r="H3812">
        <f>F3812*VLOOKUP(B3812,產品!$A$2:$H$61,7,FALSE)*(1-銷售總表!G3812)</f>
        <v>41000</v>
      </c>
      <c r="I3812" s="35">
        <f>H3812-F3812*VLOOKUP(銷售總表!B3812,產品!$A$2:$H$61,8,FALSE)</f>
        <v>21000</v>
      </c>
      <c r="J3812" s="20">
        <f t="shared" si="59"/>
        <v>0.51219512195121952</v>
      </c>
    </row>
    <row r="3813" spans="1:10" x14ac:dyDescent="0.3">
      <c r="A3813" s="33">
        <v>3812</v>
      </c>
      <c r="B3813" s="4">
        <v>7</v>
      </c>
      <c r="C3813" s="15">
        <v>135</v>
      </c>
      <c r="D3813" s="16">
        <v>7</v>
      </c>
      <c r="E3813" s="22">
        <v>44603</v>
      </c>
      <c r="F3813" s="19">
        <v>175</v>
      </c>
      <c r="G3813" s="18">
        <v>0.14000000000000001</v>
      </c>
      <c r="H3813">
        <f>F3813*VLOOKUP(B3813,產品!$A$2:$H$61,7,FALSE)*(1-銷售總表!G3813)</f>
        <v>150500</v>
      </c>
      <c r="I3813" s="35">
        <f>H3813-F3813*VLOOKUP(銷售總表!B3813,產品!$A$2:$H$61,8,FALSE)</f>
        <v>80500</v>
      </c>
      <c r="J3813" s="20">
        <f t="shared" si="59"/>
        <v>0.53488372093023251</v>
      </c>
    </row>
    <row r="3814" spans="1:10" x14ac:dyDescent="0.3">
      <c r="A3814" s="33">
        <v>3813</v>
      </c>
      <c r="B3814" s="4">
        <v>48</v>
      </c>
      <c r="C3814" s="15">
        <v>1</v>
      </c>
      <c r="D3814" s="16">
        <v>3</v>
      </c>
      <c r="E3814" s="22">
        <v>44604</v>
      </c>
      <c r="F3814" s="17">
        <v>8</v>
      </c>
      <c r="G3814" s="18">
        <v>0.08</v>
      </c>
      <c r="H3814">
        <f>F3814*VLOOKUP(B3814,產品!$A$2:$H$61,7,FALSE)*(1-銷售總表!G3814)</f>
        <v>161920</v>
      </c>
      <c r="I3814" s="35">
        <f>H3814-F3814*VLOOKUP(銷售總表!B3814,產品!$A$2:$H$61,8,FALSE)</f>
        <v>47520</v>
      </c>
      <c r="J3814" s="20">
        <f t="shared" si="59"/>
        <v>0.29347826086956524</v>
      </c>
    </row>
    <row r="3815" spans="1:10" x14ac:dyDescent="0.3">
      <c r="A3815" s="33">
        <v>3814</v>
      </c>
      <c r="B3815" s="4">
        <v>29</v>
      </c>
      <c r="C3815" s="15">
        <v>274</v>
      </c>
      <c r="D3815" s="16">
        <v>7</v>
      </c>
      <c r="E3815" s="22">
        <v>44604</v>
      </c>
      <c r="F3815" s="19">
        <v>10</v>
      </c>
      <c r="G3815" s="18">
        <v>0.1</v>
      </c>
      <c r="H3815">
        <f>F3815*VLOOKUP(B3815,產品!$A$2:$H$61,7,FALSE)*(1-銷售總表!G3815)</f>
        <v>54000</v>
      </c>
      <c r="I3815" s="35">
        <f>H3815-F3815*VLOOKUP(銷售總表!B3815,產品!$A$2:$H$61,8,FALSE)</f>
        <v>18000</v>
      </c>
      <c r="J3815" s="20">
        <f t="shared" si="59"/>
        <v>0.33333333333333331</v>
      </c>
    </row>
    <row r="3816" spans="1:10" x14ac:dyDescent="0.3">
      <c r="A3816" s="33">
        <v>3815</v>
      </c>
      <c r="B3816" s="4">
        <v>5</v>
      </c>
      <c r="C3816" s="15">
        <v>116</v>
      </c>
      <c r="D3816" s="16">
        <v>10</v>
      </c>
      <c r="E3816" s="22">
        <v>44604</v>
      </c>
      <c r="F3816" s="17">
        <v>16</v>
      </c>
      <c r="G3816" s="18">
        <v>0.06</v>
      </c>
      <c r="H3816">
        <f>F3816*VLOOKUP(B3816,產品!$A$2:$H$61,7,FALSE)*(1-銷售總表!G3816)</f>
        <v>15040</v>
      </c>
      <c r="I3816" s="35">
        <f>H3816-F3816*VLOOKUP(銷售總表!B3816,產品!$A$2:$H$61,8,FALSE)</f>
        <v>8640</v>
      </c>
      <c r="J3816" s="20">
        <f t="shared" si="59"/>
        <v>0.57446808510638303</v>
      </c>
    </row>
    <row r="3817" spans="1:10" x14ac:dyDescent="0.3">
      <c r="A3817" s="33">
        <v>3816</v>
      </c>
      <c r="B3817" s="4">
        <v>37</v>
      </c>
      <c r="C3817" s="15">
        <v>7</v>
      </c>
      <c r="D3817" s="16">
        <v>2</v>
      </c>
      <c r="E3817" s="22">
        <v>44604</v>
      </c>
      <c r="F3817" s="17">
        <v>20</v>
      </c>
      <c r="G3817" s="18">
        <v>0.15</v>
      </c>
      <c r="H3817">
        <f>F3817*VLOOKUP(B3817,產品!$A$2:$H$61,7,FALSE)*(1-銷售總表!G3817)</f>
        <v>204000</v>
      </c>
      <c r="I3817" s="35">
        <f>H3817-F3817*VLOOKUP(銷售總表!B3817,產品!$A$2:$H$61,8,FALSE)</f>
        <v>48000</v>
      </c>
      <c r="J3817" s="20">
        <f t="shared" si="59"/>
        <v>0.23529411764705882</v>
      </c>
    </row>
    <row r="3818" spans="1:10" x14ac:dyDescent="0.3">
      <c r="A3818" s="33">
        <v>3817</v>
      </c>
      <c r="B3818" s="4">
        <v>5</v>
      </c>
      <c r="C3818" s="15">
        <v>257</v>
      </c>
      <c r="D3818" s="16">
        <v>9</v>
      </c>
      <c r="E3818" s="22">
        <v>44604</v>
      </c>
      <c r="F3818" s="17">
        <v>30</v>
      </c>
      <c r="G3818" s="18">
        <v>0.08</v>
      </c>
      <c r="H3818">
        <f>F3818*VLOOKUP(B3818,產品!$A$2:$H$61,7,FALSE)*(1-銷售總表!G3818)</f>
        <v>27600</v>
      </c>
      <c r="I3818" s="35">
        <f>H3818-F3818*VLOOKUP(銷售總表!B3818,產品!$A$2:$H$61,8,FALSE)</f>
        <v>15600</v>
      </c>
      <c r="J3818" s="20">
        <f t="shared" si="59"/>
        <v>0.56521739130434778</v>
      </c>
    </row>
    <row r="3819" spans="1:10" x14ac:dyDescent="0.3">
      <c r="A3819" s="33">
        <v>3818</v>
      </c>
      <c r="B3819" s="4">
        <v>24</v>
      </c>
      <c r="C3819" s="15">
        <v>283</v>
      </c>
      <c r="D3819" s="16">
        <v>10</v>
      </c>
      <c r="E3819" s="22">
        <v>44604</v>
      </c>
      <c r="F3819" s="19">
        <v>60</v>
      </c>
      <c r="G3819" s="18">
        <v>0.12</v>
      </c>
      <c r="H3819">
        <f>F3819*VLOOKUP(B3819,產品!$A$2:$H$61,7,FALSE)*(1-銷售總表!G3819)</f>
        <v>95040</v>
      </c>
      <c r="I3819" s="35">
        <f>H3819-F3819*VLOOKUP(銷售總表!B3819,產品!$A$2:$H$61,8,FALSE)</f>
        <v>51840</v>
      </c>
      <c r="J3819" s="20">
        <f t="shared" si="59"/>
        <v>0.54545454545454541</v>
      </c>
    </row>
    <row r="3820" spans="1:10" x14ac:dyDescent="0.3">
      <c r="A3820" s="33">
        <v>3819</v>
      </c>
      <c r="B3820" s="4">
        <v>24</v>
      </c>
      <c r="C3820" s="15">
        <v>121</v>
      </c>
      <c r="D3820" s="16">
        <v>1</v>
      </c>
      <c r="E3820" s="22">
        <v>44604</v>
      </c>
      <c r="F3820" s="19">
        <v>90</v>
      </c>
      <c r="G3820" s="18">
        <v>0.15</v>
      </c>
      <c r="H3820">
        <f>F3820*VLOOKUP(B3820,產品!$A$2:$H$61,7,FALSE)*(1-銷售總表!G3820)</f>
        <v>137700</v>
      </c>
      <c r="I3820" s="35">
        <f>H3820-F3820*VLOOKUP(銷售總表!B3820,產品!$A$2:$H$61,8,FALSE)</f>
        <v>72900</v>
      </c>
      <c r="J3820" s="20">
        <f t="shared" si="59"/>
        <v>0.52941176470588236</v>
      </c>
    </row>
    <row r="3821" spans="1:10" x14ac:dyDescent="0.3">
      <c r="A3821" s="33">
        <v>3820</v>
      </c>
      <c r="B3821" s="4">
        <v>48</v>
      </c>
      <c r="C3821" s="15">
        <v>112</v>
      </c>
      <c r="D3821" s="16">
        <v>1</v>
      </c>
      <c r="E3821" s="22">
        <v>44605</v>
      </c>
      <c r="F3821" s="19">
        <v>3</v>
      </c>
      <c r="G3821" s="18">
        <v>0.09</v>
      </c>
      <c r="H3821">
        <f>F3821*VLOOKUP(B3821,產品!$A$2:$H$61,7,FALSE)*(1-銷售總表!G3821)</f>
        <v>60060</v>
      </c>
      <c r="I3821" s="35">
        <f>H3821-F3821*VLOOKUP(銷售總表!B3821,產品!$A$2:$H$61,8,FALSE)</f>
        <v>17160</v>
      </c>
      <c r="J3821" s="20">
        <f t="shared" si="59"/>
        <v>0.2857142857142857</v>
      </c>
    </row>
    <row r="3822" spans="1:10" x14ac:dyDescent="0.3">
      <c r="A3822" s="33">
        <v>3821</v>
      </c>
      <c r="B3822" s="4">
        <v>48</v>
      </c>
      <c r="C3822" s="15">
        <v>123</v>
      </c>
      <c r="D3822" s="16">
        <v>10</v>
      </c>
      <c r="E3822" s="22">
        <v>44605</v>
      </c>
      <c r="F3822" s="19">
        <v>4</v>
      </c>
      <c r="G3822" s="18">
        <v>0.2</v>
      </c>
      <c r="H3822">
        <f>F3822*VLOOKUP(B3822,產品!$A$2:$H$61,7,FALSE)*(1-銷售總表!G3822)</f>
        <v>70400</v>
      </c>
      <c r="I3822" s="35">
        <f>H3822-F3822*VLOOKUP(銷售總表!B3822,產品!$A$2:$H$61,8,FALSE)</f>
        <v>13200</v>
      </c>
      <c r="J3822" s="20">
        <f t="shared" si="59"/>
        <v>0.1875</v>
      </c>
    </row>
    <row r="3823" spans="1:10" x14ac:dyDescent="0.3">
      <c r="A3823" s="33">
        <v>3822</v>
      </c>
      <c r="B3823" s="4">
        <v>39</v>
      </c>
      <c r="C3823" s="15">
        <v>134</v>
      </c>
      <c r="D3823" s="16">
        <v>6</v>
      </c>
      <c r="E3823" s="22">
        <v>44605</v>
      </c>
      <c r="F3823" s="19">
        <v>6</v>
      </c>
      <c r="G3823" s="18">
        <v>0.14000000000000001</v>
      </c>
      <c r="H3823">
        <f>F3823*VLOOKUP(B3823,產品!$A$2:$H$61,7,FALSE)*(1-銷售總表!G3823)</f>
        <v>92880</v>
      </c>
      <c r="I3823" s="35">
        <f>H3823-F3823*VLOOKUP(銷售總表!B3823,產品!$A$2:$H$61,8,FALSE)</f>
        <v>22680</v>
      </c>
      <c r="J3823" s="20">
        <f t="shared" si="59"/>
        <v>0.2441860465116279</v>
      </c>
    </row>
    <row r="3824" spans="1:10" x14ac:dyDescent="0.3">
      <c r="A3824" s="33">
        <v>3823</v>
      </c>
      <c r="B3824" s="4">
        <v>60</v>
      </c>
      <c r="C3824" s="15">
        <v>262</v>
      </c>
      <c r="D3824" s="16">
        <v>3</v>
      </c>
      <c r="E3824" s="22">
        <v>44605</v>
      </c>
      <c r="F3824" s="19">
        <v>10</v>
      </c>
      <c r="G3824" s="18">
        <v>0.06</v>
      </c>
      <c r="H3824">
        <f>F3824*VLOOKUP(B3824,產品!$A$2:$H$61,7,FALSE)*(1-銷售總表!G3824)</f>
        <v>235000</v>
      </c>
      <c r="I3824" s="35">
        <f>H3824-F3824*VLOOKUP(銷售總表!B3824,產品!$A$2:$H$61,8,FALSE)</f>
        <v>60000</v>
      </c>
      <c r="J3824" s="20">
        <f t="shared" si="59"/>
        <v>0.25531914893617019</v>
      </c>
    </row>
    <row r="3825" spans="1:10" x14ac:dyDescent="0.3">
      <c r="A3825" s="33">
        <v>3824</v>
      </c>
      <c r="B3825" s="4">
        <v>57</v>
      </c>
      <c r="C3825" s="15">
        <v>7</v>
      </c>
      <c r="D3825" s="16">
        <v>9</v>
      </c>
      <c r="E3825" s="22">
        <v>44605</v>
      </c>
      <c r="F3825" s="19">
        <v>10</v>
      </c>
      <c r="G3825" s="18">
        <v>0.18</v>
      </c>
      <c r="H3825">
        <f>F3825*VLOOKUP(B3825,產品!$A$2:$H$61,7,FALSE)*(1-銷售總表!G3825)</f>
        <v>147600</v>
      </c>
      <c r="I3825" s="35">
        <f>H3825-F3825*VLOOKUP(銷售總表!B3825,產品!$A$2:$H$61,8,FALSE)</f>
        <v>21600</v>
      </c>
      <c r="J3825" s="20">
        <f t="shared" si="59"/>
        <v>0.14634146341463414</v>
      </c>
    </row>
    <row r="3826" spans="1:10" x14ac:dyDescent="0.3">
      <c r="A3826" s="33">
        <v>3825</v>
      </c>
      <c r="B3826" s="4">
        <v>32</v>
      </c>
      <c r="C3826" s="15">
        <v>135</v>
      </c>
      <c r="D3826" s="16">
        <v>7</v>
      </c>
      <c r="E3826" s="22">
        <v>44605</v>
      </c>
      <c r="F3826" s="19">
        <v>30</v>
      </c>
      <c r="G3826" s="18">
        <v>0.13</v>
      </c>
      <c r="H3826">
        <f>F3826*VLOOKUP(B3826,產品!$A$2:$H$61,7,FALSE)*(1-銷售總表!G3826)</f>
        <v>195750</v>
      </c>
      <c r="I3826" s="35">
        <f>H3826-F3826*VLOOKUP(銷售總表!B3826,產品!$A$2:$H$61,8,FALSE)</f>
        <v>60750</v>
      </c>
      <c r="J3826" s="20">
        <f t="shared" si="59"/>
        <v>0.31034482758620691</v>
      </c>
    </row>
    <row r="3827" spans="1:10" x14ac:dyDescent="0.3">
      <c r="A3827" s="33">
        <v>3826</v>
      </c>
      <c r="B3827" s="4">
        <v>53</v>
      </c>
      <c r="C3827" s="15">
        <v>265</v>
      </c>
      <c r="D3827" s="16">
        <v>9</v>
      </c>
      <c r="E3827" s="22">
        <v>44606</v>
      </c>
      <c r="F3827" s="19">
        <v>3</v>
      </c>
      <c r="G3827" s="18">
        <v>0.06</v>
      </c>
      <c r="H3827">
        <f>F3827*VLOOKUP(B3827,產品!$A$2:$H$61,7,FALSE)*(1-銷售總表!G3827)</f>
        <v>42300</v>
      </c>
      <c r="I3827" s="35">
        <f>H3827-F3827*VLOOKUP(銷售總表!B3827,產品!$A$2:$H$61,8,FALSE)</f>
        <v>10800</v>
      </c>
      <c r="J3827" s="20">
        <f t="shared" si="59"/>
        <v>0.25531914893617019</v>
      </c>
    </row>
    <row r="3828" spans="1:10" x14ac:dyDescent="0.3">
      <c r="A3828" s="33">
        <v>3827</v>
      </c>
      <c r="B3828" s="4">
        <v>40</v>
      </c>
      <c r="C3828" s="15">
        <v>4</v>
      </c>
      <c r="D3828" s="16">
        <v>2</v>
      </c>
      <c r="E3828" s="22">
        <v>44606</v>
      </c>
      <c r="F3828" s="19">
        <v>5</v>
      </c>
      <c r="G3828" s="18">
        <v>0.14000000000000001</v>
      </c>
      <c r="H3828">
        <f>F3828*VLOOKUP(B3828,產品!$A$2:$H$61,7,FALSE)*(1-銷售總表!G3828)</f>
        <v>86000</v>
      </c>
      <c r="I3828" s="35">
        <f>H3828-F3828*VLOOKUP(銷售總表!B3828,產品!$A$2:$H$61,8,FALSE)</f>
        <v>21000</v>
      </c>
      <c r="J3828" s="20">
        <f t="shared" si="59"/>
        <v>0.2441860465116279</v>
      </c>
    </row>
    <row r="3829" spans="1:10" x14ac:dyDescent="0.3">
      <c r="A3829" s="33">
        <v>3828</v>
      </c>
      <c r="B3829" s="4">
        <v>32</v>
      </c>
      <c r="C3829" s="15">
        <v>257</v>
      </c>
      <c r="D3829" s="16">
        <v>4</v>
      </c>
      <c r="E3829" s="22">
        <v>44606</v>
      </c>
      <c r="F3829" s="19">
        <v>6</v>
      </c>
      <c r="G3829" s="18">
        <v>0.1</v>
      </c>
      <c r="H3829">
        <f>F3829*VLOOKUP(B3829,產品!$A$2:$H$61,7,FALSE)*(1-銷售總表!G3829)</f>
        <v>40500</v>
      </c>
      <c r="I3829" s="35">
        <f>H3829-F3829*VLOOKUP(銷售總表!B3829,產品!$A$2:$H$61,8,FALSE)</f>
        <v>13500</v>
      </c>
      <c r="J3829" s="20">
        <f t="shared" si="59"/>
        <v>0.33333333333333331</v>
      </c>
    </row>
    <row r="3830" spans="1:10" x14ac:dyDescent="0.3">
      <c r="A3830" s="33">
        <v>3829</v>
      </c>
      <c r="B3830" s="4">
        <v>22</v>
      </c>
      <c r="C3830" s="15">
        <v>8</v>
      </c>
      <c r="D3830" s="16">
        <v>2</v>
      </c>
      <c r="E3830" s="22">
        <v>44606</v>
      </c>
      <c r="F3830" s="19">
        <v>10</v>
      </c>
      <c r="G3830" s="18">
        <v>0.16</v>
      </c>
      <c r="H3830">
        <f>F3830*VLOOKUP(B3830,產品!$A$2:$H$61,7,FALSE)*(1-銷售總表!G3830)</f>
        <v>15120</v>
      </c>
      <c r="I3830" s="35">
        <f>H3830-F3830*VLOOKUP(銷售總表!B3830,產品!$A$2:$H$61,8,FALSE)</f>
        <v>7920</v>
      </c>
      <c r="J3830" s="20">
        <f t="shared" si="59"/>
        <v>0.52380952380952384</v>
      </c>
    </row>
    <row r="3831" spans="1:10" x14ac:dyDescent="0.3">
      <c r="A3831" s="33">
        <v>3830</v>
      </c>
      <c r="B3831" s="4">
        <v>57</v>
      </c>
      <c r="C3831" s="15">
        <v>264</v>
      </c>
      <c r="D3831" s="16">
        <v>8</v>
      </c>
      <c r="E3831" s="22">
        <v>44606</v>
      </c>
      <c r="F3831" s="19">
        <v>12</v>
      </c>
      <c r="G3831" s="18">
        <v>0.13</v>
      </c>
      <c r="H3831">
        <f>F3831*VLOOKUP(B3831,產品!$A$2:$H$61,7,FALSE)*(1-銷售總表!G3831)</f>
        <v>187920</v>
      </c>
      <c r="I3831" s="35">
        <f>H3831-F3831*VLOOKUP(銷售總表!B3831,產品!$A$2:$H$61,8,FALSE)</f>
        <v>36720</v>
      </c>
      <c r="J3831" s="20">
        <f t="shared" si="59"/>
        <v>0.19540229885057472</v>
      </c>
    </row>
    <row r="3832" spans="1:10" x14ac:dyDescent="0.3">
      <c r="A3832" s="33">
        <v>3831</v>
      </c>
      <c r="B3832" s="4">
        <v>24</v>
      </c>
      <c r="C3832" s="15">
        <v>257</v>
      </c>
      <c r="D3832" s="16">
        <v>6</v>
      </c>
      <c r="E3832" s="22">
        <v>44606</v>
      </c>
      <c r="F3832" s="19">
        <v>20</v>
      </c>
      <c r="G3832" s="18">
        <v>0.11</v>
      </c>
      <c r="H3832">
        <f>F3832*VLOOKUP(B3832,產品!$A$2:$H$61,7,FALSE)*(1-銷售總表!G3832)</f>
        <v>32040</v>
      </c>
      <c r="I3832" s="35">
        <f>H3832-F3832*VLOOKUP(銷售總表!B3832,產品!$A$2:$H$61,8,FALSE)</f>
        <v>17640</v>
      </c>
      <c r="J3832" s="20">
        <f t="shared" si="59"/>
        <v>0.550561797752809</v>
      </c>
    </row>
    <row r="3833" spans="1:10" x14ac:dyDescent="0.3">
      <c r="A3833" s="33">
        <v>3832</v>
      </c>
      <c r="B3833" s="4">
        <v>3</v>
      </c>
      <c r="C3833" s="15">
        <v>6</v>
      </c>
      <c r="D3833" s="16">
        <v>7</v>
      </c>
      <c r="E3833" s="22">
        <v>44606</v>
      </c>
      <c r="F3833" s="19">
        <v>40</v>
      </c>
      <c r="G3833" s="18">
        <v>0.14000000000000001</v>
      </c>
      <c r="H3833">
        <f>F3833*VLOOKUP(B3833,產品!$A$2:$H$61,7,FALSE)*(1-銷售總表!G3833)</f>
        <v>34400</v>
      </c>
      <c r="I3833" s="35">
        <f>H3833-F3833*VLOOKUP(銷售總表!B3833,產品!$A$2:$H$61,8,FALSE)</f>
        <v>18400</v>
      </c>
      <c r="J3833" s="20">
        <f t="shared" si="59"/>
        <v>0.53488372093023251</v>
      </c>
    </row>
    <row r="3834" spans="1:10" x14ac:dyDescent="0.3">
      <c r="A3834" s="33">
        <v>3833</v>
      </c>
      <c r="B3834" s="4">
        <v>11</v>
      </c>
      <c r="C3834" s="15">
        <v>11</v>
      </c>
      <c r="D3834" s="16">
        <v>6</v>
      </c>
      <c r="E3834" s="22">
        <v>44606</v>
      </c>
      <c r="F3834" s="19">
        <v>225</v>
      </c>
      <c r="G3834" s="18">
        <v>0.18</v>
      </c>
      <c r="H3834">
        <f>F3834*VLOOKUP(B3834,產品!$A$2:$H$61,7,FALSE)*(1-銷售總表!G3834)</f>
        <v>184500</v>
      </c>
      <c r="I3834" s="35">
        <f>H3834-F3834*VLOOKUP(銷售總表!B3834,產品!$A$2:$H$61,8,FALSE)</f>
        <v>94500</v>
      </c>
      <c r="J3834" s="20">
        <f t="shared" si="59"/>
        <v>0.51219512195121952</v>
      </c>
    </row>
    <row r="3835" spans="1:10" x14ac:dyDescent="0.3">
      <c r="A3835" s="33">
        <v>3834</v>
      </c>
      <c r="B3835" s="4">
        <v>49</v>
      </c>
      <c r="C3835" s="15">
        <v>275</v>
      </c>
      <c r="D3835" s="16">
        <v>1</v>
      </c>
      <c r="E3835" s="22">
        <v>44607</v>
      </c>
      <c r="F3835" s="19">
        <v>2</v>
      </c>
      <c r="G3835" s="18">
        <v>0.13</v>
      </c>
      <c r="H3835">
        <f>F3835*VLOOKUP(B3835,產品!$A$2:$H$61,7,FALSE)*(1-銷售總表!G3835)</f>
        <v>26100</v>
      </c>
      <c r="I3835" s="35">
        <f>H3835-F3835*VLOOKUP(銷售總表!B3835,產品!$A$2:$H$61,8,FALSE)</f>
        <v>5100</v>
      </c>
      <c r="J3835" s="20">
        <f t="shared" si="59"/>
        <v>0.19540229885057472</v>
      </c>
    </row>
    <row r="3836" spans="1:10" x14ac:dyDescent="0.3">
      <c r="A3836" s="33">
        <v>3835</v>
      </c>
      <c r="B3836" s="4">
        <v>39</v>
      </c>
      <c r="C3836" s="15">
        <v>6</v>
      </c>
      <c r="D3836" s="16">
        <v>9</v>
      </c>
      <c r="E3836" s="22">
        <v>44607</v>
      </c>
      <c r="F3836" s="19">
        <v>5</v>
      </c>
      <c r="G3836" s="18">
        <v>0.19</v>
      </c>
      <c r="H3836">
        <f>F3836*VLOOKUP(B3836,產品!$A$2:$H$61,7,FALSE)*(1-銷售總表!G3836)</f>
        <v>72900</v>
      </c>
      <c r="I3836" s="35">
        <f>H3836-F3836*VLOOKUP(銷售總表!B3836,產品!$A$2:$H$61,8,FALSE)</f>
        <v>14400</v>
      </c>
      <c r="J3836" s="20">
        <f t="shared" si="59"/>
        <v>0.19753086419753085</v>
      </c>
    </row>
    <row r="3837" spans="1:10" x14ac:dyDescent="0.3">
      <c r="A3837" s="33">
        <v>3836</v>
      </c>
      <c r="B3837" s="4">
        <v>58</v>
      </c>
      <c r="C3837" s="15">
        <v>268</v>
      </c>
      <c r="D3837" s="16">
        <v>4</v>
      </c>
      <c r="E3837" s="22">
        <v>44607</v>
      </c>
      <c r="F3837" s="19">
        <v>13</v>
      </c>
      <c r="G3837" s="18">
        <v>0.16</v>
      </c>
      <c r="H3837">
        <f>F3837*VLOOKUP(B3837,產品!$A$2:$H$61,7,FALSE)*(1-銷售總表!G3837)</f>
        <v>229320</v>
      </c>
      <c r="I3837" s="35">
        <f>H3837-F3837*VLOOKUP(銷售總表!B3837,產品!$A$2:$H$61,8,FALSE)</f>
        <v>38220.000000000029</v>
      </c>
      <c r="J3837" s="20">
        <f t="shared" si="59"/>
        <v>0.1666666666666668</v>
      </c>
    </row>
    <row r="3838" spans="1:10" x14ac:dyDescent="0.3">
      <c r="A3838" s="33">
        <v>3837</v>
      </c>
      <c r="B3838" s="4">
        <v>6</v>
      </c>
      <c r="C3838" s="15">
        <v>5</v>
      </c>
      <c r="D3838" s="16">
        <v>3</v>
      </c>
      <c r="E3838" s="22">
        <v>44607</v>
      </c>
      <c r="F3838" s="19">
        <v>14</v>
      </c>
      <c r="G3838" s="18">
        <v>0.2</v>
      </c>
      <c r="H3838">
        <f>F3838*VLOOKUP(B3838,產品!$A$2:$H$61,7,FALSE)*(1-銷售總表!G3838)</f>
        <v>11200</v>
      </c>
      <c r="I3838" s="35">
        <f>H3838-F3838*VLOOKUP(銷售總表!B3838,產品!$A$2:$H$61,8,FALSE)</f>
        <v>5600</v>
      </c>
      <c r="J3838" s="20">
        <f t="shared" si="59"/>
        <v>0.5</v>
      </c>
    </row>
    <row r="3839" spans="1:10" x14ac:dyDescent="0.3">
      <c r="A3839" s="33">
        <v>3838</v>
      </c>
      <c r="B3839" s="4">
        <v>30</v>
      </c>
      <c r="C3839" s="15">
        <v>6</v>
      </c>
      <c r="D3839" s="16">
        <v>5</v>
      </c>
      <c r="E3839" s="22">
        <v>44607</v>
      </c>
      <c r="F3839" s="19">
        <v>38</v>
      </c>
      <c r="G3839" s="18">
        <v>0.06</v>
      </c>
      <c r="H3839">
        <f>F3839*VLOOKUP(B3839,產品!$A$2:$H$61,7,FALSE)*(1-銷售總表!G3839)</f>
        <v>232180</v>
      </c>
      <c r="I3839" s="35">
        <f>H3839-F3839*VLOOKUP(銷售總表!B3839,產品!$A$2:$H$61,8,FALSE)</f>
        <v>83980</v>
      </c>
      <c r="J3839" s="20">
        <f t="shared" si="59"/>
        <v>0.36170212765957449</v>
      </c>
    </row>
    <row r="3840" spans="1:10" x14ac:dyDescent="0.3">
      <c r="A3840" s="33">
        <v>3839</v>
      </c>
      <c r="B3840" s="4">
        <v>11</v>
      </c>
      <c r="C3840" s="15">
        <v>273</v>
      </c>
      <c r="D3840" s="16">
        <v>1</v>
      </c>
      <c r="E3840" s="22">
        <v>44607</v>
      </c>
      <c r="F3840" s="19">
        <v>60</v>
      </c>
      <c r="G3840" s="18">
        <v>0.18</v>
      </c>
      <c r="H3840">
        <f>F3840*VLOOKUP(B3840,產品!$A$2:$H$61,7,FALSE)*(1-銷售總表!G3840)</f>
        <v>49200.000000000007</v>
      </c>
      <c r="I3840" s="35">
        <f>H3840-F3840*VLOOKUP(銷售總表!B3840,產品!$A$2:$H$61,8,FALSE)</f>
        <v>25200.000000000007</v>
      </c>
      <c r="J3840" s="20">
        <f t="shared" si="59"/>
        <v>0.51219512195121963</v>
      </c>
    </row>
    <row r="3841" spans="1:10" x14ac:dyDescent="0.3">
      <c r="A3841" s="33">
        <v>3840</v>
      </c>
      <c r="B3841" s="4">
        <v>13</v>
      </c>
      <c r="C3841" s="15">
        <v>112</v>
      </c>
      <c r="D3841" s="16">
        <v>7</v>
      </c>
      <c r="E3841" s="22">
        <v>44607</v>
      </c>
      <c r="F3841" s="19">
        <v>100</v>
      </c>
      <c r="G3841" s="18">
        <v>0.19</v>
      </c>
      <c r="H3841">
        <f>F3841*VLOOKUP(B3841,產品!$A$2:$H$61,7,FALSE)*(1-銷售總表!G3841)</f>
        <v>145800</v>
      </c>
      <c r="I3841" s="35">
        <f>H3841-F3841*VLOOKUP(銷售總表!B3841,產品!$A$2:$H$61,8,FALSE)</f>
        <v>73800</v>
      </c>
      <c r="J3841" s="20">
        <f t="shared" si="59"/>
        <v>0.50617283950617287</v>
      </c>
    </row>
    <row r="3842" spans="1:10" x14ac:dyDescent="0.3">
      <c r="A3842" s="33">
        <v>3841</v>
      </c>
      <c r="B3842" s="4">
        <v>28</v>
      </c>
      <c r="C3842" s="15">
        <v>270</v>
      </c>
      <c r="D3842" s="16">
        <v>5</v>
      </c>
      <c r="E3842" s="22">
        <v>44608</v>
      </c>
      <c r="F3842" s="17">
        <v>1</v>
      </c>
      <c r="G3842" s="18">
        <v>0.08</v>
      </c>
      <c r="H3842">
        <f>F3842*VLOOKUP(B3842,產品!$A$2:$H$61,7,FALSE)*(1-銷售總表!G3842)</f>
        <v>6900</v>
      </c>
      <c r="I3842" s="35">
        <f>H3842-F3842*VLOOKUP(銷售總表!B3842,產品!$A$2:$H$61,8,FALSE)</f>
        <v>2400</v>
      </c>
      <c r="J3842" s="20">
        <f t="shared" si="59"/>
        <v>0.34782608695652173</v>
      </c>
    </row>
    <row r="3843" spans="1:10" x14ac:dyDescent="0.3">
      <c r="A3843" s="33">
        <v>3842</v>
      </c>
      <c r="B3843" s="4">
        <v>15</v>
      </c>
      <c r="C3843" s="15">
        <v>10</v>
      </c>
      <c r="D3843" s="16">
        <v>6</v>
      </c>
      <c r="E3843" s="22">
        <v>44608</v>
      </c>
      <c r="F3843" s="19">
        <v>50</v>
      </c>
      <c r="G3843" s="18">
        <v>0.06</v>
      </c>
      <c r="H3843">
        <f>F3843*VLOOKUP(B3843,產品!$A$2:$H$61,7,FALSE)*(1-銷售總表!G3843)</f>
        <v>84600</v>
      </c>
      <c r="I3843" s="35">
        <f>H3843-F3843*VLOOKUP(銷售總表!B3843,產品!$A$2:$H$61,8,FALSE)</f>
        <v>48600</v>
      </c>
      <c r="J3843" s="20">
        <f t="shared" ref="J3843:J3906" si="60">I3843/H3843</f>
        <v>0.57446808510638303</v>
      </c>
    </row>
    <row r="3844" spans="1:10" x14ac:dyDescent="0.3">
      <c r="A3844" s="33">
        <v>3843</v>
      </c>
      <c r="B3844" s="4">
        <v>7</v>
      </c>
      <c r="C3844" s="15">
        <v>265</v>
      </c>
      <c r="D3844" s="16">
        <v>5</v>
      </c>
      <c r="E3844" s="22">
        <v>44608</v>
      </c>
      <c r="F3844" s="19">
        <v>70</v>
      </c>
      <c r="G3844" s="18">
        <v>0.18</v>
      </c>
      <c r="H3844">
        <f>F3844*VLOOKUP(B3844,產品!$A$2:$H$61,7,FALSE)*(1-銷售總表!G3844)</f>
        <v>57400.000000000007</v>
      </c>
      <c r="I3844" s="35">
        <f>H3844-F3844*VLOOKUP(銷售總表!B3844,產品!$A$2:$H$61,8,FALSE)</f>
        <v>29400.000000000007</v>
      </c>
      <c r="J3844" s="20">
        <f t="shared" si="60"/>
        <v>0.51219512195121952</v>
      </c>
    </row>
    <row r="3845" spans="1:10" x14ac:dyDescent="0.3">
      <c r="A3845" s="33">
        <v>3844</v>
      </c>
      <c r="B3845" s="4">
        <v>4</v>
      </c>
      <c r="C3845" s="15">
        <v>9</v>
      </c>
      <c r="D3845" s="16">
        <v>1</v>
      </c>
      <c r="E3845" s="22">
        <v>44608</v>
      </c>
      <c r="F3845" s="19">
        <v>120</v>
      </c>
      <c r="G3845" s="18">
        <v>0.11</v>
      </c>
      <c r="H3845">
        <f>F3845*VLOOKUP(B3845,產品!$A$2:$H$61,7,FALSE)*(1-銷售總表!G3845)</f>
        <v>106800</v>
      </c>
      <c r="I3845" s="35">
        <f>H3845-F3845*VLOOKUP(銷售總表!B3845,產品!$A$2:$H$61,8,FALSE)</f>
        <v>58800</v>
      </c>
      <c r="J3845" s="20">
        <f t="shared" si="60"/>
        <v>0.550561797752809</v>
      </c>
    </row>
    <row r="3846" spans="1:10" x14ac:dyDescent="0.3">
      <c r="A3846" s="33">
        <v>3845</v>
      </c>
      <c r="B3846" s="4">
        <v>37</v>
      </c>
      <c r="C3846" s="15">
        <v>5</v>
      </c>
      <c r="D3846" s="16">
        <v>9</v>
      </c>
      <c r="E3846" s="22">
        <v>44609</v>
      </c>
      <c r="F3846" s="19">
        <v>3</v>
      </c>
      <c r="G3846" s="18">
        <v>0.2</v>
      </c>
      <c r="H3846">
        <f>F3846*VLOOKUP(B3846,產品!$A$2:$H$61,7,FALSE)*(1-銷售總表!G3846)</f>
        <v>28800</v>
      </c>
      <c r="I3846" s="35">
        <f>H3846-F3846*VLOOKUP(銷售總表!B3846,產品!$A$2:$H$61,8,FALSE)</f>
        <v>5400</v>
      </c>
      <c r="J3846" s="20">
        <f t="shared" si="60"/>
        <v>0.1875</v>
      </c>
    </row>
    <row r="3847" spans="1:10" x14ac:dyDescent="0.3">
      <c r="A3847" s="33">
        <v>3846</v>
      </c>
      <c r="B3847" s="4">
        <v>56</v>
      </c>
      <c r="C3847" s="15">
        <v>126</v>
      </c>
      <c r="D3847" s="16">
        <v>6</v>
      </c>
      <c r="E3847" s="22">
        <v>44609</v>
      </c>
      <c r="F3847" s="19">
        <v>7</v>
      </c>
      <c r="G3847" s="18">
        <v>0.11</v>
      </c>
      <c r="H3847">
        <f>F3847*VLOOKUP(B3847,產品!$A$2:$H$61,7,FALSE)*(1-銷售總表!G3847)</f>
        <v>137060</v>
      </c>
      <c r="I3847" s="35">
        <f>H3847-F3847*VLOOKUP(銷售總表!B3847,產品!$A$2:$H$61,8,FALSE)</f>
        <v>29260.000000000015</v>
      </c>
      <c r="J3847" s="20">
        <f t="shared" si="60"/>
        <v>0.21348314606741584</v>
      </c>
    </row>
    <row r="3848" spans="1:10" x14ac:dyDescent="0.3">
      <c r="A3848" s="33">
        <v>3847</v>
      </c>
      <c r="B3848" s="4">
        <v>49</v>
      </c>
      <c r="C3848" s="15">
        <v>261</v>
      </c>
      <c r="D3848" s="16">
        <v>10</v>
      </c>
      <c r="E3848" s="22">
        <v>44609</v>
      </c>
      <c r="F3848" s="19">
        <v>13</v>
      </c>
      <c r="G3848" s="18">
        <v>0.09</v>
      </c>
      <c r="H3848">
        <f>F3848*VLOOKUP(B3848,產品!$A$2:$H$61,7,FALSE)*(1-銷售總表!G3848)</f>
        <v>177450</v>
      </c>
      <c r="I3848" s="35">
        <f>H3848-F3848*VLOOKUP(銷售總表!B3848,產品!$A$2:$H$61,8,FALSE)</f>
        <v>40950</v>
      </c>
      <c r="J3848" s="20">
        <f t="shared" si="60"/>
        <v>0.23076923076923078</v>
      </c>
    </row>
    <row r="3849" spans="1:10" x14ac:dyDescent="0.3">
      <c r="A3849" s="33">
        <v>3848</v>
      </c>
      <c r="B3849" s="4">
        <v>17</v>
      </c>
      <c r="C3849" s="15">
        <v>258</v>
      </c>
      <c r="D3849" s="16">
        <v>9</v>
      </c>
      <c r="E3849" s="22">
        <v>44609</v>
      </c>
      <c r="F3849" s="19">
        <v>50</v>
      </c>
      <c r="G3849" s="18">
        <v>0.05</v>
      </c>
      <c r="H3849">
        <f>F3849*VLOOKUP(B3849,產品!$A$2:$H$61,7,FALSE)*(1-銷售總表!G3849)</f>
        <v>85500</v>
      </c>
      <c r="I3849" s="35">
        <f>H3849-F3849*VLOOKUP(銷售總表!B3849,產品!$A$2:$H$61,8,FALSE)</f>
        <v>49500</v>
      </c>
      <c r="J3849" s="20">
        <f t="shared" si="60"/>
        <v>0.57894736842105265</v>
      </c>
    </row>
    <row r="3850" spans="1:10" x14ac:dyDescent="0.3">
      <c r="A3850" s="33">
        <v>3849</v>
      </c>
      <c r="B3850" s="4">
        <v>11</v>
      </c>
      <c r="C3850" s="15">
        <v>284</v>
      </c>
      <c r="D3850" s="16">
        <v>2</v>
      </c>
      <c r="E3850" s="22">
        <v>44609</v>
      </c>
      <c r="F3850" s="19">
        <v>60</v>
      </c>
      <c r="G3850" s="18">
        <v>0.09</v>
      </c>
      <c r="H3850">
        <f>F3850*VLOOKUP(B3850,產品!$A$2:$H$61,7,FALSE)*(1-銷售總表!G3850)</f>
        <v>54600</v>
      </c>
      <c r="I3850" s="35">
        <f>H3850-F3850*VLOOKUP(銷售總表!B3850,產品!$A$2:$H$61,8,FALSE)</f>
        <v>30600</v>
      </c>
      <c r="J3850" s="20">
        <f t="shared" si="60"/>
        <v>0.56043956043956045</v>
      </c>
    </row>
    <row r="3851" spans="1:10" x14ac:dyDescent="0.3">
      <c r="A3851" s="33">
        <v>3850</v>
      </c>
      <c r="B3851" s="4">
        <v>11</v>
      </c>
      <c r="C3851" s="15">
        <v>125</v>
      </c>
      <c r="D3851" s="16">
        <v>4</v>
      </c>
      <c r="E3851" s="22">
        <v>44609</v>
      </c>
      <c r="F3851" s="19">
        <v>75</v>
      </c>
      <c r="G3851" s="18">
        <v>0.06</v>
      </c>
      <c r="H3851">
        <f>F3851*VLOOKUP(B3851,產品!$A$2:$H$61,7,FALSE)*(1-銷售總表!G3851)</f>
        <v>70500</v>
      </c>
      <c r="I3851" s="35">
        <f>H3851-F3851*VLOOKUP(銷售總表!B3851,產品!$A$2:$H$61,8,FALSE)</f>
        <v>40500</v>
      </c>
      <c r="J3851" s="20">
        <f t="shared" si="60"/>
        <v>0.57446808510638303</v>
      </c>
    </row>
    <row r="3852" spans="1:10" x14ac:dyDescent="0.3">
      <c r="A3852" s="33">
        <v>3851</v>
      </c>
      <c r="B3852" s="4">
        <v>33</v>
      </c>
      <c r="C3852" s="15">
        <v>273</v>
      </c>
      <c r="D3852" s="16">
        <v>4</v>
      </c>
      <c r="E3852" s="22">
        <v>44610</v>
      </c>
      <c r="F3852" s="19">
        <v>4</v>
      </c>
      <c r="G3852" s="18">
        <v>0.09</v>
      </c>
      <c r="H3852">
        <f>F3852*VLOOKUP(B3852,產品!$A$2:$H$61,7,FALSE)*(1-銷售總表!G3852)</f>
        <v>27300</v>
      </c>
      <c r="I3852" s="35">
        <f>H3852-F3852*VLOOKUP(銷售總表!B3852,產品!$A$2:$H$61,8,FALSE)</f>
        <v>9300</v>
      </c>
      <c r="J3852" s="20">
        <f t="shared" si="60"/>
        <v>0.34065934065934067</v>
      </c>
    </row>
    <row r="3853" spans="1:10" x14ac:dyDescent="0.3">
      <c r="A3853" s="33">
        <v>3852</v>
      </c>
      <c r="B3853" s="4">
        <v>57</v>
      </c>
      <c r="C3853" s="15">
        <v>114</v>
      </c>
      <c r="D3853" s="16">
        <v>1</v>
      </c>
      <c r="E3853" s="22">
        <v>44610</v>
      </c>
      <c r="F3853" s="19">
        <v>6</v>
      </c>
      <c r="G3853" s="18">
        <v>0.11</v>
      </c>
      <c r="H3853">
        <f>F3853*VLOOKUP(B3853,產品!$A$2:$H$61,7,FALSE)*(1-銷售總表!G3853)</f>
        <v>96120</v>
      </c>
      <c r="I3853" s="35">
        <f>H3853-F3853*VLOOKUP(銷售總表!B3853,產品!$A$2:$H$61,8,FALSE)</f>
        <v>20520</v>
      </c>
      <c r="J3853" s="20">
        <f t="shared" si="60"/>
        <v>0.21348314606741572</v>
      </c>
    </row>
    <row r="3854" spans="1:10" x14ac:dyDescent="0.3">
      <c r="A3854" s="33">
        <v>3853</v>
      </c>
      <c r="B3854" s="4">
        <v>36</v>
      </c>
      <c r="C3854" s="15">
        <v>266</v>
      </c>
      <c r="D3854" s="16">
        <v>6</v>
      </c>
      <c r="E3854" s="22">
        <v>44610</v>
      </c>
      <c r="F3854" s="19">
        <v>6</v>
      </c>
      <c r="G3854" s="18">
        <v>0.1</v>
      </c>
      <c r="H3854">
        <f>F3854*VLOOKUP(B3854,產品!$A$2:$H$61,7,FALSE)*(1-銷售總表!G3854)</f>
        <v>48600</v>
      </c>
      <c r="I3854" s="35">
        <f>H3854-F3854*VLOOKUP(銷售總表!B3854,產品!$A$2:$H$61,8,FALSE)</f>
        <v>16200</v>
      </c>
      <c r="J3854" s="20">
        <f t="shared" si="60"/>
        <v>0.33333333333333331</v>
      </c>
    </row>
    <row r="3855" spans="1:10" x14ac:dyDescent="0.3">
      <c r="A3855" s="33">
        <v>3854</v>
      </c>
      <c r="B3855" s="4">
        <v>39</v>
      </c>
      <c r="C3855" s="15">
        <v>4</v>
      </c>
      <c r="D3855" s="16">
        <v>4</v>
      </c>
      <c r="E3855" s="22">
        <v>44610</v>
      </c>
      <c r="F3855" s="19">
        <v>8</v>
      </c>
      <c r="G3855" s="18">
        <v>7.0000000000000007E-2</v>
      </c>
      <c r="H3855">
        <f>F3855*VLOOKUP(B3855,產品!$A$2:$H$61,7,FALSE)*(1-銷售總表!G3855)</f>
        <v>133920</v>
      </c>
      <c r="I3855" s="35">
        <f>H3855-F3855*VLOOKUP(銷售總表!B3855,產品!$A$2:$H$61,8,FALSE)</f>
        <v>40320</v>
      </c>
      <c r="J3855" s="20">
        <f t="shared" si="60"/>
        <v>0.30107526881720431</v>
      </c>
    </row>
    <row r="3856" spans="1:10" x14ac:dyDescent="0.3">
      <c r="A3856" s="33">
        <v>3855</v>
      </c>
      <c r="B3856" s="4">
        <v>6</v>
      </c>
      <c r="C3856" s="15">
        <v>275</v>
      </c>
      <c r="D3856" s="16">
        <v>5</v>
      </c>
      <c r="E3856" s="22">
        <v>44610</v>
      </c>
      <c r="F3856" s="19">
        <v>20</v>
      </c>
      <c r="G3856" s="18">
        <v>0.2</v>
      </c>
      <c r="H3856">
        <f>F3856*VLOOKUP(B3856,產品!$A$2:$H$61,7,FALSE)*(1-銷售總表!G3856)</f>
        <v>16000</v>
      </c>
      <c r="I3856" s="35">
        <f>H3856-F3856*VLOOKUP(銷售總表!B3856,產品!$A$2:$H$61,8,FALSE)</f>
        <v>8000</v>
      </c>
      <c r="J3856" s="20">
        <f t="shared" si="60"/>
        <v>0.5</v>
      </c>
    </row>
    <row r="3857" spans="1:10" x14ac:dyDescent="0.3">
      <c r="A3857" s="33">
        <v>3856</v>
      </c>
      <c r="B3857" s="4">
        <v>13</v>
      </c>
      <c r="C3857" s="15">
        <v>285</v>
      </c>
      <c r="D3857" s="16">
        <v>2</v>
      </c>
      <c r="E3857" s="22">
        <v>44610</v>
      </c>
      <c r="F3857" s="19">
        <v>50</v>
      </c>
      <c r="G3857" s="18">
        <v>0.13</v>
      </c>
      <c r="H3857">
        <f>F3857*VLOOKUP(B3857,產品!$A$2:$H$61,7,FALSE)*(1-銷售總表!G3857)</f>
        <v>78300</v>
      </c>
      <c r="I3857" s="35">
        <f>H3857-F3857*VLOOKUP(銷售總表!B3857,產品!$A$2:$H$61,8,FALSE)</f>
        <v>42300</v>
      </c>
      <c r="J3857" s="20">
        <f t="shared" si="60"/>
        <v>0.54022988505747127</v>
      </c>
    </row>
    <row r="3858" spans="1:10" x14ac:dyDescent="0.3">
      <c r="A3858" s="33">
        <v>3857</v>
      </c>
      <c r="B3858" s="4">
        <v>7</v>
      </c>
      <c r="C3858" s="15">
        <v>121</v>
      </c>
      <c r="D3858" s="16">
        <v>1</v>
      </c>
      <c r="E3858" s="22">
        <v>44610</v>
      </c>
      <c r="F3858" s="19">
        <v>50</v>
      </c>
      <c r="G3858" s="18">
        <v>0.12</v>
      </c>
      <c r="H3858">
        <f>F3858*VLOOKUP(B3858,產品!$A$2:$H$61,7,FALSE)*(1-銷售總表!G3858)</f>
        <v>44000</v>
      </c>
      <c r="I3858" s="35">
        <f>H3858-F3858*VLOOKUP(銷售總表!B3858,產品!$A$2:$H$61,8,FALSE)</f>
        <v>24000</v>
      </c>
      <c r="J3858" s="20">
        <f t="shared" si="60"/>
        <v>0.54545454545454541</v>
      </c>
    </row>
    <row r="3859" spans="1:10" x14ac:dyDescent="0.3">
      <c r="A3859" s="33">
        <v>3858</v>
      </c>
      <c r="B3859" s="4">
        <v>24</v>
      </c>
      <c r="C3859" s="15">
        <v>11</v>
      </c>
      <c r="D3859" s="16">
        <v>8</v>
      </c>
      <c r="E3859" s="22">
        <v>44610</v>
      </c>
      <c r="F3859" s="19">
        <v>150</v>
      </c>
      <c r="G3859" s="18">
        <v>0.19</v>
      </c>
      <c r="H3859">
        <f>F3859*VLOOKUP(B3859,產品!$A$2:$H$61,7,FALSE)*(1-銷售總表!G3859)</f>
        <v>218700</v>
      </c>
      <c r="I3859" s="35">
        <f>H3859-F3859*VLOOKUP(銷售總表!B3859,產品!$A$2:$H$61,8,FALSE)</f>
        <v>110700</v>
      </c>
      <c r="J3859" s="20">
        <f t="shared" si="60"/>
        <v>0.50617283950617287</v>
      </c>
    </row>
    <row r="3860" spans="1:10" x14ac:dyDescent="0.3">
      <c r="A3860" s="33">
        <v>3859</v>
      </c>
      <c r="B3860" s="4">
        <v>40</v>
      </c>
      <c r="C3860" s="15">
        <v>137</v>
      </c>
      <c r="D3860" s="16">
        <v>2</v>
      </c>
      <c r="E3860" s="22">
        <v>44611</v>
      </c>
      <c r="F3860" s="17">
        <v>5</v>
      </c>
      <c r="G3860" s="18">
        <v>0.11</v>
      </c>
      <c r="H3860">
        <f>F3860*VLOOKUP(B3860,產品!$A$2:$H$61,7,FALSE)*(1-銷售總表!G3860)</f>
        <v>89000</v>
      </c>
      <c r="I3860" s="35">
        <f>H3860-F3860*VLOOKUP(銷售總表!B3860,產品!$A$2:$H$61,8,FALSE)</f>
        <v>24000</v>
      </c>
      <c r="J3860" s="20">
        <f t="shared" si="60"/>
        <v>0.2696629213483146</v>
      </c>
    </row>
    <row r="3861" spans="1:10" x14ac:dyDescent="0.3">
      <c r="A3861" s="33">
        <v>3860</v>
      </c>
      <c r="B3861" s="4">
        <v>33</v>
      </c>
      <c r="C3861" s="15">
        <v>269</v>
      </c>
      <c r="D3861" s="16">
        <v>10</v>
      </c>
      <c r="E3861" s="22">
        <v>44611</v>
      </c>
      <c r="F3861" s="19">
        <v>5</v>
      </c>
      <c r="G3861" s="18">
        <v>0.1</v>
      </c>
      <c r="H3861">
        <f>F3861*VLOOKUP(B3861,產品!$A$2:$H$61,7,FALSE)*(1-銷售總表!G3861)</f>
        <v>33750</v>
      </c>
      <c r="I3861" s="35">
        <f>H3861-F3861*VLOOKUP(銷售總表!B3861,產品!$A$2:$H$61,8,FALSE)</f>
        <v>11250</v>
      </c>
      <c r="J3861" s="20">
        <f t="shared" si="60"/>
        <v>0.33333333333333331</v>
      </c>
    </row>
    <row r="3862" spans="1:10" x14ac:dyDescent="0.3">
      <c r="A3862" s="33">
        <v>3861</v>
      </c>
      <c r="B3862" s="4">
        <v>47</v>
      </c>
      <c r="C3862" s="15">
        <v>12</v>
      </c>
      <c r="D3862" s="16">
        <v>4</v>
      </c>
      <c r="E3862" s="22">
        <v>44611</v>
      </c>
      <c r="F3862" s="17">
        <v>10</v>
      </c>
      <c r="G3862" s="18">
        <v>0.09</v>
      </c>
      <c r="H3862">
        <f>F3862*VLOOKUP(B3862,產品!$A$2:$H$61,7,FALSE)*(1-銷售總表!G3862)</f>
        <v>182000</v>
      </c>
      <c r="I3862" s="35">
        <f>H3862-F3862*VLOOKUP(銷售總表!B3862,產品!$A$2:$H$61,8,FALSE)</f>
        <v>52000</v>
      </c>
      <c r="J3862" s="20">
        <f t="shared" si="60"/>
        <v>0.2857142857142857</v>
      </c>
    </row>
    <row r="3863" spans="1:10" x14ac:dyDescent="0.3">
      <c r="A3863" s="33">
        <v>3862</v>
      </c>
      <c r="B3863" s="4">
        <v>46</v>
      </c>
      <c r="C3863" s="15">
        <v>12</v>
      </c>
      <c r="D3863" s="16">
        <v>5</v>
      </c>
      <c r="E3863" s="22">
        <v>44611</v>
      </c>
      <c r="F3863" s="19">
        <v>10</v>
      </c>
      <c r="G3863" s="18">
        <v>0.06</v>
      </c>
      <c r="H3863">
        <f>F3863*VLOOKUP(B3863,產品!$A$2:$H$61,7,FALSE)*(1-銷售總表!G3863)</f>
        <v>159800</v>
      </c>
      <c r="I3863" s="35">
        <f>H3863-F3863*VLOOKUP(銷售總表!B3863,產品!$A$2:$H$61,8,FALSE)</f>
        <v>49300</v>
      </c>
      <c r="J3863" s="20">
        <f t="shared" si="60"/>
        <v>0.30851063829787234</v>
      </c>
    </row>
    <row r="3864" spans="1:10" x14ac:dyDescent="0.3">
      <c r="A3864" s="33">
        <v>3863</v>
      </c>
      <c r="B3864" s="4">
        <v>46</v>
      </c>
      <c r="C3864" s="15">
        <v>10</v>
      </c>
      <c r="D3864" s="16">
        <v>2</v>
      </c>
      <c r="E3864" s="22">
        <v>44611</v>
      </c>
      <c r="F3864" s="19">
        <v>10</v>
      </c>
      <c r="G3864" s="18">
        <v>7.0000000000000007E-2</v>
      </c>
      <c r="H3864">
        <f>F3864*VLOOKUP(B3864,產品!$A$2:$H$61,7,FALSE)*(1-銷售總表!G3864)</f>
        <v>158100</v>
      </c>
      <c r="I3864" s="35">
        <f>H3864-F3864*VLOOKUP(銷售總表!B3864,產品!$A$2:$H$61,8,FALSE)</f>
        <v>47600</v>
      </c>
      <c r="J3864" s="20">
        <f t="shared" si="60"/>
        <v>0.30107526881720431</v>
      </c>
    </row>
    <row r="3865" spans="1:10" x14ac:dyDescent="0.3">
      <c r="A3865" s="33">
        <v>3864</v>
      </c>
      <c r="B3865" s="4">
        <v>14</v>
      </c>
      <c r="C3865" s="15">
        <v>280</v>
      </c>
      <c r="D3865" s="16">
        <v>5</v>
      </c>
      <c r="E3865" s="22">
        <v>44611</v>
      </c>
      <c r="F3865" s="19">
        <v>20</v>
      </c>
      <c r="G3865" s="18">
        <v>0.06</v>
      </c>
      <c r="H3865">
        <f>F3865*VLOOKUP(B3865,產品!$A$2:$H$61,7,FALSE)*(1-銷售總表!G3865)</f>
        <v>33840</v>
      </c>
      <c r="I3865" s="35">
        <f>H3865-F3865*VLOOKUP(銷售總表!B3865,產品!$A$2:$H$61,8,FALSE)</f>
        <v>19440</v>
      </c>
      <c r="J3865" s="20">
        <f t="shared" si="60"/>
        <v>0.57446808510638303</v>
      </c>
    </row>
    <row r="3866" spans="1:10" x14ac:dyDescent="0.3">
      <c r="A3866" s="33">
        <v>3865</v>
      </c>
      <c r="B3866" s="4">
        <v>23</v>
      </c>
      <c r="C3866" s="15">
        <v>281</v>
      </c>
      <c r="D3866" s="16">
        <v>8</v>
      </c>
      <c r="E3866" s="22">
        <v>44611</v>
      </c>
      <c r="F3866" s="19">
        <v>20</v>
      </c>
      <c r="G3866" s="18">
        <v>0.09</v>
      </c>
      <c r="H3866">
        <f>F3866*VLOOKUP(B3866,產品!$A$2:$H$61,7,FALSE)*(1-銷售總表!G3866)</f>
        <v>32760</v>
      </c>
      <c r="I3866" s="35">
        <f>H3866-F3866*VLOOKUP(銷售總表!B3866,產品!$A$2:$H$61,8,FALSE)</f>
        <v>18360</v>
      </c>
      <c r="J3866" s="20">
        <f t="shared" si="60"/>
        <v>0.56043956043956045</v>
      </c>
    </row>
    <row r="3867" spans="1:10" x14ac:dyDescent="0.3">
      <c r="A3867" s="33">
        <v>3866</v>
      </c>
      <c r="B3867" s="4">
        <v>15</v>
      </c>
      <c r="C3867" s="15">
        <v>258</v>
      </c>
      <c r="D3867" s="16">
        <v>9</v>
      </c>
      <c r="E3867" s="22">
        <v>44611</v>
      </c>
      <c r="F3867" s="19">
        <v>40</v>
      </c>
      <c r="G3867" s="18">
        <v>0.08</v>
      </c>
      <c r="H3867">
        <f>F3867*VLOOKUP(B3867,產品!$A$2:$H$61,7,FALSE)*(1-銷售總表!G3867)</f>
        <v>66240</v>
      </c>
      <c r="I3867" s="35">
        <f>H3867-F3867*VLOOKUP(銷售總表!B3867,產品!$A$2:$H$61,8,FALSE)</f>
        <v>37440</v>
      </c>
      <c r="J3867" s="20">
        <f t="shared" si="60"/>
        <v>0.56521739130434778</v>
      </c>
    </row>
    <row r="3868" spans="1:10" x14ac:dyDescent="0.3">
      <c r="A3868" s="33">
        <v>3867</v>
      </c>
      <c r="B3868" s="4">
        <v>4</v>
      </c>
      <c r="C3868" s="15">
        <v>284</v>
      </c>
      <c r="D3868" s="16">
        <v>9</v>
      </c>
      <c r="E3868" s="22">
        <v>44611</v>
      </c>
      <c r="F3868" s="19">
        <v>40</v>
      </c>
      <c r="G3868" s="18">
        <v>0.14000000000000001</v>
      </c>
      <c r="H3868">
        <f>F3868*VLOOKUP(B3868,產品!$A$2:$H$61,7,FALSE)*(1-銷售總表!G3868)</f>
        <v>34400</v>
      </c>
      <c r="I3868" s="35">
        <f>H3868-F3868*VLOOKUP(銷售總表!B3868,產品!$A$2:$H$61,8,FALSE)</f>
        <v>18400</v>
      </c>
      <c r="J3868" s="20">
        <f t="shared" si="60"/>
        <v>0.53488372093023251</v>
      </c>
    </row>
    <row r="3869" spans="1:10" x14ac:dyDescent="0.3">
      <c r="A3869" s="33">
        <v>3868</v>
      </c>
      <c r="B3869" s="4">
        <v>6</v>
      </c>
      <c r="C3869" s="15">
        <v>124</v>
      </c>
      <c r="D3869" s="16">
        <v>9</v>
      </c>
      <c r="E3869" s="22">
        <v>44611</v>
      </c>
      <c r="F3869" s="17">
        <v>60</v>
      </c>
      <c r="G3869" s="18">
        <v>0.05</v>
      </c>
      <c r="H3869">
        <f>F3869*VLOOKUP(B3869,產品!$A$2:$H$61,7,FALSE)*(1-銷售總表!G3869)</f>
        <v>57000</v>
      </c>
      <c r="I3869" s="35">
        <f>H3869-F3869*VLOOKUP(銷售總表!B3869,產品!$A$2:$H$61,8,FALSE)</f>
        <v>33000</v>
      </c>
      <c r="J3869" s="20">
        <f t="shared" si="60"/>
        <v>0.57894736842105265</v>
      </c>
    </row>
    <row r="3870" spans="1:10" x14ac:dyDescent="0.3">
      <c r="A3870" s="33">
        <v>3869</v>
      </c>
      <c r="B3870" s="4">
        <v>58</v>
      </c>
      <c r="C3870" s="15">
        <v>5</v>
      </c>
      <c r="D3870" s="16">
        <v>9</v>
      </c>
      <c r="E3870" s="22">
        <v>44612</v>
      </c>
      <c r="F3870" s="19">
        <v>4</v>
      </c>
      <c r="G3870" s="18">
        <v>0.15</v>
      </c>
      <c r="H3870">
        <f>F3870*VLOOKUP(B3870,產品!$A$2:$H$61,7,FALSE)*(1-銷售總表!G3870)</f>
        <v>71400</v>
      </c>
      <c r="I3870" s="35">
        <f>H3870-F3870*VLOOKUP(銷售總表!B3870,產品!$A$2:$H$61,8,FALSE)</f>
        <v>12600.000000000007</v>
      </c>
      <c r="J3870" s="20">
        <f t="shared" si="60"/>
        <v>0.17647058823529421</v>
      </c>
    </row>
    <row r="3871" spans="1:10" x14ac:dyDescent="0.3">
      <c r="A3871" s="33">
        <v>3870</v>
      </c>
      <c r="B3871" s="4">
        <v>27</v>
      </c>
      <c r="C3871" s="15">
        <v>289</v>
      </c>
      <c r="D3871" s="16">
        <v>5</v>
      </c>
      <c r="E3871" s="22">
        <v>44612</v>
      </c>
      <c r="F3871" s="19">
        <v>4</v>
      </c>
      <c r="G3871" s="18">
        <v>0.13</v>
      </c>
      <c r="H3871">
        <f>F3871*VLOOKUP(B3871,產品!$A$2:$H$61,7,FALSE)*(1-銷售總表!G3871)</f>
        <v>24360</v>
      </c>
      <c r="I3871" s="35">
        <f>H3871-F3871*VLOOKUP(銷售總表!B3871,產品!$A$2:$H$61,8,FALSE)</f>
        <v>7560</v>
      </c>
      <c r="J3871" s="20">
        <f t="shared" si="60"/>
        <v>0.31034482758620691</v>
      </c>
    </row>
    <row r="3872" spans="1:10" x14ac:dyDescent="0.3">
      <c r="A3872" s="33">
        <v>3871</v>
      </c>
      <c r="B3872" s="4">
        <v>49</v>
      </c>
      <c r="C3872" s="15">
        <v>8</v>
      </c>
      <c r="D3872" s="16">
        <v>10</v>
      </c>
      <c r="E3872" s="22">
        <v>44612</v>
      </c>
      <c r="F3872" s="19">
        <v>5</v>
      </c>
      <c r="G3872" s="18">
        <v>0.2</v>
      </c>
      <c r="H3872">
        <f>F3872*VLOOKUP(B3872,產品!$A$2:$H$61,7,FALSE)*(1-銷售總表!G3872)</f>
        <v>60000</v>
      </c>
      <c r="I3872" s="35">
        <f>H3872-F3872*VLOOKUP(銷售總表!B3872,產品!$A$2:$H$61,8,FALSE)</f>
        <v>7500</v>
      </c>
      <c r="J3872" s="20">
        <f t="shared" si="60"/>
        <v>0.125</v>
      </c>
    </row>
    <row r="3873" spans="1:10" x14ac:dyDescent="0.3">
      <c r="A3873" s="33">
        <v>3872</v>
      </c>
      <c r="B3873" s="4">
        <v>52</v>
      </c>
      <c r="C3873" s="15">
        <v>124</v>
      </c>
      <c r="D3873" s="16">
        <v>10</v>
      </c>
      <c r="E3873" s="22">
        <v>44612</v>
      </c>
      <c r="F3873" s="19">
        <v>12</v>
      </c>
      <c r="G3873" s="18">
        <v>0.15</v>
      </c>
      <c r="H3873">
        <f>F3873*VLOOKUP(B3873,產品!$A$2:$H$61,7,FALSE)*(1-銷售總表!G3873)</f>
        <v>224400</v>
      </c>
      <c r="I3873" s="35">
        <f>H3873-F3873*VLOOKUP(銷售總表!B3873,產品!$A$2:$H$61,8,FALSE)</f>
        <v>39600.000000000029</v>
      </c>
      <c r="J3873" s="20">
        <f t="shared" si="60"/>
        <v>0.17647058823529424</v>
      </c>
    </row>
    <row r="3874" spans="1:10" x14ac:dyDescent="0.3">
      <c r="A3874" s="33">
        <v>3873</v>
      </c>
      <c r="B3874" s="4">
        <v>1</v>
      </c>
      <c r="C3874" s="15">
        <v>275</v>
      </c>
      <c r="D3874" s="16">
        <v>4</v>
      </c>
      <c r="E3874" s="22">
        <v>44612</v>
      </c>
      <c r="F3874" s="19">
        <v>17</v>
      </c>
      <c r="G3874" s="18">
        <v>0.18</v>
      </c>
      <c r="H3874">
        <f>F3874*VLOOKUP(B3874,產品!$A$2:$H$61,7,FALSE)*(1-銷售總表!G3874)</f>
        <v>13940.000000000002</v>
      </c>
      <c r="I3874" s="35">
        <f>H3874-F3874*VLOOKUP(銷售總表!B3874,產品!$A$2:$H$61,8,FALSE)</f>
        <v>7140.0000000000018</v>
      </c>
      <c r="J3874" s="20">
        <f t="shared" si="60"/>
        <v>0.51219512195121952</v>
      </c>
    </row>
    <row r="3875" spans="1:10" x14ac:dyDescent="0.3">
      <c r="A3875" s="33">
        <v>3874</v>
      </c>
      <c r="B3875" s="4">
        <v>33</v>
      </c>
      <c r="C3875" s="15">
        <v>287</v>
      </c>
      <c r="D3875" s="16">
        <v>4</v>
      </c>
      <c r="E3875" s="22">
        <v>44612</v>
      </c>
      <c r="F3875" s="19">
        <v>25</v>
      </c>
      <c r="G3875" s="18">
        <v>0.05</v>
      </c>
      <c r="H3875">
        <f>F3875*VLOOKUP(B3875,產品!$A$2:$H$61,7,FALSE)*(1-銷售總表!G3875)</f>
        <v>178125</v>
      </c>
      <c r="I3875" s="35">
        <f>H3875-F3875*VLOOKUP(銷售總表!B3875,產品!$A$2:$H$61,8,FALSE)</f>
        <v>65625</v>
      </c>
      <c r="J3875" s="20">
        <f t="shared" si="60"/>
        <v>0.36842105263157893</v>
      </c>
    </row>
    <row r="3876" spans="1:10" x14ac:dyDescent="0.3">
      <c r="A3876" s="33">
        <v>3875</v>
      </c>
      <c r="B3876" s="4">
        <v>7</v>
      </c>
      <c r="C3876" s="15">
        <v>11</v>
      </c>
      <c r="D3876" s="16">
        <v>4</v>
      </c>
      <c r="E3876" s="22">
        <v>44612</v>
      </c>
      <c r="F3876" s="19">
        <v>45</v>
      </c>
      <c r="G3876" s="18">
        <v>0.13</v>
      </c>
      <c r="H3876">
        <f>F3876*VLOOKUP(B3876,產品!$A$2:$H$61,7,FALSE)*(1-銷售總表!G3876)</f>
        <v>39150</v>
      </c>
      <c r="I3876" s="35">
        <f>H3876-F3876*VLOOKUP(銷售總表!B3876,產品!$A$2:$H$61,8,FALSE)</f>
        <v>21150</v>
      </c>
      <c r="J3876" s="20">
        <f t="shared" si="60"/>
        <v>0.54022988505747127</v>
      </c>
    </row>
    <row r="3877" spans="1:10" x14ac:dyDescent="0.3">
      <c r="A3877" s="33">
        <v>3876</v>
      </c>
      <c r="B3877" s="4">
        <v>32</v>
      </c>
      <c r="C3877" s="15">
        <v>275</v>
      </c>
      <c r="D3877" s="16">
        <v>1</v>
      </c>
      <c r="E3877" s="22">
        <v>44613</v>
      </c>
      <c r="F3877" s="17">
        <v>3</v>
      </c>
      <c r="G3877" s="18">
        <v>7.0000000000000007E-2</v>
      </c>
      <c r="H3877">
        <f>F3877*VLOOKUP(B3877,產品!$A$2:$H$61,7,FALSE)*(1-銷售總表!G3877)</f>
        <v>20925</v>
      </c>
      <c r="I3877" s="35">
        <f>H3877-F3877*VLOOKUP(銷售總表!B3877,產品!$A$2:$H$61,8,FALSE)</f>
        <v>7425</v>
      </c>
      <c r="J3877" s="20">
        <f t="shared" si="60"/>
        <v>0.35483870967741937</v>
      </c>
    </row>
    <row r="3878" spans="1:10" x14ac:dyDescent="0.3">
      <c r="A3878" s="33">
        <v>3877</v>
      </c>
      <c r="B3878" s="4">
        <v>35</v>
      </c>
      <c r="C3878" s="15">
        <v>289</v>
      </c>
      <c r="D3878" s="16">
        <v>6</v>
      </c>
      <c r="E3878" s="22">
        <v>44613</v>
      </c>
      <c r="F3878" s="19">
        <v>5</v>
      </c>
      <c r="G3878" s="18">
        <v>0.17</v>
      </c>
      <c r="H3878">
        <f>F3878*VLOOKUP(B3878,產品!$A$2:$H$61,7,FALSE)*(1-銷售總表!G3878)</f>
        <v>35275</v>
      </c>
      <c r="I3878" s="35">
        <f>H3878-F3878*VLOOKUP(銷售總表!B3878,產品!$A$2:$H$61,8,FALSE)</f>
        <v>9775</v>
      </c>
      <c r="J3878" s="20">
        <f t="shared" si="60"/>
        <v>0.27710843373493976</v>
      </c>
    </row>
    <row r="3879" spans="1:10" x14ac:dyDescent="0.3">
      <c r="A3879" s="33">
        <v>3878</v>
      </c>
      <c r="B3879" s="4">
        <v>30</v>
      </c>
      <c r="C3879" s="15">
        <v>9</v>
      </c>
      <c r="D3879" s="16">
        <v>1</v>
      </c>
      <c r="E3879" s="22">
        <v>44613</v>
      </c>
      <c r="F3879" s="17">
        <v>6</v>
      </c>
      <c r="G3879" s="18">
        <v>0.18</v>
      </c>
      <c r="H3879">
        <f>F3879*VLOOKUP(B3879,產品!$A$2:$H$61,7,FALSE)*(1-銷售總表!G3879)</f>
        <v>31980.000000000004</v>
      </c>
      <c r="I3879" s="35">
        <f>H3879-F3879*VLOOKUP(銷售總表!B3879,產品!$A$2:$H$61,8,FALSE)</f>
        <v>8580.0000000000036</v>
      </c>
      <c r="J3879" s="20">
        <f t="shared" si="60"/>
        <v>0.26829268292682934</v>
      </c>
    </row>
    <row r="3880" spans="1:10" x14ac:dyDescent="0.3">
      <c r="A3880" s="33">
        <v>3879</v>
      </c>
      <c r="B3880" s="4">
        <v>23</v>
      </c>
      <c r="C3880" s="15">
        <v>12</v>
      </c>
      <c r="D3880" s="16">
        <v>5</v>
      </c>
      <c r="E3880" s="22">
        <v>44613</v>
      </c>
      <c r="F3880" s="19">
        <v>6</v>
      </c>
      <c r="G3880" s="18">
        <v>0.16</v>
      </c>
      <c r="H3880">
        <f>F3880*VLOOKUP(B3880,產品!$A$2:$H$61,7,FALSE)*(1-銷售總表!G3880)</f>
        <v>9072</v>
      </c>
      <c r="I3880" s="35">
        <f>H3880-F3880*VLOOKUP(銷售總表!B3880,產品!$A$2:$H$61,8,FALSE)</f>
        <v>4752</v>
      </c>
      <c r="J3880" s="20">
        <f t="shared" si="60"/>
        <v>0.52380952380952384</v>
      </c>
    </row>
    <row r="3881" spans="1:10" x14ac:dyDescent="0.3">
      <c r="A3881" s="33">
        <v>3880</v>
      </c>
      <c r="B3881" s="4">
        <v>45</v>
      </c>
      <c r="C3881" s="15">
        <v>4</v>
      </c>
      <c r="D3881" s="16">
        <v>3</v>
      </c>
      <c r="E3881" s="22">
        <v>44613</v>
      </c>
      <c r="F3881" s="19">
        <v>7</v>
      </c>
      <c r="G3881" s="18">
        <v>0.11</v>
      </c>
      <c r="H3881">
        <f>F3881*VLOOKUP(B3881,產品!$A$2:$H$61,7,FALSE)*(1-銷售總表!G3881)</f>
        <v>87220</v>
      </c>
      <c r="I3881" s="35">
        <f>H3881-F3881*VLOOKUP(銷售總表!B3881,產品!$A$2:$H$61,8,FALSE)</f>
        <v>23520</v>
      </c>
      <c r="J3881" s="20">
        <f t="shared" si="60"/>
        <v>0.2696629213483146</v>
      </c>
    </row>
    <row r="3882" spans="1:10" x14ac:dyDescent="0.3">
      <c r="A3882" s="33">
        <v>3881</v>
      </c>
      <c r="B3882" s="4">
        <v>14</v>
      </c>
      <c r="C3882" s="15">
        <v>4</v>
      </c>
      <c r="D3882" s="16">
        <v>8</v>
      </c>
      <c r="E3882" s="22">
        <v>44613</v>
      </c>
      <c r="F3882" s="19">
        <v>11</v>
      </c>
      <c r="G3882" s="18">
        <v>0.2</v>
      </c>
      <c r="H3882">
        <f>F3882*VLOOKUP(B3882,產品!$A$2:$H$61,7,FALSE)*(1-銷售總表!G3882)</f>
        <v>15840</v>
      </c>
      <c r="I3882" s="35">
        <f>H3882-F3882*VLOOKUP(銷售總表!B3882,產品!$A$2:$H$61,8,FALSE)</f>
        <v>7920</v>
      </c>
      <c r="J3882" s="20">
        <f t="shared" si="60"/>
        <v>0.5</v>
      </c>
    </row>
    <row r="3883" spans="1:10" x14ac:dyDescent="0.3">
      <c r="A3883" s="33">
        <v>3882</v>
      </c>
      <c r="B3883" s="4">
        <v>6</v>
      </c>
      <c r="C3883" s="15">
        <v>4</v>
      </c>
      <c r="D3883" s="16">
        <v>7</v>
      </c>
      <c r="E3883" s="22">
        <v>44613</v>
      </c>
      <c r="F3883" s="19">
        <v>250</v>
      </c>
      <c r="G3883" s="18">
        <v>0.14000000000000001</v>
      </c>
      <c r="H3883">
        <f>F3883*VLOOKUP(B3883,產品!$A$2:$H$61,7,FALSE)*(1-銷售總表!G3883)</f>
        <v>215000</v>
      </c>
      <c r="I3883" s="35">
        <f>H3883-F3883*VLOOKUP(銷售總表!B3883,產品!$A$2:$H$61,8,FALSE)</f>
        <v>115000</v>
      </c>
      <c r="J3883" s="20">
        <f t="shared" si="60"/>
        <v>0.53488372093023251</v>
      </c>
    </row>
    <row r="3884" spans="1:10" x14ac:dyDescent="0.3">
      <c r="A3884" s="33">
        <v>3883</v>
      </c>
      <c r="B3884" s="4">
        <v>28</v>
      </c>
      <c r="C3884" s="15">
        <v>12</v>
      </c>
      <c r="D3884" s="16">
        <v>5</v>
      </c>
      <c r="E3884" s="22">
        <v>44614</v>
      </c>
      <c r="F3884" s="19">
        <v>6</v>
      </c>
      <c r="G3884" s="18">
        <v>0.08</v>
      </c>
      <c r="H3884">
        <f>F3884*VLOOKUP(B3884,產品!$A$2:$H$61,7,FALSE)*(1-銷售總表!G3884)</f>
        <v>41400</v>
      </c>
      <c r="I3884" s="35">
        <f>H3884-F3884*VLOOKUP(銷售總表!B3884,產品!$A$2:$H$61,8,FALSE)</f>
        <v>14400</v>
      </c>
      <c r="J3884" s="20">
        <f t="shared" si="60"/>
        <v>0.34782608695652173</v>
      </c>
    </row>
    <row r="3885" spans="1:10" x14ac:dyDescent="0.3">
      <c r="A3885" s="33">
        <v>3884</v>
      </c>
      <c r="B3885" s="4">
        <v>33</v>
      </c>
      <c r="C3885" s="15">
        <v>286</v>
      </c>
      <c r="D3885" s="16">
        <v>6</v>
      </c>
      <c r="E3885" s="22">
        <v>44614</v>
      </c>
      <c r="F3885" s="19">
        <v>8</v>
      </c>
      <c r="G3885" s="18">
        <v>0.11</v>
      </c>
      <c r="H3885">
        <f>F3885*VLOOKUP(B3885,產品!$A$2:$H$61,7,FALSE)*(1-銷售總表!G3885)</f>
        <v>53400</v>
      </c>
      <c r="I3885" s="35">
        <f>H3885-F3885*VLOOKUP(銷售總表!B3885,產品!$A$2:$H$61,8,FALSE)</f>
        <v>17400</v>
      </c>
      <c r="J3885" s="20">
        <f t="shared" si="60"/>
        <v>0.3258426966292135</v>
      </c>
    </row>
    <row r="3886" spans="1:10" x14ac:dyDescent="0.3">
      <c r="A3886" s="33">
        <v>3885</v>
      </c>
      <c r="B3886" s="4">
        <v>22</v>
      </c>
      <c r="C3886" s="15">
        <v>258</v>
      </c>
      <c r="D3886" s="16">
        <v>3</v>
      </c>
      <c r="E3886" s="22">
        <v>44614</v>
      </c>
      <c r="F3886" s="17">
        <v>10</v>
      </c>
      <c r="G3886" s="18">
        <v>7.0000000000000007E-2</v>
      </c>
      <c r="H3886">
        <f>F3886*VLOOKUP(B3886,產品!$A$2:$H$61,7,FALSE)*(1-銷售總表!G3886)</f>
        <v>16740</v>
      </c>
      <c r="I3886" s="35">
        <f>H3886-F3886*VLOOKUP(銷售總表!B3886,產品!$A$2:$H$61,8,FALSE)</f>
        <v>9540</v>
      </c>
      <c r="J3886" s="20">
        <f t="shared" si="60"/>
        <v>0.56989247311827962</v>
      </c>
    </row>
    <row r="3887" spans="1:10" x14ac:dyDescent="0.3">
      <c r="A3887" s="33">
        <v>3886</v>
      </c>
      <c r="B3887" s="4">
        <v>18</v>
      </c>
      <c r="C3887" s="15">
        <v>285</v>
      </c>
      <c r="D3887" s="16">
        <v>1</v>
      </c>
      <c r="E3887" s="22">
        <v>44614</v>
      </c>
      <c r="F3887" s="19">
        <v>11</v>
      </c>
      <c r="G3887" s="18">
        <v>0.17</v>
      </c>
      <c r="H3887">
        <f>F3887*VLOOKUP(B3887,產品!$A$2:$H$61,7,FALSE)*(1-銷售總表!G3887)</f>
        <v>16434</v>
      </c>
      <c r="I3887" s="35">
        <f>H3887-F3887*VLOOKUP(銷售總表!B3887,產品!$A$2:$H$61,8,FALSE)</f>
        <v>8514</v>
      </c>
      <c r="J3887" s="20">
        <f t="shared" si="60"/>
        <v>0.51807228915662651</v>
      </c>
    </row>
    <row r="3888" spans="1:10" x14ac:dyDescent="0.3">
      <c r="A3888" s="33">
        <v>3887</v>
      </c>
      <c r="B3888" s="4">
        <v>33</v>
      </c>
      <c r="C3888" s="15">
        <v>114</v>
      </c>
      <c r="D3888" s="16">
        <v>10</v>
      </c>
      <c r="E3888" s="22">
        <v>44614</v>
      </c>
      <c r="F3888" s="19">
        <v>16</v>
      </c>
      <c r="G3888" s="18">
        <v>0.05</v>
      </c>
      <c r="H3888">
        <f>F3888*VLOOKUP(B3888,產品!$A$2:$H$61,7,FALSE)*(1-銷售總表!G3888)</f>
        <v>114000</v>
      </c>
      <c r="I3888" s="35">
        <f>H3888-F3888*VLOOKUP(銷售總表!B3888,產品!$A$2:$H$61,8,FALSE)</f>
        <v>42000</v>
      </c>
      <c r="J3888" s="20">
        <f t="shared" si="60"/>
        <v>0.36842105263157893</v>
      </c>
    </row>
    <row r="3889" spans="1:10" x14ac:dyDescent="0.3">
      <c r="A3889" s="33">
        <v>3888</v>
      </c>
      <c r="B3889" s="4">
        <v>40</v>
      </c>
      <c r="C3889" s="15">
        <v>5</v>
      </c>
      <c r="D3889" s="16">
        <v>1</v>
      </c>
      <c r="E3889" s="22">
        <v>44615</v>
      </c>
      <c r="F3889" s="19">
        <v>2</v>
      </c>
      <c r="G3889" s="18">
        <v>0.2</v>
      </c>
      <c r="H3889">
        <f>F3889*VLOOKUP(B3889,產品!$A$2:$H$61,7,FALSE)*(1-銷售總表!G3889)</f>
        <v>32000</v>
      </c>
      <c r="I3889" s="35">
        <f>H3889-F3889*VLOOKUP(銷售總表!B3889,產品!$A$2:$H$61,8,FALSE)</f>
        <v>6000</v>
      </c>
      <c r="J3889" s="20">
        <f t="shared" si="60"/>
        <v>0.1875</v>
      </c>
    </row>
    <row r="3890" spans="1:10" x14ac:dyDescent="0.3">
      <c r="A3890" s="33">
        <v>3889</v>
      </c>
      <c r="B3890" s="4">
        <v>21</v>
      </c>
      <c r="C3890" s="15">
        <v>138</v>
      </c>
      <c r="D3890" s="16">
        <v>1</v>
      </c>
      <c r="E3890" s="22">
        <v>44615</v>
      </c>
      <c r="F3890" s="19">
        <v>15</v>
      </c>
      <c r="G3890" s="18">
        <v>0.16</v>
      </c>
      <c r="H3890">
        <f>F3890*VLOOKUP(B3890,產品!$A$2:$H$61,7,FALSE)*(1-銷售總表!G3890)</f>
        <v>22680</v>
      </c>
      <c r="I3890" s="35">
        <f>H3890-F3890*VLOOKUP(銷售總表!B3890,產品!$A$2:$H$61,8,FALSE)</f>
        <v>11880</v>
      </c>
      <c r="J3890" s="20">
        <f t="shared" si="60"/>
        <v>0.52380952380952384</v>
      </c>
    </row>
    <row r="3891" spans="1:10" x14ac:dyDescent="0.3">
      <c r="A3891" s="33">
        <v>3890</v>
      </c>
      <c r="B3891" s="4">
        <v>42</v>
      </c>
      <c r="C3891" s="15">
        <v>9</v>
      </c>
      <c r="D3891" s="16">
        <v>3</v>
      </c>
      <c r="E3891" s="22">
        <v>44615</v>
      </c>
      <c r="F3891" s="19">
        <v>20</v>
      </c>
      <c r="G3891" s="18">
        <v>0.16</v>
      </c>
      <c r="H3891">
        <f>F3891*VLOOKUP(B3891,產品!$A$2:$H$61,7,FALSE)*(1-銷售總表!G3891)</f>
        <v>252000</v>
      </c>
      <c r="I3891" s="35">
        <f>H3891-F3891*VLOOKUP(銷售總表!B3891,產品!$A$2:$H$61,8,FALSE)</f>
        <v>57000</v>
      </c>
      <c r="J3891" s="20">
        <f t="shared" si="60"/>
        <v>0.22619047619047619</v>
      </c>
    </row>
    <row r="3892" spans="1:10" x14ac:dyDescent="0.3">
      <c r="A3892" s="33">
        <v>3891</v>
      </c>
      <c r="B3892" s="4">
        <v>3</v>
      </c>
      <c r="C3892" s="15">
        <v>266</v>
      </c>
      <c r="D3892" s="16">
        <v>2</v>
      </c>
      <c r="E3892" s="22">
        <v>44615</v>
      </c>
      <c r="F3892" s="19">
        <v>50</v>
      </c>
      <c r="G3892" s="18">
        <v>0.11</v>
      </c>
      <c r="H3892">
        <f>F3892*VLOOKUP(B3892,產品!$A$2:$H$61,7,FALSE)*(1-銷售總表!G3892)</f>
        <v>44500</v>
      </c>
      <c r="I3892" s="35">
        <f>H3892-F3892*VLOOKUP(銷售總表!B3892,產品!$A$2:$H$61,8,FALSE)</f>
        <v>24500</v>
      </c>
      <c r="J3892" s="20">
        <f t="shared" si="60"/>
        <v>0.550561797752809</v>
      </c>
    </row>
    <row r="3893" spans="1:10" x14ac:dyDescent="0.3">
      <c r="A3893" s="33">
        <v>3892</v>
      </c>
      <c r="B3893" s="4">
        <v>3</v>
      </c>
      <c r="C3893" s="15">
        <v>277</v>
      </c>
      <c r="D3893" s="16">
        <v>6</v>
      </c>
      <c r="E3893" s="22">
        <v>44615</v>
      </c>
      <c r="F3893" s="19">
        <v>50</v>
      </c>
      <c r="G3893" s="18">
        <v>0.17</v>
      </c>
      <c r="H3893">
        <f>F3893*VLOOKUP(B3893,產品!$A$2:$H$61,7,FALSE)*(1-銷售總表!G3893)</f>
        <v>41500</v>
      </c>
      <c r="I3893" s="35">
        <f>H3893-F3893*VLOOKUP(銷售總表!B3893,產品!$A$2:$H$61,8,FALSE)</f>
        <v>21500</v>
      </c>
      <c r="J3893" s="20">
        <f t="shared" si="60"/>
        <v>0.51807228915662651</v>
      </c>
    </row>
    <row r="3894" spans="1:10" x14ac:dyDescent="0.3">
      <c r="A3894" s="33">
        <v>3893</v>
      </c>
      <c r="B3894" s="4">
        <v>12</v>
      </c>
      <c r="C3894" s="15">
        <v>4</v>
      </c>
      <c r="D3894" s="16">
        <v>4</v>
      </c>
      <c r="E3894" s="22">
        <v>44615</v>
      </c>
      <c r="F3894" s="19">
        <v>100</v>
      </c>
      <c r="G3894" s="18">
        <v>0.11</v>
      </c>
      <c r="H3894">
        <f>F3894*VLOOKUP(B3894,產品!$A$2:$H$61,7,FALSE)*(1-銷售總表!G3894)</f>
        <v>89000</v>
      </c>
      <c r="I3894" s="35">
        <f>H3894-F3894*VLOOKUP(銷售總表!B3894,產品!$A$2:$H$61,8,FALSE)</f>
        <v>49000</v>
      </c>
      <c r="J3894" s="20">
        <f t="shared" si="60"/>
        <v>0.550561797752809</v>
      </c>
    </row>
    <row r="3895" spans="1:10" x14ac:dyDescent="0.3">
      <c r="A3895" s="33">
        <v>3894</v>
      </c>
      <c r="B3895" s="4">
        <v>43</v>
      </c>
      <c r="C3895" s="15">
        <v>5</v>
      </c>
      <c r="D3895" s="16">
        <v>1</v>
      </c>
      <c r="E3895" s="22">
        <v>44616</v>
      </c>
      <c r="F3895" s="19">
        <v>6</v>
      </c>
      <c r="G3895" s="18">
        <v>0.08</v>
      </c>
      <c r="H3895">
        <f>F3895*VLOOKUP(B3895,產品!$A$2:$H$61,7,FALSE)*(1-銷售總表!G3895)</f>
        <v>99360</v>
      </c>
      <c r="I3895" s="35">
        <f>H3895-F3895*VLOOKUP(銷售總表!B3895,產品!$A$2:$H$61,8,FALSE)</f>
        <v>29160</v>
      </c>
      <c r="J3895" s="20">
        <f t="shared" si="60"/>
        <v>0.29347826086956524</v>
      </c>
    </row>
    <row r="3896" spans="1:10" x14ac:dyDescent="0.3">
      <c r="A3896" s="33">
        <v>3895</v>
      </c>
      <c r="B3896" s="4">
        <v>29</v>
      </c>
      <c r="C3896" s="15">
        <v>138</v>
      </c>
      <c r="D3896" s="16">
        <v>10</v>
      </c>
      <c r="E3896" s="22">
        <v>44616</v>
      </c>
      <c r="F3896" s="19">
        <v>20</v>
      </c>
      <c r="G3896" s="18">
        <v>0.2</v>
      </c>
      <c r="H3896">
        <f>F3896*VLOOKUP(B3896,產品!$A$2:$H$61,7,FALSE)*(1-銷售總表!G3896)</f>
        <v>96000</v>
      </c>
      <c r="I3896" s="35">
        <f>H3896-F3896*VLOOKUP(銷售總表!B3896,產品!$A$2:$H$61,8,FALSE)</f>
        <v>24000</v>
      </c>
      <c r="J3896" s="20">
        <f t="shared" si="60"/>
        <v>0.25</v>
      </c>
    </row>
    <row r="3897" spans="1:10" x14ac:dyDescent="0.3">
      <c r="A3897" s="33">
        <v>3896</v>
      </c>
      <c r="B3897" s="4">
        <v>15</v>
      </c>
      <c r="C3897" s="15">
        <v>261</v>
      </c>
      <c r="D3897" s="16">
        <v>9</v>
      </c>
      <c r="E3897" s="22">
        <v>44616</v>
      </c>
      <c r="F3897" s="19">
        <v>40</v>
      </c>
      <c r="G3897" s="18">
        <v>0.08</v>
      </c>
      <c r="H3897">
        <f>F3897*VLOOKUP(B3897,產品!$A$2:$H$61,7,FALSE)*(1-銷售總表!G3897)</f>
        <v>66240</v>
      </c>
      <c r="I3897" s="35">
        <f>H3897-F3897*VLOOKUP(銷售總表!B3897,產品!$A$2:$H$61,8,FALSE)</f>
        <v>37440</v>
      </c>
      <c r="J3897" s="20">
        <f t="shared" si="60"/>
        <v>0.56521739130434778</v>
      </c>
    </row>
    <row r="3898" spans="1:10" x14ac:dyDescent="0.3">
      <c r="A3898" s="33">
        <v>3897</v>
      </c>
      <c r="B3898" s="4">
        <v>10</v>
      </c>
      <c r="C3898" s="15">
        <v>11</v>
      </c>
      <c r="D3898" s="16">
        <v>4</v>
      </c>
      <c r="E3898" s="22">
        <v>44616</v>
      </c>
      <c r="F3898" s="19">
        <v>40</v>
      </c>
      <c r="G3898" s="18">
        <v>0.05</v>
      </c>
      <c r="H3898">
        <f>F3898*VLOOKUP(B3898,產品!$A$2:$H$61,7,FALSE)*(1-銷售總表!G3898)</f>
        <v>38000</v>
      </c>
      <c r="I3898" s="35">
        <f>H3898-F3898*VLOOKUP(銷售總表!B3898,產品!$A$2:$H$61,8,FALSE)</f>
        <v>22000</v>
      </c>
      <c r="J3898" s="20">
        <f t="shared" si="60"/>
        <v>0.57894736842105265</v>
      </c>
    </row>
    <row r="3899" spans="1:10" x14ac:dyDescent="0.3">
      <c r="A3899" s="33">
        <v>3898</v>
      </c>
      <c r="B3899" s="4">
        <v>23</v>
      </c>
      <c r="C3899" s="15">
        <v>262</v>
      </c>
      <c r="D3899" s="16">
        <v>9</v>
      </c>
      <c r="E3899" s="22">
        <v>44616</v>
      </c>
      <c r="F3899" s="19">
        <v>60</v>
      </c>
      <c r="G3899" s="18">
        <v>0.19</v>
      </c>
      <c r="H3899">
        <f>F3899*VLOOKUP(B3899,產品!$A$2:$H$61,7,FALSE)*(1-銷售總表!G3899)</f>
        <v>87480</v>
      </c>
      <c r="I3899" s="35">
        <f>H3899-F3899*VLOOKUP(銷售總表!B3899,產品!$A$2:$H$61,8,FALSE)</f>
        <v>44280</v>
      </c>
      <c r="J3899" s="20">
        <f t="shared" si="60"/>
        <v>0.50617283950617287</v>
      </c>
    </row>
    <row r="3900" spans="1:10" x14ac:dyDescent="0.3">
      <c r="A3900" s="33">
        <v>3899</v>
      </c>
      <c r="B3900" s="4">
        <v>33</v>
      </c>
      <c r="C3900" s="15">
        <v>134</v>
      </c>
      <c r="D3900" s="16">
        <v>5</v>
      </c>
      <c r="E3900" s="22">
        <v>44617</v>
      </c>
      <c r="F3900" s="19">
        <v>4</v>
      </c>
      <c r="G3900" s="18">
        <v>0.06</v>
      </c>
      <c r="H3900">
        <f>F3900*VLOOKUP(B3900,產品!$A$2:$H$61,7,FALSE)*(1-銷售總表!G3900)</f>
        <v>28200</v>
      </c>
      <c r="I3900" s="35">
        <f>H3900-F3900*VLOOKUP(銷售總表!B3900,產品!$A$2:$H$61,8,FALSE)</f>
        <v>10200</v>
      </c>
      <c r="J3900" s="20">
        <f t="shared" si="60"/>
        <v>0.36170212765957449</v>
      </c>
    </row>
    <row r="3901" spans="1:10" x14ac:dyDescent="0.3">
      <c r="A3901" s="33">
        <v>3900</v>
      </c>
      <c r="B3901" s="4">
        <v>45</v>
      </c>
      <c r="C3901" s="15">
        <v>122</v>
      </c>
      <c r="D3901" s="16">
        <v>1</v>
      </c>
      <c r="E3901" s="22">
        <v>44617</v>
      </c>
      <c r="F3901" s="19">
        <v>5</v>
      </c>
      <c r="G3901" s="18">
        <v>0.15</v>
      </c>
      <c r="H3901">
        <f>F3901*VLOOKUP(B3901,產品!$A$2:$H$61,7,FALSE)*(1-銷售總表!G3901)</f>
        <v>59500</v>
      </c>
      <c r="I3901" s="35">
        <f>H3901-F3901*VLOOKUP(銷售總表!B3901,產品!$A$2:$H$61,8,FALSE)</f>
        <v>14000</v>
      </c>
      <c r="J3901" s="20">
        <f t="shared" si="60"/>
        <v>0.23529411764705882</v>
      </c>
    </row>
    <row r="3902" spans="1:10" x14ac:dyDescent="0.3">
      <c r="A3902" s="33">
        <v>3901</v>
      </c>
      <c r="B3902" s="4">
        <v>33</v>
      </c>
      <c r="C3902" s="15">
        <v>273</v>
      </c>
      <c r="D3902" s="16">
        <v>8</v>
      </c>
      <c r="E3902" s="22">
        <v>44617</v>
      </c>
      <c r="F3902" s="19">
        <v>5</v>
      </c>
      <c r="G3902" s="18">
        <v>0.16</v>
      </c>
      <c r="H3902">
        <f>F3902*VLOOKUP(B3902,產品!$A$2:$H$61,7,FALSE)*(1-銷售總表!G3902)</f>
        <v>31500</v>
      </c>
      <c r="I3902" s="35">
        <f>H3902-F3902*VLOOKUP(銷售總表!B3902,產品!$A$2:$H$61,8,FALSE)</f>
        <v>9000</v>
      </c>
      <c r="J3902" s="20">
        <f t="shared" si="60"/>
        <v>0.2857142857142857</v>
      </c>
    </row>
    <row r="3903" spans="1:10" x14ac:dyDescent="0.3">
      <c r="A3903" s="33">
        <v>3902</v>
      </c>
      <c r="B3903" s="4">
        <v>58</v>
      </c>
      <c r="C3903" s="15">
        <v>8</v>
      </c>
      <c r="D3903" s="16">
        <v>5</v>
      </c>
      <c r="E3903" s="22">
        <v>44617</v>
      </c>
      <c r="F3903" s="19">
        <v>13</v>
      </c>
      <c r="G3903" s="18">
        <v>0.14000000000000001</v>
      </c>
      <c r="H3903">
        <f>F3903*VLOOKUP(B3903,產品!$A$2:$H$61,7,FALSE)*(1-銷售總表!G3903)</f>
        <v>234780</v>
      </c>
      <c r="I3903" s="35">
        <f>H3903-F3903*VLOOKUP(銷售總表!B3903,產品!$A$2:$H$61,8,FALSE)</f>
        <v>43680.000000000029</v>
      </c>
      <c r="J3903" s="20">
        <f t="shared" si="60"/>
        <v>0.18604651162790711</v>
      </c>
    </row>
    <row r="3904" spans="1:10" x14ac:dyDescent="0.3">
      <c r="A3904" s="33">
        <v>3903</v>
      </c>
      <c r="B3904" s="4">
        <v>57</v>
      </c>
      <c r="C3904" s="15">
        <v>291</v>
      </c>
      <c r="D3904" s="16">
        <v>6</v>
      </c>
      <c r="E3904" s="22">
        <v>44617</v>
      </c>
      <c r="F3904" s="19">
        <v>15</v>
      </c>
      <c r="G3904" s="18">
        <v>0.19</v>
      </c>
      <c r="H3904">
        <f>F3904*VLOOKUP(B3904,產品!$A$2:$H$61,7,FALSE)*(1-銷售總表!G3904)</f>
        <v>218700</v>
      </c>
      <c r="I3904" s="35">
        <f>H3904-F3904*VLOOKUP(銷售總表!B3904,產品!$A$2:$H$61,8,FALSE)</f>
        <v>29700</v>
      </c>
      <c r="J3904" s="20">
        <f t="shared" si="60"/>
        <v>0.13580246913580246</v>
      </c>
    </row>
    <row r="3905" spans="1:10" x14ac:dyDescent="0.3">
      <c r="A3905" s="33">
        <v>3904</v>
      </c>
      <c r="B3905" s="4">
        <v>1</v>
      </c>
      <c r="C3905" s="15">
        <v>115</v>
      </c>
      <c r="D3905" s="16">
        <v>3</v>
      </c>
      <c r="E3905" s="22">
        <v>44617</v>
      </c>
      <c r="F3905" s="19">
        <v>40</v>
      </c>
      <c r="G3905" s="18">
        <v>0.15</v>
      </c>
      <c r="H3905">
        <f>F3905*VLOOKUP(B3905,產品!$A$2:$H$61,7,FALSE)*(1-銷售總表!G3905)</f>
        <v>34000</v>
      </c>
      <c r="I3905" s="35">
        <f>H3905-F3905*VLOOKUP(銷售總表!B3905,產品!$A$2:$H$61,8,FALSE)</f>
        <v>18000</v>
      </c>
      <c r="J3905" s="20">
        <f t="shared" si="60"/>
        <v>0.52941176470588236</v>
      </c>
    </row>
    <row r="3906" spans="1:10" x14ac:dyDescent="0.3">
      <c r="A3906" s="33">
        <v>3905</v>
      </c>
      <c r="B3906" s="4">
        <v>15</v>
      </c>
      <c r="C3906" s="15">
        <v>113</v>
      </c>
      <c r="D3906" s="16">
        <v>9</v>
      </c>
      <c r="E3906" s="22">
        <v>44617</v>
      </c>
      <c r="F3906" s="19">
        <v>50</v>
      </c>
      <c r="G3906" s="18">
        <v>0.11</v>
      </c>
      <c r="H3906">
        <f>F3906*VLOOKUP(B3906,產品!$A$2:$H$61,7,FALSE)*(1-銷售總表!G3906)</f>
        <v>80100</v>
      </c>
      <c r="I3906" s="35">
        <f>H3906-F3906*VLOOKUP(銷售總表!B3906,產品!$A$2:$H$61,8,FALSE)</f>
        <v>44100</v>
      </c>
      <c r="J3906" s="20">
        <f t="shared" si="60"/>
        <v>0.550561797752809</v>
      </c>
    </row>
    <row r="3907" spans="1:10" x14ac:dyDescent="0.3">
      <c r="A3907" s="33">
        <v>3906</v>
      </c>
      <c r="B3907" s="4">
        <v>14</v>
      </c>
      <c r="C3907" s="15">
        <v>6</v>
      </c>
      <c r="D3907" s="16">
        <v>7</v>
      </c>
      <c r="E3907" s="22">
        <v>44617</v>
      </c>
      <c r="F3907" s="19">
        <v>75</v>
      </c>
      <c r="G3907" s="18">
        <v>0.09</v>
      </c>
      <c r="H3907">
        <f>F3907*VLOOKUP(B3907,產品!$A$2:$H$61,7,FALSE)*(1-銷售總表!G3907)</f>
        <v>122850</v>
      </c>
      <c r="I3907" s="35">
        <f>H3907-F3907*VLOOKUP(銷售總表!B3907,產品!$A$2:$H$61,8,FALSE)</f>
        <v>68850</v>
      </c>
      <c r="J3907" s="20">
        <f t="shared" ref="J3907:J3970" si="61">I3907/H3907</f>
        <v>0.56043956043956045</v>
      </c>
    </row>
    <row r="3908" spans="1:10" x14ac:dyDescent="0.3">
      <c r="A3908" s="33">
        <v>3907</v>
      </c>
      <c r="B3908" s="4">
        <v>1</v>
      </c>
      <c r="C3908" s="15">
        <v>136</v>
      </c>
      <c r="D3908" s="16">
        <v>4</v>
      </c>
      <c r="E3908" s="22">
        <v>44617</v>
      </c>
      <c r="F3908" s="19">
        <v>80</v>
      </c>
      <c r="G3908" s="18">
        <v>0.12</v>
      </c>
      <c r="H3908">
        <f>F3908*VLOOKUP(B3908,產品!$A$2:$H$61,7,FALSE)*(1-銷售總表!G3908)</f>
        <v>70400</v>
      </c>
      <c r="I3908" s="35">
        <f>H3908-F3908*VLOOKUP(銷售總表!B3908,產品!$A$2:$H$61,8,FALSE)</f>
        <v>38400</v>
      </c>
      <c r="J3908" s="20">
        <f t="shared" si="61"/>
        <v>0.54545454545454541</v>
      </c>
    </row>
    <row r="3909" spans="1:10" x14ac:dyDescent="0.3">
      <c r="A3909" s="33">
        <v>3908</v>
      </c>
      <c r="B3909" s="4">
        <v>26</v>
      </c>
      <c r="C3909" s="15">
        <v>115</v>
      </c>
      <c r="D3909" s="16">
        <v>9</v>
      </c>
      <c r="E3909" s="22">
        <v>44618</v>
      </c>
      <c r="F3909" s="19">
        <v>9</v>
      </c>
      <c r="G3909" s="18">
        <v>0.05</v>
      </c>
      <c r="H3909">
        <f>F3909*VLOOKUP(B3909,產品!$A$2:$H$61,7,FALSE)*(1-銷售總表!G3909)</f>
        <v>55575</v>
      </c>
      <c r="I3909" s="35">
        <f>H3909-F3909*VLOOKUP(銷售總表!B3909,產品!$A$2:$H$61,8,FALSE)</f>
        <v>20475</v>
      </c>
      <c r="J3909" s="20">
        <f t="shared" si="61"/>
        <v>0.36842105263157893</v>
      </c>
    </row>
    <row r="3910" spans="1:10" x14ac:dyDescent="0.3">
      <c r="A3910" s="33">
        <v>3909</v>
      </c>
      <c r="B3910" s="4">
        <v>39</v>
      </c>
      <c r="C3910" s="15">
        <v>135</v>
      </c>
      <c r="D3910" s="16">
        <v>8</v>
      </c>
      <c r="E3910" s="22">
        <v>44618</v>
      </c>
      <c r="F3910" s="19">
        <v>10</v>
      </c>
      <c r="G3910" s="18">
        <v>0.16</v>
      </c>
      <c r="H3910">
        <f>F3910*VLOOKUP(B3910,產品!$A$2:$H$61,7,FALSE)*(1-銷售總表!G3910)</f>
        <v>151200</v>
      </c>
      <c r="I3910" s="35">
        <f>H3910-F3910*VLOOKUP(銷售總表!B3910,產品!$A$2:$H$61,8,FALSE)</f>
        <v>34200</v>
      </c>
      <c r="J3910" s="20">
        <f t="shared" si="61"/>
        <v>0.22619047619047619</v>
      </c>
    </row>
    <row r="3911" spans="1:10" x14ac:dyDescent="0.3">
      <c r="A3911" s="33">
        <v>3910</v>
      </c>
      <c r="B3911" s="4">
        <v>47</v>
      </c>
      <c r="C3911" s="15">
        <v>5</v>
      </c>
      <c r="D3911" s="16">
        <v>2</v>
      </c>
      <c r="E3911" s="22">
        <v>44618</v>
      </c>
      <c r="F3911" s="19">
        <v>10</v>
      </c>
      <c r="G3911" s="18">
        <v>0.19</v>
      </c>
      <c r="H3911">
        <f>F3911*VLOOKUP(B3911,產品!$A$2:$H$61,7,FALSE)*(1-銷售總表!G3911)</f>
        <v>162000</v>
      </c>
      <c r="I3911" s="35">
        <f>H3911-F3911*VLOOKUP(銷售總表!B3911,產品!$A$2:$H$61,8,FALSE)</f>
        <v>32000</v>
      </c>
      <c r="J3911" s="20">
        <f t="shared" si="61"/>
        <v>0.19753086419753085</v>
      </c>
    </row>
    <row r="3912" spans="1:10" x14ac:dyDescent="0.3">
      <c r="A3912" s="33">
        <v>3911</v>
      </c>
      <c r="B3912" s="4">
        <v>11</v>
      </c>
      <c r="C3912" s="15">
        <v>5</v>
      </c>
      <c r="D3912" s="16">
        <v>7</v>
      </c>
      <c r="E3912" s="22">
        <v>44618</v>
      </c>
      <c r="F3912" s="19">
        <v>175</v>
      </c>
      <c r="G3912" s="18">
        <v>7.0000000000000007E-2</v>
      </c>
      <c r="H3912">
        <f>F3912*VLOOKUP(B3912,產品!$A$2:$H$61,7,FALSE)*(1-銷售總表!G3912)</f>
        <v>162750</v>
      </c>
      <c r="I3912" s="35">
        <f>H3912-F3912*VLOOKUP(銷售總表!B3912,產品!$A$2:$H$61,8,FALSE)</f>
        <v>92750</v>
      </c>
      <c r="J3912" s="20">
        <f t="shared" si="61"/>
        <v>0.56989247311827962</v>
      </c>
    </row>
    <row r="3913" spans="1:10" x14ac:dyDescent="0.3">
      <c r="A3913" s="33">
        <v>3912</v>
      </c>
      <c r="B3913" s="4">
        <v>3</v>
      </c>
      <c r="C3913" s="15">
        <v>123</v>
      </c>
      <c r="D3913" s="16">
        <v>1</v>
      </c>
      <c r="E3913" s="22">
        <v>44618</v>
      </c>
      <c r="F3913" s="19">
        <v>175</v>
      </c>
      <c r="G3913" s="18">
        <v>0.1</v>
      </c>
      <c r="H3913">
        <f>F3913*VLOOKUP(B3913,產品!$A$2:$H$61,7,FALSE)*(1-銷售總表!G3913)</f>
        <v>157500</v>
      </c>
      <c r="I3913" s="35">
        <f>H3913-F3913*VLOOKUP(銷售總表!B3913,產品!$A$2:$H$61,8,FALSE)</f>
        <v>87500</v>
      </c>
      <c r="J3913" s="20">
        <f t="shared" si="61"/>
        <v>0.55555555555555558</v>
      </c>
    </row>
    <row r="3914" spans="1:10" x14ac:dyDescent="0.3">
      <c r="A3914" s="33">
        <v>3913</v>
      </c>
      <c r="B3914" s="4">
        <v>41</v>
      </c>
      <c r="C3914" s="15">
        <v>121</v>
      </c>
      <c r="D3914" s="16">
        <v>2</v>
      </c>
      <c r="E3914" s="22">
        <v>44619</v>
      </c>
      <c r="F3914" s="19">
        <v>2</v>
      </c>
      <c r="G3914" s="18">
        <v>0.17</v>
      </c>
      <c r="H3914">
        <f>F3914*VLOOKUP(B3914,產品!$A$2:$H$61,7,FALSE)*(1-銷售總表!G3914)</f>
        <v>19920</v>
      </c>
      <c r="I3914" s="35">
        <f>H3914-F3914*VLOOKUP(銷售總表!B3914,產品!$A$2:$H$61,8,FALSE)</f>
        <v>4320</v>
      </c>
      <c r="J3914" s="20">
        <f t="shared" si="61"/>
        <v>0.21686746987951808</v>
      </c>
    </row>
    <row r="3915" spans="1:10" x14ac:dyDescent="0.3">
      <c r="A3915" s="33">
        <v>3914</v>
      </c>
      <c r="B3915" s="4">
        <v>25</v>
      </c>
      <c r="C3915" s="15">
        <v>5</v>
      </c>
      <c r="D3915" s="16">
        <v>9</v>
      </c>
      <c r="E3915" s="22">
        <v>44619</v>
      </c>
      <c r="F3915" s="19">
        <v>3</v>
      </c>
      <c r="G3915" s="18">
        <v>0.14000000000000001</v>
      </c>
      <c r="H3915">
        <f>F3915*VLOOKUP(B3915,產品!$A$2:$H$61,7,FALSE)*(1-銷售總表!G3915)</f>
        <v>15480</v>
      </c>
      <c r="I3915" s="35">
        <f>H3915-F3915*VLOOKUP(銷售總表!B3915,產品!$A$2:$H$61,8,FALSE)</f>
        <v>4680</v>
      </c>
      <c r="J3915" s="20">
        <f t="shared" si="61"/>
        <v>0.30232558139534882</v>
      </c>
    </row>
    <row r="3916" spans="1:10" x14ac:dyDescent="0.3">
      <c r="A3916" s="33">
        <v>3915</v>
      </c>
      <c r="B3916" s="4">
        <v>43</v>
      </c>
      <c r="C3916" s="15">
        <v>121</v>
      </c>
      <c r="D3916" s="16">
        <v>5</v>
      </c>
      <c r="E3916" s="22">
        <v>44619</v>
      </c>
      <c r="F3916" s="19">
        <v>5</v>
      </c>
      <c r="G3916" s="18">
        <v>0.19</v>
      </c>
      <c r="H3916">
        <f>F3916*VLOOKUP(B3916,產品!$A$2:$H$61,7,FALSE)*(1-銷售總表!G3916)</f>
        <v>72900</v>
      </c>
      <c r="I3916" s="35">
        <f>H3916-F3916*VLOOKUP(銷售總表!B3916,產品!$A$2:$H$61,8,FALSE)</f>
        <v>14400</v>
      </c>
      <c r="J3916" s="20">
        <f t="shared" si="61"/>
        <v>0.19753086419753085</v>
      </c>
    </row>
    <row r="3917" spans="1:10" x14ac:dyDescent="0.3">
      <c r="A3917" s="33">
        <v>3916</v>
      </c>
      <c r="B3917" s="4">
        <v>56</v>
      </c>
      <c r="C3917" s="15">
        <v>293</v>
      </c>
      <c r="D3917" s="16">
        <v>8</v>
      </c>
      <c r="E3917" s="22">
        <v>44619</v>
      </c>
      <c r="F3917" s="19">
        <v>7</v>
      </c>
      <c r="G3917" s="18">
        <v>0.13</v>
      </c>
      <c r="H3917">
        <f>F3917*VLOOKUP(B3917,產品!$A$2:$H$61,7,FALSE)*(1-銷售總表!G3917)</f>
        <v>133980</v>
      </c>
      <c r="I3917" s="35">
        <f>H3917-F3917*VLOOKUP(銷售總表!B3917,產品!$A$2:$H$61,8,FALSE)</f>
        <v>26180.000000000015</v>
      </c>
      <c r="J3917" s="20">
        <f t="shared" si="61"/>
        <v>0.19540229885057483</v>
      </c>
    </row>
    <row r="3918" spans="1:10" x14ac:dyDescent="0.3">
      <c r="A3918" s="33">
        <v>3917</v>
      </c>
      <c r="B3918" s="4">
        <v>9</v>
      </c>
      <c r="C3918" s="15">
        <v>5</v>
      </c>
      <c r="D3918" s="16">
        <v>8</v>
      </c>
      <c r="E3918" s="22">
        <v>44619</v>
      </c>
      <c r="F3918" s="19">
        <v>12</v>
      </c>
      <c r="G3918" s="18">
        <v>0.08</v>
      </c>
      <c r="H3918">
        <f>F3918*VLOOKUP(B3918,產品!$A$2:$H$61,7,FALSE)*(1-銷售總表!G3918)</f>
        <v>11040</v>
      </c>
      <c r="I3918" s="35">
        <f>H3918-F3918*VLOOKUP(銷售總表!B3918,產品!$A$2:$H$61,8,FALSE)</f>
        <v>6240</v>
      </c>
      <c r="J3918" s="20">
        <f t="shared" si="61"/>
        <v>0.56521739130434778</v>
      </c>
    </row>
    <row r="3919" spans="1:10" x14ac:dyDescent="0.3">
      <c r="A3919" s="33">
        <v>3918</v>
      </c>
      <c r="B3919" s="4">
        <v>13</v>
      </c>
      <c r="C3919" s="15">
        <v>5</v>
      </c>
      <c r="D3919" s="16">
        <v>1</v>
      </c>
      <c r="E3919" s="22">
        <v>44619</v>
      </c>
      <c r="F3919" s="19">
        <v>13</v>
      </c>
      <c r="G3919" s="18">
        <v>0.18</v>
      </c>
      <c r="H3919">
        <f>F3919*VLOOKUP(B3919,產品!$A$2:$H$61,7,FALSE)*(1-銷售總表!G3919)</f>
        <v>19188</v>
      </c>
      <c r="I3919" s="35">
        <f>H3919-F3919*VLOOKUP(銷售總表!B3919,產品!$A$2:$H$61,8,FALSE)</f>
        <v>9828</v>
      </c>
      <c r="J3919" s="20">
        <f t="shared" si="61"/>
        <v>0.51219512195121952</v>
      </c>
    </row>
    <row r="3920" spans="1:10" x14ac:dyDescent="0.3">
      <c r="A3920" s="33">
        <v>3919</v>
      </c>
      <c r="B3920" s="4">
        <v>39</v>
      </c>
      <c r="C3920" s="15">
        <v>123</v>
      </c>
      <c r="D3920" s="16">
        <v>5</v>
      </c>
      <c r="E3920" s="22">
        <v>44619</v>
      </c>
      <c r="F3920" s="19">
        <v>18</v>
      </c>
      <c r="G3920" s="18">
        <v>0.08</v>
      </c>
      <c r="H3920">
        <f>F3920*VLOOKUP(B3920,產品!$A$2:$H$61,7,FALSE)*(1-銷售總表!G3920)</f>
        <v>298080</v>
      </c>
      <c r="I3920" s="35">
        <f>H3920-F3920*VLOOKUP(銷售總表!B3920,產品!$A$2:$H$61,8,FALSE)</f>
        <v>87480</v>
      </c>
      <c r="J3920" s="20">
        <f t="shared" si="61"/>
        <v>0.29347826086956524</v>
      </c>
    </row>
    <row r="3921" spans="1:10" x14ac:dyDescent="0.3">
      <c r="A3921" s="33">
        <v>3920</v>
      </c>
      <c r="B3921" s="4">
        <v>12</v>
      </c>
      <c r="C3921" s="15">
        <v>117</v>
      </c>
      <c r="D3921" s="16">
        <v>4</v>
      </c>
      <c r="E3921" s="22">
        <v>44619</v>
      </c>
      <c r="F3921" s="19">
        <v>30</v>
      </c>
      <c r="G3921" s="18">
        <v>0.18</v>
      </c>
      <c r="H3921">
        <f>F3921*VLOOKUP(B3921,產品!$A$2:$H$61,7,FALSE)*(1-銷售總表!G3921)</f>
        <v>24600.000000000004</v>
      </c>
      <c r="I3921" s="35">
        <f>H3921-F3921*VLOOKUP(銷售總表!B3921,產品!$A$2:$H$61,8,FALSE)</f>
        <v>12600.000000000004</v>
      </c>
      <c r="J3921" s="20">
        <f t="shared" si="61"/>
        <v>0.51219512195121963</v>
      </c>
    </row>
    <row r="3922" spans="1:10" x14ac:dyDescent="0.3">
      <c r="A3922" s="33">
        <v>3921</v>
      </c>
      <c r="B3922" s="4">
        <v>1</v>
      </c>
      <c r="C3922" s="15">
        <v>286</v>
      </c>
      <c r="D3922" s="16">
        <v>5</v>
      </c>
      <c r="E3922" s="22">
        <v>44619</v>
      </c>
      <c r="F3922" s="19">
        <v>45</v>
      </c>
      <c r="G3922" s="18">
        <v>0.09</v>
      </c>
      <c r="H3922">
        <f>F3922*VLOOKUP(B3922,產品!$A$2:$H$61,7,FALSE)*(1-銷售總表!G3922)</f>
        <v>40950</v>
      </c>
      <c r="I3922" s="35">
        <f>H3922-F3922*VLOOKUP(銷售總表!B3922,產品!$A$2:$H$61,8,FALSE)</f>
        <v>22950</v>
      </c>
      <c r="J3922" s="20">
        <f t="shared" si="61"/>
        <v>0.56043956043956045</v>
      </c>
    </row>
    <row r="3923" spans="1:10" x14ac:dyDescent="0.3">
      <c r="A3923" s="33">
        <v>3922</v>
      </c>
      <c r="B3923" s="4">
        <v>9</v>
      </c>
      <c r="C3923" s="15">
        <v>273</v>
      </c>
      <c r="D3923" s="16">
        <v>6</v>
      </c>
      <c r="E3923" s="22">
        <v>44619</v>
      </c>
      <c r="F3923" s="19">
        <v>50</v>
      </c>
      <c r="G3923" s="18">
        <v>0.1</v>
      </c>
      <c r="H3923">
        <f>F3923*VLOOKUP(B3923,產品!$A$2:$H$61,7,FALSE)*(1-銷售總表!G3923)</f>
        <v>45000</v>
      </c>
      <c r="I3923" s="35">
        <f>H3923-F3923*VLOOKUP(銷售總表!B3923,產品!$A$2:$H$61,8,FALSE)</f>
        <v>25000</v>
      </c>
      <c r="J3923" s="20">
        <f t="shared" si="61"/>
        <v>0.55555555555555558</v>
      </c>
    </row>
    <row r="3924" spans="1:10" x14ac:dyDescent="0.3">
      <c r="A3924" s="33">
        <v>3923</v>
      </c>
      <c r="B3924" s="4">
        <v>32</v>
      </c>
      <c r="C3924" s="15">
        <v>1</v>
      </c>
      <c r="D3924" s="16">
        <v>3</v>
      </c>
      <c r="E3924" s="22">
        <v>44620</v>
      </c>
      <c r="F3924" s="19">
        <v>6</v>
      </c>
      <c r="G3924" s="18">
        <v>0.16</v>
      </c>
      <c r="H3924">
        <f>F3924*VLOOKUP(B3924,產品!$A$2:$H$61,7,FALSE)*(1-銷售總表!G3924)</f>
        <v>37800</v>
      </c>
      <c r="I3924" s="35">
        <f>H3924-F3924*VLOOKUP(銷售總表!B3924,產品!$A$2:$H$61,8,FALSE)</f>
        <v>10800</v>
      </c>
      <c r="J3924" s="20">
        <f t="shared" si="61"/>
        <v>0.2857142857142857</v>
      </c>
    </row>
    <row r="3925" spans="1:10" x14ac:dyDescent="0.3">
      <c r="A3925" s="33">
        <v>3924</v>
      </c>
      <c r="B3925" s="4">
        <v>31</v>
      </c>
      <c r="C3925" s="15">
        <v>268</v>
      </c>
      <c r="D3925" s="16">
        <v>4</v>
      </c>
      <c r="E3925" s="22">
        <v>44620</v>
      </c>
      <c r="F3925" s="17">
        <v>8</v>
      </c>
      <c r="G3925" s="18">
        <v>0.18</v>
      </c>
      <c r="H3925">
        <f>F3925*VLOOKUP(B3925,產品!$A$2:$H$61,7,FALSE)*(1-銷售總表!G3925)</f>
        <v>45920</v>
      </c>
      <c r="I3925" s="35">
        <f>H3925-F3925*VLOOKUP(銷售總表!B3925,產品!$A$2:$H$61,8,FALSE)</f>
        <v>12320</v>
      </c>
      <c r="J3925" s="20">
        <f t="shared" si="61"/>
        <v>0.26829268292682928</v>
      </c>
    </row>
    <row r="3926" spans="1:10" x14ac:dyDescent="0.3">
      <c r="A3926" s="33">
        <v>3925</v>
      </c>
      <c r="B3926" s="4">
        <v>46</v>
      </c>
      <c r="C3926" s="15">
        <v>257</v>
      </c>
      <c r="D3926" s="16">
        <v>3</v>
      </c>
      <c r="E3926" s="22">
        <v>44620</v>
      </c>
      <c r="F3926" s="19">
        <v>11</v>
      </c>
      <c r="G3926" s="18">
        <v>0.09</v>
      </c>
      <c r="H3926">
        <f>F3926*VLOOKUP(B3926,產品!$A$2:$H$61,7,FALSE)*(1-銷售總表!G3926)</f>
        <v>170170</v>
      </c>
      <c r="I3926" s="35">
        <f>H3926-F3926*VLOOKUP(銷售總表!B3926,產品!$A$2:$H$61,8,FALSE)</f>
        <v>48620</v>
      </c>
      <c r="J3926" s="20">
        <f t="shared" si="61"/>
        <v>0.2857142857142857</v>
      </c>
    </row>
    <row r="3927" spans="1:10" x14ac:dyDescent="0.3">
      <c r="A3927" s="33">
        <v>3926</v>
      </c>
      <c r="B3927" s="4">
        <v>14</v>
      </c>
      <c r="C3927" s="15">
        <v>267</v>
      </c>
      <c r="D3927" s="16">
        <v>7</v>
      </c>
      <c r="E3927" s="22">
        <v>44620</v>
      </c>
      <c r="F3927" s="19">
        <v>14</v>
      </c>
      <c r="G3927" s="18">
        <v>0.16</v>
      </c>
      <c r="H3927">
        <f>F3927*VLOOKUP(B3927,產品!$A$2:$H$61,7,FALSE)*(1-銷售總表!G3927)</f>
        <v>21168</v>
      </c>
      <c r="I3927" s="35">
        <f>H3927-F3927*VLOOKUP(銷售總表!B3927,產品!$A$2:$H$61,8,FALSE)</f>
        <v>11088</v>
      </c>
      <c r="J3927" s="20">
        <f t="shared" si="61"/>
        <v>0.52380952380952384</v>
      </c>
    </row>
    <row r="3928" spans="1:10" x14ac:dyDescent="0.3">
      <c r="A3928" s="33">
        <v>3927</v>
      </c>
      <c r="B3928" s="4">
        <v>22</v>
      </c>
      <c r="C3928" s="15">
        <v>114</v>
      </c>
      <c r="D3928" s="16">
        <v>4</v>
      </c>
      <c r="E3928" s="22">
        <v>44620</v>
      </c>
      <c r="F3928" s="19">
        <v>30</v>
      </c>
      <c r="G3928" s="18">
        <v>0.09</v>
      </c>
      <c r="H3928">
        <f>F3928*VLOOKUP(B3928,產品!$A$2:$H$61,7,FALSE)*(1-銷售總表!G3928)</f>
        <v>49140</v>
      </c>
      <c r="I3928" s="35">
        <f>H3928-F3928*VLOOKUP(銷售總表!B3928,產品!$A$2:$H$61,8,FALSE)</f>
        <v>27540</v>
      </c>
      <c r="J3928" s="20">
        <f t="shared" si="61"/>
        <v>0.56043956043956045</v>
      </c>
    </row>
    <row r="3929" spans="1:10" x14ac:dyDescent="0.3">
      <c r="A3929" s="33">
        <v>3928</v>
      </c>
      <c r="B3929" s="4">
        <v>33</v>
      </c>
      <c r="C3929" s="15">
        <v>3</v>
      </c>
      <c r="D3929" s="16">
        <v>4</v>
      </c>
      <c r="E3929" s="22">
        <v>44620</v>
      </c>
      <c r="F3929" s="19">
        <v>35</v>
      </c>
      <c r="G3929" s="18">
        <v>0.11</v>
      </c>
      <c r="H3929">
        <f>F3929*VLOOKUP(B3929,產品!$A$2:$H$61,7,FALSE)*(1-銷售總表!G3929)</f>
        <v>233625</v>
      </c>
      <c r="I3929" s="35">
        <f>H3929-F3929*VLOOKUP(銷售總表!B3929,產品!$A$2:$H$61,8,FALSE)</f>
        <v>76125</v>
      </c>
      <c r="J3929" s="20">
        <f t="shared" si="61"/>
        <v>0.3258426966292135</v>
      </c>
    </row>
    <row r="3930" spans="1:10" x14ac:dyDescent="0.3">
      <c r="A3930" s="33">
        <v>3929</v>
      </c>
      <c r="B3930" s="4">
        <v>15</v>
      </c>
      <c r="C3930" s="15">
        <v>264</v>
      </c>
      <c r="D3930" s="16">
        <v>3</v>
      </c>
      <c r="E3930" s="22">
        <v>44620</v>
      </c>
      <c r="F3930" s="19">
        <v>50</v>
      </c>
      <c r="G3930" s="18">
        <v>7.0000000000000007E-2</v>
      </c>
      <c r="H3930">
        <f>F3930*VLOOKUP(B3930,產品!$A$2:$H$61,7,FALSE)*(1-銷售總表!G3930)</f>
        <v>83700</v>
      </c>
      <c r="I3930" s="35">
        <f>H3930-F3930*VLOOKUP(銷售總表!B3930,產品!$A$2:$H$61,8,FALSE)</f>
        <v>47700</v>
      </c>
      <c r="J3930" s="20">
        <f t="shared" si="61"/>
        <v>0.56989247311827962</v>
      </c>
    </row>
    <row r="3931" spans="1:10" x14ac:dyDescent="0.3">
      <c r="A3931" s="33">
        <v>3930</v>
      </c>
      <c r="B3931" s="4">
        <v>14</v>
      </c>
      <c r="C3931" s="15">
        <v>283</v>
      </c>
      <c r="D3931" s="16">
        <v>8</v>
      </c>
      <c r="E3931" s="22">
        <v>44620</v>
      </c>
      <c r="F3931" s="19">
        <v>50</v>
      </c>
      <c r="G3931" s="18">
        <v>0.2</v>
      </c>
      <c r="H3931">
        <f>F3931*VLOOKUP(B3931,產品!$A$2:$H$61,7,FALSE)*(1-銷售總表!G3931)</f>
        <v>72000</v>
      </c>
      <c r="I3931" s="35">
        <f>H3931-F3931*VLOOKUP(銷售總表!B3931,產品!$A$2:$H$61,8,FALSE)</f>
        <v>36000</v>
      </c>
      <c r="J3931" s="20">
        <f t="shared" si="61"/>
        <v>0.5</v>
      </c>
    </row>
    <row r="3932" spans="1:10" x14ac:dyDescent="0.3">
      <c r="A3932" s="33">
        <v>3931</v>
      </c>
      <c r="B3932" s="4">
        <v>14</v>
      </c>
      <c r="C3932" s="15">
        <v>263</v>
      </c>
      <c r="D3932" s="16">
        <v>1</v>
      </c>
      <c r="E3932" s="22">
        <v>44620</v>
      </c>
      <c r="F3932" s="19">
        <v>70</v>
      </c>
      <c r="G3932" s="18">
        <v>0.05</v>
      </c>
      <c r="H3932">
        <f>F3932*VLOOKUP(B3932,產品!$A$2:$H$61,7,FALSE)*(1-銷售總表!G3932)</f>
        <v>119700</v>
      </c>
      <c r="I3932" s="35">
        <f>H3932-F3932*VLOOKUP(銷售總表!B3932,產品!$A$2:$H$61,8,FALSE)</f>
        <v>69300</v>
      </c>
      <c r="J3932" s="20">
        <f t="shared" si="61"/>
        <v>0.57894736842105265</v>
      </c>
    </row>
    <row r="3933" spans="1:10" x14ac:dyDescent="0.3">
      <c r="A3933" s="33">
        <v>3932</v>
      </c>
      <c r="B3933" s="4">
        <v>15</v>
      </c>
      <c r="C3933" s="15">
        <v>271</v>
      </c>
      <c r="D3933" s="16">
        <v>10</v>
      </c>
      <c r="E3933" s="22">
        <v>44620</v>
      </c>
      <c r="F3933" s="19">
        <v>75</v>
      </c>
      <c r="G3933" s="18">
        <v>0.1</v>
      </c>
      <c r="H3933">
        <f>F3933*VLOOKUP(B3933,產品!$A$2:$H$61,7,FALSE)*(1-銷售總表!G3933)</f>
        <v>121500</v>
      </c>
      <c r="I3933" s="35">
        <f>H3933-F3933*VLOOKUP(銷售總表!B3933,產品!$A$2:$H$61,8,FALSE)</f>
        <v>67500</v>
      </c>
      <c r="J3933" s="20">
        <f t="shared" si="61"/>
        <v>0.55555555555555558</v>
      </c>
    </row>
    <row r="3934" spans="1:10" x14ac:dyDescent="0.3">
      <c r="A3934" s="33">
        <v>3933</v>
      </c>
      <c r="B3934" s="4">
        <v>24</v>
      </c>
      <c r="C3934" s="15">
        <v>292</v>
      </c>
      <c r="D3934" s="16">
        <v>2</v>
      </c>
      <c r="E3934" s="22">
        <v>44620</v>
      </c>
      <c r="F3934" s="19">
        <v>100</v>
      </c>
      <c r="G3934" s="18">
        <v>0.13</v>
      </c>
      <c r="H3934">
        <f>F3934*VLOOKUP(B3934,產品!$A$2:$H$61,7,FALSE)*(1-銷售總表!G3934)</f>
        <v>156600</v>
      </c>
      <c r="I3934" s="35">
        <f>H3934-F3934*VLOOKUP(銷售總表!B3934,產品!$A$2:$H$61,8,FALSE)</f>
        <v>84600</v>
      </c>
      <c r="J3934" s="20">
        <f t="shared" si="61"/>
        <v>0.54022988505747127</v>
      </c>
    </row>
    <row r="3935" spans="1:10" x14ac:dyDescent="0.3">
      <c r="A3935" s="33">
        <v>3934</v>
      </c>
      <c r="B3935" s="4">
        <v>37</v>
      </c>
      <c r="C3935" s="15">
        <v>264</v>
      </c>
      <c r="D3935" s="16">
        <v>9</v>
      </c>
      <c r="E3935" s="22">
        <v>44621</v>
      </c>
      <c r="F3935" s="19">
        <v>3</v>
      </c>
      <c r="G3935" s="18">
        <v>0.06</v>
      </c>
      <c r="H3935">
        <f>F3935*VLOOKUP(B3935,產品!$A$2:$H$61,7,FALSE)*(1-銷售總表!G3935)</f>
        <v>33840</v>
      </c>
      <c r="I3935" s="35">
        <f>H3935-F3935*VLOOKUP(銷售總表!B3935,產品!$A$2:$H$61,8,FALSE)</f>
        <v>10440</v>
      </c>
      <c r="J3935" s="20">
        <f t="shared" si="61"/>
        <v>0.30851063829787234</v>
      </c>
    </row>
    <row r="3936" spans="1:10" x14ac:dyDescent="0.3">
      <c r="A3936" s="33">
        <v>3935</v>
      </c>
      <c r="B3936" s="4">
        <v>26</v>
      </c>
      <c r="C3936" s="15">
        <v>5</v>
      </c>
      <c r="D3936" s="16">
        <v>5</v>
      </c>
      <c r="E3936" s="22">
        <v>44621</v>
      </c>
      <c r="F3936" s="19">
        <v>7</v>
      </c>
      <c r="G3936" s="18">
        <v>0.11</v>
      </c>
      <c r="H3936">
        <f>F3936*VLOOKUP(B3936,產品!$A$2:$H$61,7,FALSE)*(1-銷售總表!G3936)</f>
        <v>40495</v>
      </c>
      <c r="I3936" s="35">
        <f>H3936-F3936*VLOOKUP(銷售總表!B3936,產品!$A$2:$H$61,8,FALSE)</f>
        <v>13195</v>
      </c>
      <c r="J3936" s="20">
        <f t="shared" si="61"/>
        <v>0.3258426966292135</v>
      </c>
    </row>
    <row r="3937" spans="1:10" x14ac:dyDescent="0.3">
      <c r="A3937" s="33">
        <v>3936</v>
      </c>
      <c r="B3937" s="4">
        <v>52</v>
      </c>
      <c r="C3937" s="15">
        <v>293</v>
      </c>
      <c r="D3937" s="16">
        <v>3</v>
      </c>
      <c r="E3937" s="22">
        <v>44621</v>
      </c>
      <c r="F3937" s="19">
        <v>13</v>
      </c>
      <c r="G3937" s="18">
        <v>0.09</v>
      </c>
      <c r="H3937">
        <f>F3937*VLOOKUP(B3937,產品!$A$2:$H$61,7,FALSE)*(1-銷售總表!G3937)</f>
        <v>260260</v>
      </c>
      <c r="I3937" s="35">
        <f>H3937-F3937*VLOOKUP(銷售總表!B3937,產品!$A$2:$H$61,8,FALSE)</f>
        <v>60060.000000000029</v>
      </c>
      <c r="J3937" s="20">
        <f t="shared" si="61"/>
        <v>0.23076923076923089</v>
      </c>
    </row>
    <row r="3938" spans="1:10" x14ac:dyDescent="0.3">
      <c r="A3938" s="33">
        <v>3937</v>
      </c>
      <c r="B3938" s="4">
        <v>8</v>
      </c>
      <c r="C3938" s="15">
        <v>1</v>
      </c>
      <c r="D3938" s="16">
        <v>4</v>
      </c>
      <c r="E3938" s="22">
        <v>44621</v>
      </c>
      <c r="F3938" s="19">
        <v>23</v>
      </c>
      <c r="G3938" s="18">
        <v>0.16</v>
      </c>
      <c r="H3938">
        <f>F3938*VLOOKUP(B3938,產品!$A$2:$H$61,7,FALSE)*(1-銷售總表!G3938)</f>
        <v>19320</v>
      </c>
      <c r="I3938" s="35">
        <f>H3938-F3938*VLOOKUP(銷售總表!B3938,產品!$A$2:$H$61,8,FALSE)</f>
        <v>10120</v>
      </c>
      <c r="J3938" s="20">
        <f t="shared" si="61"/>
        <v>0.52380952380952384</v>
      </c>
    </row>
    <row r="3939" spans="1:10" x14ac:dyDescent="0.3">
      <c r="A3939" s="33">
        <v>3938</v>
      </c>
      <c r="B3939" s="4">
        <v>6</v>
      </c>
      <c r="C3939" s="15">
        <v>280</v>
      </c>
      <c r="D3939" s="16">
        <v>5</v>
      </c>
      <c r="E3939" s="22">
        <v>44621</v>
      </c>
      <c r="F3939" s="19">
        <v>80</v>
      </c>
      <c r="G3939" s="18">
        <v>0.05</v>
      </c>
      <c r="H3939">
        <f>F3939*VLOOKUP(B3939,產品!$A$2:$H$61,7,FALSE)*(1-銷售總表!G3939)</f>
        <v>76000</v>
      </c>
      <c r="I3939" s="35">
        <f>H3939-F3939*VLOOKUP(銷售總表!B3939,產品!$A$2:$H$61,8,FALSE)</f>
        <v>44000</v>
      </c>
      <c r="J3939" s="20">
        <f t="shared" si="61"/>
        <v>0.57894736842105265</v>
      </c>
    </row>
    <row r="3940" spans="1:10" x14ac:dyDescent="0.3">
      <c r="A3940" s="33">
        <v>3939</v>
      </c>
      <c r="B3940" s="4">
        <v>15</v>
      </c>
      <c r="C3940" s="15">
        <v>257</v>
      </c>
      <c r="D3940" s="16">
        <v>10</v>
      </c>
      <c r="E3940" s="22">
        <v>44621</v>
      </c>
      <c r="F3940" s="19">
        <v>150</v>
      </c>
      <c r="G3940" s="18">
        <v>0.19</v>
      </c>
      <c r="H3940">
        <f>F3940*VLOOKUP(B3940,產品!$A$2:$H$61,7,FALSE)*(1-銷售總表!G3940)</f>
        <v>218700</v>
      </c>
      <c r="I3940" s="35">
        <f>H3940-F3940*VLOOKUP(銷售總表!B3940,產品!$A$2:$H$61,8,FALSE)</f>
        <v>110700</v>
      </c>
      <c r="J3940" s="20">
        <f t="shared" si="61"/>
        <v>0.50617283950617287</v>
      </c>
    </row>
    <row r="3941" spans="1:10" x14ac:dyDescent="0.3">
      <c r="A3941" s="33">
        <v>3940</v>
      </c>
      <c r="B3941" s="4">
        <v>57</v>
      </c>
      <c r="C3941" s="15">
        <v>278</v>
      </c>
      <c r="D3941" s="16">
        <v>7</v>
      </c>
      <c r="E3941" s="22">
        <v>44622</v>
      </c>
      <c r="F3941" s="19">
        <v>3</v>
      </c>
      <c r="G3941" s="18">
        <v>0.17</v>
      </c>
      <c r="H3941">
        <f>F3941*VLOOKUP(B3941,產品!$A$2:$H$61,7,FALSE)*(1-銷售總表!G3941)</f>
        <v>44820</v>
      </c>
      <c r="I3941" s="35">
        <f>H3941-F3941*VLOOKUP(銷售總表!B3941,產品!$A$2:$H$61,8,FALSE)</f>
        <v>7020</v>
      </c>
      <c r="J3941" s="20">
        <f t="shared" si="61"/>
        <v>0.15662650602409639</v>
      </c>
    </row>
    <row r="3942" spans="1:10" x14ac:dyDescent="0.3">
      <c r="A3942" s="33">
        <v>3941</v>
      </c>
      <c r="B3942" s="4">
        <v>43</v>
      </c>
      <c r="C3942" s="15">
        <v>260</v>
      </c>
      <c r="D3942" s="16">
        <v>4</v>
      </c>
      <c r="E3942" s="22">
        <v>44622</v>
      </c>
      <c r="F3942" s="19">
        <v>6</v>
      </c>
      <c r="G3942" s="18">
        <v>0.11</v>
      </c>
      <c r="H3942">
        <f>F3942*VLOOKUP(B3942,產品!$A$2:$H$61,7,FALSE)*(1-銷售總表!G3942)</f>
        <v>96120</v>
      </c>
      <c r="I3942" s="35">
        <f>H3942-F3942*VLOOKUP(銷售總表!B3942,產品!$A$2:$H$61,8,FALSE)</f>
        <v>25920</v>
      </c>
      <c r="J3942" s="20">
        <f t="shared" si="61"/>
        <v>0.2696629213483146</v>
      </c>
    </row>
    <row r="3943" spans="1:10" x14ac:dyDescent="0.3">
      <c r="A3943" s="33">
        <v>3942</v>
      </c>
      <c r="B3943" s="4">
        <v>40</v>
      </c>
      <c r="C3943" s="15">
        <v>267</v>
      </c>
      <c r="D3943" s="16">
        <v>3</v>
      </c>
      <c r="E3943" s="22">
        <v>44622</v>
      </c>
      <c r="F3943" s="19">
        <v>6</v>
      </c>
      <c r="G3943" s="18">
        <v>0.16</v>
      </c>
      <c r="H3943">
        <f>F3943*VLOOKUP(B3943,產品!$A$2:$H$61,7,FALSE)*(1-銷售總表!G3943)</f>
        <v>100800</v>
      </c>
      <c r="I3943" s="35">
        <f>H3943-F3943*VLOOKUP(銷售總表!B3943,產品!$A$2:$H$61,8,FALSE)</f>
        <v>22800</v>
      </c>
      <c r="J3943" s="20">
        <f t="shared" si="61"/>
        <v>0.22619047619047619</v>
      </c>
    </row>
    <row r="3944" spans="1:10" x14ac:dyDescent="0.3">
      <c r="A3944" s="33">
        <v>3943</v>
      </c>
      <c r="B3944" s="4">
        <v>47</v>
      </c>
      <c r="C3944" s="15">
        <v>12</v>
      </c>
      <c r="D3944" s="16">
        <v>5</v>
      </c>
      <c r="E3944" s="22">
        <v>44622</v>
      </c>
      <c r="F3944" s="17">
        <v>10</v>
      </c>
      <c r="G3944" s="18">
        <v>0.11</v>
      </c>
      <c r="H3944">
        <f>F3944*VLOOKUP(B3944,產品!$A$2:$H$61,7,FALSE)*(1-銷售總表!G3944)</f>
        <v>178000</v>
      </c>
      <c r="I3944" s="35">
        <f>H3944-F3944*VLOOKUP(銷售總表!B3944,產品!$A$2:$H$61,8,FALSE)</f>
        <v>48000</v>
      </c>
      <c r="J3944" s="20">
        <f t="shared" si="61"/>
        <v>0.2696629213483146</v>
      </c>
    </row>
    <row r="3945" spans="1:10" x14ac:dyDescent="0.3">
      <c r="A3945" s="33">
        <v>3944</v>
      </c>
      <c r="B3945" s="4">
        <v>44</v>
      </c>
      <c r="C3945" s="15">
        <v>274</v>
      </c>
      <c r="D3945" s="16">
        <v>6</v>
      </c>
      <c r="E3945" s="22">
        <v>44622</v>
      </c>
      <c r="F3945" s="19">
        <v>15</v>
      </c>
      <c r="G3945" s="18">
        <v>0.18</v>
      </c>
      <c r="H3945">
        <f>F3945*VLOOKUP(B3945,產品!$A$2:$H$61,7,FALSE)*(1-銷售總表!G3945)</f>
        <v>246000.00000000003</v>
      </c>
      <c r="I3945" s="35">
        <f>H3945-F3945*VLOOKUP(銷售總表!B3945,產品!$A$2:$H$61,8,FALSE)</f>
        <v>51000.000000000029</v>
      </c>
      <c r="J3945" s="20">
        <f t="shared" si="61"/>
        <v>0.20731707317073181</v>
      </c>
    </row>
    <row r="3946" spans="1:10" x14ac:dyDescent="0.3">
      <c r="A3946" s="33">
        <v>3945</v>
      </c>
      <c r="B3946" s="4">
        <v>20</v>
      </c>
      <c r="C3946" s="15">
        <v>3</v>
      </c>
      <c r="D3946" s="16">
        <v>10</v>
      </c>
      <c r="E3946" s="22">
        <v>44622</v>
      </c>
      <c r="F3946" s="19">
        <v>16</v>
      </c>
      <c r="G3946" s="18">
        <v>0.08</v>
      </c>
      <c r="H3946">
        <f>F3946*VLOOKUP(B3946,產品!$A$2:$H$61,7,FALSE)*(1-銷售總表!G3946)</f>
        <v>26496</v>
      </c>
      <c r="I3946" s="35">
        <f>H3946-F3946*VLOOKUP(銷售總表!B3946,產品!$A$2:$H$61,8,FALSE)</f>
        <v>14976</v>
      </c>
      <c r="J3946" s="20">
        <f t="shared" si="61"/>
        <v>0.56521739130434778</v>
      </c>
    </row>
    <row r="3947" spans="1:10" x14ac:dyDescent="0.3">
      <c r="A3947" s="33">
        <v>3946</v>
      </c>
      <c r="B3947" s="4">
        <v>35</v>
      </c>
      <c r="C3947" s="15">
        <v>121</v>
      </c>
      <c r="D3947" s="16">
        <v>9</v>
      </c>
      <c r="E3947" s="22">
        <v>44622</v>
      </c>
      <c r="F3947" s="19">
        <v>25</v>
      </c>
      <c r="G3947" s="18">
        <v>7.0000000000000007E-2</v>
      </c>
      <c r="H3947">
        <f>F3947*VLOOKUP(B3947,產品!$A$2:$H$61,7,FALSE)*(1-銷售總表!G3947)</f>
        <v>197625</v>
      </c>
      <c r="I3947" s="35">
        <f>H3947-F3947*VLOOKUP(銷售總表!B3947,產品!$A$2:$H$61,8,FALSE)</f>
        <v>70125</v>
      </c>
      <c r="J3947" s="20">
        <f t="shared" si="61"/>
        <v>0.35483870967741937</v>
      </c>
    </row>
    <row r="3948" spans="1:10" x14ac:dyDescent="0.3">
      <c r="A3948" s="33">
        <v>3947</v>
      </c>
      <c r="B3948" s="4">
        <v>15</v>
      </c>
      <c r="C3948" s="15">
        <v>10</v>
      </c>
      <c r="D3948" s="16">
        <v>3</v>
      </c>
      <c r="E3948" s="22">
        <v>44622</v>
      </c>
      <c r="F3948" s="19">
        <v>60</v>
      </c>
      <c r="G3948" s="18">
        <v>0.16</v>
      </c>
      <c r="H3948">
        <f>F3948*VLOOKUP(B3948,產品!$A$2:$H$61,7,FALSE)*(1-銷售總表!G3948)</f>
        <v>90720</v>
      </c>
      <c r="I3948" s="35">
        <f>H3948-F3948*VLOOKUP(銷售總表!B3948,產品!$A$2:$H$61,8,FALSE)</f>
        <v>47520</v>
      </c>
      <c r="J3948" s="20">
        <f t="shared" si="61"/>
        <v>0.52380952380952384</v>
      </c>
    </row>
    <row r="3949" spans="1:10" x14ac:dyDescent="0.3">
      <c r="A3949" s="33">
        <v>3948</v>
      </c>
      <c r="B3949" s="4">
        <v>44</v>
      </c>
      <c r="C3949" s="15">
        <v>113</v>
      </c>
      <c r="D3949" s="16">
        <v>8</v>
      </c>
      <c r="E3949" s="22">
        <v>44623</v>
      </c>
      <c r="F3949" s="19">
        <v>4</v>
      </c>
      <c r="G3949" s="18">
        <v>0.08</v>
      </c>
      <c r="H3949">
        <f>F3949*VLOOKUP(B3949,產品!$A$2:$H$61,7,FALSE)*(1-銷售總表!G3949)</f>
        <v>73600</v>
      </c>
      <c r="I3949" s="35">
        <f>H3949-F3949*VLOOKUP(銷售總表!B3949,產品!$A$2:$H$61,8,FALSE)</f>
        <v>21600</v>
      </c>
      <c r="J3949" s="20">
        <f t="shared" si="61"/>
        <v>0.29347826086956524</v>
      </c>
    </row>
    <row r="3950" spans="1:10" x14ac:dyDescent="0.3">
      <c r="A3950" s="33">
        <v>3949</v>
      </c>
      <c r="B3950" s="4">
        <v>45</v>
      </c>
      <c r="C3950" s="15">
        <v>280</v>
      </c>
      <c r="D3950" s="16">
        <v>3</v>
      </c>
      <c r="E3950" s="22">
        <v>44623</v>
      </c>
      <c r="F3950" s="19">
        <v>4</v>
      </c>
      <c r="G3950" s="18">
        <v>0.13</v>
      </c>
      <c r="H3950">
        <f>F3950*VLOOKUP(B3950,產品!$A$2:$H$61,7,FALSE)*(1-銷售總表!G3950)</f>
        <v>48720</v>
      </c>
      <c r="I3950" s="35">
        <f>H3950-F3950*VLOOKUP(銷售總表!B3950,產品!$A$2:$H$61,8,FALSE)</f>
        <v>12320</v>
      </c>
      <c r="J3950" s="20">
        <f t="shared" si="61"/>
        <v>0.25287356321839083</v>
      </c>
    </row>
    <row r="3951" spans="1:10" x14ac:dyDescent="0.3">
      <c r="A3951" s="33">
        <v>3950</v>
      </c>
      <c r="B3951" s="4">
        <v>45</v>
      </c>
      <c r="C3951" s="15">
        <v>139</v>
      </c>
      <c r="D3951" s="16">
        <v>10</v>
      </c>
      <c r="E3951" s="22">
        <v>44623</v>
      </c>
      <c r="F3951" s="19">
        <v>5</v>
      </c>
      <c r="G3951" s="18">
        <v>0.1</v>
      </c>
      <c r="H3951">
        <f>F3951*VLOOKUP(B3951,產品!$A$2:$H$61,7,FALSE)*(1-銷售總表!G3951)</f>
        <v>63000</v>
      </c>
      <c r="I3951" s="35">
        <f>H3951-F3951*VLOOKUP(銷售總表!B3951,產品!$A$2:$H$61,8,FALSE)</f>
        <v>17500</v>
      </c>
      <c r="J3951" s="20">
        <f t="shared" si="61"/>
        <v>0.27777777777777779</v>
      </c>
    </row>
    <row r="3952" spans="1:10" x14ac:dyDescent="0.3">
      <c r="A3952" s="33">
        <v>3951</v>
      </c>
      <c r="B3952" s="4">
        <v>7</v>
      </c>
      <c r="C3952" s="15">
        <v>273</v>
      </c>
      <c r="D3952" s="16">
        <v>5</v>
      </c>
      <c r="E3952" s="22">
        <v>44623</v>
      </c>
      <c r="F3952" s="19">
        <v>20</v>
      </c>
      <c r="G3952" s="18">
        <v>0.2</v>
      </c>
      <c r="H3952">
        <f>F3952*VLOOKUP(B3952,產品!$A$2:$H$61,7,FALSE)*(1-銷售總表!G3952)</f>
        <v>16000</v>
      </c>
      <c r="I3952" s="35">
        <f>H3952-F3952*VLOOKUP(銷售總表!B3952,產品!$A$2:$H$61,8,FALSE)</f>
        <v>8000</v>
      </c>
      <c r="J3952" s="20">
        <f t="shared" si="61"/>
        <v>0.5</v>
      </c>
    </row>
    <row r="3953" spans="1:10" x14ac:dyDescent="0.3">
      <c r="A3953" s="33">
        <v>3952</v>
      </c>
      <c r="B3953" s="4">
        <v>43</v>
      </c>
      <c r="C3953" s="15">
        <v>9</v>
      </c>
      <c r="D3953" s="16">
        <v>3</v>
      </c>
      <c r="E3953" s="22">
        <v>44624</v>
      </c>
      <c r="F3953" s="19">
        <v>4</v>
      </c>
      <c r="G3953" s="18">
        <v>7.0000000000000007E-2</v>
      </c>
      <c r="H3953">
        <f>F3953*VLOOKUP(B3953,產品!$A$2:$H$61,7,FALSE)*(1-銷售總表!G3953)</f>
        <v>66960</v>
      </c>
      <c r="I3953" s="35">
        <f>H3953-F3953*VLOOKUP(銷售總表!B3953,產品!$A$2:$H$61,8,FALSE)</f>
        <v>20160</v>
      </c>
      <c r="J3953" s="20">
        <f t="shared" si="61"/>
        <v>0.30107526881720431</v>
      </c>
    </row>
    <row r="3954" spans="1:10" x14ac:dyDescent="0.3">
      <c r="A3954" s="33">
        <v>3953</v>
      </c>
      <c r="B3954" s="4">
        <v>37</v>
      </c>
      <c r="C3954" s="15">
        <v>258</v>
      </c>
      <c r="D3954" s="16">
        <v>9</v>
      </c>
      <c r="E3954" s="22">
        <v>44624</v>
      </c>
      <c r="F3954" s="19">
        <v>4</v>
      </c>
      <c r="G3954" s="18">
        <v>0.1</v>
      </c>
      <c r="H3954">
        <f>F3954*VLOOKUP(B3954,產品!$A$2:$H$61,7,FALSE)*(1-銷售總表!G3954)</f>
        <v>43200</v>
      </c>
      <c r="I3954" s="35">
        <f>H3954-F3954*VLOOKUP(銷售總表!B3954,產品!$A$2:$H$61,8,FALSE)</f>
        <v>12000</v>
      </c>
      <c r="J3954" s="20">
        <f t="shared" si="61"/>
        <v>0.27777777777777779</v>
      </c>
    </row>
    <row r="3955" spans="1:10" x14ac:dyDescent="0.3">
      <c r="A3955" s="33">
        <v>3954</v>
      </c>
      <c r="B3955" s="4">
        <v>40</v>
      </c>
      <c r="C3955" s="15">
        <v>9</v>
      </c>
      <c r="D3955" s="16">
        <v>3</v>
      </c>
      <c r="E3955" s="22">
        <v>44624</v>
      </c>
      <c r="F3955" s="19">
        <v>11</v>
      </c>
      <c r="G3955" s="18">
        <v>7.0000000000000007E-2</v>
      </c>
      <c r="H3955">
        <f>F3955*VLOOKUP(B3955,產品!$A$2:$H$61,7,FALSE)*(1-銷售總表!G3955)</f>
        <v>204600</v>
      </c>
      <c r="I3955" s="35">
        <f>H3955-F3955*VLOOKUP(銷售總表!B3955,產品!$A$2:$H$61,8,FALSE)</f>
        <v>61600</v>
      </c>
      <c r="J3955" s="20">
        <f t="shared" si="61"/>
        <v>0.30107526881720431</v>
      </c>
    </row>
    <row r="3956" spans="1:10" x14ac:dyDescent="0.3">
      <c r="A3956" s="33">
        <v>3955</v>
      </c>
      <c r="B3956" s="4">
        <v>11</v>
      </c>
      <c r="C3956" s="15">
        <v>12</v>
      </c>
      <c r="D3956" s="16">
        <v>6</v>
      </c>
      <c r="E3956" s="22">
        <v>44624</v>
      </c>
      <c r="F3956" s="19">
        <v>45</v>
      </c>
      <c r="G3956" s="18">
        <v>0.13</v>
      </c>
      <c r="H3956">
        <f>F3956*VLOOKUP(B3956,產品!$A$2:$H$61,7,FALSE)*(1-銷售總表!G3956)</f>
        <v>39150</v>
      </c>
      <c r="I3956" s="35">
        <f>H3956-F3956*VLOOKUP(銷售總表!B3956,產品!$A$2:$H$61,8,FALSE)</f>
        <v>21150</v>
      </c>
      <c r="J3956" s="20">
        <f t="shared" si="61"/>
        <v>0.54022988505747127</v>
      </c>
    </row>
    <row r="3957" spans="1:10" x14ac:dyDescent="0.3">
      <c r="A3957" s="33">
        <v>3956</v>
      </c>
      <c r="B3957" s="4">
        <v>5</v>
      </c>
      <c r="C3957" s="15">
        <v>272</v>
      </c>
      <c r="D3957" s="16">
        <v>5</v>
      </c>
      <c r="E3957" s="22">
        <v>44624</v>
      </c>
      <c r="F3957" s="17">
        <v>200</v>
      </c>
      <c r="G3957" s="18">
        <v>0.17</v>
      </c>
      <c r="H3957">
        <f>F3957*VLOOKUP(B3957,產品!$A$2:$H$61,7,FALSE)*(1-銷售總表!G3957)</f>
        <v>166000</v>
      </c>
      <c r="I3957" s="35">
        <f>H3957-F3957*VLOOKUP(銷售總表!B3957,產品!$A$2:$H$61,8,FALSE)</f>
        <v>86000</v>
      </c>
      <c r="J3957" s="20">
        <f t="shared" si="61"/>
        <v>0.51807228915662651</v>
      </c>
    </row>
    <row r="3958" spans="1:10" x14ac:dyDescent="0.3">
      <c r="A3958" s="33">
        <v>3957</v>
      </c>
      <c r="B3958" s="4">
        <v>49</v>
      </c>
      <c r="C3958" s="15">
        <v>115</v>
      </c>
      <c r="D3958" s="16">
        <v>6</v>
      </c>
      <c r="E3958" s="22">
        <v>44625</v>
      </c>
      <c r="F3958" s="17">
        <v>2</v>
      </c>
      <c r="G3958" s="18">
        <v>0.13</v>
      </c>
      <c r="H3958">
        <f>F3958*VLOOKUP(B3958,產品!$A$2:$H$61,7,FALSE)*(1-銷售總表!G3958)</f>
        <v>26100</v>
      </c>
      <c r="I3958" s="35">
        <f>H3958-F3958*VLOOKUP(銷售總表!B3958,產品!$A$2:$H$61,8,FALSE)</f>
        <v>5100</v>
      </c>
      <c r="J3958" s="20">
        <f t="shared" si="61"/>
        <v>0.19540229885057472</v>
      </c>
    </row>
    <row r="3959" spans="1:10" x14ac:dyDescent="0.3">
      <c r="A3959" s="33">
        <v>3958</v>
      </c>
      <c r="B3959" s="4">
        <v>48</v>
      </c>
      <c r="C3959" s="15">
        <v>262</v>
      </c>
      <c r="D3959" s="16">
        <v>9</v>
      </c>
      <c r="E3959" s="22">
        <v>44625</v>
      </c>
      <c r="F3959" s="19">
        <v>4</v>
      </c>
      <c r="G3959" s="18">
        <v>0.12</v>
      </c>
      <c r="H3959">
        <f>F3959*VLOOKUP(B3959,產品!$A$2:$H$61,7,FALSE)*(1-銷售總表!G3959)</f>
        <v>77440</v>
      </c>
      <c r="I3959" s="35">
        <f>H3959-F3959*VLOOKUP(銷售總表!B3959,產品!$A$2:$H$61,8,FALSE)</f>
        <v>20240</v>
      </c>
      <c r="J3959" s="20">
        <f t="shared" si="61"/>
        <v>0.26136363636363635</v>
      </c>
    </row>
    <row r="3960" spans="1:10" x14ac:dyDescent="0.3">
      <c r="A3960" s="33">
        <v>3959</v>
      </c>
      <c r="B3960" s="4">
        <v>57</v>
      </c>
      <c r="C3960" s="15">
        <v>118</v>
      </c>
      <c r="D3960" s="16">
        <v>6</v>
      </c>
      <c r="E3960" s="22">
        <v>44625</v>
      </c>
      <c r="F3960" s="19">
        <v>5</v>
      </c>
      <c r="G3960" s="18">
        <v>0.19</v>
      </c>
      <c r="H3960">
        <f>F3960*VLOOKUP(B3960,產品!$A$2:$H$61,7,FALSE)*(1-銷售總表!G3960)</f>
        <v>72900</v>
      </c>
      <c r="I3960" s="35">
        <f>H3960-F3960*VLOOKUP(銷售總表!B3960,產品!$A$2:$H$61,8,FALSE)</f>
        <v>9900</v>
      </c>
      <c r="J3960" s="20">
        <f t="shared" si="61"/>
        <v>0.13580246913580246</v>
      </c>
    </row>
    <row r="3961" spans="1:10" x14ac:dyDescent="0.3">
      <c r="A3961" s="33">
        <v>3960</v>
      </c>
      <c r="B3961" s="4">
        <v>31</v>
      </c>
      <c r="C3961" s="15">
        <v>262</v>
      </c>
      <c r="D3961" s="16">
        <v>2</v>
      </c>
      <c r="E3961" s="22">
        <v>44625</v>
      </c>
      <c r="F3961" s="19">
        <v>6</v>
      </c>
      <c r="G3961" s="18">
        <v>0.15</v>
      </c>
      <c r="H3961">
        <f>F3961*VLOOKUP(B3961,產品!$A$2:$H$61,7,FALSE)*(1-銷售總表!G3961)</f>
        <v>35700</v>
      </c>
      <c r="I3961" s="35">
        <f>H3961-F3961*VLOOKUP(銷售總表!B3961,產品!$A$2:$H$61,8,FALSE)</f>
        <v>10500</v>
      </c>
      <c r="J3961" s="20">
        <f t="shared" si="61"/>
        <v>0.29411764705882354</v>
      </c>
    </row>
    <row r="3962" spans="1:10" x14ac:dyDescent="0.3">
      <c r="A3962" s="33">
        <v>3961</v>
      </c>
      <c r="B3962" s="4">
        <v>43</v>
      </c>
      <c r="C3962" s="15">
        <v>291</v>
      </c>
      <c r="D3962" s="16">
        <v>10</v>
      </c>
      <c r="E3962" s="22">
        <v>44625</v>
      </c>
      <c r="F3962" s="19">
        <v>9</v>
      </c>
      <c r="G3962" s="18">
        <v>0.05</v>
      </c>
      <c r="H3962">
        <f>F3962*VLOOKUP(B3962,產品!$A$2:$H$61,7,FALSE)*(1-銷售總表!G3962)</f>
        <v>153900</v>
      </c>
      <c r="I3962" s="35">
        <f>H3962-F3962*VLOOKUP(銷售總表!B3962,產品!$A$2:$H$61,8,FALSE)</f>
        <v>48600</v>
      </c>
      <c r="J3962" s="20">
        <f t="shared" si="61"/>
        <v>0.31578947368421051</v>
      </c>
    </row>
    <row r="3963" spans="1:10" x14ac:dyDescent="0.3">
      <c r="A3963" s="33">
        <v>3962</v>
      </c>
      <c r="B3963" s="4">
        <v>38</v>
      </c>
      <c r="C3963" s="15">
        <v>139</v>
      </c>
      <c r="D3963" s="16">
        <v>7</v>
      </c>
      <c r="E3963" s="22">
        <v>44625</v>
      </c>
      <c r="F3963" s="19">
        <v>18</v>
      </c>
      <c r="G3963" s="18">
        <v>0.05</v>
      </c>
      <c r="H3963">
        <f>F3963*VLOOKUP(B3963,產品!$A$2:$H$61,7,FALSE)*(1-銷售總表!G3963)</f>
        <v>256500</v>
      </c>
      <c r="I3963" s="35">
        <f>H3963-F3963*VLOOKUP(銷售總表!B3963,產品!$A$2:$H$61,8,FALSE)</f>
        <v>81000</v>
      </c>
      <c r="J3963" s="20">
        <f t="shared" si="61"/>
        <v>0.31578947368421051</v>
      </c>
    </row>
    <row r="3964" spans="1:10" x14ac:dyDescent="0.3">
      <c r="A3964" s="33">
        <v>3963</v>
      </c>
      <c r="B3964" s="4">
        <v>27</v>
      </c>
      <c r="C3964" s="15">
        <v>258</v>
      </c>
      <c r="D3964" s="16">
        <v>9</v>
      </c>
      <c r="E3964" s="22">
        <v>44625</v>
      </c>
      <c r="F3964" s="19">
        <v>30</v>
      </c>
      <c r="G3964" s="18">
        <v>0.1</v>
      </c>
      <c r="H3964">
        <f>F3964*VLOOKUP(B3964,產品!$A$2:$H$61,7,FALSE)*(1-銷售總表!G3964)</f>
        <v>189000</v>
      </c>
      <c r="I3964" s="35">
        <f>H3964-F3964*VLOOKUP(銷售總表!B3964,產品!$A$2:$H$61,8,FALSE)</f>
        <v>63000</v>
      </c>
      <c r="J3964" s="20">
        <f t="shared" si="61"/>
        <v>0.33333333333333331</v>
      </c>
    </row>
    <row r="3965" spans="1:10" x14ac:dyDescent="0.3">
      <c r="A3965" s="33">
        <v>3964</v>
      </c>
      <c r="B3965" s="4">
        <v>15</v>
      </c>
      <c r="C3965" s="15">
        <v>12</v>
      </c>
      <c r="D3965" s="16">
        <v>10</v>
      </c>
      <c r="E3965" s="22">
        <v>44625</v>
      </c>
      <c r="F3965" s="19">
        <v>40</v>
      </c>
      <c r="G3965" s="18">
        <v>0.15</v>
      </c>
      <c r="H3965">
        <f>F3965*VLOOKUP(B3965,產品!$A$2:$H$61,7,FALSE)*(1-銷售總表!G3965)</f>
        <v>61200</v>
      </c>
      <c r="I3965" s="35">
        <f>H3965-F3965*VLOOKUP(銷售總表!B3965,產品!$A$2:$H$61,8,FALSE)</f>
        <v>32400</v>
      </c>
      <c r="J3965" s="20">
        <f t="shared" si="61"/>
        <v>0.52941176470588236</v>
      </c>
    </row>
    <row r="3966" spans="1:10" x14ac:dyDescent="0.3">
      <c r="A3966" s="33">
        <v>3965</v>
      </c>
      <c r="B3966" s="4">
        <v>19</v>
      </c>
      <c r="C3966" s="15">
        <v>258</v>
      </c>
      <c r="D3966" s="16">
        <v>5</v>
      </c>
      <c r="E3966" s="22">
        <v>44625</v>
      </c>
      <c r="F3966" s="19">
        <v>60</v>
      </c>
      <c r="G3966" s="18">
        <v>0.1</v>
      </c>
      <c r="H3966">
        <f>F3966*VLOOKUP(B3966,產品!$A$2:$H$61,7,FALSE)*(1-銷售總表!G3966)</f>
        <v>97200</v>
      </c>
      <c r="I3966" s="35">
        <f>H3966-F3966*VLOOKUP(銷售總表!B3966,產品!$A$2:$H$61,8,FALSE)</f>
        <v>54000</v>
      </c>
      <c r="J3966" s="20">
        <f t="shared" si="61"/>
        <v>0.55555555555555558</v>
      </c>
    </row>
    <row r="3967" spans="1:10" x14ac:dyDescent="0.3">
      <c r="A3967" s="33">
        <v>3966</v>
      </c>
      <c r="B3967" s="4">
        <v>26</v>
      </c>
      <c r="C3967" s="15">
        <v>280</v>
      </c>
      <c r="D3967" s="16">
        <v>1</v>
      </c>
      <c r="E3967" s="22">
        <v>44626</v>
      </c>
      <c r="F3967" s="19">
        <v>2</v>
      </c>
      <c r="G3967" s="18">
        <v>0.1</v>
      </c>
      <c r="H3967">
        <f>F3967*VLOOKUP(B3967,產品!$A$2:$H$61,7,FALSE)*(1-銷售總表!G3967)</f>
        <v>11700</v>
      </c>
      <c r="I3967" s="35">
        <f>H3967-F3967*VLOOKUP(銷售總表!B3967,產品!$A$2:$H$61,8,FALSE)</f>
        <v>3900</v>
      </c>
      <c r="J3967" s="20">
        <f t="shared" si="61"/>
        <v>0.33333333333333331</v>
      </c>
    </row>
    <row r="3968" spans="1:10" x14ac:dyDescent="0.3">
      <c r="A3968" s="33">
        <v>3967</v>
      </c>
      <c r="B3968" s="4">
        <v>41</v>
      </c>
      <c r="C3968" s="15">
        <v>12</v>
      </c>
      <c r="D3968" s="16">
        <v>7</v>
      </c>
      <c r="E3968" s="22">
        <v>44626</v>
      </c>
      <c r="F3968" s="19">
        <v>4</v>
      </c>
      <c r="G3968" s="18">
        <v>0.19</v>
      </c>
      <c r="H3968">
        <f>F3968*VLOOKUP(B3968,產品!$A$2:$H$61,7,FALSE)*(1-銷售總表!G3968)</f>
        <v>38880</v>
      </c>
      <c r="I3968" s="35">
        <f>H3968-F3968*VLOOKUP(銷售總表!B3968,產品!$A$2:$H$61,8,FALSE)</f>
        <v>7680</v>
      </c>
      <c r="J3968" s="20">
        <f t="shared" si="61"/>
        <v>0.19753086419753085</v>
      </c>
    </row>
    <row r="3969" spans="1:10" x14ac:dyDescent="0.3">
      <c r="A3969" s="33">
        <v>3968</v>
      </c>
      <c r="B3969" s="4">
        <v>40</v>
      </c>
      <c r="C3969" s="15">
        <v>264</v>
      </c>
      <c r="D3969" s="16">
        <v>1</v>
      </c>
      <c r="E3969" s="22">
        <v>44626</v>
      </c>
      <c r="F3969" s="17">
        <v>6</v>
      </c>
      <c r="G3969" s="18">
        <v>0.13</v>
      </c>
      <c r="H3969">
        <f>F3969*VLOOKUP(B3969,產品!$A$2:$H$61,7,FALSE)*(1-銷售總表!G3969)</f>
        <v>104400</v>
      </c>
      <c r="I3969" s="35">
        <f>H3969-F3969*VLOOKUP(銷售總表!B3969,產品!$A$2:$H$61,8,FALSE)</f>
        <v>26400</v>
      </c>
      <c r="J3969" s="20">
        <f t="shared" si="61"/>
        <v>0.25287356321839083</v>
      </c>
    </row>
    <row r="3970" spans="1:10" x14ac:dyDescent="0.3">
      <c r="A3970" s="33">
        <v>3969</v>
      </c>
      <c r="B3970" s="4">
        <v>3</v>
      </c>
      <c r="C3970" s="15">
        <v>121</v>
      </c>
      <c r="D3970" s="16">
        <v>2</v>
      </c>
      <c r="E3970" s="22">
        <v>44626</v>
      </c>
      <c r="F3970" s="19">
        <v>10</v>
      </c>
      <c r="G3970" s="18">
        <v>0.13</v>
      </c>
      <c r="H3970">
        <f>F3970*VLOOKUP(B3970,產品!$A$2:$H$61,7,FALSE)*(1-銷售總表!G3970)</f>
        <v>8700</v>
      </c>
      <c r="I3970" s="35">
        <f>H3970-F3970*VLOOKUP(銷售總表!B3970,產品!$A$2:$H$61,8,FALSE)</f>
        <v>4700</v>
      </c>
      <c r="J3970" s="20">
        <f t="shared" si="61"/>
        <v>0.54022988505747127</v>
      </c>
    </row>
    <row r="3971" spans="1:10" x14ac:dyDescent="0.3">
      <c r="A3971" s="33">
        <v>3970</v>
      </c>
      <c r="B3971" s="4">
        <v>44</v>
      </c>
      <c r="C3971" s="15">
        <v>6</v>
      </c>
      <c r="D3971" s="16">
        <v>4</v>
      </c>
      <c r="E3971" s="22">
        <v>44626</v>
      </c>
      <c r="F3971" s="19">
        <v>15</v>
      </c>
      <c r="G3971" s="18">
        <v>0.12</v>
      </c>
      <c r="H3971">
        <f>F3971*VLOOKUP(B3971,產品!$A$2:$H$61,7,FALSE)*(1-銷售總表!G3971)</f>
        <v>264000</v>
      </c>
      <c r="I3971" s="35">
        <f>H3971-F3971*VLOOKUP(銷售總表!B3971,產品!$A$2:$H$61,8,FALSE)</f>
        <v>69000</v>
      </c>
      <c r="J3971" s="20">
        <f t="shared" ref="J3971:J4034" si="62">I3971/H3971</f>
        <v>0.26136363636363635</v>
      </c>
    </row>
    <row r="3972" spans="1:10" x14ac:dyDescent="0.3">
      <c r="A3972" s="33">
        <v>3971</v>
      </c>
      <c r="B3972" s="4">
        <v>16</v>
      </c>
      <c r="C3972" s="15">
        <v>117</v>
      </c>
      <c r="D3972" s="16">
        <v>10</v>
      </c>
      <c r="E3972" s="22">
        <v>44626</v>
      </c>
      <c r="F3972" s="19">
        <v>50</v>
      </c>
      <c r="G3972" s="18">
        <v>7.0000000000000007E-2</v>
      </c>
      <c r="H3972">
        <f>F3972*VLOOKUP(B3972,產品!$A$2:$H$61,7,FALSE)*(1-銷售總表!G3972)</f>
        <v>83700</v>
      </c>
      <c r="I3972" s="35">
        <f>H3972-F3972*VLOOKUP(銷售總表!B3972,產品!$A$2:$H$61,8,FALSE)</f>
        <v>47700</v>
      </c>
      <c r="J3972" s="20">
        <f t="shared" si="62"/>
        <v>0.56989247311827962</v>
      </c>
    </row>
    <row r="3973" spans="1:10" x14ac:dyDescent="0.3">
      <c r="A3973" s="33">
        <v>3972</v>
      </c>
      <c r="B3973" s="4">
        <v>21</v>
      </c>
      <c r="C3973" s="15">
        <v>112</v>
      </c>
      <c r="D3973" s="16">
        <v>3</v>
      </c>
      <c r="E3973" s="22">
        <v>44626</v>
      </c>
      <c r="F3973" s="19">
        <v>100</v>
      </c>
      <c r="G3973" s="18">
        <v>0.05</v>
      </c>
      <c r="H3973">
        <f>F3973*VLOOKUP(B3973,產品!$A$2:$H$61,7,FALSE)*(1-銷售總表!G3973)</f>
        <v>171000</v>
      </c>
      <c r="I3973" s="35">
        <f>H3973-F3973*VLOOKUP(銷售總表!B3973,產品!$A$2:$H$61,8,FALSE)</f>
        <v>99000</v>
      </c>
      <c r="J3973" s="20">
        <f t="shared" si="62"/>
        <v>0.57894736842105265</v>
      </c>
    </row>
    <row r="3974" spans="1:10" x14ac:dyDescent="0.3">
      <c r="A3974" s="33">
        <v>3973</v>
      </c>
      <c r="B3974" s="4">
        <v>2</v>
      </c>
      <c r="C3974" s="15">
        <v>4</v>
      </c>
      <c r="D3974" s="16">
        <v>7</v>
      </c>
      <c r="E3974" s="22">
        <v>44626</v>
      </c>
      <c r="F3974" s="19">
        <v>105</v>
      </c>
      <c r="G3974" s="18">
        <v>0.17</v>
      </c>
      <c r="H3974">
        <f>F3974*VLOOKUP(B3974,產品!$A$2:$H$61,7,FALSE)*(1-銷售總表!G3974)</f>
        <v>87150</v>
      </c>
      <c r="I3974" s="35">
        <f>H3974-F3974*VLOOKUP(銷售總表!B3974,產品!$A$2:$H$61,8,FALSE)</f>
        <v>45150</v>
      </c>
      <c r="J3974" s="20">
        <f t="shared" si="62"/>
        <v>0.51807228915662651</v>
      </c>
    </row>
    <row r="3975" spans="1:10" x14ac:dyDescent="0.3">
      <c r="A3975" s="33">
        <v>3974</v>
      </c>
      <c r="B3975" s="4">
        <v>40</v>
      </c>
      <c r="C3975" s="15">
        <v>269</v>
      </c>
      <c r="D3975" s="16">
        <v>4</v>
      </c>
      <c r="E3975" s="22">
        <v>44627</v>
      </c>
      <c r="F3975" s="19">
        <v>2</v>
      </c>
      <c r="G3975" s="18">
        <v>0.15</v>
      </c>
      <c r="H3975">
        <f>F3975*VLOOKUP(B3975,產品!$A$2:$H$61,7,FALSE)*(1-銷售總表!G3975)</f>
        <v>34000</v>
      </c>
      <c r="I3975" s="35">
        <f>H3975-F3975*VLOOKUP(銷售總表!B3975,產品!$A$2:$H$61,8,FALSE)</f>
        <v>8000</v>
      </c>
      <c r="J3975" s="20">
        <f t="shared" si="62"/>
        <v>0.23529411764705882</v>
      </c>
    </row>
    <row r="3976" spans="1:10" x14ac:dyDescent="0.3">
      <c r="A3976" s="33">
        <v>3975</v>
      </c>
      <c r="B3976" s="4">
        <v>47</v>
      </c>
      <c r="C3976" s="15">
        <v>116</v>
      </c>
      <c r="D3976" s="16">
        <v>7</v>
      </c>
      <c r="E3976" s="22">
        <v>44627</v>
      </c>
      <c r="F3976" s="19">
        <v>3</v>
      </c>
      <c r="G3976" s="18">
        <v>7.0000000000000007E-2</v>
      </c>
      <c r="H3976">
        <f>F3976*VLOOKUP(B3976,產品!$A$2:$H$61,7,FALSE)*(1-銷售總表!G3976)</f>
        <v>55799.999999999993</v>
      </c>
      <c r="I3976" s="35">
        <f>H3976-F3976*VLOOKUP(銷售總表!B3976,產品!$A$2:$H$61,8,FALSE)</f>
        <v>16799.999999999993</v>
      </c>
      <c r="J3976" s="20">
        <f t="shared" si="62"/>
        <v>0.3010752688172042</v>
      </c>
    </row>
    <row r="3977" spans="1:10" x14ac:dyDescent="0.3">
      <c r="A3977" s="33">
        <v>3976</v>
      </c>
      <c r="B3977" s="4">
        <v>54</v>
      </c>
      <c r="C3977" s="15">
        <v>290</v>
      </c>
      <c r="D3977" s="16">
        <v>7</v>
      </c>
      <c r="E3977" s="22">
        <v>44627</v>
      </c>
      <c r="F3977" s="19">
        <v>3</v>
      </c>
      <c r="G3977" s="18">
        <v>0.12</v>
      </c>
      <c r="H3977">
        <f>F3977*VLOOKUP(B3977,產品!$A$2:$H$61,7,FALSE)*(1-銷售總表!G3977)</f>
        <v>47520</v>
      </c>
      <c r="I3977" s="35">
        <f>H3977-F3977*VLOOKUP(銷售總表!B3977,產品!$A$2:$H$61,8,FALSE)</f>
        <v>9720</v>
      </c>
      <c r="J3977" s="20">
        <f t="shared" si="62"/>
        <v>0.20454545454545456</v>
      </c>
    </row>
    <row r="3978" spans="1:10" x14ac:dyDescent="0.3">
      <c r="A3978" s="33">
        <v>3977</v>
      </c>
      <c r="B3978" s="4">
        <v>57</v>
      </c>
      <c r="C3978" s="15">
        <v>284</v>
      </c>
      <c r="D3978" s="16">
        <v>1</v>
      </c>
      <c r="E3978" s="22">
        <v>44627</v>
      </c>
      <c r="F3978" s="17">
        <v>7</v>
      </c>
      <c r="G3978" s="18">
        <v>0.14000000000000001</v>
      </c>
      <c r="H3978">
        <f>F3978*VLOOKUP(B3978,產品!$A$2:$H$61,7,FALSE)*(1-銷售總表!G3978)</f>
        <v>108360</v>
      </c>
      <c r="I3978" s="35">
        <f>H3978-F3978*VLOOKUP(銷售總表!B3978,產品!$A$2:$H$61,8,FALSE)</f>
        <v>20160</v>
      </c>
      <c r="J3978" s="20">
        <f t="shared" si="62"/>
        <v>0.18604651162790697</v>
      </c>
    </row>
    <row r="3979" spans="1:10" x14ac:dyDescent="0.3">
      <c r="A3979" s="33">
        <v>3978</v>
      </c>
      <c r="B3979" s="4">
        <v>6</v>
      </c>
      <c r="C3979" s="15">
        <v>9</v>
      </c>
      <c r="D3979" s="16">
        <v>10</v>
      </c>
      <c r="E3979" s="22">
        <v>44627</v>
      </c>
      <c r="F3979" s="17">
        <v>20</v>
      </c>
      <c r="G3979" s="18">
        <v>0.05</v>
      </c>
      <c r="H3979">
        <f>F3979*VLOOKUP(B3979,產品!$A$2:$H$61,7,FALSE)*(1-銷售總表!G3979)</f>
        <v>19000</v>
      </c>
      <c r="I3979" s="35">
        <f>H3979-F3979*VLOOKUP(銷售總表!B3979,產品!$A$2:$H$61,8,FALSE)</f>
        <v>11000</v>
      </c>
      <c r="J3979" s="20">
        <f t="shared" si="62"/>
        <v>0.57894736842105265</v>
      </c>
    </row>
    <row r="3980" spans="1:10" x14ac:dyDescent="0.3">
      <c r="A3980" s="33">
        <v>3979</v>
      </c>
      <c r="B3980" s="4">
        <v>4</v>
      </c>
      <c r="C3980" s="15">
        <v>136</v>
      </c>
      <c r="D3980" s="16">
        <v>6</v>
      </c>
      <c r="E3980" s="22">
        <v>44627</v>
      </c>
      <c r="F3980" s="17">
        <v>20</v>
      </c>
      <c r="G3980" s="18">
        <v>0.16</v>
      </c>
      <c r="H3980">
        <f>F3980*VLOOKUP(B3980,產品!$A$2:$H$61,7,FALSE)*(1-銷售總表!G3980)</f>
        <v>16800</v>
      </c>
      <c r="I3980" s="35">
        <f>H3980-F3980*VLOOKUP(銷售總表!B3980,產品!$A$2:$H$61,8,FALSE)</f>
        <v>8800</v>
      </c>
      <c r="J3980" s="20">
        <f t="shared" si="62"/>
        <v>0.52380952380952384</v>
      </c>
    </row>
    <row r="3981" spans="1:10" x14ac:dyDescent="0.3">
      <c r="A3981" s="33">
        <v>3980</v>
      </c>
      <c r="B3981" s="4">
        <v>5</v>
      </c>
      <c r="C3981" s="15">
        <v>124</v>
      </c>
      <c r="D3981" s="16">
        <v>8</v>
      </c>
      <c r="E3981" s="22">
        <v>44627</v>
      </c>
      <c r="F3981" s="19">
        <v>30</v>
      </c>
      <c r="G3981" s="18">
        <v>0.15</v>
      </c>
      <c r="H3981">
        <f>F3981*VLOOKUP(B3981,產品!$A$2:$H$61,7,FALSE)*(1-銷售總表!G3981)</f>
        <v>25500</v>
      </c>
      <c r="I3981" s="35">
        <f>H3981-F3981*VLOOKUP(銷售總表!B3981,產品!$A$2:$H$61,8,FALSE)</f>
        <v>13500</v>
      </c>
      <c r="J3981" s="20">
        <f t="shared" si="62"/>
        <v>0.52941176470588236</v>
      </c>
    </row>
    <row r="3982" spans="1:10" x14ac:dyDescent="0.3">
      <c r="A3982" s="33">
        <v>3981</v>
      </c>
      <c r="B3982" s="4">
        <v>23</v>
      </c>
      <c r="C3982" s="15">
        <v>7</v>
      </c>
      <c r="D3982" s="16">
        <v>2</v>
      </c>
      <c r="E3982" s="22">
        <v>44627</v>
      </c>
      <c r="F3982" s="19">
        <v>105</v>
      </c>
      <c r="G3982" s="18">
        <v>0.12</v>
      </c>
      <c r="H3982">
        <f>F3982*VLOOKUP(B3982,產品!$A$2:$H$61,7,FALSE)*(1-銷售總表!G3982)</f>
        <v>166320</v>
      </c>
      <c r="I3982" s="35">
        <f>H3982-F3982*VLOOKUP(銷售總表!B3982,產品!$A$2:$H$61,8,FALSE)</f>
        <v>90720</v>
      </c>
      <c r="J3982" s="20">
        <f t="shared" si="62"/>
        <v>0.54545454545454541</v>
      </c>
    </row>
    <row r="3983" spans="1:10" x14ac:dyDescent="0.3">
      <c r="A3983" s="33">
        <v>3982</v>
      </c>
      <c r="B3983" s="4">
        <v>44</v>
      </c>
      <c r="C3983" s="15">
        <v>272</v>
      </c>
      <c r="D3983" s="16">
        <v>3</v>
      </c>
      <c r="E3983" s="22">
        <v>44628</v>
      </c>
      <c r="F3983" s="17">
        <v>2</v>
      </c>
      <c r="G3983" s="18">
        <v>0.19</v>
      </c>
      <c r="H3983">
        <f>F3983*VLOOKUP(B3983,產品!$A$2:$H$61,7,FALSE)*(1-銷售總表!G3983)</f>
        <v>32400.000000000004</v>
      </c>
      <c r="I3983" s="35">
        <f>H3983-F3983*VLOOKUP(銷售總表!B3983,產品!$A$2:$H$61,8,FALSE)</f>
        <v>6400.0000000000036</v>
      </c>
      <c r="J3983" s="20">
        <f t="shared" si="62"/>
        <v>0.19753086419753096</v>
      </c>
    </row>
    <row r="3984" spans="1:10" x14ac:dyDescent="0.3">
      <c r="A3984" s="33">
        <v>3983</v>
      </c>
      <c r="B3984" s="4">
        <v>60</v>
      </c>
      <c r="C3984" s="15">
        <v>138</v>
      </c>
      <c r="D3984" s="16">
        <v>2</v>
      </c>
      <c r="E3984" s="22">
        <v>44628</v>
      </c>
      <c r="F3984" s="17">
        <v>8</v>
      </c>
      <c r="G3984" s="18">
        <v>0.16</v>
      </c>
      <c r="H3984">
        <f>F3984*VLOOKUP(B3984,產品!$A$2:$H$61,7,FALSE)*(1-銷售總表!G3984)</f>
        <v>168000</v>
      </c>
      <c r="I3984" s="35">
        <f>H3984-F3984*VLOOKUP(銷售總表!B3984,產品!$A$2:$H$61,8,FALSE)</f>
        <v>28000</v>
      </c>
      <c r="J3984" s="20">
        <f t="shared" si="62"/>
        <v>0.16666666666666666</v>
      </c>
    </row>
    <row r="3985" spans="1:10" x14ac:dyDescent="0.3">
      <c r="A3985" s="33">
        <v>3984</v>
      </c>
      <c r="B3985" s="4">
        <v>49</v>
      </c>
      <c r="C3985" s="15">
        <v>282</v>
      </c>
      <c r="D3985" s="16">
        <v>5</v>
      </c>
      <c r="E3985" s="22">
        <v>44628</v>
      </c>
      <c r="F3985" s="19">
        <v>9</v>
      </c>
      <c r="G3985" s="18">
        <v>0.19</v>
      </c>
      <c r="H3985">
        <f>F3985*VLOOKUP(B3985,產品!$A$2:$H$61,7,FALSE)*(1-銷售總表!G3985)</f>
        <v>109350</v>
      </c>
      <c r="I3985" s="35">
        <f>H3985-F3985*VLOOKUP(銷售總表!B3985,產品!$A$2:$H$61,8,FALSE)</f>
        <v>14850</v>
      </c>
      <c r="J3985" s="20">
        <f t="shared" si="62"/>
        <v>0.13580246913580246</v>
      </c>
    </row>
    <row r="3986" spans="1:10" x14ac:dyDescent="0.3">
      <c r="A3986" s="33">
        <v>3985</v>
      </c>
      <c r="B3986" s="4">
        <v>31</v>
      </c>
      <c r="C3986" s="15">
        <v>124</v>
      </c>
      <c r="D3986" s="16">
        <v>1</v>
      </c>
      <c r="E3986" s="22">
        <v>44628</v>
      </c>
      <c r="F3986" s="19">
        <v>18</v>
      </c>
      <c r="G3986" s="18">
        <v>0.12</v>
      </c>
      <c r="H3986">
        <f>F3986*VLOOKUP(B3986,產品!$A$2:$H$61,7,FALSE)*(1-銷售總表!G3986)</f>
        <v>110880</v>
      </c>
      <c r="I3986" s="35">
        <f>H3986-F3986*VLOOKUP(銷售總表!B3986,產品!$A$2:$H$61,8,FALSE)</f>
        <v>35280</v>
      </c>
      <c r="J3986" s="20">
        <f t="shared" si="62"/>
        <v>0.31818181818181818</v>
      </c>
    </row>
    <row r="3987" spans="1:10" x14ac:dyDescent="0.3">
      <c r="A3987" s="33">
        <v>3986</v>
      </c>
      <c r="B3987" s="4">
        <v>15</v>
      </c>
      <c r="C3987" s="15">
        <v>115</v>
      </c>
      <c r="D3987" s="16">
        <v>7</v>
      </c>
      <c r="E3987" s="22">
        <v>44628</v>
      </c>
      <c r="F3987" s="17">
        <v>30</v>
      </c>
      <c r="G3987" s="18">
        <v>0.11</v>
      </c>
      <c r="H3987">
        <f>F3987*VLOOKUP(B3987,產品!$A$2:$H$61,7,FALSE)*(1-銷售總表!G3987)</f>
        <v>48060</v>
      </c>
      <c r="I3987" s="35">
        <f>H3987-F3987*VLOOKUP(銷售總表!B3987,產品!$A$2:$H$61,8,FALSE)</f>
        <v>26460</v>
      </c>
      <c r="J3987" s="20">
        <f t="shared" si="62"/>
        <v>0.550561797752809</v>
      </c>
    </row>
    <row r="3988" spans="1:10" x14ac:dyDescent="0.3">
      <c r="A3988" s="33">
        <v>3987</v>
      </c>
      <c r="B3988" s="4">
        <v>8</v>
      </c>
      <c r="C3988" s="15">
        <v>135</v>
      </c>
      <c r="D3988" s="16">
        <v>10</v>
      </c>
      <c r="E3988" s="22">
        <v>44628</v>
      </c>
      <c r="F3988" s="19">
        <v>30</v>
      </c>
      <c r="G3988" s="18">
        <v>0.09</v>
      </c>
      <c r="H3988">
        <f>F3988*VLOOKUP(B3988,產品!$A$2:$H$61,7,FALSE)*(1-銷售總表!G3988)</f>
        <v>27300</v>
      </c>
      <c r="I3988" s="35">
        <f>H3988-F3988*VLOOKUP(銷售總表!B3988,產品!$A$2:$H$61,8,FALSE)</f>
        <v>15300</v>
      </c>
      <c r="J3988" s="20">
        <f t="shared" si="62"/>
        <v>0.56043956043956045</v>
      </c>
    </row>
    <row r="3989" spans="1:10" x14ac:dyDescent="0.3">
      <c r="A3989" s="33">
        <v>3988</v>
      </c>
      <c r="B3989" s="4">
        <v>23</v>
      </c>
      <c r="C3989" s="15">
        <v>3</v>
      </c>
      <c r="D3989" s="16">
        <v>9</v>
      </c>
      <c r="E3989" s="22">
        <v>44628</v>
      </c>
      <c r="F3989" s="19">
        <v>50</v>
      </c>
      <c r="G3989" s="18">
        <v>0.08</v>
      </c>
      <c r="H3989">
        <f>F3989*VLOOKUP(B3989,產品!$A$2:$H$61,7,FALSE)*(1-銷售總表!G3989)</f>
        <v>82800</v>
      </c>
      <c r="I3989" s="35">
        <f>H3989-F3989*VLOOKUP(銷售總表!B3989,產品!$A$2:$H$61,8,FALSE)</f>
        <v>46800</v>
      </c>
      <c r="J3989" s="20">
        <f t="shared" si="62"/>
        <v>0.56521739130434778</v>
      </c>
    </row>
    <row r="3990" spans="1:10" x14ac:dyDescent="0.3">
      <c r="A3990" s="33">
        <v>3989</v>
      </c>
      <c r="B3990" s="4">
        <v>11</v>
      </c>
      <c r="C3990" s="15">
        <v>4</v>
      </c>
      <c r="D3990" s="16">
        <v>8</v>
      </c>
      <c r="E3990" s="22">
        <v>44628</v>
      </c>
      <c r="F3990" s="19">
        <v>105</v>
      </c>
      <c r="G3990" s="18">
        <v>0.05</v>
      </c>
      <c r="H3990">
        <f>F3990*VLOOKUP(B3990,產品!$A$2:$H$61,7,FALSE)*(1-銷售總表!G3990)</f>
        <v>99750</v>
      </c>
      <c r="I3990" s="35">
        <f>H3990-F3990*VLOOKUP(銷售總表!B3990,產品!$A$2:$H$61,8,FALSE)</f>
        <v>57750</v>
      </c>
      <c r="J3990" s="20">
        <f t="shared" si="62"/>
        <v>0.57894736842105265</v>
      </c>
    </row>
    <row r="3991" spans="1:10" x14ac:dyDescent="0.3">
      <c r="A3991" s="33">
        <v>3990</v>
      </c>
      <c r="B3991" s="4">
        <v>23</v>
      </c>
      <c r="C3991" s="15">
        <v>261</v>
      </c>
      <c r="D3991" s="16">
        <v>7</v>
      </c>
      <c r="E3991" s="22">
        <v>44628</v>
      </c>
      <c r="F3991" s="19">
        <v>125</v>
      </c>
      <c r="G3991" s="18">
        <v>0.1</v>
      </c>
      <c r="H3991">
        <f>F3991*VLOOKUP(B3991,產品!$A$2:$H$61,7,FALSE)*(1-銷售總表!G3991)</f>
        <v>202500</v>
      </c>
      <c r="I3991" s="35">
        <f>H3991-F3991*VLOOKUP(銷售總表!B3991,產品!$A$2:$H$61,8,FALSE)</f>
        <v>112500</v>
      </c>
      <c r="J3991" s="20">
        <f t="shared" si="62"/>
        <v>0.55555555555555558</v>
      </c>
    </row>
    <row r="3992" spans="1:10" x14ac:dyDescent="0.3">
      <c r="A3992" s="33">
        <v>3991</v>
      </c>
      <c r="B3992" s="4">
        <v>54</v>
      </c>
      <c r="C3992" s="15">
        <v>2</v>
      </c>
      <c r="D3992" s="16">
        <v>7</v>
      </c>
      <c r="E3992" s="22">
        <v>44629</v>
      </c>
      <c r="F3992" s="19">
        <v>6</v>
      </c>
      <c r="G3992" s="18">
        <v>7.0000000000000007E-2</v>
      </c>
      <c r="H3992">
        <f>F3992*VLOOKUP(B3992,產品!$A$2:$H$61,7,FALSE)*(1-銷售總表!G3992)</f>
        <v>100440</v>
      </c>
      <c r="I3992" s="35">
        <f>H3992-F3992*VLOOKUP(銷售總表!B3992,產品!$A$2:$H$61,8,FALSE)</f>
        <v>24840</v>
      </c>
      <c r="J3992" s="20">
        <f t="shared" si="62"/>
        <v>0.24731182795698925</v>
      </c>
    </row>
    <row r="3993" spans="1:10" x14ac:dyDescent="0.3">
      <c r="A3993" s="33">
        <v>3992</v>
      </c>
      <c r="B3993" s="4">
        <v>32</v>
      </c>
      <c r="C3993" s="15">
        <v>275</v>
      </c>
      <c r="D3993" s="16">
        <v>10</v>
      </c>
      <c r="E3993" s="22">
        <v>44629</v>
      </c>
      <c r="F3993" s="19">
        <v>10</v>
      </c>
      <c r="G3993" s="18">
        <v>0.1</v>
      </c>
      <c r="H3993">
        <f>F3993*VLOOKUP(B3993,產品!$A$2:$H$61,7,FALSE)*(1-銷售總表!G3993)</f>
        <v>67500</v>
      </c>
      <c r="I3993" s="35">
        <f>H3993-F3993*VLOOKUP(銷售總表!B3993,產品!$A$2:$H$61,8,FALSE)</f>
        <v>22500</v>
      </c>
      <c r="J3993" s="20">
        <f t="shared" si="62"/>
        <v>0.33333333333333331</v>
      </c>
    </row>
    <row r="3994" spans="1:10" x14ac:dyDescent="0.3">
      <c r="A3994" s="33">
        <v>3993</v>
      </c>
      <c r="B3994" s="4">
        <v>2</v>
      </c>
      <c r="C3994" s="15">
        <v>276</v>
      </c>
      <c r="D3994" s="16">
        <v>6</v>
      </c>
      <c r="E3994" s="22">
        <v>44629</v>
      </c>
      <c r="F3994" s="19">
        <v>11</v>
      </c>
      <c r="G3994" s="18">
        <v>0.15</v>
      </c>
      <c r="H3994">
        <f>F3994*VLOOKUP(B3994,產品!$A$2:$H$61,7,FALSE)*(1-銷售總表!G3994)</f>
        <v>9350</v>
      </c>
      <c r="I3994" s="35">
        <f>H3994-F3994*VLOOKUP(銷售總表!B3994,產品!$A$2:$H$61,8,FALSE)</f>
        <v>4950</v>
      </c>
      <c r="J3994" s="20">
        <f t="shared" si="62"/>
        <v>0.52941176470588236</v>
      </c>
    </row>
    <row r="3995" spans="1:10" x14ac:dyDescent="0.3">
      <c r="A3995" s="33">
        <v>3994</v>
      </c>
      <c r="B3995" s="4">
        <v>30</v>
      </c>
      <c r="C3995" s="15">
        <v>271</v>
      </c>
      <c r="D3995" s="16">
        <v>7</v>
      </c>
      <c r="E3995" s="22">
        <v>44629</v>
      </c>
      <c r="F3995" s="19">
        <v>12</v>
      </c>
      <c r="G3995" s="18">
        <v>0.11</v>
      </c>
      <c r="H3995">
        <f>F3995*VLOOKUP(B3995,產品!$A$2:$H$61,7,FALSE)*(1-銷售總表!G3995)</f>
        <v>69420</v>
      </c>
      <c r="I3995" s="35">
        <f>H3995-F3995*VLOOKUP(銷售總表!B3995,產品!$A$2:$H$61,8,FALSE)</f>
        <v>22620</v>
      </c>
      <c r="J3995" s="20">
        <f t="shared" si="62"/>
        <v>0.3258426966292135</v>
      </c>
    </row>
    <row r="3996" spans="1:10" x14ac:dyDescent="0.3">
      <c r="A3996" s="33">
        <v>3995</v>
      </c>
      <c r="B3996" s="4">
        <v>30</v>
      </c>
      <c r="C3996" s="15">
        <v>6</v>
      </c>
      <c r="D3996" s="16">
        <v>9</v>
      </c>
      <c r="E3996" s="22">
        <v>44630</v>
      </c>
      <c r="F3996" s="19">
        <v>1</v>
      </c>
      <c r="G3996" s="18">
        <v>0.13</v>
      </c>
      <c r="H3996">
        <f>F3996*VLOOKUP(B3996,產品!$A$2:$H$61,7,FALSE)*(1-銷售總表!G3996)</f>
        <v>5655</v>
      </c>
      <c r="I3996" s="35">
        <f>H3996-F3996*VLOOKUP(銷售總表!B3996,產品!$A$2:$H$61,8,FALSE)</f>
        <v>1755</v>
      </c>
      <c r="J3996" s="20">
        <f t="shared" si="62"/>
        <v>0.31034482758620691</v>
      </c>
    </row>
    <row r="3997" spans="1:10" x14ac:dyDescent="0.3">
      <c r="A3997" s="33">
        <v>3996</v>
      </c>
      <c r="B3997" s="4">
        <v>46</v>
      </c>
      <c r="C3997" s="15">
        <v>140</v>
      </c>
      <c r="D3997" s="16">
        <v>8</v>
      </c>
      <c r="E3997" s="22">
        <v>44630</v>
      </c>
      <c r="F3997" s="19">
        <v>3</v>
      </c>
      <c r="G3997" s="18">
        <v>0.17</v>
      </c>
      <c r="H3997">
        <f>F3997*VLOOKUP(B3997,產品!$A$2:$H$61,7,FALSE)*(1-銷售總表!G3997)</f>
        <v>42330</v>
      </c>
      <c r="I3997" s="35">
        <f>H3997-F3997*VLOOKUP(銷售總表!B3997,產品!$A$2:$H$61,8,FALSE)</f>
        <v>9180</v>
      </c>
      <c r="J3997" s="20">
        <f t="shared" si="62"/>
        <v>0.21686746987951808</v>
      </c>
    </row>
    <row r="3998" spans="1:10" x14ac:dyDescent="0.3">
      <c r="A3998" s="33">
        <v>3997</v>
      </c>
      <c r="B3998" s="4">
        <v>48</v>
      </c>
      <c r="C3998" s="15">
        <v>277</v>
      </c>
      <c r="D3998" s="16">
        <v>2</v>
      </c>
      <c r="E3998" s="22">
        <v>44630</v>
      </c>
      <c r="F3998" s="19">
        <v>7</v>
      </c>
      <c r="G3998" s="18">
        <v>0.2</v>
      </c>
      <c r="H3998">
        <f>F3998*VLOOKUP(B3998,產品!$A$2:$H$61,7,FALSE)*(1-銷售總表!G3998)</f>
        <v>123200</v>
      </c>
      <c r="I3998" s="35">
        <f>H3998-F3998*VLOOKUP(銷售總表!B3998,產品!$A$2:$H$61,8,FALSE)</f>
        <v>23100</v>
      </c>
      <c r="J3998" s="20">
        <f t="shared" si="62"/>
        <v>0.1875</v>
      </c>
    </row>
    <row r="3999" spans="1:10" x14ac:dyDescent="0.3">
      <c r="A3999" s="33">
        <v>3998</v>
      </c>
      <c r="B3999" s="4">
        <v>32</v>
      </c>
      <c r="C3999" s="15">
        <v>112</v>
      </c>
      <c r="D3999" s="16">
        <v>4</v>
      </c>
      <c r="E3999" s="22">
        <v>44630</v>
      </c>
      <c r="F3999" s="19">
        <v>8</v>
      </c>
      <c r="G3999" s="18">
        <v>0.16</v>
      </c>
      <c r="H3999">
        <f>F3999*VLOOKUP(B3999,產品!$A$2:$H$61,7,FALSE)*(1-銷售總表!G3999)</f>
        <v>50400</v>
      </c>
      <c r="I3999" s="35">
        <f>H3999-F3999*VLOOKUP(銷售總表!B3999,產品!$A$2:$H$61,8,FALSE)</f>
        <v>14400</v>
      </c>
      <c r="J3999" s="20">
        <f t="shared" si="62"/>
        <v>0.2857142857142857</v>
      </c>
    </row>
    <row r="4000" spans="1:10" x14ac:dyDescent="0.3">
      <c r="A4000" s="33">
        <v>3999</v>
      </c>
      <c r="B4000" s="4">
        <v>42</v>
      </c>
      <c r="C4000" s="15">
        <v>262</v>
      </c>
      <c r="D4000" s="16">
        <v>3</v>
      </c>
      <c r="E4000" s="22">
        <v>44630</v>
      </c>
      <c r="F4000" s="19">
        <v>9</v>
      </c>
      <c r="G4000" s="18">
        <v>0.19</v>
      </c>
      <c r="H4000">
        <f>F4000*VLOOKUP(B4000,產品!$A$2:$H$61,7,FALSE)*(1-銷售總表!G4000)</f>
        <v>109350</v>
      </c>
      <c r="I4000" s="35">
        <f>H4000-F4000*VLOOKUP(銷售總表!B4000,產品!$A$2:$H$61,8,FALSE)</f>
        <v>21600</v>
      </c>
      <c r="J4000" s="20">
        <f t="shared" si="62"/>
        <v>0.19753086419753085</v>
      </c>
    </row>
    <row r="4001" spans="1:10" x14ac:dyDescent="0.3">
      <c r="A4001" s="33">
        <v>4000</v>
      </c>
      <c r="B4001" s="4">
        <v>34</v>
      </c>
      <c r="C4001" s="15">
        <v>8</v>
      </c>
      <c r="D4001" s="16">
        <v>2</v>
      </c>
      <c r="E4001" s="22">
        <v>44630</v>
      </c>
      <c r="F4001" s="19">
        <v>15</v>
      </c>
      <c r="G4001" s="18">
        <v>0.17</v>
      </c>
      <c r="H4001">
        <f>F4001*VLOOKUP(B4001,產品!$A$2:$H$61,7,FALSE)*(1-銷售總表!G4001)</f>
        <v>99600</v>
      </c>
      <c r="I4001" s="35">
        <f>H4001-F4001*VLOOKUP(銷售總表!B4001,產品!$A$2:$H$61,8,FALSE)</f>
        <v>27600</v>
      </c>
      <c r="J4001" s="20">
        <f t="shared" si="62"/>
        <v>0.27710843373493976</v>
      </c>
    </row>
    <row r="4002" spans="1:10" x14ac:dyDescent="0.3">
      <c r="A4002" s="33">
        <v>4001</v>
      </c>
      <c r="B4002" s="4">
        <v>55</v>
      </c>
      <c r="C4002" s="15">
        <v>116</v>
      </c>
      <c r="D4002" s="16">
        <v>10</v>
      </c>
      <c r="E4002" s="22">
        <v>44631</v>
      </c>
      <c r="F4002" s="19">
        <v>3</v>
      </c>
      <c r="G4002" s="18">
        <v>0.11</v>
      </c>
      <c r="H4002">
        <f>F4002*VLOOKUP(B4002,產品!$A$2:$H$61,7,FALSE)*(1-銷售總表!G4002)</f>
        <v>53400</v>
      </c>
      <c r="I4002" s="35">
        <f>H4002-F4002*VLOOKUP(銷售總表!B4002,產品!$A$2:$H$61,8,FALSE)</f>
        <v>11400</v>
      </c>
      <c r="J4002" s="20">
        <f t="shared" si="62"/>
        <v>0.21348314606741572</v>
      </c>
    </row>
    <row r="4003" spans="1:10" x14ac:dyDescent="0.3">
      <c r="A4003" s="33">
        <v>4002</v>
      </c>
      <c r="B4003" s="4">
        <v>47</v>
      </c>
      <c r="C4003" s="15">
        <v>284</v>
      </c>
      <c r="D4003" s="16">
        <v>2</v>
      </c>
      <c r="E4003" s="22">
        <v>44631</v>
      </c>
      <c r="F4003" s="19">
        <v>5</v>
      </c>
      <c r="G4003" s="18">
        <v>0.13</v>
      </c>
      <c r="H4003">
        <f>F4003*VLOOKUP(B4003,產品!$A$2:$H$61,7,FALSE)*(1-銷售總表!G4003)</f>
        <v>87000</v>
      </c>
      <c r="I4003" s="35">
        <f>H4003-F4003*VLOOKUP(銷售總表!B4003,產品!$A$2:$H$61,8,FALSE)</f>
        <v>22000</v>
      </c>
      <c r="J4003" s="20">
        <f t="shared" si="62"/>
        <v>0.25287356321839083</v>
      </c>
    </row>
    <row r="4004" spans="1:10" x14ac:dyDescent="0.3">
      <c r="A4004" s="33">
        <v>4003</v>
      </c>
      <c r="B4004" s="4">
        <v>46</v>
      </c>
      <c r="C4004" s="15">
        <v>9</v>
      </c>
      <c r="D4004" s="16">
        <v>7</v>
      </c>
      <c r="E4004" s="22">
        <v>44631</v>
      </c>
      <c r="F4004" s="19">
        <v>5</v>
      </c>
      <c r="G4004" s="18">
        <v>0.19</v>
      </c>
      <c r="H4004">
        <f>F4004*VLOOKUP(B4004,產品!$A$2:$H$61,7,FALSE)*(1-銷售總表!G4004)</f>
        <v>68850</v>
      </c>
      <c r="I4004" s="35">
        <f>H4004-F4004*VLOOKUP(銷售總表!B4004,產品!$A$2:$H$61,8,FALSE)</f>
        <v>13600</v>
      </c>
      <c r="J4004" s="20">
        <f t="shared" si="62"/>
        <v>0.19753086419753085</v>
      </c>
    </row>
    <row r="4005" spans="1:10" x14ac:dyDescent="0.3">
      <c r="A4005" s="33">
        <v>4004</v>
      </c>
      <c r="B4005" s="4">
        <v>21</v>
      </c>
      <c r="C4005" s="15">
        <v>125</v>
      </c>
      <c r="D4005" s="16">
        <v>9</v>
      </c>
      <c r="E4005" s="22">
        <v>44631</v>
      </c>
      <c r="F4005" s="19">
        <v>11</v>
      </c>
      <c r="G4005" s="18">
        <v>0.1</v>
      </c>
      <c r="H4005">
        <f>F4005*VLOOKUP(B4005,產品!$A$2:$H$61,7,FALSE)*(1-銷售總表!G4005)</f>
        <v>17820</v>
      </c>
      <c r="I4005" s="35">
        <f>H4005-F4005*VLOOKUP(銷售總表!B4005,產品!$A$2:$H$61,8,FALSE)</f>
        <v>9900</v>
      </c>
      <c r="J4005" s="20">
        <f t="shared" si="62"/>
        <v>0.55555555555555558</v>
      </c>
    </row>
    <row r="4006" spans="1:10" x14ac:dyDescent="0.3">
      <c r="A4006" s="33">
        <v>4005</v>
      </c>
      <c r="B4006" s="4">
        <v>14</v>
      </c>
      <c r="C4006" s="15">
        <v>6</v>
      </c>
      <c r="D4006" s="16">
        <v>3</v>
      </c>
      <c r="E4006" s="22">
        <v>44631</v>
      </c>
      <c r="F4006" s="19">
        <v>20</v>
      </c>
      <c r="G4006" s="18">
        <v>0.1</v>
      </c>
      <c r="H4006">
        <f>F4006*VLOOKUP(B4006,產品!$A$2:$H$61,7,FALSE)*(1-銷售總表!G4006)</f>
        <v>32400</v>
      </c>
      <c r="I4006" s="35">
        <f>H4006-F4006*VLOOKUP(銷售總表!B4006,產品!$A$2:$H$61,8,FALSE)</f>
        <v>18000</v>
      </c>
      <c r="J4006" s="20">
        <f t="shared" si="62"/>
        <v>0.55555555555555558</v>
      </c>
    </row>
    <row r="4007" spans="1:10" x14ac:dyDescent="0.3">
      <c r="A4007" s="33">
        <v>4006</v>
      </c>
      <c r="B4007" s="4">
        <v>21</v>
      </c>
      <c r="C4007" s="15">
        <v>124</v>
      </c>
      <c r="D4007" s="16">
        <v>1</v>
      </c>
      <c r="E4007" s="22">
        <v>44631</v>
      </c>
      <c r="F4007" s="19">
        <v>50</v>
      </c>
      <c r="G4007" s="18">
        <v>0.09</v>
      </c>
      <c r="H4007">
        <f>F4007*VLOOKUP(B4007,產品!$A$2:$H$61,7,FALSE)*(1-銷售總表!G4007)</f>
        <v>81900</v>
      </c>
      <c r="I4007" s="35">
        <f>H4007-F4007*VLOOKUP(銷售總表!B4007,產品!$A$2:$H$61,8,FALSE)</f>
        <v>45900</v>
      </c>
      <c r="J4007" s="20">
        <f t="shared" si="62"/>
        <v>0.56043956043956045</v>
      </c>
    </row>
    <row r="4008" spans="1:10" x14ac:dyDescent="0.3">
      <c r="A4008" s="33">
        <v>4007</v>
      </c>
      <c r="B4008" s="4">
        <v>23</v>
      </c>
      <c r="C4008" s="15">
        <v>263</v>
      </c>
      <c r="D4008" s="16">
        <v>9</v>
      </c>
      <c r="E4008" s="22">
        <v>44631</v>
      </c>
      <c r="F4008" s="19">
        <v>100</v>
      </c>
      <c r="G4008" s="18">
        <v>0.18</v>
      </c>
      <c r="H4008">
        <f>F4008*VLOOKUP(B4008,產品!$A$2:$H$61,7,FALSE)*(1-銷售總表!G4008)</f>
        <v>147600</v>
      </c>
      <c r="I4008" s="35">
        <f>H4008-F4008*VLOOKUP(銷售總表!B4008,產品!$A$2:$H$61,8,FALSE)</f>
        <v>75600</v>
      </c>
      <c r="J4008" s="20">
        <f t="shared" si="62"/>
        <v>0.51219512195121952</v>
      </c>
    </row>
    <row r="4009" spans="1:10" x14ac:dyDescent="0.3">
      <c r="A4009" s="33">
        <v>4008</v>
      </c>
      <c r="B4009" s="4">
        <v>51</v>
      </c>
      <c r="C4009" s="15">
        <v>286</v>
      </c>
      <c r="D4009" s="16">
        <v>8</v>
      </c>
      <c r="E4009" s="22">
        <v>44632</v>
      </c>
      <c r="F4009" s="19">
        <v>4</v>
      </c>
      <c r="G4009" s="18">
        <v>0.17</v>
      </c>
      <c r="H4009">
        <f>F4009*VLOOKUP(B4009,產品!$A$2:$H$61,7,FALSE)*(1-銷售總表!G4009)</f>
        <v>66400</v>
      </c>
      <c r="I4009" s="35">
        <f>H4009-F4009*VLOOKUP(銷售總表!B4009,產品!$A$2:$H$61,8,FALSE)</f>
        <v>10400</v>
      </c>
      <c r="J4009" s="20">
        <f t="shared" si="62"/>
        <v>0.15662650602409639</v>
      </c>
    </row>
    <row r="4010" spans="1:10" x14ac:dyDescent="0.3">
      <c r="A4010" s="33">
        <v>4009</v>
      </c>
      <c r="B4010" s="4">
        <v>27</v>
      </c>
      <c r="C4010" s="15">
        <v>10</v>
      </c>
      <c r="D4010" s="16">
        <v>7</v>
      </c>
      <c r="E4010" s="22">
        <v>44632</v>
      </c>
      <c r="F4010" s="19">
        <v>5</v>
      </c>
      <c r="G4010" s="18">
        <v>0.13</v>
      </c>
      <c r="H4010">
        <f>F4010*VLOOKUP(B4010,產品!$A$2:$H$61,7,FALSE)*(1-銷售總表!G4010)</f>
        <v>30450</v>
      </c>
      <c r="I4010" s="35">
        <f>H4010-F4010*VLOOKUP(銷售總表!B4010,產品!$A$2:$H$61,8,FALSE)</f>
        <v>9450</v>
      </c>
      <c r="J4010" s="20">
        <f t="shared" si="62"/>
        <v>0.31034482758620691</v>
      </c>
    </row>
    <row r="4011" spans="1:10" x14ac:dyDescent="0.3">
      <c r="A4011" s="33">
        <v>4010</v>
      </c>
      <c r="B4011" s="4">
        <v>60</v>
      </c>
      <c r="C4011" s="15">
        <v>120</v>
      </c>
      <c r="D4011" s="16">
        <v>6</v>
      </c>
      <c r="E4011" s="22">
        <v>44632</v>
      </c>
      <c r="F4011" s="19">
        <v>10</v>
      </c>
      <c r="G4011" s="18">
        <v>0.13</v>
      </c>
      <c r="H4011">
        <f>F4011*VLOOKUP(B4011,產品!$A$2:$H$61,7,FALSE)*(1-銷售總表!G4011)</f>
        <v>217500</v>
      </c>
      <c r="I4011" s="35">
        <f>H4011-F4011*VLOOKUP(銷售總表!B4011,產品!$A$2:$H$61,8,FALSE)</f>
        <v>42500</v>
      </c>
      <c r="J4011" s="20">
        <f t="shared" si="62"/>
        <v>0.19540229885057472</v>
      </c>
    </row>
    <row r="4012" spans="1:10" x14ac:dyDescent="0.3">
      <c r="A4012" s="33">
        <v>4011</v>
      </c>
      <c r="B4012" s="4">
        <v>35</v>
      </c>
      <c r="C4012" s="15">
        <v>261</v>
      </c>
      <c r="D4012" s="16">
        <v>7</v>
      </c>
      <c r="E4012" s="22">
        <v>44632</v>
      </c>
      <c r="F4012" s="19">
        <v>10</v>
      </c>
      <c r="G4012" s="18">
        <v>0.08</v>
      </c>
      <c r="H4012">
        <f>F4012*VLOOKUP(B4012,產品!$A$2:$H$61,7,FALSE)*(1-銷售總表!G4012)</f>
        <v>78200</v>
      </c>
      <c r="I4012" s="35">
        <f>H4012-F4012*VLOOKUP(銷售總表!B4012,產品!$A$2:$H$61,8,FALSE)</f>
        <v>27200</v>
      </c>
      <c r="J4012" s="20">
        <f t="shared" si="62"/>
        <v>0.34782608695652173</v>
      </c>
    </row>
    <row r="4013" spans="1:10" x14ac:dyDescent="0.3">
      <c r="A4013" s="33">
        <v>4012</v>
      </c>
      <c r="B4013" s="4">
        <v>10</v>
      </c>
      <c r="C4013" s="15">
        <v>285</v>
      </c>
      <c r="D4013" s="16">
        <v>2</v>
      </c>
      <c r="E4013" s="22">
        <v>44632</v>
      </c>
      <c r="F4013" s="19">
        <v>20</v>
      </c>
      <c r="G4013" s="18">
        <v>0.17</v>
      </c>
      <c r="H4013">
        <f>F4013*VLOOKUP(B4013,產品!$A$2:$H$61,7,FALSE)*(1-銷售總表!G4013)</f>
        <v>16600</v>
      </c>
      <c r="I4013" s="35">
        <f>H4013-F4013*VLOOKUP(銷售總表!B4013,產品!$A$2:$H$61,8,FALSE)</f>
        <v>8600</v>
      </c>
      <c r="J4013" s="20">
        <f t="shared" si="62"/>
        <v>0.51807228915662651</v>
      </c>
    </row>
    <row r="4014" spans="1:10" x14ac:dyDescent="0.3">
      <c r="A4014" s="33">
        <v>4013</v>
      </c>
      <c r="B4014" s="4">
        <v>3</v>
      </c>
      <c r="C4014" s="15">
        <v>118</v>
      </c>
      <c r="D4014" s="16">
        <v>3</v>
      </c>
      <c r="E4014" s="22">
        <v>44632</v>
      </c>
      <c r="F4014" s="19">
        <v>23</v>
      </c>
      <c r="G4014" s="18">
        <v>0.15</v>
      </c>
      <c r="H4014">
        <f>F4014*VLOOKUP(B4014,產品!$A$2:$H$61,7,FALSE)*(1-銷售總表!G4014)</f>
        <v>19550</v>
      </c>
      <c r="I4014" s="35">
        <f>H4014-F4014*VLOOKUP(銷售總表!B4014,產品!$A$2:$H$61,8,FALSE)</f>
        <v>10350</v>
      </c>
      <c r="J4014" s="20">
        <f t="shared" si="62"/>
        <v>0.52941176470588236</v>
      </c>
    </row>
    <row r="4015" spans="1:10" x14ac:dyDescent="0.3">
      <c r="A4015" s="33">
        <v>4014</v>
      </c>
      <c r="B4015" s="4">
        <v>19</v>
      </c>
      <c r="C4015" s="15">
        <v>112</v>
      </c>
      <c r="D4015" s="16">
        <v>6</v>
      </c>
      <c r="E4015" s="22">
        <v>44632</v>
      </c>
      <c r="F4015" s="19">
        <v>30</v>
      </c>
      <c r="G4015" s="18">
        <v>0.12</v>
      </c>
      <c r="H4015">
        <f>F4015*VLOOKUP(B4015,產品!$A$2:$H$61,7,FALSE)*(1-銷售總表!G4015)</f>
        <v>47520</v>
      </c>
      <c r="I4015" s="35">
        <f>H4015-F4015*VLOOKUP(銷售總表!B4015,產品!$A$2:$H$61,8,FALSE)</f>
        <v>25920</v>
      </c>
      <c r="J4015" s="20">
        <f t="shared" si="62"/>
        <v>0.54545454545454541</v>
      </c>
    </row>
    <row r="4016" spans="1:10" x14ac:dyDescent="0.3">
      <c r="A4016" s="33">
        <v>4015</v>
      </c>
      <c r="B4016" s="4">
        <v>31</v>
      </c>
      <c r="C4016" s="15">
        <v>9</v>
      </c>
      <c r="D4016" s="16">
        <v>1</v>
      </c>
      <c r="E4016" s="22">
        <v>44632</v>
      </c>
      <c r="F4016" s="19">
        <v>40</v>
      </c>
      <c r="G4016" s="18">
        <v>0.08</v>
      </c>
      <c r="H4016">
        <f>F4016*VLOOKUP(B4016,產品!$A$2:$H$61,7,FALSE)*(1-銷售總表!G4016)</f>
        <v>257600</v>
      </c>
      <c r="I4016" s="35">
        <f>H4016-F4016*VLOOKUP(銷售總表!B4016,產品!$A$2:$H$61,8,FALSE)</f>
        <v>89600</v>
      </c>
      <c r="J4016" s="20">
        <f t="shared" si="62"/>
        <v>0.34782608695652173</v>
      </c>
    </row>
    <row r="4017" spans="1:10" x14ac:dyDescent="0.3">
      <c r="A4017" s="33">
        <v>4016</v>
      </c>
      <c r="B4017" s="4">
        <v>7</v>
      </c>
      <c r="C4017" s="15">
        <v>2</v>
      </c>
      <c r="D4017" s="16">
        <v>1</v>
      </c>
      <c r="E4017" s="22">
        <v>44632</v>
      </c>
      <c r="F4017" s="19">
        <v>150</v>
      </c>
      <c r="G4017" s="18">
        <v>0.13</v>
      </c>
      <c r="H4017">
        <f>F4017*VLOOKUP(B4017,產品!$A$2:$H$61,7,FALSE)*(1-銷售總表!G4017)</f>
        <v>130500</v>
      </c>
      <c r="I4017" s="35">
        <f>H4017-F4017*VLOOKUP(銷售總表!B4017,產品!$A$2:$H$61,8,FALSE)</f>
        <v>70500</v>
      </c>
      <c r="J4017" s="20">
        <f t="shared" si="62"/>
        <v>0.54022988505747127</v>
      </c>
    </row>
    <row r="4018" spans="1:10" x14ac:dyDescent="0.3">
      <c r="A4018" s="33">
        <v>4017</v>
      </c>
      <c r="B4018" s="4">
        <v>26</v>
      </c>
      <c r="C4018" s="15">
        <v>6</v>
      </c>
      <c r="D4018" s="16">
        <v>9</v>
      </c>
      <c r="E4018" s="22">
        <v>44633</v>
      </c>
      <c r="F4018" s="19">
        <v>3</v>
      </c>
      <c r="G4018" s="18">
        <v>0.16</v>
      </c>
      <c r="H4018">
        <f>F4018*VLOOKUP(B4018,產品!$A$2:$H$61,7,FALSE)*(1-銷售總表!G4018)</f>
        <v>16380</v>
      </c>
      <c r="I4018" s="35">
        <f>H4018-F4018*VLOOKUP(銷售總表!B4018,產品!$A$2:$H$61,8,FALSE)</f>
        <v>4680</v>
      </c>
      <c r="J4018" s="20">
        <f t="shared" si="62"/>
        <v>0.2857142857142857</v>
      </c>
    </row>
    <row r="4019" spans="1:10" x14ac:dyDescent="0.3">
      <c r="A4019" s="33">
        <v>4018</v>
      </c>
      <c r="B4019" s="4">
        <v>50</v>
      </c>
      <c r="C4019" s="15">
        <v>123</v>
      </c>
      <c r="D4019" s="16">
        <v>3</v>
      </c>
      <c r="E4019" s="22">
        <v>44633</v>
      </c>
      <c r="F4019" s="19">
        <v>6</v>
      </c>
      <c r="G4019" s="18">
        <v>0.13</v>
      </c>
      <c r="H4019">
        <f>F4019*VLOOKUP(B4019,產品!$A$2:$H$61,7,FALSE)*(1-銷售總表!G4019)</f>
        <v>93960</v>
      </c>
      <c r="I4019" s="35">
        <f>H4019-F4019*VLOOKUP(銷售總表!B4019,產品!$A$2:$H$61,8,FALSE)</f>
        <v>18360</v>
      </c>
      <c r="J4019" s="20">
        <f t="shared" si="62"/>
        <v>0.19540229885057472</v>
      </c>
    </row>
    <row r="4020" spans="1:10" x14ac:dyDescent="0.3">
      <c r="A4020" s="33">
        <v>4019</v>
      </c>
      <c r="B4020" s="4">
        <v>21</v>
      </c>
      <c r="C4020" s="15">
        <v>12</v>
      </c>
      <c r="D4020" s="16">
        <v>7</v>
      </c>
      <c r="E4020" s="22">
        <v>44633</v>
      </c>
      <c r="F4020" s="19">
        <v>80</v>
      </c>
      <c r="G4020" s="18">
        <v>7.0000000000000007E-2</v>
      </c>
      <c r="H4020">
        <f>F4020*VLOOKUP(B4020,產品!$A$2:$H$61,7,FALSE)*(1-銷售總表!G4020)</f>
        <v>133920</v>
      </c>
      <c r="I4020" s="35">
        <f>H4020-F4020*VLOOKUP(銷售總表!B4020,產品!$A$2:$H$61,8,FALSE)</f>
        <v>76320</v>
      </c>
      <c r="J4020" s="20">
        <f t="shared" si="62"/>
        <v>0.56989247311827962</v>
      </c>
    </row>
    <row r="4021" spans="1:10" x14ac:dyDescent="0.3">
      <c r="A4021" s="33">
        <v>4020</v>
      </c>
      <c r="B4021" s="4">
        <v>54</v>
      </c>
      <c r="C4021" s="15">
        <v>283</v>
      </c>
      <c r="D4021" s="16">
        <v>10</v>
      </c>
      <c r="E4021" s="22">
        <v>44634</v>
      </c>
      <c r="F4021" s="19">
        <v>7</v>
      </c>
      <c r="G4021" s="18">
        <v>0.11</v>
      </c>
      <c r="H4021">
        <f>F4021*VLOOKUP(B4021,產品!$A$2:$H$61,7,FALSE)*(1-銷售總表!G4021)</f>
        <v>112140</v>
      </c>
      <c r="I4021" s="35">
        <f>H4021-F4021*VLOOKUP(銷售總表!B4021,產品!$A$2:$H$61,8,FALSE)</f>
        <v>23940</v>
      </c>
      <c r="J4021" s="20">
        <f t="shared" si="62"/>
        <v>0.21348314606741572</v>
      </c>
    </row>
    <row r="4022" spans="1:10" x14ac:dyDescent="0.3">
      <c r="A4022" s="33">
        <v>4021</v>
      </c>
      <c r="B4022" s="4">
        <v>24</v>
      </c>
      <c r="C4022" s="15">
        <v>7</v>
      </c>
      <c r="D4022" s="16">
        <v>6</v>
      </c>
      <c r="E4022" s="22">
        <v>44634</v>
      </c>
      <c r="F4022" s="19">
        <v>30</v>
      </c>
      <c r="G4022" s="18">
        <v>0.08</v>
      </c>
      <c r="H4022">
        <f>F4022*VLOOKUP(B4022,產品!$A$2:$H$61,7,FALSE)*(1-銷售總表!G4022)</f>
        <v>49680</v>
      </c>
      <c r="I4022" s="35">
        <f>H4022-F4022*VLOOKUP(銷售總表!B4022,產品!$A$2:$H$61,8,FALSE)</f>
        <v>28080</v>
      </c>
      <c r="J4022" s="20">
        <f t="shared" si="62"/>
        <v>0.56521739130434778</v>
      </c>
    </row>
    <row r="4023" spans="1:10" x14ac:dyDescent="0.3">
      <c r="A4023" s="33">
        <v>4022</v>
      </c>
      <c r="B4023" s="4">
        <v>13</v>
      </c>
      <c r="C4023" s="15">
        <v>291</v>
      </c>
      <c r="D4023" s="16">
        <v>4</v>
      </c>
      <c r="E4023" s="22">
        <v>44634</v>
      </c>
      <c r="F4023" s="19">
        <v>50</v>
      </c>
      <c r="G4023" s="18">
        <v>0.13</v>
      </c>
      <c r="H4023">
        <f>F4023*VLOOKUP(B4023,產品!$A$2:$H$61,7,FALSE)*(1-銷售總表!G4023)</f>
        <v>78300</v>
      </c>
      <c r="I4023" s="35">
        <f>H4023-F4023*VLOOKUP(銷售總表!B4023,產品!$A$2:$H$61,8,FALSE)</f>
        <v>42300</v>
      </c>
      <c r="J4023" s="20">
        <f t="shared" si="62"/>
        <v>0.54022988505747127</v>
      </c>
    </row>
    <row r="4024" spans="1:10" x14ac:dyDescent="0.3">
      <c r="A4024" s="33">
        <v>4023</v>
      </c>
      <c r="B4024" s="4">
        <v>15</v>
      </c>
      <c r="C4024" s="15">
        <v>271</v>
      </c>
      <c r="D4024" s="16">
        <v>5</v>
      </c>
      <c r="E4024" s="22">
        <v>44634</v>
      </c>
      <c r="F4024" s="19">
        <v>60</v>
      </c>
      <c r="G4024" s="18">
        <v>0.2</v>
      </c>
      <c r="H4024">
        <f>F4024*VLOOKUP(B4024,產品!$A$2:$H$61,7,FALSE)*(1-銷售總表!G4024)</f>
        <v>86400</v>
      </c>
      <c r="I4024" s="35">
        <f>H4024-F4024*VLOOKUP(銷售總表!B4024,產品!$A$2:$H$61,8,FALSE)</f>
        <v>43200</v>
      </c>
      <c r="J4024" s="20">
        <f t="shared" si="62"/>
        <v>0.5</v>
      </c>
    </row>
    <row r="4025" spans="1:10" x14ac:dyDescent="0.3">
      <c r="A4025" s="33">
        <v>4024</v>
      </c>
      <c r="B4025" s="4">
        <v>8</v>
      </c>
      <c r="C4025" s="15">
        <v>138</v>
      </c>
      <c r="D4025" s="16">
        <v>2</v>
      </c>
      <c r="E4025" s="22">
        <v>44634</v>
      </c>
      <c r="F4025" s="19">
        <v>200</v>
      </c>
      <c r="G4025" s="18">
        <v>0.12</v>
      </c>
      <c r="H4025">
        <f>F4025*VLOOKUP(B4025,產品!$A$2:$H$61,7,FALSE)*(1-銷售總表!G4025)</f>
        <v>176000</v>
      </c>
      <c r="I4025" s="35">
        <f>H4025-F4025*VLOOKUP(銷售總表!B4025,產品!$A$2:$H$61,8,FALSE)</f>
        <v>96000</v>
      </c>
      <c r="J4025" s="20">
        <f t="shared" si="62"/>
        <v>0.54545454545454541</v>
      </c>
    </row>
    <row r="4026" spans="1:10" x14ac:dyDescent="0.3">
      <c r="A4026" s="33">
        <v>4025</v>
      </c>
      <c r="B4026" s="4">
        <v>42</v>
      </c>
      <c r="C4026" s="15">
        <v>10</v>
      </c>
      <c r="D4026" s="16">
        <v>7</v>
      </c>
      <c r="E4026" s="22">
        <v>44635</v>
      </c>
      <c r="F4026" s="19">
        <v>4</v>
      </c>
      <c r="G4026" s="18">
        <v>0.09</v>
      </c>
      <c r="H4026">
        <f>F4026*VLOOKUP(B4026,產品!$A$2:$H$61,7,FALSE)*(1-銷售總表!G4026)</f>
        <v>54600</v>
      </c>
      <c r="I4026" s="35">
        <f>H4026-F4026*VLOOKUP(銷售總表!B4026,產品!$A$2:$H$61,8,FALSE)</f>
        <v>15600</v>
      </c>
      <c r="J4026" s="20">
        <f t="shared" si="62"/>
        <v>0.2857142857142857</v>
      </c>
    </row>
    <row r="4027" spans="1:10" x14ac:dyDescent="0.3">
      <c r="A4027" s="33">
        <v>4026</v>
      </c>
      <c r="B4027" s="4">
        <v>8</v>
      </c>
      <c r="C4027" s="15">
        <v>118</v>
      </c>
      <c r="D4027" s="16">
        <v>3</v>
      </c>
      <c r="E4027" s="22">
        <v>44635</v>
      </c>
      <c r="F4027" s="19">
        <v>10</v>
      </c>
      <c r="G4027" s="18">
        <v>0.06</v>
      </c>
      <c r="H4027">
        <f>F4027*VLOOKUP(B4027,產品!$A$2:$H$61,7,FALSE)*(1-銷售總表!G4027)</f>
        <v>9400</v>
      </c>
      <c r="I4027" s="35">
        <f>H4027-F4027*VLOOKUP(銷售總表!B4027,產品!$A$2:$H$61,8,FALSE)</f>
        <v>5400</v>
      </c>
      <c r="J4027" s="20">
        <f t="shared" si="62"/>
        <v>0.57446808510638303</v>
      </c>
    </row>
    <row r="4028" spans="1:10" x14ac:dyDescent="0.3">
      <c r="A4028" s="33">
        <v>4027</v>
      </c>
      <c r="B4028" s="4">
        <v>17</v>
      </c>
      <c r="C4028" s="15">
        <v>118</v>
      </c>
      <c r="D4028" s="16">
        <v>9</v>
      </c>
      <c r="E4028" s="22">
        <v>44635</v>
      </c>
      <c r="F4028" s="19">
        <v>30</v>
      </c>
      <c r="G4028" s="18">
        <v>0.19</v>
      </c>
      <c r="H4028">
        <f>F4028*VLOOKUP(B4028,產品!$A$2:$H$61,7,FALSE)*(1-銷售總表!G4028)</f>
        <v>43740</v>
      </c>
      <c r="I4028" s="35">
        <f>H4028-F4028*VLOOKUP(銷售總表!B4028,產品!$A$2:$H$61,8,FALSE)</f>
        <v>22140</v>
      </c>
      <c r="J4028" s="20">
        <f t="shared" si="62"/>
        <v>0.50617283950617287</v>
      </c>
    </row>
    <row r="4029" spans="1:10" x14ac:dyDescent="0.3">
      <c r="A4029" s="33">
        <v>4028</v>
      </c>
      <c r="B4029" s="4">
        <v>8</v>
      </c>
      <c r="C4029" s="15">
        <v>279</v>
      </c>
      <c r="D4029" s="16">
        <v>1</v>
      </c>
      <c r="E4029" s="22">
        <v>44635</v>
      </c>
      <c r="F4029" s="19">
        <v>30</v>
      </c>
      <c r="G4029" s="18">
        <v>0.05</v>
      </c>
      <c r="H4029">
        <f>F4029*VLOOKUP(B4029,產品!$A$2:$H$61,7,FALSE)*(1-銷售總表!G4029)</f>
        <v>28500</v>
      </c>
      <c r="I4029" s="35">
        <f>H4029-F4029*VLOOKUP(銷售總表!B4029,產品!$A$2:$H$61,8,FALSE)</f>
        <v>16500</v>
      </c>
      <c r="J4029" s="20">
        <f t="shared" si="62"/>
        <v>0.57894736842105265</v>
      </c>
    </row>
    <row r="4030" spans="1:10" x14ac:dyDescent="0.3">
      <c r="A4030" s="33">
        <v>4029</v>
      </c>
      <c r="B4030" s="4">
        <v>21</v>
      </c>
      <c r="C4030" s="15">
        <v>259</v>
      </c>
      <c r="D4030" s="16">
        <v>2</v>
      </c>
      <c r="E4030" s="22">
        <v>44635</v>
      </c>
      <c r="F4030" s="19">
        <v>40</v>
      </c>
      <c r="G4030" s="18">
        <v>0.08</v>
      </c>
      <c r="H4030">
        <f>F4030*VLOOKUP(B4030,產品!$A$2:$H$61,7,FALSE)*(1-銷售總表!G4030)</f>
        <v>66240</v>
      </c>
      <c r="I4030" s="35">
        <f>H4030-F4030*VLOOKUP(銷售總表!B4030,產品!$A$2:$H$61,8,FALSE)</f>
        <v>37440</v>
      </c>
      <c r="J4030" s="20">
        <f t="shared" si="62"/>
        <v>0.56521739130434778</v>
      </c>
    </row>
    <row r="4031" spans="1:10" x14ac:dyDescent="0.3">
      <c r="A4031" s="33">
        <v>4030</v>
      </c>
      <c r="B4031" s="4">
        <v>16</v>
      </c>
      <c r="C4031" s="15">
        <v>9</v>
      </c>
      <c r="D4031" s="16">
        <v>10</v>
      </c>
      <c r="E4031" s="22">
        <v>44635</v>
      </c>
      <c r="F4031" s="19">
        <v>45</v>
      </c>
      <c r="G4031" s="18">
        <v>0.1</v>
      </c>
      <c r="H4031">
        <f>F4031*VLOOKUP(B4031,產品!$A$2:$H$61,7,FALSE)*(1-銷售總表!G4031)</f>
        <v>72900</v>
      </c>
      <c r="I4031" s="35">
        <f>H4031-F4031*VLOOKUP(銷售總表!B4031,產品!$A$2:$H$61,8,FALSE)</f>
        <v>40500</v>
      </c>
      <c r="J4031" s="20">
        <f t="shared" si="62"/>
        <v>0.55555555555555558</v>
      </c>
    </row>
    <row r="4032" spans="1:10" x14ac:dyDescent="0.3">
      <c r="A4032" s="33">
        <v>4031</v>
      </c>
      <c r="B4032" s="4">
        <v>44</v>
      </c>
      <c r="C4032" s="15">
        <v>9</v>
      </c>
      <c r="D4032" s="16">
        <v>7</v>
      </c>
      <c r="E4032" s="22">
        <v>44636</v>
      </c>
      <c r="F4032" s="19">
        <v>2</v>
      </c>
      <c r="G4032" s="18">
        <v>0.2</v>
      </c>
      <c r="H4032">
        <f>F4032*VLOOKUP(B4032,產品!$A$2:$H$61,7,FALSE)*(1-銷售總表!G4032)</f>
        <v>32000</v>
      </c>
      <c r="I4032" s="35">
        <f>H4032-F4032*VLOOKUP(銷售總表!B4032,產品!$A$2:$H$61,8,FALSE)</f>
        <v>6000</v>
      </c>
      <c r="J4032" s="20">
        <f t="shared" si="62"/>
        <v>0.1875</v>
      </c>
    </row>
    <row r="4033" spans="1:10" x14ac:dyDescent="0.3">
      <c r="A4033" s="33">
        <v>4032</v>
      </c>
      <c r="B4033" s="4">
        <v>46</v>
      </c>
      <c r="C4033" s="15">
        <v>3</v>
      </c>
      <c r="D4033" s="16">
        <v>10</v>
      </c>
      <c r="E4033" s="22">
        <v>44636</v>
      </c>
      <c r="F4033" s="19">
        <v>3</v>
      </c>
      <c r="G4033" s="18">
        <v>0.05</v>
      </c>
      <c r="H4033">
        <f>F4033*VLOOKUP(B4033,產品!$A$2:$H$61,7,FALSE)*(1-銷售總表!G4033)</f>
        <v>48450</v>
      </c>
      <c r="I4033" s="35">
        <f>H4033-F4033*VLOOKUP(銷售總表!B4033,產品!$A$2:$H$61,8,FALSE)</f>
        <v>15300</v>
      </c>
      <c r="J4033" s="20">
        <f t="shared" si="62"/>
        <v>0.31578947368421051</v>
      </c>
    </row>
    <row r="4034" spans="1:10" x14ac:dyDescent="0.3">
      <c r="A4034" s="33">
        <v>4033</v>
      </c>
      <c r="B4034" s="4">
        <v>38</v>
      </c>
      <c r="C4034" s="15">
        <v>7</v>
      </c>
      <c r="D4034" s="16">
        <v>5</v>
      </c>
      <c r="E4034" s="22">
        <v>44636</v>
      </c>
      <c r="F4034" s="19">
        <v>4</v>
      </c>
      <c r="G4034" s="18">
        <v>0.12</v>
      </c>
      <c r="H4034">
        <f>F4034*VLOOKUP(B4034,產品!$A$2:$H$61,7,FALSE)*(1-銷售總表!G4034)</f>
        <v>52800</v>
      </c>
      <c r="I4034" s="35">
        <f>H4034-F4034*VLOOKUP(銷售總表!B4034,產品!$A$2:$H$61,8,FALSE)</f>
        <v>13800</v>
      </c>
      <c r="J4034" s="20">
        <f t="shared" si="62"/>
        <v>0.26136363636363635</v>
      </c>
    </row>
    <row r="4035" spans="1:10" x14ac:dyDescent="0.3">
      <c r="A4035" s="33">
        <v>4034</v>
      </c>
      <c r="B4035" s="4">
        <v>44</v>
      </c>
      <c r="C4035" s="15">
        <v>115</v>
      </c>
      <c r="D4035" s="16">
        <v>2</v>
      </c>
      <c r="E4035" s="22">
        <v>44636</v>
      </c>
      <c r="F4035" s="19">
        <v>5</v>
      </c>
      <c r="G4035" s="18">
        <v>0.05</v>
      </c>
      <c r="H4035">
        <f>F4035*VLOOKUP(B4035,產品!$A$2:$H$61,7,FALSE)*(1-銷售總表!G4035)</f>
        <v>95000</v>
      </c>
      <c r="I4035" s="35">
        <f>H4035-F4035*VLOOKUP(銷售總表!B4035,產品!$A$2:$H$61,8,FALSE)</f>
        <v>30000</v>
      </c>
      <c r="J4035" s="20">
        <f t="shared" ref="J4035:J4098" si="63">I4035/H4035</f>
        <v>0.31578947368421051</v>
      </c>
    </row>
    <row r="4036" spans="1:10" x14ac:dyDescent="0.3">
      <c r="A4036" s="33">
        <v>4035</v>
      </c>
      <c r="B4036" s="4">
        <v>42</v>
      </c>
      <c r="C4036" s="15">
        <v>7</v>
      </c>
      <c r="D4036" s="16">
        <v>8</v>
      </c>
      <c r="E4036" s="22">
        <v>44636</v>
      </c>
      <c r="F4036" s="19">
        <v>5</v>
      </c>
      <c r="G4036" s="18">
        <v>0.18</v>
      </c>
      <c r="H4036">
        <f>F4036*VLOOKUP(B4036,產品!$A$2:$H$61,7,FALSE)*(1-銷售總表!G4036)</f>
        <v>61500.000000000007</v>
      </c>
      <c r="I4036" s="35">
        <f>H4036-F4036*VLOOKUP(銷售總表!B4036,產品!$A$2:$H$61,8,FALSE)</f>
        <v>12750.000000000007</v>
      </c>
      <c r="J4036" s="20">
        <f t="shared" si="63"/>
        <v>0.20731707317073181</v>
      </c>
    </row>
    <row r="4037" spans="1:10" x14ac:dyDescent="0.3">
      <c r="A4037" s="33">
        <v>4036</v>
      </c>
      <c r="B4037" s="4">
        <v>40</v>
      </c>
      <c r="C4037" s="15">
        <v>3</v>
      </c>
      <c r="D4037" s="16">
        <v>9</v>
      </c>
      <c r="E4037" s="22">
        <v>44636</v>
      </c>
      <c r="F4037" s="19">
        <v>9</v>
      </c>
      <c r="G4037" s="18">
        <v>0.15</v>
      </c>
      <c r="H4037">
        <f>F4037*VLOOKUP(B4037,產品!$A$2:$H$61,7,FALSE)*(1-銷售總表!G4037)</f>
        <v>153000</v>
      </c>
      <c r="I4037" s="35">
        <f>H4037-F4037*VLOOKUP(銷售總表!B4037,產品!$A$2:$H$61,8,FALSE)</f>
        <v>36000</v>
      </c>
      <c r="J4037" s="20">
        <f t="shared" si="63"/>
        <v>0.23529411764705882</v>
      </c>
    </row>
    <row r="4038" spans="1:10" x14ac:dyDescent="0.3">
      <c r="A4038" s="33">
        <v>4037</v>
      </c>
      <c r="B4038" s="4">
        <v>31</v>
      </c>
      <c r="C4038" s="15">
        <v>284</v>
      </c>
      <c r="D4038" s="16">
        <v>10</v>
      </c>
      <c r="E4038" s="22">
        <v>44636</v>
      </c>
      <c r="F4038" s="19">
        <v>35</v>
      </c>
      <c r="G4038" s="18">
        <v>0.15</v>
      </c>
      <c r="H4038">
        <f>F4038*VLOOKUP(B4038,產品!$A$2:$H$61,7,FALSE)*(1-銷售總表!G4038)</f>
        <v>208250</v>
      </c>
      <c r="I4038" s="35">
        <f>H4038-F4038*VLOOKUP(銷售總表!B4038,產品!$A$2:$H$61,8,FALSE)</f>
        <v>61250</v>
      </c>
      <c r="J4038" s="20">
        <f t="shared" si="63"/>
        <v>0.29411764705882354</v>
      </c>
    </row>
    <row r="4039" spans="1:10" x14ac:dyDescent="0.3">
      <c r="A4039" s="33">
        <v>4038</v>
      </c>
      <c r="B4039" s="4">
        <v>21</v>
      </c>
      <c r="C4039" s="15">
        <v>121</v>
      </c>
      <c r="D4039" s="16">
        <v>1</v>
      </c>
      <c r="E4039" s="22">
        <v>44636</v>
      </c>
      <c r="F4039" s="19">
        <v>40</v>
      </c>
      <c r="G4039" s="18">
        <v>0.15</v>
      </c>
      <c r="H4039">
        <f>F4039*VLOOKUP(B4039,產品!$A$2:$H$61,7,FALSE)*(1-銷售總表!G4039)</f>
        <v>61200</v>
      </c>
      <c r="I4039" s="35">
        <f>H4039-F4039*VLOOKUP(銷售總表!B4039,產品!$A$2:$H$61,8,FALSE)</f>
        <v>32400</v>
      </c>
      <c r="J4039" s="20">
        <f t="shared" si="63"/>
        <v>0.52941176470588236</v>
      </c>
    </row>
    <row r="4040" spans="1:10" x14ac:dyDescent="0.3">
      <c r="A4040" s="33">
        <v>4039</v>
      </c>
      <c r="B4040" s="4">
        <v>35</v>
      </c>
      <c r="C4040" s="15">
        <v>5</v>
      </c>
      <c r="D4040" s="16">
        <v>4</v>
      </c>
      <c r="E4040" s="22">
        <v>44637</v>
      </c>
      <c r="F4040" s="19">
        <v>1</v>
      </c>
      <c r="G4040" s="18">
        <v>0.11</v>
      </c>
      <c r="H4040">
        <f>F4040*VLOOKUP(B4040,產品!$A$2:$H$61,7,FALSE)*(1-銷售總表!G4040)</f>
        <v>7565</v>
      </c>
      <c r="I4040" s="35">
        <f>H4040-F4040*VLOOKUP(銷售總表!B4040,產品!$A$2:$H$61,8,FALSE)</f>
        <v>2465</v>
      </c>
      <c r="J4040" s="20">
        <f t="shared" si="63"/>
        <v>0.3258426966292135</v>
      </c>
    </row>
    <row r="4041" spans="1:10" x14ac:dyDescent="0.3">
      <c r="A4041" s="33">
        <v>4040</v>
      </c>
      <c r="B4041" s="4">
        <v>46</v>
      </c>
      <c r="C4041" s="15">
        <v>115</v>
      </c>
      <c r="D4041" s="16">
        <v>7</v>
      </c>
      <c r="E4041" s="22">
        <v>44637</v>
      </c>
      <c r="F4041" s="19">
        <v>4</v>
      </c>
      <c r="G4041" s="18">
        <v>0.09</v>
      </c>
      <c r="H4041">
        <f>F4041*VLOOKUP(B4041,產品!$A$2:$H$61,7,FALSE)*(1-銷售總表!G4041)</f>
        <v>61880</v>
      </c>
      <c r="I4041" s="35">
        <f>H4041-F4041*VLOOKUP(銷售總表!B4041,產品!$A$2:$H$61,8,FALSE)</f>
        <v>17680</v>
      </c>
      <c r="J4041" s="20">
        <f t="shared" si="63"/>
        <v>0.2857142857142857</v>
      </c>
    </row>
    <row r="4042" spans="1:10" x14ac:dyDescent="0.3">
      <c r="A4042" s="33">
        <v>4041</v>
      </c>
      <c r="B4042" s="4">
        <v>46</v>
      </c>
      <c r="C4042" s="15">
        <v>5</v>
      </c>
      <c r="D4042" s="16">
        <v>3</v>
      </c>
      <c r="E4042" s="22">
        <v>44637</v>
      </c>
      <c r="F4042" s="19">
        <v>13</v>
      </c>
      <c r="G4042" s="18">
        <v>0.14000000000000001</v>
      </c>
      <c r="H4042">
        <f>F4042*VLOOKUP(B4042,產品!$A$2:$H$61,7,FALSE)*(1-銷售總表!G4042)</f>
        <v>190060</v>
      </c>
      <c r="I4042" s="35">
        <f>H4042-F4042*VLOOKUP(銷售總表!B4042,產品!$A$2:$H$61,8,FALSE)</f>
        <v>46410</v>
      </c>
      <c r="J4042" s="20">
        <f t="shared" si="63"/>
        <v>0.2441860465116279</v>
      </c>
    </row>
    <row r="4043" spans="1:10" x14ac:dyDescent="0.3">
      <c r="A4043" s="33">
        <v>4042</v>
      </c>
      <c r="B4043" s="4">
        <v>9</v>
      </c>
      <c r="C4043" s="15">
        <v>4</v>
      </c>
      <c r="D4043" s="16">
        <v>7</v>
      </c>
      <c r="E4043" s="22">
        <v>44637</v>
      </c>
      <c r="F4043" s="19">
        <v>60</v>
      </c>
      <c r="G4043" s="18">
        <v>0.08</v>
      </c>
      <c r="H4043">
        <f>F4043*VLOOKUP(B4043,產品!$A$2:$H$61,7,FALSE)*(1-銷售總表!G4043)</f>
        <v>55200</v>
      </c>
      <c r="I4043" s="35">
        <f>H4043-F4043*VLOOKUP(銷售總表!B4043,產品!$A$2:$H$61,8,FALSE)</f>
        <v>31200</v>
      </c>
      <c r="J4043" s="20">
        <f t="shared" si="63"/>
        <v>0.56521739130434778</v>
      </c>
    </row>
    <row r="4044" spans="1:10" x14ac:dyDescent="0.3">
      <c r="A4044" s="33">
        <v>4043</v>
      </c>
      <c r="B4044" s="4">
        <v>7</v>
      </c>
      <c r="C4044" s="15">
        <v>137</v>
      </c>
      <c r="D4044" s="16">
        <v>3</v>
      </c>
      <c r="E4044" s="22">
        <v>44637</v>
      </c>
      <c r="F4044" s="19">
        <v>90</v>
      </c>
      <c r="G4044" s="18">
        <v>0.18</v>
      </c>
      <c r="H4044">
        <f>F4044*VLOOKUP(B4044,產品!$A$2:$H$61,7,FALSE)*(1-銷售總表!G4044)</f>
        <v>73800</v>
      </c>
      <c r="I4044" s="35">
        <f>H4044-F4044*VLOOKUP(銷售總表!B4044,產品!$A$2:$H$61,8,FALSE)</f>
        <v>37800</v>
      </c>
      <c r="J4044" s="20">
        <f t="shared" si="63"/>
        <v>0.51219512195121952</v>
      </c>
    </row>
    <row r="4045" spans="1:10" x14ac:dyDescent="0.3">
      <c r="A4045" s="33">
        <v>4044</v>
      </c>
      <c r="B4045" s="4">
        <v>28</v>
      </c>
      <c r="C4045" s="15">
        <v>264</v>
      </c>
      <c r="D4045" s="16">
        <v>4</v>
      </c>
      <c r="E4045" s="22">
        <v>44638</v>
      </c>
      <c r="F4045" s="19">
        <v>1</v>
      </c>
      <c r="G4045" s="18">
        <v>0.17</v>
      </c>
      <c r="H4045">
        <f>F4045*VLOOKUP(B4045,產品!$A$2:$H$61,7,FALSE)*(1-銷售總表!G4045)</f>
        <v>6225</v>
      </c>
      <c r="I4045" s="35">
        <f>H4045-F4045*VLOOKUP(銷售總表!B4045,產品!$A$2:$H$61,8,FALSE)</f>
        <v>1725</v>
      </c>
      <c r="J4045" s="20">
        <f t="shared" si="63"/>
        <v>0.27710843373493976</v>
      </c>
    </row>
    <row r="4046" spans="1:10" x14ac:dyDescent="0.3">
      <c r="A4046" s="33">
        <v>4045</v>
      </c>
      <c r="B4046" s="4">
        <v>39</v>
      </c>
      <c r="C4046" s="15">
        <v>139</v>
      </c>
      <c r="D4046" s="16">
        <v>9</v>
      </c>
      <c r="E4046" s="22">
        <v>44638</v>
      </c>
      <c r="F4046" s="19">
        <v>2</v>
      </c>
      <c r="G4046" s="18">
        <v>0.19</v>
      </c>
      <c r="H4046">
        <f>F4046*VLOOKUP(B4046,產品!$A$2:$H$61,7,FALSE)*(1-銷售總表!G4046)</f>
        <v>29160.000000000004</v>
      </c>
      <c r="I4046" s="35">
        <f>H4046-F4046*VLOOKUP(銷售總表!B4046,產品!$A$2:$H$61,8,FALSE)</f>
        <v>5760.0000000000036</v>
      </c>
      <c r="J4046" s="20">
        <f t="shared" si="63"/>
        <v>0.19753086419753096</v>
      </c>
    </row>
    <row r="4047" spans="1:10" x14ac:dyDescent="0.3">
      <c r="A4047" s="33">
        <v>4046</v>
      </c>
      <c r="B4047" s="4">
        <v>28</v>
      </c>
      <c r="C4047" s="15">
        <v>8</v>
      </c>
      <c r="D4047" s="16">
        <v>4</v>
      </c>
      <c r="E4047" s="22">
        <v>44638</v>
      </c>
      <c r="F4047" s="19">
        <v>7</v>
      </c>
      <c r="G4047" s="18">
        <v>0.08</v>
      </c>
      <c r="H4047">
        <f>F4047*VLOOKUP(B4047,產品!$A$2:$H$61,7,FALSE)*(1-銷售總表!G4047)</f>
        <v>48300</v>
      </c>
      <c r="I4047" s="35">
        <f>H4047-F4047*VLOOKUP(銷售總表!B4047,產品!$A$2:$H$61,8,FALSE)</f>
        <v>16800</v>
      </c>
      <c r="J4047" s="20">
        <f t="shared" si="63"/>
        <v>0.34782608695652173</v>
      </c>
    </row>
    <row r="4048" spans="1:10" x14ac:dyDescent="0.3">
      <c r="A4048" s="33">
        <v>4047</v>
      </c>
      <c r="B4048" s="4">
        <v>31</v>
      </c>
      <c r="C4048" s="15">
        <v>12</v>
      </c>
      <c r="D4048" s="16">
        <v>4</v>
      </c>
      <c r="E4048" s="22">
        <v>44638</v>
      </c>
      <c r="F4048" s="19">
        <v>20</v>
      </c>
      <c r="G4048" s="18">
        <v>0.18</v>
      </c>
      <c r="H4048">
        <f>F4048*VLOOKUP(B4048,產品!$A$2:$H$61,7,FALSE)*(1-銷售總表!G4048)</f>
        <v>114800.00000000001</v>
      </c>
      <c r="I4048" s="35">
        <f>H4048-F4048*VLOOKUP(銷售總表!B4048,產品!$A$2:$H$61,8,FALSE)</f>
        <v>30800.000000000015</v>
      </c>
      <c r="J4048" s="20">
        <f t="shared" si="63"/>
        <v>0.26829268292682934</v>
      </c>
    </row>
    <row r="4049" spans="1:10" x14ac:dyDescent="0.3">
      <c r="A4049" s="33">
        <v>4048</v>
      </c>
      <c r="B4049" s="4">
        <v>13</v>
      </c>
      <c r="C4049" s="15">
        <v>117</v>
      </c>
      <c r="D4049" s="16">
        <v>4</v>
      </c>
      <c r="E4049" s="22">
        <v>44638</v>
      </c>
      <c r="F4049" s="17">
        <v>40</v>
      </c>
      <c r="G4049" s="18">
        <v>0.12</v>
      </c>
      <c r="H4049">
        <f>F4049*VLOOKUP(B4049,產品!$A$2:$H$61,7,FALSE)*(1-銷售總表!G4049)</f>
        <v>63360</v>
      </c>
      <c r="I4049" s="35">
        <f>H4049-F4049*VLOOKUP(銷售總表!B4049,產品!$A$2:$H$61,8,FALSE)</f>
        <v>34560</v>
      </c>
      <c r="J4049" s="20">
        <f t="shared" si="63"/>
        <v>0.54545454545454541</v>
      </c>
    </row>
    <row r="4050" spans="1:10" x14ac:dyDescent="0.3">
      <c r="A4050" s="33">
        <v>4049</v>
      </c>
      <c r="B4050" s="4">
        <v>17</v>
      </c>
      <c r="C4050" s="15">
        <v>261</v>
      </c>
      <c r="D4050" s="16">
        <v>9</v>
      </c>
      <c r="E4050" s="22">
        <v>44638</v>
      </c>
      <c r="F4050" s="19">
        <v>70</v>
      </c>
      <c r="G4050" s="18">
        <v>0.14000000000000001</v>
      </c>
      <c r="H4050">
        <f>F4050*VLOOKUP(B4050,產品!$A$2:$H$61,7,FALSE)*(1-銷售總表!G4050)</f>
        <v>108360</v>
      </c>
      <c r="I4050" s="35">
        <f>H4050-F4050*VLOOKUP(銷售總表!B4050,產品!$A$2:$H$61,8,FALSE)</f>
        <v>57960</v>
      </c>
      <c r="J4050" s="20">
        <f t="shared" si="63"/>
        <v>0.53488372093023251</v>
      </c>
    </row>
    <row r="4051" spans="1:10" x14ac:dyDescent="0.3">
      <c r="A4051" s="33">
        <v>4050</v>
      </c>
      <c r="B4051" s="4">
        <v>59</v>
      </c>
      <c r="C4051" s="15">
        <v>3</v>
      </c>
      <c r="D4051" s="16">
        <v>7</v>
      </c>
      <c r="E4051" s="22">
        <v>44639</v>
      </c>
      <c r="F4051" s="19">
        <v>3</v>
      </c>
      <c r="G4051" s="18">
        <v>0.17</v>
      </c>
      <c r="H4051">
        <f>F4051*VLOOKUP(B4051,產品!$A$2:$H$61,7,FALSE)*(1-銷售總表!G4051)</f>
        <v>59760</v>
      </c>
      <c r="I4051" s="35">
        <f>H4051-F4051*VLOOKUP(銷售總表!B4051,產品!$A$2:$H$61,8,FALSE)</f>
        <v>9360</v>
      </c>
      <c r="J4051" s="20">
        <f t="shared" si="63"/>
        <v>0.15662650602409639</v>
      </c>
    </row>
    <row r="4052" spans="1:10" x14ac:dyDescent="0.3">
      <c r="A4052" s="33">
        <v>4051</v>
      </c>
      <c r="B4052" s="4">
        <v>37</v>
      </c>
      <c r="C4052" s="15">
        <v>272</v>
      </c>
      <c r="D4052" s="16">
        <v>3</v>
      </c>
      <c r="E4052" s="22">
        <v>44639</v>
      </c>
      <c r="F4052" s="19">
        <v>3</v>
      </c>
      <c r="G4052" s="18">
        <v>0.14000000000000001</v>
      </c>
      <c r="H4052">
        <f>F4052*VLOOKUP(B4052,產品!$A$2:$H$61,7,FALSE)*(1-銷售總表!G4052)</f>
        <v>30960</v>
      </c>
      <c r="I4052" s="35">
        <f>H4052-F4052*VLOOKUP(銷售總表!B4052,產品!$A$2:$H$61,8,FALSE)</f>
        <v>7560</v>
      </c>
      <c r="J4052" s="20">
        <f t="shared" si="63"/>
        <v>0.2441860465116279</v>
      </c>
    </row>
    <row r="4053" spans="1:10" x14ac:dyDescent="0.3">
      <c r="A4053" s="33">
        <v>4052</v>
      </c>
      <c r="B4053" s="4">
        <v>38</v>
      </c>
      <c r="C4053" s="15">
        <v>5</v>
      </c>
      <c r="D4053" s="16">
        <v>10</v>
      </c>
      <c r="E4053" s="22">
        <v>44639</v>
      </c>
      <c r="F4053" s="19">
        <v>4</v>
      </c>
      <c r="G4053" s="18">
        <v>0.19</v>
      </c>
      <c r="H4053">
        <f>F4053*VLOOKUP(B4053,產品!$A$2:$H$61,7,FALSE)*(1-銷售總表!G4053)</f>
        <v>48600</v>
      </c>
      <c r="I4053" s="35">
        <f>H4053-F4053*VLOOKUP(銷售總表!B4053,產品!$A$2:$H$61,8,FALSE)</f>
        <v>9600</v>
      </c>
      <c r="J4053" s="20">
        <f t="shared" si="63"/>
        <v>0.19753086419753085</v>
      </c>
    </row>
    <row r="4054" spans="1:10" x14ac:dyDescent="0.3">
      <c r="A4054" s="33">
        <v>4053</v>
      </c>
      <c r="B4054" s="4">
        <v>31</v>
      </c>
      <c r="C4054" s="15">
        <v>119</v>
      </c>
      <c r="D4054" s="16">
        <v>7</v>
      </c>
      <c r="E4054" s="22">
        <v>44639</v>
      </c>
      <c r="F4054" s="19">
        <v>4</v>
      </c>
      <c r="G4054" s="18">
        <v>0.1</v>
      </c>
      <c r="H4054">
        <f>F4054*VLOOKUP(B4054,產品!$A$2:$H$61,7,FALSE)*(1-銷售總表!G4054)</f>
        <v>25200</v>
      </c>
      <c r="I4054" s="35">
        <f>H4054-F4054*VLOOKUP(銷售總表!B4054,產品!$A$2:$H$61,8,FALSE)</f>
        <v>8400</v>
      </c>
      <c r="J4054" s="20">
        <f t="shared" si="63"/>
        <v>0.33333333333333331</v>
      </c>
    </row>
    <row r="4055" spans="1:10" x14ac:dyDescent="0.3">
      <c r="A4055" s="33">
        <v>4054</v>
      </c>
      <c r="B4055" s="4">
        <v>34</v>
      </c>
      <c r="C4055" s="15">
        <v>11</v>
      </c>
      <c r="D4055" s="16">
        <v>9</v>
      </c>
      <c r="E4055" s="22">
        <v>44639</v>
      </c>
      <c r="F4055" s="19">
        <v>4</v>
      </c>
      <c r="G4055" s="18">
        <v>0.2</v>
      </c>
      <c r="H4055">
        <f>F4055*VLOOKUP(B4055,產品!$A$2:$H$61,7,FALSE)*(1-銷售總表!G4055)</f>
        <v>25600</v>
      </c>
      <c r="I4055" s="35">
        <f>H4055-F4055*VLOOKUP(銷售總表!B4055,產品!$A$2:$H$61,8,FALSE)</f>
        <v>6400</v>
      </c>
      <c r="J4055" s="20">
        <f t="shared" si="63"/>
        <v>0.25</v>
      </c>
    </row>
    <row r="4056" spans="1:10" x14ac:dyDescent="0.3">
      <c r="A4056" s="33">
        <v>4055</v>
      </c>
      <c r="B4056" s="4">
        <v>16</v>
      </c>
      <c r="C4056" s="15">
        <v>115</v>
      </c>
      <c r="D4056" s="16">
        <v>7</v>
      </c>
      <c r="E4056" s="22">
        <v>44639</v>
      </c>
      <c r="F4056" s="19">
        <v>16</v>
      </c>
      <c r="G4056" s="18">
        <v>0.09</v>
      </c>
      <c r="H4056">
        <f>F4056*VLOOKUP(B4056,產品!$A$2:$H$61,7,FALSE)*(1-銷售總表!G4056)</f>
        <v>26208</v>
      </c>
      <c r="I4056" s="35">
        <f>H4056-F4056*VLOOKUP(銷售總表!B4056,產品!$A$2:$H$61,8,FALSE)</f>
        <v>14688</v>
      </c>
      <c r="J4056" s="20">
        <f t="shared" si="63"/>
        <v>0.56043956043956045</v>
      </c>
    </row>
    <row r="4057" spans="1:10" x14ac:dyDescent="0.3">
      <c r="A4057" s="33">
        <v>4056</v>
      </c>
      <c r="B4057" s="4">
        <v>22</v>
      </c>
      <c r="C4057" s="15">
        <v>271</v>
      </c>
      <c r="D4057" s="16">
        <v>10</v>
      </c>
      <c r="E4057" s="22">
        <v>44639</v>
      </c>
      <c r="F4057" s="19">
        <v>45</v>
      </c>
      <c r="G4057" s="18">
        <v>0.2</v>
      </c>
      <c r="H4057">
        <f>F4057*VLOOKUP(B4057,產品!$A$2:$H$61,7,FALSE)*(1-銷售總表!G4057)</f>
        <v>64800</v>
      </c>
      <c r="I4057" s="35">
        <f>H4057-F4057*VLOOKUP(銷售總表!B4057,產品!$A$2:$H$61,8,FALSE)</f>
        <v>32400</v>
      </c>
      <c r="J4057" s="20">
        <f t="shared" si="63"/>
        <v>0.5</v>
      </c>
    </row>
    <row r="4058" spans="1:10" x14ac:dyDescent="0.3">
      <c r="A4058" s="33">
        <v>4057</v>
      </c>
      <c r="B4058" s="4">
        <v>31</v>
      </c>
      <c r="C4058" s="15">
        <v>9</v>
      </c>
      <c r="D4058" s="16">
        <v>7</v>
      </c>
      <c r="E4058" s="22">
        <v>44640</v>
      </c>
      <c r="F4058" s="19">
        <v>1</v>
      </c>
      <c r="G4058" s="18">
        <v>0.06</v>
      </c>
      <c r="H4058">
        <f>F4058*VLOOKUP(B4058,產品!$A$2:$H$61,7,FALSE)*(1-銷售總表!G4058)</f>
        <v>6580</v>
      </c>
      <c r="I4058" s="35">
        <f>H4058-F4058*VLOOKUP(銷售總表!B4058,產品!$A$2:$H$61,8,FALSE)</f>
        <v>2380</v>
      </c>
      <c r="J4058" s="20">
        <f t="shared" si="63"/>
        <v>0.36170212765957449</v>
      </c>
    </row>
    <row r="4059" spans="1:10" x14ac:dyDescent="0.3">
      <c r="A4059" s="33">
        <v>4058</v>
      </c>
      <c r="B4059" s="4">
        <v>42</v>
      </c>
      <c r="C4059" s="15">
        <v>11</v>
      </c>
      <c r="D4059" s="16">
        <v>8</v>
      </c>
      <c r="E4059" s="22">
        <v>44640</v>
      </c>
      <c r="F4059" s="19">
        <v>5</v>
      </c>
      <c r="G4059" s="18">
        <v>0.11</v>
      </c>
      <c r="H4059">
        <f>F4059*VLOOKUP(B4059,產品!$A$2:$H$61,7,FALSE)*(1-銷售總表!G4059)</f>
        <v>66750</v>
      </c>
      <c r="I4059" s="35">
        <f>H4059-F4059*VLOOKUP(銷售總表!B4059,產品!$A$2:$H$61,8,FALSE)</f>
        <v>18000</v>
      </c>
      <c r="J4059" s="20">
        <f t="shared" si="63"/>
        <v>0.2696629213483146</v>
      </c>
    </row>
    <row r="4060" spans="1:10" x14ac:dyDescent="0.3">
      <c r="A4060" s="33">
        <v>4059</v>
      </c>
      <c r="B4060" s="4">
        <v>57</v>
      </c>
      <c r="C4060" s="15">
        <v>121</v>
      </c>
      <c r="D4060" s="16">
        <v>6</v>
      </c>
      <c r="E4060" s="22">
        <v>44640</v>
      </c>
      <c r="F4060" s="19">
        <v>6</v>
      </c>
      <c r="G4060" s="18">
        <v>0.1</v>
      </c>
      <c r="H4060">
        <f>F4060*VLOOKUP(B4060,產品!$A$2:$H$61,7,FALSE)*(1-銷售總表!G4060)</f>
        <v>97200</v>
      </c>
      <c r="I4060" s="35">
        <f>H4060-F4060*VLOOKUP(銷售總表!B4060,產品!$A$2:$H$61,8,FALSE)</f>
        <v>21600</v>
      </c>
      <c r="J4060" s="20">
        <f t="shared" si="63"/>
        <v>0.22222222222222221</v>
      </c>
    </row>
    <row r="4061" spans="1:10" x14ac:dyDescent="0.3">
      <c r="A4061" s="33">
        <v>4060</v>
      </c>
      <c r="B4061" s="4">
        <v>51</v>
      </c>
      <c r="C4061" s="15">
        <v>264</v>
      </c>
      <c r="D4061" s="16">
        <v>2</v>
      </c>
      <c r="E4061" s="22">
        <v>44640</v>
      </c>
      <c r="F4061" s="19">
        <v>7</v>
      </c>
      <c r="G4061" s="18">
        <v>0.09</v>
      </c>
      <c r="H4061">
        <f>F4061*VLOOKUP(B4061,產品!$A$2:$H$61,7,FALSE)*(1-銷售總表!G4061)</f>
        <v>127400</v>
      </c>
      <c r="I4061" s="35">
        <f>H4061-F4061*VLOOKUP(銷售總表!B4061,產品!$A$2:$H$61,8,FALSE)</f>
        <v>29400</v>
      </c>
      <c r="J4061" s="20">
        <f t="shared" si="63"/>
        <v>0.23076923076923078</v>
      </c>
    </row>
    <row r="4062" spans="1:10" x14ac:dyDescent="0.3">
      <c r="A4062" s="33">
        <v>4061</v>
      </c>
      <c r="B4062" s="4">
        <v>13</v>
      </c>
      <c r="C4062" s="15">
        <v>293</v>
      </c>
      <c r="D4062" s="16">
        <v>10</v>
      </c>
      <c r="E4062" s="22">
        <v>44640</v>
      </c>
      <c r="F4062" s="17">
        <v>30</v>
      </c>
      <c r="G4062" s="18">
        <v>0.06</v>
      </c>
      <c r="H4062">
        <f>F4062*VLOOKUP(B4062,產品!$A$2:$H$61,7,FALSE)*(1-銷售總表!G4062)</f>
        <v>50760</v>
      </c>
      <c r="I4062" s="35">
        <f>H4062-F4062*VLOOKUP(銷售總表!B4062,產品!$A$2:$H$61,8,FALSE)</f>
        <v>29160</v>
      </c>
      <c r="J4062" s="20">
        <f t="shared" si="63"/>
        <v>0.57446808510638303</v>
      </c>
    </row>
    <row r="4063" spans="1:10" x14ac:dyDescent="0.3">
      <c r="A4063" s="33">
        <v>4062</v>
      </c>
      <c r="B4063" s="4">
        <v>9</v>
      </c>
      <c r="C4063" s="15">
        <v>274</v>
      </c>
      <c r="D4063" s="16">
        <v>5</v>
      </c>
      <c r="E4063" s="22">
        <v>44640</v>
      </c>
      <c r="F4063" s="19">
        <v>40</v>
      </c>
      <c r="G4063" s="18">
        <v>0.13</v>
      </c>
      <c r="H4063">
        <f>F4063*VLOOKUP(B4063,產品!$A$2:$H$61,7,FALSE)*(1-銷售總表!G4063)</f>
        <v>34800</v>
      </c>
      <c r="I4063" s="35">
        <f>H4063-F4063*VLOOKUP(銷售總表!B4063,產品!$A$2:$H$61,8,FALSE)</f>
        <v>18800</v>
      </c>
      <c r="J4063" s="20">
        <f t="shared" si="63"/>
        <v>0.54022988505747127</v>
      </c>
    </row>
    <row r="4064" spans="1:10" x14ac:dyDescent="0.3">
      <c r="A4064" s="33">
        <v>4063</v>
      </c>
      <c r="B4064" s="4">
        <v>42</v>
      </c>
      <c r="C4064" s="15">
        <v>136</v>
      </c>
      <c r="D4064" s="16">
        <v>4</v>
      </c>
      <c r="E4064" s="22">
        <v>44641</v>
      </c>
      <c r="F4064" s="19">
        <v>4</v>
      </c>
      <c r="G4064" s="18">
        <v>0.15</v>
      </c>
      <c r="H4064">
        <f>F4064*VLOOKUP(B4064,產品!$A$2:$H$61,7,FALSE)*(1-銷售總表!G4064)</f>
        <v>51000</v>
      </c>
      <c r="I4064" s="35">
        <f>H4064-F4064*VLOOKUP(銷售總表!B4064,產品!$A$2:$H$61,8,FALSE)</f>
        <v>12000</v>
      </c>
      <c r="J4064" s="20">
        <f t="shared" si="63"/>
        <v>0.23529411764705882</v>
      </c>
    </row>
    <row r="4065" spans="1:10" x14ac:dyDescent="0.3">
      <c r="A4065" s="33">
        <v>4064</v>
      </c>
      <c r="B4065" s="4">
        <v>25</v>
      </c>
      <c r="C4065" s="15">
        <v>116</v>
      </c>
      <c r="D4065" s="16">
        <v>10</v>
      </c>
      <c r="E4065" s="22">
        <v>44641</v>
      </c>
      <c r="F4065" s="19">
        <v>4</v>
      </c>
      <c r="G4065" s="18">
        <v>0.09</v>
      </c>
      <c r="H4065">
        <f>F4065*VLOOKUP(B4065,產品!$A$2:$H$61,7,FALSE)*(1-銷售總表!G4065)</f>
        <v>21840</v>
      </c>
      <c r="I4065" s="35">
        <f>H4065-F4065*VLOOKUP(銷售總表!B4065,產品!$A$2:$H$61,8,FALSE)</f>
        <v>7440</v>
      </c>
      <c r="J4065" s="20">
        <f t="shared" si="63"/>
        <v>0.34065934065934067</v>
      </c>
    </row>
    <row r="4066" spans="1:10" x14ac:dyDescent="0.3">
      <c r="A4066" s="33">
        <v>4065</v>
      </c>
      <c r="B4066" s="4">
        <v>55</v>
      </c>
      <c r="C4066" s="15">
        <v>120</v>
      </c>
      <c r="D4066" s="16">
        <v>2</v>
      </c>
      <c r="E4066" s="22">
        <v>44641</v>
      </c>
      <c r="F4066" s="19">
        <v>6</v>
      </c>
      <c r="G4066" s="18">
        <v>7.0000000000000007E-2</v>
      </c>
      <c r="H4066">
        <f>F4066*VLOOKUP(B4066,產品!$A$2:$H$61,7,FALSE)*(1-銷售總表!G4066)</f>
        <v>111599.99999999999</v>
      </c>
      <c r="I4066" s="35">
        <f>H4066-F4066*VLOOKUP(銷售總表!B4066,產品!$A$2:$H$61,8,FALSE)</f>
        <v>27599.999999999985</v>
      </c>
      <c r="J4066" s="20">
        <f t="shared" si="63"/>
        <v>0.24731182795698914</v>
      </c>
    </row>
    <row r="4067" spans="1:10" x14ac:dyDescent="0.3">
      <c r="A4067" s="33">
        <v>4066</v>
      </c>
      <c r="B4067" s="4">
        <v>19</v>
      </c>
      <c r="C4067" s="15">
        <v>1</v>
      </c>
      <c r="D4067" s="16">
        <v>6</v>
      </c>
      <c r="E4067" s="22">
        <v>44641</v>
      </c>
      <c r="F4067" s="19">
        <v>15</v>
      </c>
      <c r="G4067" s="18">
        <v>0.15</v>
      </c>
      <c r="H4067">
        <f>F4067*VLOOKUP(B4067,產品!$A$2:$H$61,7,FALSE)*(1-銷售總表!G4067)</f>
        <v>22950</v>
      </c>
      <c r="I4067" s="35">
        <f>H4067-F4067*VLOOKUP(銷售總表!B4067,產品!$A$2:$H$61,8,FALSE)</f>
        <v>12150</v>
      </c>
      <c r="J4067" s="20">
        <f t="shared" si="63"/>
        <v>0.52941176470588236</v>
      </c>
    </row>
    <row r="4068" spans="1:10" x14ac:dyDescent="0.3">
      <c r="A4068" s="33">
        <v>4067</v>
      </c>
      <c r="B4068" s="4">
        <v>5</v>
      </c>
      <c r="C4068" s="15">
        <v>11</v>
      </c>
      <c r="D4068" s="16">
        <v>9</v>
      </c>
      <c r="E4068" s="22">
        <v>44641</v>
      </c>
      <c r="F4068" s="19">
        <v>20</v>
      </c>
      <c r="G4068" s="18">
        <v>0.18</v>
      </c>
      <c r="H4068">
        <f>F4068*VLOOKUP(B4068,產品!$A$2:$H$61,7,FALSE)*(1-銷售總表!G4068)</f>
        <v>16400</v>
      </c>
      <c r="I4068" s="35">
        <f>H4068-F4068*VLOOKUP(銷售總表!B4068,產品!$A$2:$H$61,8,FALSE)</f>
        <v>8400</v>
      </c>
      <c r="J4068" s="20">
        <f t="shared" si="63"/>
        <v>0.51219512195121952</v>
      </c>
    </row>
    <row r="4069" spans="1:10" x14ac:dyDescent="0.3">
      <c r="A4069" s="33">
        <v>4068</v>
      </c>
      <c r="B4069" s="4">
        <v>15</v>
      </c>
      <c r="C4069" s="15">
        <v>112</v>
      </c>
      <c r="D4069" s="16">
        <v>5</v>
      </c>
      <c r="E4069" s="22">
        <v>44641</v>
      </c>
      <c r="F4069" s="19">
        <v>50</v>
      </c>
      <c r="G4069" s="18">
        <v>0.15</v>
      </c>
      <c r="H4069">
        <f>F4069*VLOOKUP(B4069,產品!$A$2:$H$61,7,FALSE)*(1-銷售總表!G4069)</f>
        <v>76500</v>
      </c>
      <c r="I4069" s="35">
        <f>H4069-F4069*VLOOKUP(銷售總表!B4069,產品!$A$2:$H$61,8,FALSE)</f>
        <v>40500</v>
      </c>
      <c r="J4069" s="20">
        <f t="shared" si="63"/>
        <v>0.52941176470588236</v>
      </c>
    </row>
    <row r="4070" spans="1:10" x14ac:dyDescent="0.3">
      <c r="A4070" s="33">
        <v>4069</v>
      </c>
      <c r="B4070" s="4">
        <v>9</v>
      </c>
      <c r="C4070" s="15">
        <v>264</v>
      </c>
      <c r="D4070" s="16">
        <v>7</v>
      </c>
      <c r="E4070" s="22">
        <v>44641</v>
      </c>
      <c r="F4070" s="17">
        <v>60</v>
      </c>
      <c r="G4070" s="18">
        <v>0.05</v>
      </c>
      <c r="H4070">
        <f>F4070*VLOOKUP(B4070,產品!$A$2:$H$61,7,FALSE)*(1-銷售總表!G4070)</f>
        <v>57000</v>
      </c>
      <c r="I4070" s="35">
        <f>H4070-F4070*VLOOKUP(銷售總表!B4070,產品!$A$2:$H$61,8,FALSE)</f>
        <v>33000</v>
      </c>
      <c r="J4070" s="20">
        <f t="shared" si="63"/>
        <v>0.57894736842105265</v>
      </c>
    </row>
    <row r="4071" spans="1:10" x14ac:dyDescent="0.3">
      <c r="A4071" s="33">
        <v>4070</v>
      </c>
      <c r="B4071" s="4">
        <v>18</v>
      </c>
      <c r="C4071" s="15">
        <v>125</v>
      </c>
      <c r="D4071" s="16">
        <v>5</v>
      </c>
      <c r="E4071" s="22">
        <v>44641</v>
      </c>
      <c r="F4071" s="19">
        <v>70</v>
      </c>
      <c r="G4071" s="18">
        <v>0.13</v>
      </c>
      <c r="H4071">
        <f>F4071*VLOOKUP(B4071,產品!$A$2:$H$61,7,FALSE)*(1-銷售總表!G4071)</f>
        <v>109620</v>
      </c>
      <c r="I4071" s="35">
        <f>H4071-F4071*VLOOKUP(銷售總表!B4071,產品!$A$2:$H$61,8,FALSE)</f>
        <v>59220</v>
      </c>
      <c r="J4071" s="20">
        <f t="shared" si="63"/>
        <v>0.54022988505747127</v>
      </c>
    </row>
    <row r="4072" spans="1:10" x14ac:dyDescent="0.3">
      <c r="A4072" s="33">
        <v>4071</v>
      </c>
      <c r="B4072" s="4">
        <v>4</v>
      </c>
      <c r="C4072" s="15">
        <v>277</v>
      </c>
      <c r="D4072" s="16">
        <v>1</v>
      </c>
      <c r="E4072" s="22">
        <v>44641</v>
      </c>
      <c r="F4072" s="19">
        <v>75</v>
      </c>
      <c r="G4072" s="18">
        <v>0.13</v>
      </c>
      <c r="H4072">
        <f>F4072*VLOOKUP(B4072,產品!$A$2:$H$61,7,FALSE)*(1-銷售總表!G4072)</f>
        <v>65250</v>
      </c>
      <c r="I4072" s="35">
        <f>H4072-F4072*VLOOKUP(銷售總表!B4072,產品!$A$2:$H$61,8,FALSE)</f>
        <v>35250</v>
      </c>
      <c r="J4072" s="20">
        <f t="shared" si="63"/>
        <v>0.54022988505747127</v>
      </c>
    </row>
    <row r="4073" spans="1:10" x14ac:dyDescent="0.3">
      <c r="A4073" s="33">
        <v>4072</v>
      </c>
      <c r="B4073" s="4">
        <v>47</v>
      </c>
      <c r="C4073" s="15">
        <v>291</v>
      </c>
      <c r="D4073" s="16">
        <v>1</v>
      </c>
      <c r="E4073" s="22">
        <v>44642</v>
      </c>
      <c r="F4073" s="19">
        <v>2</v>
      </c>
      <c r="G4073" s="18">
        <v>0.15</v>
      </c>
      <c r="H4073">
        <f>F4073*VLOOKUP(B4073,產品!$A$2:$H$61,7,FALSE)*(1-銷售總表!G4073)</f>
        <v>34000</v>
      </c>
      <c r="I4073" s="35">
        <f>H4073-F4073*VLOOKUP(銷售總表!B4073,產品!$A$2:$H$61,8,FALSE)</f>
        <v>8000</v>
      </c>
      <c r="J4073" s="20">
        <f t="shared" si="63"/>
        <v>0.23529411764705882</v>
      </c>
    </row>
    <row r="4074" spans="1:10" x14ac:dyDescent="0.3">
      <c r="A4074" s="33">
        <v>4073</v>
      </c>
      <c r="B4074" s="4">
        <v>43</v>
      </c>
      <c r="C4074" s="15">
        <v>116</v>
      </c>
      <c r="D4074" s="16">
        <v>7</v>
      </c>
      <c r="E4074" s="22">
        <v>44642</v>
      </c>
      <c r="F4074" s="19">
        <v>6</v>
      </c>
      <c r="G4074" s="18">
        <v>0.15</v>
      </c>
      <c r="H4074">
        <f>F4074*VLOOKUP(B4074,產品!$A$2:$H$61,7,FALSE)*(1-銷售總表!G4074)</f>
        <v>91800</v>
      </c>
      <c r="I4074" s="35">
        <f>H4074-F4074*VLOOKUP(銷售總表!B4074,產品!$A$2:$H$61,8,FALSE)</f>
        <v>21600</v>
      </c>
      <c r="J4074" s="20">
        <f t="shared" si="63"/>
        <v>0.23529411764705882</v>
      </c>
    </row>
    <row r="4075" spans="1:10" x14ac:dyDescent="0.3">
      <c r="A4075" s="33">
        <v>4074</v>
      </c>
      <c r="B4075" s="4">
        <v>34</v>
      </c>
      <c r="C4075" s="15">
        <v>5</v>
      </c>
      <c r="D4075" s="16">
        <v>4</v>
      </c>
      <c r="E4075" s="22">
        <v>44642</v>
      </c>
      <c r="F4075" s="19">
        <v>12</v>
      </c>
      <c r="G4075" s="18">
        <v>0.15</v>
      </c>
      <c r="H4075">
        <f>F4075*VLOOKUP(B4075,產品!$A$2:$H$61,7,FALSE)*(1-銷售總表!G4075)</f>
        <v>81600</v>
      </c>
      <c r="I4075" s="35">
        <f>H4075-F4075*VLOOKUP(銷售總表!B4075,產品!$A$2:$H$61,8,FALSE)</f>
        <v>24000</v>
      </c>
      <c r="J4075" s="20">
        <f t="shared" si="63"/>
        <v>0.29411764705882354</v>
      </c>
    </row>
    <row r="4076" spans="1:10" x14ac:dyDescent="0.3">
      <c r="A4076" s="33">
        <v>4075</v>
      </c>
      <c r="B4076" s="4">
        <v>58</v>
      </c>
      <c r="C4076" s="15">
        <v>2</v>
      </c>
      <c r="D4076" s="16">
        <v>4</v>
      </c>
      <c r="E4076" s="22">
        <v>44642</v>
      </c>
      <c r="F4076" s="19">
        <v>13</v>
      </c>
      <c r="G4076" s="18">
        <v>0.16</v>
      </c>
      <c r="H4076">
        <f>F4076*VLOOKUP(B4076,產品!$A$2:$H$61,7,FALSE)*(1-銷售總表!G4076)</f>
        <v>229320</v>
      </c>
      <c r="I4076" s="35">
        <f>H4076-F4076*VLOOKUP(銷售總表!B4076,產品!$A$2:$H$61,8,FALSE)</f>
        <v>38220.000000000029</v>
      </c>
      <c r="J4076" s="20">
        <f t="shared" si="63"/>
        <v>0.1666666666666668</v>
      </c>
    </row>
    <row r="4077" spans="1:10" x14ac:dyDescent="0.3">
      <c r="A4077" s="33">
        <v>4076</v>
      </c>
      <c r="B4077" s="4">
        <v>27</v>
      </c>
      <c r="C4077" s="15">
        <v>291</v>
      </c>
      <c r="D4077" s="16">
        <v>7</v>
      </c>
      <c r="E4077" s="22">
        <v>44642</v>
      </c>
      <c r="F4077" s="19">
        <v>45</v>
      </c>
      <c r="G4077" s="18">
        <v>0.09</v>
      </c>
      <c r="H4077">
        <f>F4077*VLOOKUP(B4077,產品!$A$2:$H$61,7,FALSE)*(1-銷售總表!G4077)</f>
        <v>286650</v>
      </c>
      <c r="I4077" s="35">
        <f>H4077-F4077*VLOOKUP(銷售總表!B4077,產品!$A$2:$H$61,8,FALSE)</f>
        <v>97650</v>
      </c>
      <c r="J4077" s="20">
        <f t="shared" si="63"/>
        <v>0.34065934065934067</v>
      </c>
    </row>
    <row r="4078" spans="1:10" x14ac:dyDescent="0.3">
      <c r="A4078" s="33">
        <v>4077</v>
      </c>
      <c r="B4078" s="4">
        <v>32</v>
      </c>
      <c r="C4078" s="15">
        <v>115</v>
      </c>
      <c r="D4078" s="16">
        <v>4</v>
      </c>
      <c r="E4078" s="22">
        <v>44643</v>
      </c>
      <c r="F4078" s="19">
        <v>6</v>
      </c>
      <c r="G4078" s="18">
        <v>0.18</v>
      </c>
      <c r="H4078">
        <f>F4078*VLOOKUP(B4078,產品!$A$2:$H$61,7,FALSE)*(1-銷售總表!G4078)</f>
        <v>36900</v>
      </c>
      <c r="I4078" s="35">
        <f>H4078-F4078*VLOOKUP(銷售總表!B4078,產品!$A$2:$H$61,8,FALSE)</f>
        <v>9900</v>
      </c>
      <c r="J4078" s="20">
        <f t="shared" si="63"/>
        <v>0.26829268292682928</v>
      </c>
    </row>
    <row r="4079" spans="1:10" x14ac:dyDescent="0.3">
      <c r="A4079" s="33">
        <v>4078</v>
      </c>
      <c r="B4079" s="4">
        <v>1</v>
      </c>
      <c r="C4079" s="15">
        <v>258</v>
      </c>
      <c r="D4079" s="16">
        <v>8</v>
      </c>
      <c r="E4079" s="22">
        <v>44643</v>
      </c>
      <c r="F4079" s="19">
        <v>60</v>
      </c>
      <c r="G4079" s="18">
        <v>7.0000000000000007E-2</v>
      </c>
      <c r="H4079">
        <f>F4079*VLOOKUP(B4079,產品!$A$2:$H$61,7,FALSE)*(1-銷售總表!G4079)</f>
        <v>55799.999999999993</v>
      </c>
      <c r="I4079" s="35">
        <f>H4079-F4079*VLOOKUP(銷售總表!B4079,產品!$A$2:$H$61,8,FALSE)</f>
        <v>31799.999999999993</v>
      </c>
      <c r="J4079" s="20">
        <f t="shared" si="63"/>
        <v>0.56989247311827951</v>
      </c>
    </row>
    <row r="4080" spans="1:10" x14ac:dyDescent="0.3">
      <c r="A4080" s="33">
        <v>4079</v>
      </c>
      <c r="B4080" s="4">
        <v>4</v>
      </c>
      <c r="C4080" s="15">
        <v>284</v>
      </c>
      <c r="D4080" s="16">
        <v>4</v>
      </c>
      <c r="E4080" s="22">
        <v>44643</v>
      </c>
      <c r="F4080" s="19">
        <v>70</v>
      </c>
      <c r="G4080" s="18">
        <v>0.1</v>
      </c>
      <c r="H4080">
        <f>F4080*VLOOKUP(B4080,產品!$A$2:$H$61,7,FALSE)*(1-銷售總表!G4080)</f>
        <v>63000</v>
      </c>
      <c r="I4080" s="35">
        <f>H4080-F4080*VLOOKUP(銷售總表!B4080,產品!$A$2:$H$61,8,FALSE)</f>
        <v>35000</v>
      </c>
      <c r="J4080" s="20">
        <f t="shared" si="63"/>
        <v>0.55555555555555558</v>
      </c>
    </row>
    <row r="4081" spans="1:10" x14ac:dyDescent="0.3">
      <c r="A4081" s="33">
        <v>4080</v>
      </c>
      <c r="B4081" s="4">
        <v>22</v>
      </c>
      <c r="C4081" s="15">
        <v>2</v>
      </c>
      <c r="D4081" s="16">
        <v>5</v>
      </c>
      <c r="E4081" s="22">
        <v>44643</v>
      </c>
      <c r="F4081" s="19">
        <v>75</v>
      </c>
      <c r="G4081" s="18">
        <v>0.17</v>
      </c>
      <c r="H4081">
        <f>F4081*VLOOKUP(B4081,產品!$A$2:$H$61,7,FALSE)*(1-銷售總表!G4081)</f>
        <v>112050</v>
      </c>
      <c r="I4081" s="35">
        <f>H4081-F4081*VLOOKUP(銷售總表!B4081,產品!$A$2:$H$61,8,FALSE)</f>
        <v>58050</v>
      </c>
      <c r="J4081" s="20">
        <f t="shared" si="63"/>
        <v>0.51807228915662651</v>
      </c>
    </row>
    <row r="4082" spans="1:10" x14ac:dyDescent="0.3">
      <c r="A4082" s="33">
        <v>4081</v>
      </c>
      <c r="B4082" s="4">
        <v>43</v>
      </c>
      <c r="C4082" s="15">
        <v>267</v>
      </c>
      <c r="D4082" s="16">
        <v>8</v>
      </c>
      <c r="E4082" s="22">
        <v>44644</v>
      </c>
      <c r="F4082" s="19">
        <v>1</v>
      </c>
      <c r="G4082" s="18">
        <v>0.05</v>
      </c>
      <c r="H4082">
        <f>F4082*VLOOKUP(B4082,產品!$A$2:$H$61,7,FALSE)*(1-銷售總表!G4082)</f>
        <v>17100</v>
      </c>
      <c r="I4082" s="35">
        <f>H4082-F4082*VLOOKUP(銷售總表!B4082,產品!$A$2:$H$61,8,FALSE)</f>
        <v>5400</v>
      </c>
      <c r="J4082" s="20">
        <f t="shared" si="63"/>
        <v>0.31578947368421051</v>
      </c>
    </row>
    <row r="4083" spans="1:10" x14ac:dyDescent="0.3">
      <c r="A4083" s="33">
        <v>4082</v>
      </c>
      <c r="B4083" s="4">
        <v>28</v>
      </c>
      <c r="C4083" s="15">
        <v>271</v>
      </c>
      <c r="D4083" s="16">
        <v>7</v>
      </c>
      <c r="E4083" s="22">
        <v>44644</v>
      </c>
      <c r="F4083" s="19">
        <v>6</v>
      </c>
      <c r="G4083" s="18">
        <v>0.11</v>
      </c>
      <c r="H4083">
        <f>F4083*VLOOKUP(B4083,產品!$A$2:$H$61,7,FALSE)*(1-銷售總表!G4083)</f>
        <v>40050</v>
      </c>
      <c r="I4083" s="35">
        <f>H4083-F4083*VLOOKUP(銷售總表!B4083,產品!$A$2:$H$61,8,FALSE)</f>
        <v>13050</v>
      </c>
      <c r="J4083" s="20">
        <f t="shared" si="63"/>
        <v>0.3258426966292135</v>
      </c>
    </row>
    <row r="4084" spans="1:10" x14ac:dyDescent="0.3">
      <c r="A4084" s="33">
        <v>4083</v>
      </c>
      <c r="B4084" s="4">
        <v>8</v>
      </c>
      <c r="C4084" s="15">
        <v>10</v>
      </c>
      <c r="D4084" s="16">
        <v>8</v>
      </c>
      <c r="E4084" s="22">
        <v>44644</v>
      </c>
      <c r="F4084" s="19">
        <v>20</v>
      </c>
      <c r="G4084" s="18">
        <v>0.17</v>
      </c>
      <c r="H4084">
        <f>F4084*VLOOKUP(B4084,產品!$A$2:$H$61,7,FALSE)*(1-銷售總表!G4084)</f>
        <v>16600</v>
      </c>
      <c r="I4084" s="35">
        <f>H4084-F4084*VLOOKUP(銷售總表!B4084,產品!$A$2:$H$61,8,FALSE)</f>
        <v>8600</v>
      </c>
      <c r="J4084" s="20">
        <f t="shared" si="63"/>
        <v>0.51807228915662651</v>
      </c>
    </row>
    <row r="4085" spans="1:10" x14ac:dyDescent="0.3">
      <c r="A4085" s="33">
        <v>4084</v>
      </c>
      <c r="B4085" s="4">
        <v>16</v>
      </c>
      <c r="C4085" s="15">
        <v>123</v>
      </c>
      <c r="D4085" s="16">
        <v>3</v>
      </c>
      <c r="E4085" s="22">
        <v>44644</v>
      </c>
      <c r="F4085" s="19">
        <v>30</v>
      </c>
      <c r="G4085" s="18">
        <v>0.1</v>
      </c>
      <c r="H4085">
        <f>F4085*VLOOKUP(B4085,產品!$A$2:$H$61,7,FALSE)*(1-銷售總表!G4085)</f>
        <v>48600</v>
      </c>
      <c r="I4085" s="35">
        <f>H4085-F4085*VLOOKUP(銷售總表!B4085,產品!$A$2:$H$61,8,FALSE)</f>
        <v>27000</v>
      </c>
      <c r="J4085" s="20">
        <f t="shared" si="63"/>
        <v>0.55555555555555558</v>
      </c>
    </row>
    <row r="4086" spans="1:10" x14ac:dyDescent="0.3">
      <c r="A4086" s="33">
        <v>4085</v>
      </c>
      <c r="B4086" s="4">
        <v>7</v>
      </c>
      <c r="C4086" s="15">
        <v>123</v>
      </c>
      <c r="D4086" s="16">
        <v>5</v>
      </c>
      <c r="E4086" s="22">
        <v>44644</v>
      </c>
      <c r="F4086" s="19">
        <v>40</v>
      </c>
      <c r="G4086" s="18">
        <v>0.06</v>
      </c>
      <c r="H4086">
        <f>F4086*VLOOKUP(B4086,產品!$A$2:$H$61,7,FALSE)*(1-銷售總表!G4086)</f>
        <v>37600</v>
      </c>
      <c r="I4086" s="35">
        <f>H4086-F4086*VLOOKUP(銷售總表!B4086,產品!$A$2:$H$61,8,FALSE)</f>
        <v>21600</v>
      </c>
      <c r="J4086" s="20">
        <f t="shared" si="63"/>
        <v>0.57446808510638303</v>
      </c>
    </row>
    <row r="4087" spans="1:10" x14ac:dyDescent="0.3">
      <c r="A4087" s="33">
        <v>4086</v>
      </c>
      <c r="B4087" s="4">
        <v>10</v>
      </c>
      <c r="C4087" s="15">
        <v>274</v>
      </c>
      <c r="D4087" s="16">
        <v>4</v>
      </c>
      <c r="E4087" s="22">
        <v>44644</v>
      </c>
      <c r="F4087" s="19">
        <v>70</v>
      </c>
      <c r="G4087" s="18">
        <v>0.16</v>
      </c>
      <c r="H4087">
        <f>F4087*VLOOKUP(B4087,產品!$A$2:$H$61,7,FALSE)*(1-銷售總表!G4087)</f>
        <v>58800</v>
      </c>
      <c r="I4087" s="35">
        <f>H4087-F4087*VLOOKUP(銷售總表!B4087,產品!$A$2:$H$61,8,FALSE)</f>
        <v>30800</v>
      </c>
      <c r="J4087" s="20">
        <f t="shared" si="63"/>
        <v>0.52380952380952384</v>
      </c>
    </row>
    <row r="4088" spans="1:10" x14ac:dyDescent="0.3">
      <c r="A4088" s="33">
        <v>4087</v>
      </c>
      <c r="B4088" s="4">
        <v>50</v>
      </c>
      <c r="C4088" s="15">
        <v>8</v>
      </c>
      <c r="D4088" s="16">
        <v>8</v>
      </c>
      <c r="E4088" s="22">
        <v>44645</v>
      </c>
      <c r="F4088" s="19">
        <v>3</v>
      </c>
      <c r="G4088" s="18">
        <v>0.09</v>
      </c>
      <c r="H4088">
        <f>F4088*VLOOKUP(B4088,產品!$A$2:$H$61,7,FALSE)*(1-銷售總表!G4088)</f>
        <v>49140</v>
      </c>
      <c r="I4088" s="35">
        <f>H4088-F4088*VLOOKUP(銷售總表!B4088,產品!$A$2:$H$61,8,FALSE)</f>
        <v>11340</v>
      </c>
      <c r="J4088" s="20">
        <f t="shared" si="63"/>
        <v>0.23076923076923078</v>
      </c>
    </row>
    <row r="4089" spans="1:10" x14ac:dyDescent="0.3">
      <c r="A4089" s="33">
        <v>4088</v>
      </c>
      <c r="B4089" s="4">
        <v>5</v>
      </c>
      <c r="C4089" s="15">
        <v>118</v>
      </c>
      <c r="D4089" s="16">
        <v>5</v>
      </c>
      <c r="E4089" s="22">
        <v>44645</v>
      </c>
      <c r="F4089" s="19">
        <v>10</v>
      </c>
      <c r="G4089" s="18">
        <v>0.13</v>
      </c>
      <c r="H4089">
        <f>F4089*VLOOKUP(B4089,產品!$A$2:$H$61,7,FALSE)*(1-銷售總表!G4089)</f>
        <v>8700</v>
      </c>
      <c r="I4089" s="35">
        <f>H4089-F4089*VLOOKUP(銷售總表!B4089,產品!$A$2:$H$61,8,FALSE)</f>
        <v>4700</v>
      </c>
      <c r="J4089" s="20">
        <f t="shared" si="63"/>
        <v>0.54022988505747127</v>
      </c>
    </row>
    <row r="4090" spans="1:10" x14ac:dyDescent="0.3">
      <c r="A4090" s="33">
        <v>4089</v>
      </c>
      <c r="B4090" s="4">
        <v>21</v>
      </c>
      <c r="C4090" s="15">
        <v>137</v>
      </c>
      <c r="D4090" s="16">
        <v>1</v>
      </c>
      <c r="E4090" s="22">
        <v>44645</v>
      </c>
      <c r="F4090" s="19">
        <v>60</v>
      </c>
      <c r="G4090" s="18">
        <v>0.14000000000000001</v>
      </c>
      <c r="H4090">
        <f>F4090*VLOOKUP(B4090,產品!$A$2:$H$61,7,FALSE)*(1-銷售總表!G4090)</f>
        <v>92880</v>
      </c>
      <c r="I4090" s="35">
        <f>H4090-F4090*VLOOKUP(銷售總表!B4090,產品!$A$2:$H$61,8,FALSE)</f>
        <v>49680</v>
      </c>
      <c r="J4090" s="20">
        <f t="shared" si="63"/>
        <v>0.53488372093023251</v>
      </c>
    </row>
    <row r="4091" spans="1:10" x14ac:dyDescent="0.3">
      <c r="A4091" s="33">
        <v>4090</v>
      </c>
      <c r="B4091" s="4">
        <v>4</v>
      </c>
      <c r="C4091" s="15">
        <v>115</v>
      </c>
      <c r="D4091" s="16">
        <v>4</v>
      </c>
      <c r="E4091" s="22">
        <v>44645</v>
      </c>
      <c r="F4091" s="19">
        <v>70</v>
      </c>
      <c r="G4091" s="18">
        <v>0.18</v>
      </c>
      <c r="H4091">
        <f>F4091*VLOOKUP(B4091,產品!$A$2:$H$61,7,FALSE)*(1-銷售總表!G4091)</f>
        <v>57400.000000000007</v>
      </c>
      <c r="I4091" s="35">
        <f>H4091-F4091*VLOOKUP(銷售總表!B4091,產品!$A$2:$H$61,8,FALSE)</f>
        <v>29400.000000000007</v>
      </c>
      <c r="J4091" s="20">
        <f t="shared" si="63"/>
        <v>0.51219512195121952</v>
      </c>
    </row>
    <row r="4092" spans="1:10" x14ac:dyDescent="0.3">
      <c r="A4092" s="33">
        <v>4091</v>
      </c>
      <c r="B4092" s="4">
        <v>32</v>
      </c>
      <c r="C4092" s="15">
        <v>11</v>
      </c>
      <c r="D4092" s="16">
        <v>4</v>
      </c>
      <c r="E4092" s="22">
        <v>44646</v>
      </c>
      <c r="F4092" s="19">
        <v>3</v>
      </c>
      <c r="G4092" s="18">
        <v>0.12</v>
      </c>
      <c r="H4092">
        <f>F4092*VLOOKUP(B4092,產品!$A$2:$H$61,7,FALSE)*(1-銷售總表!G4092)</f>
        <v>19800</v>
      </c>
      <c r="I4092" s="35">
        <f>H4092-F4092*VLOOKUP(銷售總表!B4092,產品!$A$2:$H$61,8,FALSE)</f>
        <v>6300</v>
      </c>
      <c r="J4092" s="20">
        <f t="shared" si="63"/>
        <v>0.31818181818181818</v>
      </c>
    </row>
    <row r="4093" spans="1:10" x14ac:dyDescent="0.3">
      <c r="A4093" s="33">
        <v>4092</v>
      </c>
      <c r="B4093" s="4">
        <v>2</v>
      </c>
      <c r="C4093" s="15">
        <v>135</v>
      </c>
      <c r="D4093" s="16">
        <v>9</v>
      </c>
      <c r="E4093" s="22">
        <v>44646</v>
      </c>
      <c r="F4093" s="19">
        <v>10</v>
      </c>
      <c r="G4093" s="18">
        <v>0.19</v>
      </c>
      <c r="H4093">
        <f>F4093*VLOOKUP(B4093,產品!$A$2:$H$61,7,FALSE)*(1-銷售總表!G4093)</f>
        <v>8100.0000000000009</v>
      </c>
      <c r="I4093" s="35">
        <f>H4093-F4093*VLOOKUP(銷售總表!B4093,產品!$A$2:$H$61,8,FALSE)</f>
        <v>4100.0000000000009</v>
      </c>
      <c r="J4093" s="20">
        <f t="shared" si="63"/>
        <v>0.50617283950617287</v>
      </c>
    </row>
    <row r="4094" spans="1:10" x14ac:dyDescent="0.3">
      <c r="A4094" s="33">
        <v>4093</v>
      </c>
      <c r="B4094" s="4">
        <v>7</v>
      </c>
      <c r="C4094" s="15">
        <v>263</v>
      </c>
      <c r="D4094" s="16">
        <v>4</v>
      </c>
      <c r="E4094" s="22">
        <v>44646</v>
      </c>
      <c r="F4094" s="19">
        <v>50</v>
      </c>
      <c r="G4094" s="18">
        <v>7.0000000000000007E-2</v>
      </c>
      <c r="H4094">
        <f>F4094*VLOOKUP(B4094,產品!$A$2:$H$61,7,FALSE)*(1-銷售總表!G4094)</f>
        <v>46500</v>
      </c>
      <c r="I4094" s="35">
        <f>H4094-F4094*VLOOKUP(銷售總表!B4094,產品!$A$2:$H$61,8,FALSE)</f>
        <v>26500</v>
      </c>
      <c r="J4094" s="20">
        <f t="shared" si="63"/>
        <v>0.56989247311827962</v>
      </c>
    </row>
    <row r="4095" spans="1:10" x14ac:dyDescent="0.3">
      <c r="A4095" s="33">
        <v>4094</v>
      </c>
      <c r="B4095" s="4">
        <v>56</v>
      </c>
      <c r="C4095" s="15">
        <v>135</v>
      </c>
      <c r="D4095" s="16">
        <v>10</v>
      </c>
      <c r="E4095" s="22">
        <v>44647</v>
      </c>
      <c r="F4095" s="19">
        <v>5</v>
      </c>
      <c r="G4095" s="18">
        <v>0.13</v>
      </c>
      <c r="H4095">
        <f>F4095*VLOOKUP(B4095,產品!$A$2:$H$61,7,FALSE)*(1-銷售總表!G4095)</f>
        <v>95700</v>
      </c>
      <c r="I4095" s="35">
        <f>H4095-F4095*VLOOKUP(銷售總表!B4095,產品!$A$2:$H$61,8,FALSE)</f>
        <v>18700.000000000015</v>
      </c>
      <c r="J4095" s="20">
        <f t="shared" si="63"/>
        <v>0.19540229885057486</v>
      </c>
    </row>
    <row r="4096" spans="1:10" x14ac:dyDescent="0.3">
      <c r="A4096" s="33">
        <v>4095</v>
      </c>
      <c r="B4096" s="4">
        <v>55</v>
      </c>
      <c r="C4096" s="15">
        <v>262</v>
      </c>
      <c r="D4096" s="16">
        <v>2</v>
      </c>
      <c r="E4096" s="22">
        <v>44647</v>
      </c>
      <c r="F4096" s="17">
        <v>8</v>
      </c>
      <c r="G4096" s="18">
        <v>0.18</v>
      </c>
      <c r="H4096">
        <f>F4096*VLOOKUP(B4096,產品!$A$2:$H$61,7,FALSE)*(1-銷售總表!G4096)</f>
        <v>131200</v>
      </c>
      <c r="I4096" s="35">
        <f>H4096-F4096*VLOOKUP(銷售總表!B4096,產品!$A$2:$H$61,8,FALSE)</f>
        <v>19200</v>
      </c>
      <c r="J4096" s="20">
        <f t="shared" si="63"/>
        <v>0.14634146341463414</v>
      </c>
    </row>
    <row r="4097" spans="1:10" x14ac:dyDescent="0.3">
      <c r="A4097" s="33">
        <v>4096</v>
      </c>
      <c r="B4097" s="4">
        <v>33</v>
      </c>
      <c r="C4097" s="15">
        <v>7</v>
      </c>
      <c r="D4097" s="16">
        <v>7</v>
      </c>
      <c r="E4097" s="23">
        <v>44647</v>
      </c>
      <c r="F4097">
        <v>15</v>
      </c>
      <c r="G4097" s="20">
        <v>0.15</v>
      </c>
      <c r="H4097">
        <f>F4097*VLOOKUP(B4097,產品!$A$2:$H$61,7,FALSE)*(1-銷售總表!G4097)</f>
        <v>95625</v>
      </c>
      <c r="I4097" s="35">
        <f>H4097-F4097*VLOOKUP(銷售總表!B4097,產品!$A$2:$H$61,8,FALSE)</f>
        <v>28125</v>
      </c>
      <c r="J4097" s="20">
        <f t="shared" si="63"/>
        <v>0.29411764705882354</v>
      </c>
    </row>
    <row r="4098" spans="1:10" x14ac:dyDescent="0.3">
      <c r="A4098" s="33">
        <v>4097</v>
      </c>
      <c r="B4098" s="4">
        <v>7</v>
      </c>
      <c r="C4098" s="15">
        <v>115</v>
      </c>
      <c r="D4098" s="16">
        <v>4</v>
      </c>
      <c r="E4098" s="22">
        <v>44647</v>
      </c>
      <c r="F4098" s="19">
        <v>60</v>
      </c>
      <c r="G4098" s="18">
        <v>0.05</v>
      </c>
      <c r="H4098">
        <f>F4098*VLOOKUP(B4098,產品!$A$2:$H$61,7,FALSE)*(1-銷售總表!G4098)</f>
        <v>57000</v>
      </c>
      <c r="I4098" s="35">
        <f>H4098-F4098*VLOOKUP(銷售總表!B4098,產品!$A$2:$H$61,8,FALSE)</f>
        <v>33000</v>
      </c>
      <c r="J4098" s="20">
        <f t="shared" si="63"/>
        <v>0.57894736842105265</v>
      </c>
    </row>
    <row r="4099" spans="1:10" x14ac:dyDescent="0.3">
      <c r="A4099" s="33">
        <v>4098</v>
      </c>
      <c r="B4099" s="4">
        <v>60</v>
      </c>
      <c r="C4099" s="15">
        <v>135</v>
      </c>
      <c r="D4099" s="16">
        <v>5</v>
      </c>
      <c r="E4099" s="22">
        <v>44648</v>
      </c>
      <c r="F4099" s="19">
        <v>8</v>
      </c>
      <c r="G4099" s="18">
        <v>0.05</v>
      </c>
      <c r="H4099">
        <f>F4099*VLOOKUP(B4099,產品!$A$2:$H$61,7,FALSE)*(1-銷售總表!G4099)</f>
        <v>190000</v>
      </c>
      <c r="I4099" s="35">
        <f>H4099-F4099*VLOOKUP(銷售總表!B4099,產品!$A$2:$H$61,8,FALSE)</f>
        <v>50000</v>
      </c>
      <c r="J4099" s="20">
        <f t="shared" ref="J4099:J4162" si="64">I4099/H4099</f>
        <v>0.26315789473684209</v>
      </c>
    </row>
    <row r="4100" spans="1:10" x14ac:dyDescent="0.3">
      <c r="A4100" s="33">
        <v>4099</v>
      </c>
      <c r="B4100" s="4">
        <v>48</v>
      </c>
      <c r="C4100" s="15">
        <v>9</v>
      </c>
      <c r="D4100" s="16">
        <v>10</v>
      </c>
      <c r="E4100" s="22">
        <v>44648</v>
      </c>
      <c r="F4100" s="19">
        <v>9</v>
      </c>
      <c r="G4100" s="18">
        <v>0.1</v>
      </c>
      <c r="H4100">
        <f>F4100*VLOOKUP(B4100,產品!$A$2:$H$61,7,FALSE)*(1-銷售總表!G4100)</f>
        <v>178200</v>
      </c>
      <c r="I4100" s="35">
        <f>H4100-F4100*VLOOKUP(銷售總表!B4100,產品!$A$2:$H$61,8,FALSE)</f>
        <v>49500</v>
      </c>
      <c r="J4100" s="20">
        <f t="shared" si="64"/>
        <v>0.27777777777777779</v>
      </c>
    </row>
    <row r="4101" spans="1:10" x14ac:dyDescent="0.3">
      <c r="A4101" s="33">
        <v>4100</v>
      </c>
      <c r="B4101" s="4">
        <v>21</v>
      </c>
      <c r="C4101" s="15">
        <v>271</v>
      </c>
      <c r="D4101" s="16">
        <v>1</v>
      </c>
      <c r="E4101" s="22">
        <v>44648</v>
      </c>
      <c r="F4101" s="19">
        <v>19</v>
      </c>
      <c r="G4101" s="18">
        <v>0.08</v>
      </c>
      <c r="H4101">
        <f>F4101*VLOOKUP(B4101,產品!$A$2:$H$61,7,FALSE)*(1-銷售總表!G4101)</f>
        <v>31464</v>
      </c>
      <c r="I4101" s="35">
        <f>H4101-F4101*VLOOKUP(銷售總表!B4101,產品!$A$2:$H$61,8,FALSE)</f>
        <v>17784</v>
      </c>
      <c r="J4101" s="20">
        <f t="shared" si="64"/>
        <v>0.56521739130434778</v>
      </c>
    </row>
    <row r="4102" spans="1:10" x14ac:dyDescent="0.3">
      <c r="A4102" s="33">
        <v>4101</v>
      </c>
      <c r="B4102" s="4">
        <v>31</v>
      </c>
      <c r="C4102" s="15">
        <v>287</v>
      </c>
      <c r="D4102" s="16">
        <v>1</v>
      </c>
      <c r="E4102" s="22">
        <v>44649</v>
      </c>
      <c r="F4102" s="19">
        <v>6</v>
      </c>
      <c r="G4102" s="18">
        <v>0.12</v>
      </c>
      <c r="H4102">
        <f>F4102*VLOOKUP(B4102,產品!$A$2:$H$61,7,FALSE)*(1-銷售總表!G4102)</f>
        <v>36960</v>
      </c>
      <c r="I4102" s="35">
        <f>H4102-F4102*VLOOKUP(銷售總表!B4102,產品!$A$2:$H$61,8,FALSE)</f>
        <v>11760</v>
      </c>
      <c r="J4102" s="20">
        <f t="shared" si="64"/>
        <v>0.31818181818181818</v>
      </c>
    </row>
    <row r="4103" spans="1:10" x14ac:dyDescent="0.3">
      <c r="A4103" s="33">
        <v>4102</v>
      </c>
      <c r="B4103" s="4">
        <v>44</v>
      </c>
      <c r="C4103" s="15">
        <v>265</v>
      </c>
      <c r="D4103" s="16">
        <v>5</v>
      </c>
      <c r="E4103" s="22">
        <v>44649</v>
      </c>
      <c r="F4103" s="19">
        <v>9</v>
      </c>
      <c r="G4103" s="18">
        <v>0.2</v>
      </c>
      <c r="H4103">
        <f>F4103*VLOOKUP(B4103,產品!$A$2:$H$61,7,FALSE)*(1-銷售總表!G4103)</f>
        <v>144000</v>
      </c>
      <c r="I4103" s="35">
        <f>H4103-F4103*VLOOKUP(銷售總表!B4103,產品!$A$2:$H$61,8,FALSE)</f>
        <v>27000</v>
      </c>
      <c r="J4103" s="20">
        <f t="shared" si="64"/>
        <v>0.1875</v>
      </c>
    </row>
    <row r="4104" spans="1:10" x14ac:dyDescent="0.3">
      <c r="A4104" s="33">
        <v>4103</v>
      </c>
      <c r="B4104" s="4">
        <v>25</v>
      </c>
      <c r="C4104" s="15">
        <v>259</v>
      </c>
      <c r="D4104" s="16">
        <v>7</v>
      </c>
      <c r="E4104" s="22">
        <v>44649</v>
      </c>
      <c r="F4104" s="19">
        <v>15</v>
      </c>
      <c r="G4104" s="18">
        <v>0.12</v>
      </c>
      <c r="H4104">
        <f>F4104*VLOOKUP(B4104,產品!$A$2:$H$61,7,FALSE)*(1-銷售總表!G4104)</f>
        <v>79200</v>
      </c>
      <c r="I4104" s="35">
        <f>H4104-F4104*VLOOKUP(銷售總表!B4104,產品!$A$2:$H$61,8,FALSE)</f>
        <v>25200</v>
      </c>
      <c r="J4104" s="20">
        <f t="shared" si="64"/>
        <v>0.31818181818181818</v>
      </c>
    </row>
    <row r="4105" spans="1:10" x14ac:dyDescent="0.3">
      <c r="A4105" s="33">
        <v>4104</v>
      </c>
      <c r="B4105" s="4">
        <v>21</v>
      </c>
      <c r="C4105" s="15">
        <v>294</v>
      </c>
      <c r="D4105" s="16">
        <v>7</v>
      </c>
      <c r="E4105" s="22">
        <v>44649</v>
      </c>
      <c r="F4105" s="19">
        <v>40</v>
      </c>
      <c r="G4105" s="18">
        <v>0.15</v>
      </c>
      <c r="H4105">
        <f>F4105*VLOOKUP(B4105,產品!$A$2:$H$61,7,FALSE)*(1-銷售總表!G4105)</f>
        <v>61200</v>
      </c>
      <c r="I4105" s="35">
        <f>H4105-F4105*VLOOKUP(銷售總表!B4105,產品!$A$2:$H$61,8,FALSE)</f>
        <v>32400</v>
      </c>
      <c r="J4105" s="20">
        <f t="shared" si="64"/>
        <v>0.52941176470588236</v>
      </c>
    </row>
    <row r="4106" spans="1:10" x14ac:dyDescent="0.3">
      <c r="A4106" s="33">
        <v>4105</v>
      </c>
      <c r="B4106" s="4">
        <v>1</v>
      </c>
      <c r="C4106" s="15">
        <v>136</v>
      </c>
      <c r="D4106" s="16">
        <v>7</v>
      </c>
      <c r="E4106" s="22">
        <v>44649</v>
      </c>
      <c r="F4106" s="19">
        <v>40</v>
      </c>
      <c r="G4106" s="18">
        <v>7.0000000000000007E-2</v>
      </c>
      <c r="H4106">
        <f>F4106*VLOOKUP(B4106,產品!$A$2:$H$61,7,FALSE)*(1-銷售總表!G4106)</f>
        <v>37200</v>
      </c>
      <c r="I4106" s="35">
        <f>H4106-F4106*VLOOKUP(銷售總表!B4106,產品!$A$2:$H$61,8,FALSE)</f>
        <v>21200</v>
      </c>
      <c r="J4106" s="20">
        <f t="shared" si="64"/>
        <v>0.56989247311827962</v>
      </c>
    </row>
    <row r="4107" spans="1:10" x14ac:dyDescent="0.3">
      <c r="A4107" s="33">
        <v>4106</v>
      </c>
      <c r="B4107" s="4">
        <v>56</v>
      </c>
      <c r="C4107" s="15">
        <v>266</v>
      </c>
      <c r="D4107" s="16">
        <v>3</v>
      </c>
      <c r="E4107" s="22">
        <v>44650</v>
      </c>
      <c r="F4107" s="19">
        <v>9</v>
      </c>
      <c r="G4107" s="18">
        <v>0.08</v>
      </c>
      <c r="H4107">
        <f>F4107*VLOOKUP(B4107,產品!$A$2:$H$61,7,FALSE)*(1-銷售總表!G4107)</f>
        <v>182160</v>
      </c>
      <c r="I4107" s="35">
        <f>H4107-F4107*VLOOKUP(銷售總表!B4107,產品!$A$2:$H$61,8,FALSE)</f>
        <v>43560.000000000029</v>
      </c>
      <c r="J4107" s="20">
        <f t="shared" si="64"/>
        <v>0.23913043478260884</v>
      </c>
    </row>
    <row r="4108" spans="1:10" x14ac:dyDescent="0.3">
      <c r="A4108" s="33">
        <v>4107</v>
      </c>
      <c r="B4108" s="4">
        <v>36</v>
      </c>
      <c r="C4108" s="15">
        <v>272</v>
      </c>
      <c r="D4108" s="16">
        <v>7</v>
      </c>
      <c r="E4108" s="22">
        <v>44650</v>
      </c>
      <c r="F4108" s="19">
        <v>12</v>
      </c>
      <c r="G4108" s="18">
        <v>0.19</v>
      </c>
      <c r="H4108">
        <f>F4108*VLOOKUP(B4108,產品!$A$2:$H$61,7,FALSE)*(1-銷售總表!G4108)</f>
        <v>87480</v>
      </c>
      <c r="I4108" s="35">
        <f>H4108-F4108*VLOOKUP(銷售總表!B4108,產品!$A$2:$H$61,8,FALSE)</f>
        <v>22680</v>
      </c>
      <c r="J4108" s="20">
        <f t="shared" si="64"/>
        <v>0.25925925925925924</v>
      </c>
    </row>
    <row r="4109" spans="1:10" x14ac:dyDescent="0.3">
      <c r="A4109" s="33">
        <v>4108</v>
      </c>
      <c r="B4109" s="4">
        <v>36</v>
      </c>
      <c r="C4109" s="15">
        <v>265</v>
      </c>
      <c r="D4109" s="16">
        <v>8</v>
      </c>
      <c r="E4109" s="22">
        <v>44650</v>
      </c>
      <c r="F4109" s="19">
        <v>16</v>
      </c>
      <c r="G4109" s="18">
        <v>0.1</v>
      </c>
      <c r="H4109">
        <f>F4109*VLOOKUP(B4109,產品!$A$2:$H$61,7,FALSE)*(1-銷售總表!G4109)</f>
        <v>129600</v>
      </c>
      <c r="I4109" s="35">
        <f>H4109-F4109*VLOOKUP(銷售總表!B4109,產品!$A$2:$H$61,8,FALSE)</f>
        <v>43200</v>
      </c>
      <c r="J4109" s="20">
        <f t="shared" si="64"/>
        <v>0.33333333333333331</v>
      </c>
    </row>
    <row r="4110" spans="1:10" x14ac:dyDescent="0.3">
      <c r="A4110" s="33">
        <v>4109</v>
      </c>
      <c r="B4110" s="4">
        <v>15</v>
      </c>
      <c r="C4110" s="15">
        <v>5</v>
      </c>
      <c r="D4110" s="16">
        <v>9</v>
      </c>
      <c r="E4110" s="22">
        <v>44650</v>
      </c>
      <c r="F4110" s="19">
        <v>60</v>
      </c>
      <c r="G4110" s="18">
        <v>0.05</v>
      </c>
      <c r="H4110">
        <f>F4110*VLOOKUP(B4110,產品!$A$2:$H$61,7,FALSE)*(1-銷售總表!G4110)</f>
        <v>102600</v>
      </c>
      <c r="I4110" s="35">
        <f>H4110-F4110*VLOOKUP(銷售總表!B4110,產品!$A$2:$H$61,8,FALSE)</f>
        <v>59400</v>
      </c>
      <c r="J4110" s="20">
        <f t="shared" si="64"/>
        <v>0.57894736842105265</v>
      </c>
    </row>
    <row r="4111" spans="1:10" x14ac:dyDescent="0.3">
      <c r="A4111" s="33">
        <v>4110</v>
      </c>
      <c r="B4111" s="4">
        <v>7</v>
      </c>
      <c r="C4111" s="15">
        <v>7</v>
      </c>
      <c r="D4111" s="16">
        <v>6</v>
      </c>
      <c r="E4111" s="22">
        <v>44650</v>
      </c>
      <c r="F4111" s="19">
        <v>90</v>
      </c>
      <c r="G4111" s="18">
        <v>0.14000000000000001</v>
      </c>
      <c r="H4111">
        <f>F4111*VLOOKUP(B4111,產品!$A$2:$H$61,7,FALSE)*(1-銷售總表!G4111)</f>
        <v>77400</v>
      </c>
      <c r="I4111" s="35">
        <f>H4111-F4111*VLOOKUP(銷售總表!B4111,產品!$A$2:$H$61,8,FALSE)</f>
        <v>41400</v>
      </c>
      <c r="J4111" s="20">
        <f t="shared" si="64"/>
        <v>0.53488372093023251</v>
      </c>
    </row>
    <row r="4112" spans="1:10" x14ac:dyDescent="0.3">
      <c r="A4112" s="33">
        <v>4111</v>
      </c>
      <c r="B4112" s="4">
        <v>26</v>
      </c>
      <c r="C4112" s="15">
        <v>7</v>
      </c>
      <c r="D4112" s="16">
        <v>8</v>
      </c>
      <c r="E4112" s="23">
        <v>44651</v>
      </c>
      <c r="F4112">
        <v>8</v>
      </c>
      <c r="G4112" s="20">
        <v>0.2</v>
      </c>
      <c r="H4112">
        <f>F4112*VLOOKUP(B4112,產品!$A$2:$H$61,7,FALSE)*(1-銷售總表!G4112)</f>
        <v>41600</v>
      </c>
      <c r="I4112" s="35">
        <f>H4112-F4112*VLOOKUP(銷售總表!B4112,產品!$A$2:$H$61,8,FALSE)</f>
        <v>10400</v>
      </c>
      <c r="J4112" s="20">
        <f t="shared" si="64"/>
        <v>0.25</v>
      </c>
    </row>
    <row r="4113" spans="1:10" x14ac:dyDescent="0.3">
      <c r="A4113" s="33">
        <v>4112</v>
      </c>
      <c r="B4113" s="4">
        <v>51</v>
      </c>
      <c r="C4113" s="15">
        <v>138</v>
      </c>
      <c r="D4113" s="16">
        <v>8</v>
      </c>
      <c r="E4113" s="22">
        <v>44651</v>
      </c>
      <c r="F4113" s="19">
        <v>10</v>
      </c>
      <c r="G4113" s="18">
        <v>0.15</v>
      </c>
      <c r="H4113">
        <f>F4113*VLOOKUP(B4113,產品!$A$2:$H$61,7,FALSE)*(1-銷售總表!G4113)</f>
        <v>170000</v>
      </c>
      <c r="I4113" s="35">
        <f>H4113-F4113*VLOOKUP(銷售總表!B4113,產品!$A$2:$H$61,8,FALSE)</f>
        <v>30000</v>
      </c>
      <c r="J4113" s="20">
        <f t="shared" si="64"/>
        <v>0.17647058823529413</v>
      </c>
    </row>
    <row r="4114" spans="1:10" x14ac:dyDescent="0.3">
      <c r="A4114" s="33">
        <v>4113</v>
      </c>
      <c r="B4114" s="4">
        <v>31</v>
      </c>
      <c r="C4114" s="15">
        <v>5</v>
      </c>
      <c r="D4114" s="16">
        <v>1</v>
      </c>
      <c r="E4114" s="22">
        <v>44651</v>
      </c>
      <c r="F4114" s="19">
        <v>10</v>
      </c>
      <c r="G4114" s="18">
        <v>0.05</v>
      </c>
      <c r="H4114">
        <f>F4114*VLOOKUP(B4114,產品!$A$2:$H$61,7,FALSE)*(1-銷售總表!G4114)</f>
        <v>66500</v>
      </c>
      <c r="I4114" s="35">
        <f>H4114-F4114*VLOOKUP(銷售總表!B4114,產品!$A$2:$H$61,8,FALSE)</f>
        <v>24500</v>
      </c>
      <c r="J4114" s="20">
        <f t="shared" si="64"/>
        <v>0.36842105263157893</v>
      </c>
    </row>
    <row r="4115" spans="1:10" x14ac:dyDescent="0.3">
      <c r="A4115" s="33">
        <v>4114</v>
      </c>
      <c r="B4115" s="4">
        <v>16</v>
      </c>
      <c r="C4115" s="15">
        <v>6</v>
      </c>
      <c r="D4115" s="16">
        <v>1</v>
      </c>
      <c r="E4115" s="22">
        <v>44651</v>
      </c>
      <c r="F4115" s="19">
        <v>10</v>
      </c>
      <c r="G4115" s="18">
        <v>0.11</v>
      </c>
      <c r="H4115">
        <f>F4115*VLOOKUP(B4115,產品!$A$2:$H$61,7,FALSE)*(1-銷售總表!G4115)</f>
        <v>16020</v>
      </c>
      <c r="I4115" s="35">
        <f>H4115-F4115*VLOOKUP(銷售總表!B4115,產品!$A$2:$H$61,8,FALSE)</f>
        <v>8820</v>
      </c>
      <c r="J4115" s="20">
        <f t="shared" si="64"/>
        <v>0.550561797752809</v>
      </c>
    </row>
    <row r="4116" spans="1:10" x14ac:dyDescent="0.3">
      <c r="A4116" s="33">
        <v>4115</v>
      </c>
      <c r="B4116" s="4">
        <v>3</v>
      </c>
      <c r="C4116" s="15">
        <v>137</v>
      </c>
      <c r="D4116" s="16">
        <v>2</v>
      </c>
      <c r="E4116" s="22">
        <v>44651</v>
      </c>
      <c r="F4116" s="19">
        <v>17</v>
      </c>
      <c r="G4116" s="18">
        <v>0.11</v>
      </c>
      <c r="H4116">
        <f>F4116*VLOOKUP(B4116,產品!$A$2:$H$61,7,FALSE)*(1-銷售總表!G4116)</f>
        <v>15130</v>
      </c>
      <c r="I4116" s="35">
        <f>H4116-F4116*VLOOKUP(銷售總表!B4116,產品!$A$2:$H$61,8,FALSE)</f>
        <v>8330</v>
      </c>
      <c r="J4116" s="20">
        <f t="shared" si="64"/>
        <v>0.550561797752809</v>
      </c>
    </row>
    <row r="4117" spans="1:10" x14ac:dyDescent="0.3">
      <c r="A4117" s="33">
        <v>4116</v>
      </c>
      <c r="B4117" s="4">
        <v>33</v>
      </c>
      <c r="C4117" s="15">
        <v>123</v>
      </c>
      <c r="D4117" s="16">
        <v>3</v>
      </c>
      <c r="E4117" s="22">
        <v>44651</v>
      </c>
      <c r="F4117" s="19">
        <v>25</v>
      </c>
      <c r="G4117" s="18">
        <v>0.1</v>
      </c>
      <c r="H4117">
        <f>F4117*VLOOKUP(B4117,產品!$A$2:$H$61,7,FALSE)*(1-銷售總表!G4117)</f>
        <v>168750</v>
      </c>
      <c r="I4117" s="35">
        <f>H4117-F4117*VLOOKUP(銷售總表!B4117,產品!$A$2:$H$61,8,FALSE)</f>
        <v>56250</v>
      </c>
      <c r="J4117" s="20">
        <f t="shared" si="64"/>
        <v>0.33333333333333331</v>
      </c>
    </row>
    <row r="4118" spans="1:10" x14ac:dyDescent="0.3">
      <c r="A4118" s="33">
        <v>4117</v>
      </c>
      <c r="B4118" s="4">
        <v>8</v>
      </c>
      <c r="C4118" s="15">
        <v>135</v>
      </c>
      <c r="D4118" s="16">
        <v>8</v>
      </c>
      <c r="E4118" s="22">
        <v>44651</v>
      </c>
      <c r="F4118" s="19">
        <v>70</v>
      </c>
      <c r="G4118" s="18">
        <v>0.19</v>
      </c>
      <c r="H4118">
        <f>F4118*VLOOKUP(B4118,產品!$A$2:$H$61,7,FALSE)*(1-銷售總表!G4118)</f>
        <v>56700.000000000007</v>
      </c>
      <c r="I4118" s="35">
        <f>H4118-F4118*VLOOKUP(銷售總表!B4118,產品!$A$2:$H$61,8,FALSE)</f>
        <v>28700.000000000007</v>
      </c>
      <c r="J4118" s="20">
        <f t="shared" si="64"/>
        <v>0.50617283950617287</v>
      </c>
    </row>
    <row r="4119" spans="1:10" x14ac:dyDescent="0.3">
      <c r="A4119" s="33">
        <v>4118</v>
      </c>
      <c r="B4119" s="4">
        <v>56</v>
      </c>
      <c r="C4119" s="15">
        <v>5</v>
      </c>
      <c r="D4119" s="16">
        <v>1</v>
      </c>
      <c r="E4119" s="22">
        <v>44652</v>
      </c>
      <c r="F4119" s="19">
        <v>3</v>
      </c>
      <c r="G4119" s="18">
        <v>0.1</v>
      </c>
      <c r="H4119">
        <f>F4119*VLOOKUP(B4119,產品!$A$2:$H$61,7,FALSE)*(1-銷售總表!G4119)</f>
        <v>59400</v>
      </c>
      <c r="I4119" s="35">
        <f>H4119-F4119*VLOOKUP(銷售總表!B4119,產品!$A$2:$H$61,8,FALSE)</f>
        <v>13200.000000000007</v>
      </c>
      <c r="J4119" s="20">
        <f t="shared" si="64"/>
        <v>0.22222222222222235</v>
      </c>
    </row>
    <row r="4120" spans="1:10" x14ac:dyDescent="0.3">
      <c r="A4120" s="33">
        <v>4119</v>
      </c>
      <c r="B4120" s="4">
        <v>27</v>
      </c>
      <c r="C4120" s="15">
        <v>284</v>
      </c>
      <c r="D4120" s="16">
        <v>10</v>
      </c>
      <c r="E4120" s="22">
        <v>44652</v>
      </c>
      <c r="F4120" s="19">
        <v>5</v>
      </c>
      <c r="G4120" s="18">
        <v>0.12</v>
      </c>
      <c r="H4120">
        <f>F4120*VLOOKUP(B4120,產品!$A$2:$H$61,7,FALSE)*(1-銷售總表!G4120)</f>
        <v>30800</v>
      </c>
      <c r="I4120" s="35">
        <f>H4120-F4120*VLOOKUP(銷售總表!B4120,產品!$A$2:$H$61,8,FALSE)</f>
        <v>9800</v>
      </c>
      <c r="J4120" s="20">
        <f t="shared" si="64"/>
        <v>0.31818181818181818</v>
      </c>
    </row>
    <row r="4121" spans="1:10" x14ac:dyDescent="0.3">
      <c r="A4121" s="33">
        <v>4120</v>
      </c>
      <c r="B4121" s="4">
        <v>31</v>
      </c>
      <c r="C4121" s="15">
        <v>268</v>
      </c>
      <c r="D4121" s="16">
        <v>7</v>
      </c>
      <c r="E4121" s="22">
        <v>44652</v>
      </c>
      <c r="F4121" s="19">
        <v>6</v>
      </c>
      <c r="G4121" s="18">
        <v>0.16</v>
      </c>
      <c r="H4121">
        <f>F4121*VLOOKUP(B4121,產品!$A$2:$H$61,7,FALSE)*(1-銷售總表!G4121)</f>
        <v>35280</v>
      </c>
      <c r="I4121" s="35">
        <f>H4121-F4121*VLOOKUP(銷售總表!B4121,產品!$A$2:$H$61,8,FALSE)</f>
        <v>10080</v>
      </c>
      <c r="J4121" s="20">
        <f t="shared" si="64"/>
        <v>0.2857142857142857</v>
      </c>
    </row>
    <row r="4122" spans="1:10" x14ac:dyDescent="0.3">
      <c r="A4122" s="33">
        <v>4121</v>
      </c>
      <c r="B4122" s="4">
        <v>19</v>
      </c>
      <c r="C4122" s="15">
        <v>274</v>
      </c>
      <c r="D4122" s="16">
        <v>4</v>
      </c>
      <c r="E4122" s="22">
        <v>44652</v>
      </c>
      <c r="F4122" s="19">
        <v>10</v>
      </c>
      <c r="G4122" s="18">
        <v>0.12</v>
      </c>
      <c r="H4122">
        <f>F4122*VLOOKUP(B4122,產品!$A$2:$H$61,7,FALSE)*(1-銷售總表!G4122)</f>
        <v>15840</v>
      </c>
      <c r="I4122" s="35">
        <f>H4122-F4122*VLOOKUP(銷售總表!B4122,產品!$A$2:$H$61,8,FALSE)</f>
        <v>8640</v>
      </c>
      <c r="J4122" s="20">
        <f t="shared" si="64"/>
        <v>0.54545454545454541</v>
      </c>
    </row>
    <row r="4123" spans="1:10" x14ac:dyDescent="0.3">
      <c r="A4123" s="33">
        <v>4122</v>
      </c>
      <c r="B4123" s="4">
        <v>24</v>
      </c>
      <c r="C4123" s="15">
        <v>8</v>
      </c>
      <c r="D4123" s="16">
        <v>9</v>
      </c>
      <c r="E4123" s="22">
        <v>44652</v>
      </c>
      <c r="F4123" s="19">
        <v>12</v>
      </c>
      <c r="G4123" s="18">
        <v>0.1</v>
      </c>
      <c r="H4123">
        <f>F4123*VLOOKUP(B4123,產品!$A$2:$H$61,7,FALSE)*(1-銷售總表!G4123)</f>
        <v>19440</v>
      </c>
      <c r="I4123" s="35">
        <f>H4123-F4123*VLOOKUP(銷售總表!B4123,產品!$A$2:$H$61,8,FALSE)</f>
        <v>10800</v>
      </c>
      <c r="J4123" s="20">
        <f t="shared" si="64"/>
        <v>0.55555555555555558</v>
      </c>
    </row>
    <row r="4124" spans="1:10" x14ac:dyDescent="0.3">
      <c r="A4124" s="33">
        <v>4123</v>
      </c>
      <c r="B4124" s="4">
        <v>28</v>
      </c>
      <c r="C4124" s="15">
        <v>290</v>
      </c>
      <c r="D4124" s="16">
        <v>10</v>
      </c>
      <c r="E4124" s="22">
        <v>44652</v>
      </c>
      <c r="F4124" s="19">
        <v>30</v>
      </c>
      <c r="G4124" s="18">
        <v>0.16</v>
      </c>
      <c r="H4124">
        <f>F4124*VLOOKUP(B4124,產品!$A$2:$H$61,7,FALSE)*(1-銷售總表!G4124)</f>
        <v>189000</v>
      </c>
      <c r="I4124" s="35">
        <f>H4124-F4124*VLOOKUP(銷售總表!B4124,產品!$A$2:$H$61,8,FALSE)</f>
        <v>54000</v>
      </c>
      <c r="J4124" s="20">
        <f t="shared" si="64"/>
        <v>0.2857142857142857</v>
      </c>
    </row>
    <row r="4125" spans="1:10" x14ac:dyDescent="0.3">
      <c r="A4125" s="33">
        <v>4124</v>
      </c>
      <c r="B4125" s="4">
        <v>20</v>
      </c>
      <c r="C4125" s="15">
        <v>10</v>
      </c>
      <c r="D4125" s="16">
        <v>9</v>
      </c>
      <c r="E4125" s="22">
        <v>44652</v>
      </c>
      <c r="F4125" s="19">
        <v>100</v>
      </c>
      <c r="G4125" s="18">
        <v>0.19</v>
      </c>
      <c r="H4125">
        <f>F4125*VLOOKUP(B4125,產品!$A$2:$H$61,7,FALSE)*(1-銷售總表!G4125)</f>
        <v>145800</v>
      </c>
      <c r="I4125" s="35">
        <f>H4125-F4125*VLOOKUP(銷售總表!B4125,產品!$A$2:$H$61,8,FALSE)</f>
        <v>73800</v>
      </c>
      <c r="J4125" s="20">
        <f t="shared" si="64"/>
        <v>0.50617283950617287</v>
      </c>
    </row>
    <row r="4126" spans="1:10" x14ac:dyDescent="0.3">
      <c r="A4126" s="33">
        <v>4125</v>
      </c>
      <c r="B4126" s="4">
        <v>33</v>
      </c>
      <c r="C4126" s="15">
        <v>1</v>
      </c>
      <c r="D4126" s="16">
        <v>3</v>
      </c>
      <c r="E4126" s="22">
        <v>44653</v>
      </c>
      <c r="F4126" s="19">
        <v>1</v>
      </c>
      <c r="G4126" s="18">
        <v>0.19</v>
      </c>
      <c r="H4126">
        <f>F4126*VLOOKUP(B4126,產品!$A$2:$H$61,7,FALSE)*(1-銷售總表!G4126)</f>
        <v>6075</v>
      </c>
      <c r="I4126" s="35">
        <f>H4126-F4126*VLOOKUP(銷售總表!B4126,產品!$A$2:$H$61,8,FALSE)</f>
        <v>1575</v>
      </c>
      <c r="J4126" s="20">
        <f t="shared" si="64"/>
        <v>0.25925925925925924</v>
      </c>
    </row>
    <row r="4127" spans="1:10" x14ac:dyDescent="0.3">
      <c r="A4127" s="33">
        <v>4126</v>
      </c>
      <c r="B4127" s="4">
        <v>32</v>
      </c>
      <c r="C4127" s="15">
        <v>276</v>
      </c>
      <c r="D4127" s="16">
        <v>1</v>
      </c>
      <c r="E4127" s="22">
        <v>44653</v>
      </c>
      <c r="F4127" s="19">
        <v>6</v>
      </c>
      <c r="G4127" s="18">
        <v>0.11</v>
      </c>
      <c r="H4127">
        <f>F4127*VLOOKUP(B4127,產品!$A$2:$H$61,7,FALSE)*(1-銷售總表!G4127)</f>
        <v>40050</v>
      </c>
      <c r="I4127" s="35">
        <f>H4127-F4127*VLOOKUP(銷售總表!B4127,產品!$A$2:$H$61,8,FALSE)</f>
        <v>13050</v>
      </c>
      <c r="J4127" s="20">
        <f t="shared" si="64"/>
        <v>0.3258426966292135</v>
      </c>
    </row>
    <row r="4128" spans="1:10" x14ac:dyDescent="0.3">
      <c r="A4128" s="33">
        <v>4127</v>
      </c>
      <c r="B4128" s="4">
        <v>51</v>
      </c>
      <c r="C4128" s="15">
        <v>116</v>
      </c>
      <c r="D4128" s="16">
        <v>6</v>
      </c>
      <c r="E4128" s="22">
        <v>44653</v>
      </c>
      <c r="F4128" s="19">
        <v>8</v>
      </c>
      <c r="G4128" s="18">
        <v>0.08</v>
      </c>
      <c r="H4128">
        <f>F4128*VLOOKUP(B4128,產品!$A$2:$H$61,7,FALSE)*(1-銷售總表!G4128)</f>
        <v>147200</v>
      </c>
      <c r="I4128" s="35">
        <f>H4128-F4128*VLOOKUP(銷售總表!B4128,產品!$A$2:$H$61,8,FALSE)</f>
        <v>35200</v>
      </c>
      <c r="J4128" s="20">
        <f t="shared" si="64"/>
        <v>0.2391304347826087</v>
      </c>
    </row>
    <row r="4129" spans="1:10" x14ac:dyDescent="0.3">
      <c r="A4129" s="33">
        <v>4128</v>
      </c>
      <c r="B4129" s="4">
        <v>48</v>
      </c>
      <c r="C4129" s="15">
        <v>11</v>
      </c>
      <c r="D4129" s="16">
        <v>7</v>
      </c>
      <c r="E4129" s="22">
        <v>44653</v>
      </c>
      <c r="F4129" s="19">
        <v>9</v>
      </c>
      <c r="G4129" s="18">
        <v>0.09</v>
      </c>
      <c r="H4129">
        <f>F4129*VLOOKUP(B4129,產品!$A$2:$H$61,7,FALSE)*(1-銷售總表!G4129)</f>
        <v>180180</v>
      </c>
      <c r="I4129" s="35">
        <f>H4129-F4129*VLOOKUP(銷售總表!B4129,產品!$A$2:$H$61,8,FALSE)</f>
        <v>51480</v>
      </c>
      <c r="J4129" s="20">
        <f t="shared" si="64"/>
        <v>0.2857142857142857</v>
      </c>
    </row>
    <row r="4130" spans="1:10" x14ac:dyDescent="0.3">
      <c r="A4130" s="33">
        <v>4129</v>
      </c>
      <c r="B4130" s="4">
        <v>40</v>
      </c>
      <c r="C4130" s="15">
        <v>125</v>
      </c>
      <c r="D4130" s="16">
        <v>5</v>
      </c>
      <c r="E4130" s="22">
        <v>44653</v>
      </c>
      <c r="F4130" s="19">
        <v>9</v>
      </c>
      <c r="G4130" s="18">
        <v>0.08</v>
      </c>
      <c r="H4130">
        <f>F4130*VLOOKUP(B4130,產品!$A$2:$H$61,7,FALSE)*(1-銷售總表!G4130)</f>
        <v>165600</v>
      </c>
      <c r="I4130" s="35">
        <f>H4130-F4130*VLOOKUP(銷售總表!B4130,產品!$A$2:$H$61,8,FALSE)</f>
        <v>48600</v>
      </c>
      <c r="J4130" s="20">
        <f t="shared" si="64"/>
        <v>0.29347826086956524</v>
      </c>
    </row>
    <row r="4131" spans="1:10" x14ac:dyDescent="0.3">
      <c r="A4131" s="33">
        <v>4130</v>
      </c>
      <c r="B4131" s="4">
        <v>28</v>
      </c>
      <c r="C4131" s="15">
        <v>4</v>
      </c>
      <c r="D4131" s="16">
        <v>8</v>
      </c>
      <c r="E4131" s="22">
        <v>44653</v>
      </c>
      <c r="F4131" s="19">
        <v>25</v>
      </c>
      <c r="G4131" s="18">
        <v>0.1</v>
      </c>
      <c r="H4131">
        <f>F4131*VLOOKUP(B4131,產品!$A$2:$H$61,7,FALSE)*(1-銷售總表!G4131)</f>
        <v>168750</v>
      </c>
      <c r="I4131" s="35">
        <f>H4131-F4131*VLOOKUP(銷售總表!B4131,產品!$A$2:$H$61,8,FALSE)</f>
        <v>56250</v>
      </c>
      <c r="J4131" s="20">
        <f t="shared" si="64"/>
        <v>0.33333333333333331</v>
      </c>
    </row>
    <row r="4132" spans="1:10" x14ac:dyDescent="0.3">
      <c r="A4132" s="33">
        <v>4131</v>
      </c>
      <c r="B4132" s="4">
        <v>29</v>
      </c>
      <c r="C4132" s="15">
        <v>7</v>
      </c>
      <c r="D4132" s="16">
        <v>3</v>
      </c>
      <c r="E4132" s="22">
        <v>44653</v>
      </c>
      <c r="F4132" s="19">
        <v>25</v>
      </c>
      <c r="G4132" s="18">
        <v>0.11</v>
      </c>
      <c r="H4132">
        <f>F4132*VLOOKUP(B4132,產品!$A$2:$H$61,7,FALSE)*(1-銷售總表!G4132)</f>
        <v>133500</v>
      </c>
      <c r="I4132" s="35">
        <f>H4132-F4132*VLOOKUP(銷售總表!B4132,產品!$A$2:$H$61,8,FALSE)</f>
        <v>43500</v>
      </c>
      <c r="J4132" s="20">
        <f t="shared" si="64"/>
        <v>0.3258426966292135</v>
      </c>
    </row>
    <row r="4133" spans="1:10" x14ac:dyDescent="0.3">
      <c r="A4133" s="33">
        <v>4132</v>
      </c>
      <c r="B4133" s="4">
        <v>21</v>
      </c>
      <c r="C4133" s="15">
        <v>284</v>
      </c>
      <c r="D4133" s="16">
        <v>2</v>
      </c>
      <c r="E4133" s="22">
        <v>44653</v>
      </c>
      <c r="F4133" s="19">
        <v>30</v>
      </c>
      <c r="G4133" s="18">
        <v>0.05</v>
      </c>
      <c r="H4133">
        <f>F4133*VLOOKUP(B4133,產品!$A$2:$H$61,7,FALSE)*(1-銷售總表!G4133)</f>
        <v>51300</v>
      </c>
      <c r="I4133" s="35">
        <f>H4133-F4133*VLOOKUP(銷售總表!B4133,產品!$A$2:$H$61,8,FALSE)</f>
        <v>29700</v>
      </c>
      <c r="J4133" s="20">
        <f t="shared" si="64"/>
        <v>0.57894736842105265</v>
      </c>
    </row>
    <row r="4134" spans="1:10" x14ac:dyDescent="0.3">
      <c r="A4134" s="33">
        <v>4133</v>
      </c>
      <c r="B4134" s="4">
        <v>22</v>
      </c>
      <c r="C4134" s="15">
        <v>8</v>
      </c>
      <c r="D4134" s="16">
        <v>9</v>
      </c>
      <c r="E4134" s="22">
        <v>44653</v>
      </c>
      <c r="F4134" s="19">
        <v>50</v>
      </c>
      <c r="G4134" s="18">
        <v>0.17</v>
      </c>
      <c r="H4134">
        <f>F4134*VLOOKUP(B4134,產品!$A$2:$H$61,7,FALSE)*(1-銷售總表!G4134)</f>
        <v>74700</v>
      </c>
      <c r="I4134" s="35">
        <f>H4134-F4134*VLOOKUP(銷售總表!B4134,產品!$A$2:$H$61,8,FALSE)</f>
        <v>38700</v>
      </c>
      <c r="J4134" s="20">
        <f t="shared" si="64"/>
        <v>0.51807228915662651</v>
      </c>
    </row>
    <row r="4135" spans="1:10" x14ac:dyDescent="0.3">
      <c r="A4135" s="33">
        <v>4134</v>
      </c>
      <c r="B4135" s="4">
        <v>8</v>
      </c>
      <c r="C4135" s="15">
        <v>266</v>
      </c>
      <c r="D4135" s="16">
        <v>1</v>
      </c>
      <c r="E4135" s="22">
        <v>44653</v>
      </c>
      <c r="F4135" s="19">
        <v>50</v>
      </c>
      <c r="G4135" s="18">
        <v>0.11</v>
      </c>
      <c r="H4135">
        <f>F4135*VLOOKUP(B4135,產品!$A$2:$H$61,7,FALSE)*(1-銷售總表!G4135)</f>
        <v>44500</v>
      </c>
      <c r="I4135" s="35">
        <f>H4135-F4135*VLOOKUP(銷售總表!B4135,產品!$A$2:$H$61,8,FALSE)</f>
        <v>24500</v>
      </c>
      <c r="J4135" s="20">
        <f t="shared" si="64"/>
        <v>0.550561797752809</v>
      </c>
    </row>
    <row r="4136" spans="1:10" x14ac:dyDescent="0.3">
      <c r="A4136" s="33">
        <v>4135</v>
      </c>
      <c r="B4136" s="4">
        <v>22</v>
      </c>
      <c r="C4136" s="15">
        <v>276</v>
      </c>
      <c r="D4136" s="16">
        <v>4</v>
      </c>
      <c r="E4136" s="22">
        <v>44653</v>
      </c>
      <c r="F4136" s="19">
        <v>60</v>
      </c>
      <c r="G4136" s="18">
        <v>0.06</v>
      </c>
      <c r="H4136">
        <f>F4136*VLOOKUP(B4136,產品!$A$2:$H$61,7,FALSE)*(1-銷售總表!G4136)</f>
        <v>101520</v>
      </c>
      <c r="I4136" s="35">
        <f>H4136-F4136*VLOOKUP(銷售總表!B4136,產品!$A$2:$H$61,8,FALSE)</f>
        <v>58320</v>
      </c>
      <c r="J4136" s="20">
        <f t="shared" si="64"/>
        <v>0.57446808510638303</v>
      </c>
    </row>
    <row r="4137" spans="1:10" x14ac:dyDescent="0.3">
      <c r="A4137" s="33">
        <v>4136</v>
      </c>
      <c r="B4137" s="4">
        <v>7</v>
      </c>
      <c r="C4137" s="15">
        <v>257</v>
      </c>
      <c r="D4137" s="16">
        <v>4</v>
      </c>
      <c r="E4137" s="22">
        <v>44653</v>
      </c>
      <c r="F4137" s="19">
        <v>70</v>
      </c>
      <c r="G4137" s="18">
        <v>0.17</v>
      </c>
      <c r="H4137">
        <f>F4137*VLOOKUP(B4137,產品!$A$2:$H$61,7,FALSE)*(1-銷售總表!G4137)</f>
        <v>58100</v>
      </c>
      <c r="I4137" s="35">
        <f>H4137-F4137*VLOOKUP(銷售總表!B4137,產品!$A$2:$H$61,8,FALSE)</f>
        <v>30100</v>
      </c>
      <c r="J4137" s="20">
        <f t="shared" si="64"/>
        <v>0.51807228915662651</v>
      </c>
    </row>
    <row r="4138" spans="1:10" x14ac:dyDescent="0.3">
      <c r="A4138" s="33">
        <v>4137</v>
      </c>
      <c r="B4138" s="4">
        <v>32</v>
      </c>
      <c r="C4138" s="15">
        <v>274</v>
      </c>
      <c r="D4138" s="16">
        <v>10</v>
      </c>
      <c r="E4138" s="22">
        <v>44654</v>
      </c>
      <c r="F4138" s="19">
        <v>3</v>
      </c>
      <c r="G4138" s="18">
        <v>0.18</v>
      </c>
      <c r="H4138">
        <f>F4138*VLOOKUP(B4138,產品!$A$2:$H$61,7,FALSE)*(1-銷售總表!G4138)</f>
        <v>18450</v>
      </c>
      <c r="I4138" s="35">
        <f>H4138-F4138*VLOOKUP(銷售總表!B4138,產品!$A$2:$H$61,8,FALSE)</f>
        <v>4950</v>
      </c>
      <c r="J4138" s="20">
        <f t="shared" si="64"/>
        <v>0.26829268292682928</v>
      </c>
    </row>
    <row r="4139" spans="1:10" x14ac:dyDescent="0.3">
      <c r="A4139" s="33">
        <v>4138</v>
      </c>
      <c r="B4139" s="4">
        <v>60</v>
      </c>
      <c r="C4139" s="15">
        <v>134</v>
      </c>
      <c r="D4139" s="16">
        <v>10</v>
      </c>
      <c r="E4139" s="23">
        <v>44654</v>
      </c>
      <c r="F4139">
        <v>6</v>
      </c>
      <c r="G4139" s="20">
        <v>0.19</v>
      </c>
      <c r="H4139">
        <f>F4139*VLOOKUP(B4139,產品!$A$2:$H$61,7,FALSE)*(1-銷售總表!G4139)</f>
        <v>121500.00000000001</v>
      </c>
      <c r="I4139" s="35">
        <f>H4139-F4139*VLOOKUP(銷售總表!B4139,產品!$A$2:$H$61,8,FALSE)</f>
        <v>16500.000000000015</v>
      </c>
      <c r="J4139" s="20">
        <f t="shared" si="64"/>
        <v>0.13580246913580257</v>
      </c>
    </row>
    <row r="4140" spans="1:10" x14ac:dyDescent="0.3">
      <c r="A4140" s="33">
        <v>4139</v>
      </c>
      <c r="B4140" s="4">
        <v>31</v>
      </c>
      <c r="C4140" s="15">
        <v>272</v>
      </c>
      <c r="D4140" s="16">
        <v>6</v>
      </c>
      <c r="E4140" s="22">
        <v>44654</v>
      </c>
      <c r="F4140" s="19">
        <v>6</v>
      </c>
      <c r="G4140" s="18">
        <v>0.06</v>
      </c>
      <c r="H4140">
        <f>F4140*VLOOKUP(B4140,產品!$A$2:$H$61,7,FALSE)*(1-銷售總表!G4140)</f>
        <v>39480</v>
      </c>
      <c r="I4140" s="35">
        <f>H4140-F4140*VLOOKUP(銷售總表!B4140,產品!$A$2:$H$61,8,FALSE)</f>
        <v>14280</v>
      </c>
      <c r="J4140" s="20">
        <f t="shared" si="64"/>
        <v>0.36170212765957449</v>
      </c>
    </row>
    <row r="4141" spans="1:10" x14ac:dyDescent="0.3">
      <c r="A4141" s="33">
        <v>4140</v>
      </c>
      <c r="B4141" s="4">
        <v>51</v>
      </c>
      <c r="C4141" s="15">
        <v>281</v>
      </c>
      <c r="D4141" s="16">
        <v>4</v>
      </c>
      <c r="E4141" s="22">
        <v>44654</v>
      </c>
      <c r="F4141" s="17">
        <v>10</v>
      </c>
      <c r="G4141" s="18">
        <v>0.2</v>
      </c>
      <c r="H4141">
        <f>F4141*VLOOKUP(B4141,產品!$A$2:$H$61,7,FALSE)*(1-銷售總表!G4141)</f>
        <v>160000</v>
      </c>
      <c r="I4141" s="35">
        <f>H4141-F4141*VLOOKUP(銷售總表!B4141,產品!$A$2:$H$61,8,FALSE)</f>
        <v>20000</v>
      </c>
      <c r="J4141" s="20">
        <f t="shared" si="64"/>
        <v>0.125</v>
      </c>
    </row>
    <row r="4142" spans="1:10" x14ac:dyDescent="0.3">
      <c r="A4142" s="33">
        <v>4141</v>
      </c>
      <c r="B4142" s="4">
        <v>1</v>
      </c>
      <c r="C4142" s="15">
        <v>285</v>
      </c>
      <c r="D4142" s="16">
        <v>3</v>
      </c>
      <c r="E4142" s="22">
        <v>44654</v>
      </c>
      <c r="F4142" s="19">
        <v>12</v>
      </c>
      <c r="G4142" s="18">
        <v>0.13</v>
      </c>
      <c r="H4142">
        <f>F4142*VLOOKUP(B4142,產品!$A$2:$H$61,7,FALSE)*(1-銷售總表!G4142)</f>
        <v>10440</v>
      </c>
      <c r="I4142" s="35">
        <f>H4142-F4142*VLOOKUP(銷售總表!B4142,產品!$A$2:$H$61,8,FALSE)</f>
        <v>5640</v>
      </c>
      <c r="J4142" s="20">
        <f t="shared" si="64"/>
        <v>0.54022988505747127</v>
      </c>
    </row>
    <row r="4143" spans="1:10" x14ac:dyDescent="0.3">
      <c r="A4143" s="33">
        <v>4142</v>
      </c>
      <c r="B4143" s="4">
        <v>13</v>
      </c>
      <c r="C4143" s="15">
        <v>121</v>
      </c>
      <c r="D4143" s="16">
        <v>8</v>
      </c>
      <c r="E4143" s="22">
        <v>44654</v>
      </c>
      <c r="F4143" s="19">
        <v>70</v>
      </c>
      <c r="G4143" s="18">
        <v>0.2</v>
      </c>
      <c r="H4143">
        <f>F4143*VLOOKUP(B4143,產品!$A$2:$H$61,7,FALSE)*(1-銷售總表!G4143)</f>
        <v>100800</v>
      </c>
      <c r="I4143" s="35">
        <f>H4143-F4143*VLOOKUP(銷售總表!B4143,產品!$A$2:$H$61,8,FALSE)</f>
        <v>50400</v>
      </c>
      <c r="J4143" s="20">
        <f t="shared" si="64"/>
        <v>0.5</v>
      </c>
    </row>
    <row r="4144" spans="1:10" x14ac:dyDescent="0.3">
      <c r="A4144" s="33">
        <v>4143</v>
      </c>
      <c r="B4144" s="4">
        <v>1</v>
      </c>
      <c r="C4144" s="15">
        <v>276</v>
      </c>
      <c r="D4144" s="16">
        <v>8</v>
      </c>
      <c r="E4144" s="22">
        <v>44654</v>
      </c>
      <c r="F4144" s="19">
        <v>80</v>
      </c>
      <c r="G4144" s="18">
        <v>0.11</v>
      </c>
      <c r="H4144">
        <f>F4144*VLOOKUP(B4144,產品!$A$2:$H$61,7,FALSE)*(1-銷售總表!G4144)</f>
        <v>71200</v>
      </c>
      <c r="I4144" s="35">
        <f>H4144-F4144*VLOOKUP(銷售總表!B4144,產品!$A$2:$H$61,8,FALSE)</f>
        <v>39200</v>
      </c>
      <c r="J4144" s="20">
        <f t="shared" si="64"/>
        <v>0.550561797752809</v>
      </c>
    </row>
    <row r="4145" spans="1:10" x14ac:dyDescent="0.3">
      <c r="A4145" s="33">
        <v>4144</v>
      </c>
      <c r="B4145" s="4">
        <v>44</v>
      </c>
      <c r="C4145" s="15">
        <v>122</v>
      </c>
      <c r="D4145" s="16">
        <v>1</v>
      </c>
      <c r="E4145" s="22">
        <v>44655</v>
      </c>
      <c r="F4145" s="19">
        <v>2</v>
      </c>
      <c r="G4145" s="18">
        <v>0.09</v>
      </c>
      <c r="H4145">
        <f>F4145*VLOOKUP(B4145,產品!$A$2:$H$61,7,FALSE)*(1-銷售總表!G4145)</f>
        <v>36400</v>
      </c>
      <c r="I4145" s="35">
        <f>H4145-F4145*VLOOKUP(銷售總表!B4145,產品!$A$2:$H$61,8,FALSE)</f>
        <v>10400</v>
      </c>
      <c r="J4145" s="20">
        <f t="shared" si="64"/>
        <v>0.2857142857142857</v>
      </c>
    </row>
    <row r="4146" spans="1:10" x14ac:dyDescent="0.3">
      <c r="A4146" s="33">
        <v>4145</v>
      </c>
      <c r="B4146" s="4">
        <v>58</v>
      </c>
      <c r="C4146" s="15">
        <v>6</v>
      </c>
      <c r="D4146" s="16">
        <v>9</v>
      </c>
      <c r="E4146" s="22">
        <v>44655</v>
      </c>
      <c r="F4146" s="19">
        <v>3</v>
      </c>
      <c r="G4146" s="18">
        <v>0.1</v>
      </c>
      <c r="H4146">
        <f>F4146*VLOOKUP(B4146,產品!$A$2:$H$61,7,FALSE)*(1-銷售總表!G4146)</f>
        <v>56700</v>
      </c>
      <c r="I4146" s="35">
        <f>H4146-F4146*VLOOKUP(銷售總表!B4146,產品!$A$2:$H$61,8,FALSE)</f>
        <v>12600.000000000007</v>
      </c>
      <c r="J4146" s="20">
        <f t="shared" si="64"/>
        <v>0.22222222222222235</v>
      </c>
    </row>
    <row r="4147" spans="1:10" x14ac:dyDescent="0.3">
      <c r="A4147" s="33">
        <v>4146</v>
      </c>
      <c r="B4147" s="4">
        <v>59</v>
      </c>
      <c r="C4147" s="15">
        <v>11</v>
      </c>
      <c r="D4147" s="16">
        <v>7</v>
      </c>
      <c r="E4147" s="22">
        <v>44655</v>
      </c>
      <c r="F4147" s="19">
        <v>10</v>
      </c>
      <c r="G4147" s="18">
        <v>0.15</v>
      </c>
      <c r="H4147">
        <f>F4147*VLOOKUP(B4147,產品!$A$2:$H$61,7,FALSE)*(1-銷售總表!G4147)</f>
        <v>204000</v>
      </c>
      <c r="I4147" s="35">
        <f>H4147-F4147*VLOOKUP(銷售總表!B4147,產品!$A$2:$H$61,8,FALSE)</f>
        <v>36000</v>
      </c>
      <c r="J4147" s="20">
        <f t="shared" si="64"/>
        <v>0.17647058823529413</v>
      </c>
    </row>
    <row r="4148" spans="1:10" x14ac:dyDescent="0.3">
      <c r="A4148" s="33">
        <v>4147</v>
      </c>
      <c r="B4148" s="4">
        <v>53</v>
      </c>
      <c r="C4148" s="15">
        <v>7</v>
      </c>
      <c r="D4148" s="16">
        <v>5</v>
      </c>
      <c r="E4148" s="22">
        <v>44655</v>
      </c>
      <c r="F4148" s="19">
        <v>12</v>
      </c>
      <c r="G4148" s="18">
        <v>0.15</v>
      </c>
      <c r="H4148">
        <f>F4148*VLOOKUP(B4148,產品!$A$2:$H$61,7,FALSE)*(1-銷售總表!G4148)</f>
        <v>153000</v>
      </c>
      <c r="I4148" s="35">
        <f>H4148-F4148*VLOOKUP(銷售總表!B4148,產品!$A$2:$H$61,8,FALSE)</f>
        <v>27000</v>
      </c>
      <c r="J4148" s="20">
        <f t="shared" si="64"/>
        <v>0.17647058823529413</v>
      </c>
    </row>
    <row r="4149" spans="1:10" x14ac:dyDescent="0.3">
      <c r="A4149" s="33">
        <v>4148</v>
      </c>
      <c r="B4149" s="4">
        <v>7</v>
      </c>
      <c r="C4149" s="15">
        <v>294</v>
      </c>
      <c r="D4149" s="16">
        <v>10</v>
      </c>
      <c r="E4149" s="22">
        <v>44655</v>
      </c>
      <c r="F4149" s="19">
        <v>60</v>
      </c>
      <c r="G4149" s="18">
        <v>0.16</v>
      </c>
      <c r="H4149">
        <f>F4149*VLOOKUP(B4149,產品!$A$2:$H$61,7,FALSE)*(1-銷售總表!G4149)</f>
        <v>50400</v>
      </c>
      <c r="I4149" s="35">
        <f>H4149-F4149*VLOOKUP(銷售總表!B4149,產品!$A$2:$H$61,8,FALSE)</f>
        <v>26400</v>
      </c>
      <c r="J4149" s="20">
        <f t="shared" si="64"/>
        <v>0.52380952380952384</v>
      </c>
    </row>
    <row r="4150" spans="1:10" x14ac:dyDescent="0.3">
      <c r="A4150" s="33">
        <v>4149</v>
      </c>
      <c r="B4150" s="4">
        <v>19</v>
      </c>
      <c r="C4150" s="15">
        <v>289</v>
      </c>
      <c r="D4150" s="16">
        <v>5</v>
      </c>
      <c r="E4150" s="22">
        <v>44655</v>
      </c>
      <c r="F4150" s="19">
        <v>75</v>
      </c>
      <c r="G4150" s="18">
        <v>0.11</v>
      </c>
      <c r="H4150">
        <f>F4150*VLOOKUP(B4150,產品!$A$2:$H$61,7,FALSE)*(1-銷售總表!G4150)</f>
        <v>120150</v>
      </c>
      <c r="I4150" s="35">
        <f>H4150-F4150*VLOOKUP(銷售總表!B4150,產品!$A$2:$H$61,8,FALSE)</f>
        <v>66150</v>
      </c>
      <c r="J4150" s="20">
        <f t="shared" si="64"/>
        <v>0.550561797752809</v>
      </c>
    </row>
    <row r="4151" spans="1:10" x14ac:dyDescent="0.3">
      <c r="A4151" s="33">
        <v>4150</v>
      </c>
      <c r="B4151" s="4">
        <v>10</v>
      </c>
      <c r="C4151" s="15">
        <v>136</v>
      </c>
      <c r="D4151" s="16">
        <v>4</v>
      </c>
      <c r="E4151" s="22">
        <v>44655</v>
      </c>
      <c r="F4151" s="19">
        <v>80</v>
      </c>
      <c r="G4151" s="18">
        <v>0.06</v>
      </c>
      <c r="H4151">
        <f>F4151*VLOOKUP(B4151,產品!$A$2:$H$61,7,FALSE)*(1-銷售總表!G4151)</f>
        <v>75200</v>
      </c>
      <c r="I4151" s="35">
        <f>H4151-F4151*VLOOKUP(銷售總表!B4151,產品!$A$2:$H$61,8,FALSE)</f>
        <v>43200</v>
      </c>
      <c r="J4151" s="20">
        <f t="shared" si="64"/>
        <v>0.57446808510638303</v>
      </c>
    </row>
    <row r="4152" spans="1:10" x14ac:dyDescent="0.3">
      <c r="A4152" s="33">
        <v>4151</v>
      </c>
      <c r="B4152" s="4">
        <v>23</v>
      </c>
      <c r="C4152" s="15">
        <v>114</v>
      </c>
      <c r="D4152" s="16">
        <v>2</v>
      </c>
      <c r="E4152" s="22">
        <v>44655</v>
      </c>
      <c r="F4152" s="19">
        <v>150</v>
      </c>
      <c r="G4152" s="18">
        <v>0.2</v>
      </c>
      <c r="H4152">
        <f>F4152*VLOOKUP(B4152,產品!$A$2:$H$61,7,FALSE)*(1-銷售總表!G4152)</f>
        <v>216000</v>
      </c>
      <c r="I4152" s="35">
        <f>H4152-F4152*VLOOKUP(銷售總表!B4152,產品!$A$2:$H$61,8,FALSE)</f>
        <v>108000</v>
      </c>
      <c r="J4152" s="20">
        <f t="shared" si="64"/>
        <v>0.5</v>
      </c>
    </row>
    <row r="4153" spans="1:10" x14ac:dyDescent="0.3">
      <c r="A4153" s="33">
        <v>4152</v>
      </c>
      <c r="B4153" s="4">
        <v>10</v>
      </c>
      <c r="C4153" s="15">
        <v>12</v>
      </c>
      <c r="D4153" s="16">
        <v>6</v>
      </c>
      <c r="E4153" s="22">
        <v>44655</v>
      </c>
      <c r="F4153" s="19">
        <v>150</v>
      </c>
      <c r="G4153" s="18">
        <v>0.1</v>
      </c>
      <c r="H4153">
        <f>F4153*VLOOKUP(B4153,產品!$A$2:$H$61,7,FALSE)*(1-銷售總表!G4153)</f>
        <v>135000</v>
      </c>
      <c r="I4153" s="35">
        <f>H4153-F4153*VLOOKUP(銷售總表!B4153,產品!$A$2:$H$61,8,FALSE)</f>
        <v>75000</v>
      </c>
      <c r="J4153" s="20">
        <f t="shared" si="64"/>
        <v>0.55555555555555558</v>
      </c>
    </row>
    <row r="4154" spans="1:10" x14ac:dyDescent="0.3">
      <c r="A4154" s="33">
        <v>4153</v>
      </c>
      <c r="B4154" s="4">
        <v>45</v>
      </c>
      <c r="C4154" s="15">
        <v>269</v>
      </c>
      <c r="D4154" s="16">
        <v>4</v>
      </c>
      <c r="E4154" s="22">
        <v>44656</v>
      </c>
      <c r="F4154" s="19">
        <v>3</v>
      </c>
      <c r="G4154" s="18">
        <v>0.06</v>
      </c>
      <c r="H4154">
        <f>F4154*VLOOKUP(B4154,產品!$A$2:$H$61,7,FALSE)*(1-銷售總表!G4154)</f>
        <v>39480</v>
      </c>
      <c r="I4154" s="35">
        <f>H4154-F4154*VLOOKUP(銷售總表!B4154,產品!$A$2:$H$61,8,FALSE)</f>
        <v>12180</v>
      </c>
      <c r="J4154" s="20">
        <f t="shared" si="64"/>
        <v>0.30851063829787234</v>
      </c>
    </row>
    <row r="4155" spans="1:10" x14ac:dyDescent="0.3">
      <c r="A4155" s="33">
        <v>4154</v>
      </c>
      <c r="B4155" s="4">
        <v>50</v>
      </c>
      <c r="C4155" s="15">
        <v>277</v>
      </c>
      <c r="D4155" s="16">
        <v>2</v>
      </c>
      <c r="E4155" s="22">
        <v>44656</v>
      </c>
      <c r="F4155" s="19">
        <v>4</v>
      </c>
      <c r="G4155" s="18">
        <v>0.05</v>
      </c>
      <c r="H4155">
        <f>F4155*VLOOKUP(B4155,產品!$A$2:$H$61,7,FALSE)*(1-銷售總表!G4155)</f>
        <v>68400</v>
      </c>
      <c r="I4155" s="35">
        <f>H4155-F4155*VLOOKUP(銷售總表!B4155,產品!$A$2:$H$61,8,FALSE)</f>
        <v>18000</v>
      </c>
      <c r="J4155" s="20">
        <f t="shared" si="64"/>
        <v>0.26315789473684209</v>
      </c>
    </row>
    <row r="4156" spans="1:10" x14ac:dyDescent="0.3">
      <c r="A4156" s="33">
        <v>4155</v>
      </c>
      <c r="B4156" s="4">
        <v>50</v>
      </c>
      <c r="C4156" s="15">
        <v>121</v>
      </c>
      <c r="D4156" s="16">
        <v>7</v>
      </c>
      <c r="E4156" s="22">
        <v>44656</v>
      </c>
      <c r="F4156" s="19">
        <v>6</v>
      </c>
      <c r="G4156" s="18">
        <v>0.12</v>
      </c>
      <c r="H4156">
        <f>F4156*VLOOKUP(B4156,產品!$A$2:$H$61,7,FALSE)*(1-銷售總表!G4156)</f>
        <v>95040</v>
      </c>
      <c r="I4156" s="35">
        <f>H4156-F4156*VLOOKUP(銷售總表!B4156,產品!$A$2:$H$61,8,FALSE)</f>
        <v>19440</v>
      </c>
      <c r="J4156" s="20">
        <f t="shared" si="64"/>
        <v>0.20454545454545456</v>
      </c>
    </row>
    <row r="4157" spans="1:10" x14ac:dyDescent="0.3">
      <c r="A4157" s="33">
        <v>4156</v>
      </c>
      <c r="B4157" s="4">
        <v>6</v>
      </c>
      <c r="C4157" s="15">
        <v>125</v>
      </c>
      <c r="D4157" s="16">
        <v>5</v>
      </c>
      <c r="E4157" s="22">
        <v>44656</v>
      </c>
      <c r="F4157" s="19">
        <v>15</v>
      </c>
      <c r="G4157" s="18">
        <v>0.13</v>
      </c>
      <c r="H4157">
        <f>F4157*VLOOKUP(B4157,產品!$A$2:$H$61,7,FALSE)*(1-銷售總表!G4157)</f>
        <v>13050</v>
      </c>
      <c r="I4157" s="35">
        <f>H4157-F4157*VLOOKUP(銷售總表!B4157,產品!$A$2:$H$61,8,FALSE)</f>
        <v>7050</v>
      </c>
      <c r="J4157" s="20">
        <f t="shared" si="64"/>
        <v>0.54022988505747127</v>
      </c>
    </row>
    <row r="4158" spans="1:10" x14ac:dyDescent="0.3">
      <c r="A4158" s="33">
        <v>4157</v>
      </c>
      <c r="B4158" s="4">
        <v>23</v>
      </c>
      <c r="C4158" s="15">
        <v>276</v>
      </c>
      <c r="D4158" s="16">
        <v>5</v>
      </c>
      <c r="E4158" s="22">
        <v>44656</v>
      </c>
      <c r="F4158" s="19">
        <v>70</v>
      </c>
      <c r="G4158" s="18">
        <v>0.1</v>
      </c>
      <c r="H4158">
        <f>F4158*VLOOKUP(B4158,產品!$A$2:$H$61,7,FALSE)*(1-銷售總表!G4158)</f>
        <v>113400</v>
      </c>
      <c r="I4158" s="35">
        <f>H4158-F4158*VLOOKUP(銷售總表!B4158,產品!$A$2:$H$61,8,FALSE)</f>
        <v>63000</v>
      </c>
      <c r="J4158" s="20">
        <f t="shared" si="64"/>
        <v>0.55555555555555558</v>
      </c>
    </row>
    <row r="4159" spans="1:10" x14ac:dyDescent="0.3">
      <c r="A4159" s="33">
        <v>4158</v>
      </c>
      <c r="B4159" s="4">
        <v>36</v>
      </c>
      <c r="C4159" s="15">
        <v>263</v>
      </c>
      <c r="D4159" s="16">
        <v>2</v>
      </c>
      <c r="E4159" s="22">
        <v>44657</v>
      </c>
      <c r="F4159" s="19">
        <v>7</v>
      </c>
      <c r="G4159" s="18">
        <v>0.05</v>
      </c>
      <c r="H4159">
        <f>F4159*VLOOKUP(B4159,產品!$A$2:$H$61,7,FALSE)*(1-銷售總表!G4159)</f>
        <v>59850</v>
      </c>
      <c r="I4159" s="35">
        <f>H4159-F4159*VLOOKUP(銷售總表!B4159,產品!$A$2:$H$61,8,FALSE)</f>
        <v>22050</v>
      </c>
      <c r="J4159" s="20">
        <f t="shared" si="64"/>
        <v>0.36842105263157893</v>
      </c>
    </row>
    <row r="4160" spans="1:10" x14ac:dyDescent="0.3">
      <c r="A4160" s="33">
        <v>4159</v>
      </c>
      <c r="B4160" s="4">
        <v>48</v>
      </c>
      <c r="C4160" s="15">
        <v>259</v>
      </c>
      <c r="D4160" s="16">
        <v>7</v>
      </c>
      <c r="E4160" s="22">
        <v>44657</v>
      </c>
      <c r="F4160" s="19">
        <v>13</v>
      </c>
      <c r="G4160" s="18">
        <v>0.17</v>
      </c>
      <c r="H4160">
        <f>F4160*VLOOKUP(B4160,產品!$A$2:$H$61,7,FALSE)*(1-銷售總表!G4160)</f>
        <v>237380</v>
      </c>
      <c r="I4160" s="35">
        <f>H4160-F4160*VLOOKUP(銷售總表!B4160,產品!$A$2:$H$61,8,FALSE)</f>
        <v>51480</v>
      </c>
      <c r="J4160" s="20">
        <f t="shared" si="64"/>
        <v>0.21686746987951808</v>
      </c>
    </row>
    <row r="4161" spans="1:10" x14ac:dyDescent="0.3">
      <c r="A4161" s="33">
        <v>4160</v>
      </c>
      <c r="B4161" s="4">
        <v>15</v>
      </c>
      <c r="C4161" s="15">
        <v>4</v>
      </c>
      <c r="D4161" s="16">
        <v>9</v>
      </c>
      <c r="E4161" s="22">
        <v>44657</v>
      </c>
      <c r="F4161" s="19">
        <v>20</v>
      </c>
      <c r="G4161" s="18">
        <v>0.14000000000000001</v>
      </c>
      <c r="H4161">
        <f>F4161*VLOOKUP(B4161,產品!$A$2:$H$61,7,FALSE)*(1-銷售總表!G4161)</f>
        <v>30960</v>
      </c>
      <c r="I4161" s="35">
        <f>H4161-F4161*VLOOKUP(銷售總表!B4161,產品!$A$2:$H$61,8,FALSE)</f>
        <v>16560</v>
      </c>
      <c r="J4161" s="20">
        <f t="shared" si="64"/>
        <v>0.53488372093023251</v>
      </c>
    </row>
    <row r="4162" spans="1:10" x14ac:dyDescent="0.3">
      <c r="A4162" s="33">
        <v>4161</v>
      </c>
      <c r="B4162" s="4">
        <v>18</v>
      </c>
      <c r="C4162" s="15">
        <v>270</v>
      </c>
      <c r="D4162" s="16">
        <v>8</v>
      </c>
      <c r="E4162" s="22">
        <v>44657</v>
      </c>
      <c r="F4162" s="19">
        <v>50</v>
      </c>
      <c r="G4162" s="18">
        <v>0.17</v>
      </c>
      <c r="H4162">
        <f>F4162*VLOOKUP(B4162,產品!$A$2:$H$61,7,FALSE)*(1-銷售總表!G4162)</f>
        <v>74700</v>
      </c>
      <c r="I4162" s="35">
        <f>H4162-F4162*VLOOKUP(銷售總表!B4162,產品!$A$2:$H$61,8,FALSE)</f>
        <v>38700</v>
      </c>
      <c r="J4162" s="20">
        <f t="shared" si="64"/>
        <v>0.51807228915662651</v>
      </c>
    </row>
    <row r="4163" spans="1:10" x14ac:dyDescent="0.3">
      <c r="A4163" s="33">
        <v>4162</v>
      </c>
      <c r="B4163" s="4">
        <v>4</v>
      </c>
      <c r="C4163" s="15">
        <v>292</v>
      </c>
      <c r="D4163" s="16">
        <v>6</v>
      </c>
      <c r="E4163" s="22">
        <v>44657</v>
      </c>
      <c r="F4163" s="19">
        <v>200</v>
      </c>
      <c r="G4163" s="18">
        <v>0.08</v>
      </c>
      <c r="H4163">
        <f>F4163*VLOOKUP(B4163,產品!$A$2:$H$61,7,FALSE)*(1-銷售總表!G4163)</f>
        <v>184000</v>
      </c>
      <c r="I4163" s="35">
        <f>H4163-F4163*VLOOKUP(銷售總表!B4163,產品!$A$2:$H$61,8,FALSE)</f>
        <v>104000</v>
      </c>
      <c r="J4163" s="20">
        <f t="shared" ref="J4163:J4226" si="65">I4163/H4163</f>
        <v>0.56521739130434778</v>
      </c>
    </row>
    <row r="4164" spans="1:10" x14ac:dyDescent="0.3">
      <c r="A4164" s="33">
        <v>4163</v>
      </c>
      <c r="B4164" s="4">
        <v>12</v>
      </c>
      <c r="C4164" s="15">
        <v>271</v>
      </c>
      <c r="D4164" s="16">
        <v>9</v>
      </c>
      <c r="E4164" s="22">
        <v>44657</v>
      </c>
      <c r="F4164" s="19">
        <v>200</v>
      </c>
      <c r="G4164" s="18">
        <v>0.17</v>
      </c>
      <c r="H4164">
        <f>F4164*VLOOKUP(B4164,產品!$A$2:$H$61,7,FALSE)*(1-銷售總表!G4164)</f>
        <v>166000</v>
      </c>
      <c r="I4164" s="35">
        <f>H4164-F4164*VLOOKUP(銷售總表!B4164,產品!$A$2:$H$61,8,FALSE)</f>
        <v>86000</v>
      </c>
      <c r="J4164" s="20">
        <f t="shared" si="65"/>
        <v>0.51807228915662651</v>
      </c>
    </row>
    <row r="4165" spans="1:10" x14ac:dyDescent="0.3">
      <c r="A4165" s="33">
        <v>4164</v>
      </c>
      <c r="B4165" s="4">
        <v>16</v>
      </c>
      <c r="C4165" s="15">
        <v>124</v>
      </c>
      <c r="D4165" s="16">
        <v>1</v>
      </c>
      <c r="E4165" s="22">
        <v>44658</v>
      </c>
      <c r="F4165" s="19">
        <v>10</v>
      </c>
      <c r="G4165" s="18">
        <v>0.08</v>
      </c>
      <c r="H4165">
        <f>F4165*VLOOKUP(B4165,產品!$A$2:$H$61,7,FALSE)*(1-銷售總表!G4165)</f>
        <v>16560</v>
      </c>
      <c r="I4165" s="35">
        <f>H4165-F4165*VLOOKUP(銷售總表!B4165,產品!$A$2:$H$61,8,FALSE)</f>
        <v>9360</v>
      </c>
      <c r="J4165" s="20">
        <f t="shared" si="65"/>
        <v>0.56521739130434778</v>
      </c>
    </row>
    <row r="4166" spans="1:10" x14ac:dyDescent="0.3">
      <c r="A4166" s="33">
        <v>4165</v>
      </c>
      <c r="B4166" s="4">
        <v>44</v>
      </c>
      <c r="C4166" s="15">
        <v>8</v>
      </c>
      <c r="D4166" s="16">
        <v>1</v>
      </c>
      <c r="E4166" s="22">
        <v>44658</v>
      </c>
      <c r="F4166" s="19">
        <v>13</v>
      </c>
      <c r="G4166" s="18">
        <v>0.15</v>
      </c>
      <c r="H4166">
        <f>F4166*VLOOKUP(B4166,產品!$A$2:$H$61,7,FALSE)*(1-銷售總表!G4166)</f>
        <v>221000</v>
      </c>
      <c r="I4166" s="35">
        <f>H4166-F4166*VLOOKUP(銷售總表!B4166,產品!$A$2:$H$61,8,FALSE)</f>
        <v>52000</v>
      </c>
      <c r="J4166" s="20">
        <f t="shared" si="65"/>
        <v>0.23529411764705882</v>
      </c>
    </row>
    <row r="4167" spans="1:10" x14ac:dyDescent="0.3">
      <c r="A4167" s="33">
        <v>4166</v>
      </c>
      <c r="B4167" s="4">
        <v>31</v>
      </c>
      <c r="C4167" s="15">
        <v>4</v>
      </c>
      <c r="D4167" s="16">
        <v>6</v>
      </c>
      <c r="E4167" s="22">
        <v>44658</v>
      </c>
      <c r="F4167" s="19">
        <v>15</v>
      </c>
      <c r="G4167" s="18">
        <v>0.16</v>
      </c>
      <c r="H4167">
        <f>F4167*VLOOKUP(B4167,產品!$A$2:$H$61,7,FALSE)*(1-銷售總表!G4167)</f>
        <v>88200</v>
      </c>
      <c r="I4167" s="35">
        <f>H4167-F4167*VLOOKUP(銷售總表!B4167,產品!$A$2:$H$61,8,FALSE)</f>
        <v>25200</v>
      </c>
      <c r="J4167" s="20">
        <f t="shared" si="65"/>
        <v>0.2857142857142857</v>
      </c>
    </row>
    <row r="4168" spans="1:10" x14ac:dyDescent="0.3">
      <c r="A4168" s="33">
        <v>4167</v>
      </c>
      <c r="B4168" s="4">
        <v>14</v>
      </c>
      <c r="C4168" s="15">
        <v>139</v>
      </c>
      <c r="D4168" s="16">
        <v>4</v>
      </c>
      <c r="E4168" s="22">
        <v>44658</v>
      </c>
      <c r="F4168" s="19">
        <v>30</v>
      </c>
      <c r="G4168" s="18">
        <v>0.13</v>
      </c>
      <c r="H4168">
        <f>F4168*VLOOKUP(B4168,產品!$A$2:$H$61,7,FALSE)*(1-銷售總表!G4168)</f>
        <v>46980</v>
      </c>
      <c r="I4168" s="35">
        <f>H4168-F4168*VLOOKUP(銷售總表!B4168,產品!$A$2:$H$61,8,FALSE)</f>
        <v>25380</v>
      </c>
      <c r="J4168" s="20">
        <f t="shared" si="65"/>
        <v>0.54022988505747127</v>
      </c>
    </row>
    <row r="4169" spans="1:10" x14ac:dyDescent="0.3">
      <c r="A4169" s="33">
        <v>4168</v>
      </c>
      <c r="B4169" s="4">
        <v>17</v>
      </c>
      <c r="C4169" s="15">
        <v>279</v>
      </c>
      <c r="D4169" s="16">
        <v>10</v>
      </c>
      <c r="E4169" s="22">
        <v>44658</v>
      </c>
      <c r="F4169" s="19">
        <v>60</v>
      </c>
      <c r="G4169" s="18">
        <v>0.06</v>
      </c>
      <c r="H4169">
        <f>F4169*VLOOKUP(B4169,產品!$A$2:$H$61,7,FALSE)*(1-銷售總表!G4169)</f>
        <v>101520</v>
      </c>
      <c r="I4169" s="35">
        <f>H4169-F4169*VLOOKUP(銷售總表!B4169,產品!$A$2:$H$61,8,FALSE)</f>
        <v>58320</v>
      </c>
      <c r="J4169" s="20">
        <f t="shared" si="65"/>
        <v>0.57446808510638303</v>
      </c>
    </row>
    <row r="4170" spans="1:10" x14ac:dyDescent="0.3">
      <c r="A4170" s="33">
        <v>4169</v>
      </c>
      <c r="B4170" s="4">
        <v>23</v>
      </c>
      <c r="C4170" s="15">
        <v>282</v>
      </c>
      <c r="D4170" s="16">
        <v>8</v>
      </c>
      <c r="E4170" s="22">
        <v>44658</v>
      </c>
      <c r="F4170" s="19">
        <v>60</v>
      </c>
      <c r="G4170" s="18">
        <v>0.11</v>
      </c>
      <c r="H4170">
        <f>F4170*VLOOKUP(B4170,產品!$A$2:$H$61,7,FALSE)*(1-銷售總表!G4170)</f>
        <v>96120</v>
      </c>
      <c r="I4170" s="35">
        <f>H4170-F4170*VLOOKUP(銷售總表!B4170,產品!$A$2:$H$61,8,FALSE)</f>
        <v>52920</v>
      </c>
      <c r="J4170" s="20">
        <f t="shared" si="65"/>
        <v>0.550561797752809</v>
      </c>
    </row>
    <row r="4171" spans="1:10" x14ac:dyDescent="0.3">
      <c r="A4171" s="33">
        <v>4170</v>
      </c>
      <c r="B4171" s="4">
        <v>26</v>
      </c>
      <c r="C4171" s="15">
        <v>270</v>
      </c>
      <c r="D4171" s="16">
        <v>9</v>
      </c>
      <c r="E4171" s="22">
        <v>44659</v>
      </c>
      <c r="F4171" s="19">
        <v>2</v>
      </c>
      <c r="G4171" s="18">
        <v>0.06</v>
      </c>
      <c r="H4171">
        <f>F4171*VLOOKUP(B4171,產品!$A$2:$H$61,7,FALSE)*(1-銷售總表!G4171)</f>
        <v>12220</v>
      </c>
      <c r="I4171" s="35">
        <f>H4171-F4171*VLOOKUP(銷售總表!B4171,產品!$A$2:$H$61,8,FALSE)</f>
        <v>4420</v>
      </c>
      <c r="J4171" s="20">
        <f t="shared" si="65"/>
        <v>0.36170212765957449</v>
      </c>
    </row>
    <row r="4172" spans="1:10" x14ac:dyDescent="0.3">
      <c r="A4172" s="33">
        <v>4171</v>
      </c>
      <c r="B4172" s="4">
        <v>38</v>
      </c>
      <c r="C4172" s="15">
        <v>290</v>
      </c>
      <c r="D4172" s="16">
        <v>1</v>
      </c>
      <c r="E4172" s="22">
        <v>44659</v>
      </c>
      <c r="F4172" s="19">
        <v>3</v>
      </c>
      <c r="G4172" s="18">
        <v>7.0000000000000007E-2</v>
      </c>
      <c r="H4172">
        <f>F4172*VLOOKUP(B4172,產品!$A$2:$H$61,7,FALSE)*(1-銷售總表!G4172)</f>
        <v>41850</v>
      </c>
      <c r="I4172" s="35">
        <f>H4172-F4172*VLOOKUP(銷售總表!B4172,產品!$A$2:$H$61,8,FALSE)</f>
        <v>12600</v>
      </c>
      <c r="J4172" s="20">
        <f t="shared" si="65"/>
        <v>0.30107526881720431</v>
      </c>
    </row>
    <row r="4173" spans="1:10" x14ac:dyDescent="0.3">
      <c r="A4173" s="33">
        <v>4172</v>
      </c>
      <c r="B4173" s="4">
        <v>55</v>
      </c>
      <c r="C4173" s="15">
        <v>5</v>
      </c>
      <c r="D4173" s="16">
        <v>6</v>
      </c>
      <c r="E4173" s="22">
        <v>44659</v>
      </c>
      <c r="F4173" s="19">
        <v>13</v>
      </c>
      <c r="G4173" s="18">
        <v>0.1</v>
      </c>
      <c r="H4173">
        <f>F4173*VLOOKUP(B4173,產品!$A$2:$H$61,7,FALSE)*(1-銷售總表!G4173)</f>
        <v>234000</v>
      </c>
      <c r="I4173" s="35">
        <f>H4173-F4173*VLOOKUP(銷售總表!B4173,產品!$A$2:$H$61,8,FALSE)</f>
        <v>52000</v>
      </c>
      <c r="J4173" s="20">
        <f t="shared" si="65"/>
        <v>0.22222222222222221</v>
      </c>
    </row>
    <row r="4174" spans="1:10" x14ac:dyDescent="0.3">
      <c r="A4174" s="33">
        <v>4173</v>
      </c>
      <c r="B4174" s="4">
        <v>3</v>
      </c>
      <c r="C4174" s="15">
        <v>112</v>
      </c>
      <c r="D4174" s="16">
        <v>2</v>
      </c>
      <c r="E4174" s="22">
        <v>44659</v>
      </c>
      <c r="F4174" s="19">
        <v>19</v>
      </c>
      <c r="G4174" s="18">
        <v>0.06</v>
      </c>
      <c r="H4174">
        <f>F4174*VLOOKUP(B4174,產品!$A$2:$H$61,7,FALSE)*(1-銷售總表!G4174)</f>
        <v>17860</v>
      </c>
      <c r="I4174" s="35">
        <f>H4174-F4174*VLOOKUP(銷售總表!B4174,產品!$A$2:$H$61,8,FALSE)</f>
        <v>10260</v>
      </c>
      <c r="J4174" s="20">
        <f t="shared" si="65"/>
        <v>0.57446808510638303</v>
      </c>
    </row>
    <row r="4175" spans="1:10" x14ac:dyDescent="0.3">
      <c r="A4175" s="33">
        <v>4174</v>
      </c>
      <c r="B4175" s="4">
        <v>15</v>
      </c>
      <c r="C4175" s="15">
        <v>124</v>
      </c>
      <c r="D4175" s="16">
        <v>9</v>
      </c>
      <c r="E4175" s="22">
        <v>44659</v>
      </c>
      <c r="F4175" s="19">
        <v>20</v>
      </c>
      <c r="G4175" s="18">
        <v>0.08</v>
      </c>
      <c r="H4175">
        <f>F4175*VLOOKUP(B4175,產品!$A$2:$H$61,7,FALSE)*(1-銷售總表!G4175)</f>
        <v>33120</v>
      </c>
      <c r="I4175" s="35">
        <f>H4175-F4175*VLOOKUP(銷售總表!B4175,產品!$A$2:$H$61,8,FALSE)</f>
        <v>18720</v>
      </c>
      <c r="J4175" s="20">
        <f t="shared" si="65"/>
        <v>0.56521739130434778</v>
      </c>
    </row>
    <row r="4176" spans="1:10" x14ac:dyDescent="0.3">
      <c r="A4176" s="33">
        <v>4175</v>
      </c>
      <c r="B4176" s="4">
        <v>22</v>
      </c>
      <c r="C4176" s="15">
        <v>261</v>
      </c>
      <c r="D4176" s="16">
        <v>4</v>
      </c>
      <c r="E4176" s="22">
        <v>44659</v>
      </c>
      <c r="F4176" s="19">
        <v>20</v>
      </c>
      <c r="G4176" s="18">
        <v>0.09</v>
      </c>
      <c r="H4176">
        <f>F4176*VLOOKUP(B4176,產品!$A$2:$H$61,7,FALSE)*(1-銷售總表!G4176)</f>
        <v>32760</v>
      </c>
      <c r="I4176" s="35">
        <f>H4176-F4176*VLOOKUP(銷售總表!B4176,產品!$A$2:$H$61,8,FALSE)</f>
        <v>18360</v>
      </c>
      <c r="J4176" s="20">
        <f t="shared" si="65"/>
        <v>0.56043956043956045</v>
      </c>
    </row>
    <row r="4177" spans="1:10" x14ac:dyDescent="0.3">
      <c r="A4177" s="33">
        <v>4176</v>
      </c>
      <c r="B4177" s="4">
        <v>6</v>
      </c>
      <c r="C4177" s="15">
        <v>10</v>
      </c>
      <c r="D4177" s="16">
        <v>4</v>
      </c>
      <c r="E4177" s="22">
        <v>44659</v>
      </c>
      <c r="F4177" s="19">
        <v>20</v>
      </c>
      <c r="G4177" s="18">
        <v>0.12</v>
      </c>
      <c r="H4177">
        <f>F4177*VLOOKUP(B4177,產品!$A$2:$H$61,7,FALSE)*(1-銷售總表!G4177)</f>
        <v>17600</v>
      </c>
      <c r="I4177" s="35">
        <f>H4177-F4177*VLOOKUP(銷售總表!B4177,產品!$A$2:$H$61,8,FALSE)</f>
        <v>9600</v>
      </c>
      <c r="J4177" s="20">
        <f t="shared" si="65"/>
        <v>0.54545454545454541</v>
      </c>
    </row>
    <row r="4178" spans="1:10" x14ac:dyDescent="0.3">
      <c r="A4178" s="33">
        <v>4177</v>
      </c>
      <c r="B4178" s="4">
        <v>13</v>
      </c>
      <c r="C4178" s="15">
        <v>123</v>
      </c>
      <c r="D4178" s="16">
        <v>4</v>
      </c>
      <c r="E4178" s="22">
        <v>44659</v>
      </c>
      <c r="F4178" s="19">
        <v>80</v>
      </c>
      <c r="G4178" s="18">
        <v>0.12</v>
      </c>
      <c r="H4178">
        <f>F4178*VLOOKUP(B4178,產品!$A$2:$H$61,7,FALSE)*(1-銷售總表!G4178)</f>
        <v>126720</v>
      </c>
      <c r="I4178" s="35">
        <f>H4178-F4178*VLOOKUP(銷售總表!B4178,產品!$A$2:$H$61,8,FALSE)</f>
        <v>69120</v>
      </c>
      <c r="J4178" s="20">
        <f t="shared" si="65"/>
        <v>0.54545454545454541</v>
      </c>
    </row>
    <row r="4179" spans="1:10" x14ac:dyDescent="0.3">
      <c r="A4179" s="33">
        <v>4178</v>
      </c>
      <c r="B4179" s="4">
        <v>8</v>
      </c>
      <c r="C4179" s="15">
        <v>5</v>
      </c>
      <c r="D4179" s="16">
        <v>2</v>
      </c>
      <c r="E4179" s="22">
        <v>44659</v>
      </c>
      <c r="F4179" s="19">
        <v>100</v>
      </c>
      <c r="G4179" s="18">
        <v>7.0000000000000007E-2</v>
      </c>
      <c r="H4179">
        <f>F4179*VLOOKUP(B4179,產品!$A$2:$H$61,7,FALSE)*(1-銷售總表!G4179)</f>
        <v>93000</v>
      </c>
      <c r="I4179" s="35">
        <f>H4179-F4179*VLOOKUP(銷售總表!B4179,產品!$A$2:$H$61,8,FALSE)</f>
        <v>53000</v>
      </c>
      <c r="J4179" s="20">
        <f t="shared" si="65"/>
        <v>0.56989247311827962</v>
      </c>
    </row>
    <row r="4180" spans="1:10" x14ac:dyDescent="0.3">
      <c r="A4180" s="33">
        <v>4179</v>
      </c>
      <c r="B4180" s="4">
        <v>11</v>
      </c>
      <c r="C4180" s="15">
        <v>4</v>
      </c>
      <c r="D4180" s="16">
        <v>5</v>
      </c>
      <c r="E4180" s="22">
        <v>44659</v>
      </c>
      <c r="F4180" s="19">
        <v>200</v>
      </c>
      <c r="G4180" s="18">
        <v>0.09</v>
      </c>
      <c r="H4180">
        <f>F4180*VLOOKUP(B4180,產品!$A$2:$H$61,7,FALSE)*(1-銷售總表!G4180)</f>
        <v>182000</v>
      </c>
      <c r="I4180" s="35">
        <f>H4180-F4180*VLOOKUP(銷售總表!B4180,產品!$A$2:$H$61,8,FALSE)</f>
        <v>102000</v>
      </c>
      <c r="J4180" s="20">
        <f t="shared" si="65"/>
        <v>0.56043956043956045</v>
      </c>
    </row>
    <row r="4181" spans="1:10" x14ac:dyDescent="0.3">
      <c r="A4181" s="33">
        <v>4180</v>
      </c>
      <c r="B4181" s="4">
        <v>56</v>
      </c>
      <c r="C4181" s="15">
        <v>4</v>
      </c>
      <c r="D4181" s="16">
        <v>10</v>
      </c>
      <c r="E4181" s="22">
        <v>44660</v>
      </c>
      <c r="F4181" s="19">
        <v>3</v>
      </c>
      <c r="G4181" s="18">
        <v>0.1</v>
      </c>
      <c r="H4181">
        <f>F4181*VLOOKUP(B4181,產品!$A$2:$H$61,7,FALSE)*(1-銷售總表!G4181)</f>
        <v>59400</v>
      </c>
      <c r="I4181" s="35">
        <f>H4181-F4181*VLOOKUP(銷售總表!B4181,產品!$A$2:$H$61,8,FALSE)</f>
        <v>13200.000000000007</v>
      </c>
      <c r="J4181" s="20">
        <f t="shared" si="65"/>
        <v>0.22222222222222235</v>
      </c>
    </row>
    <row r="4182" spans="1:10" x14ac:dyDescent="0.3">
      <c r="A4182" s="33">
        <v>4181</v>
      </c>
      <c r="B4182" s="4">
        <v>34</v>
      </c>
      <c r="C4182" s="15">
        <v>293</v>
      </c>
      <c r="D4182" s="16">
        <v>3</v>
      </c>
      <c r="E4182" s="22">
        <v>44660</v>
      </c>
      <c r="F4182" s="19">
        <v>4</v>
      </c>
      <c r="G4182" s="18">
        <v>0.11</v>
      </c>
      <c r="H4182">
        <f>F4182*VLOOKUP(B4182,產品!$A$2:$H$61,7,FALSE)*(1-銷售總表!G4182)</f>
        <v>28480</v>
      </c>
      <c r="I4182" s="35">
        <f>H4182-F4182*VLOOKUP(銷售總表!B4182,產品!$A$2:$H$61,8,FALSE)</f>
        <v>9280</v>
      </c>
      <c r="J4182" s="20">
        <f t="shared" si="65"/>
        <v>0.3258426966292135</v>
      </c>
    </row>
    <row r="4183" spans="1:10" x14ac:dyDescent="0.3">
      <c r="A4183" s="33">
        <v>4182</v>
      </c>
      <c r="B4183" s="4">
        <v>33</v>
      </c>
      <c r="C4183" s="15">
        <v>113</v>
      </c>
      <c r="D4183" s="16">
        <v>10</v>
      </c>
      <c r="E4183" s="22">
        <v>44660</v>
      </c>
      <c r="F4183" s="19">
        <v>9</v>
      </c>
      <c r="G4183" s="18">
        <v>0.2</v>
      </c>
      <c r="H4183">
        <f>F4183*VLOOKUP(B4183,產品!$A$2:$H$61,7,FALSE)*(1-銷售總表!G4183)</f>
        <v>54000</v>
      </c>
      <c r="I4183" s="35">
        <f>H4183-F4183*VLOOKUP(銷售總表!B4183,產品!$A$2:$H$61,8,FALSE)</f>
        <v>13500</v>
      </c>
      <c r="J4183" s="20">
        <f t="shared" si="65"/>
        <v>0.25</v>
      </c>
    </row>
    <row r="4184" spans="1:10" x14ac:dyDescent="0.3">
      <c r="A4184" s="33">
        <v>4183</v>
      </c>
      <c r="B4184" s="4">
        <v>21</v>
      </c>
      <c r="C4184" s="15">
        <v>264</v>
      </c>
      <c r="D4184" s="16">
        <v>3</v>
      </c>
      <c r="E4184" s="22">
        <v>44660</v>
      </c>
      <c r="F4184" s="19">
        <v>30</v>
      </c>
      <c r="G4184" s="18">
        <v>0.19</v>
      </c>
      <c r="H4184">
        <f>F4184*VLOOKUP(B4184,產品!$A$2:$H$61,7,FALSE)*(1-銷售總表!G4184)</f>
        <v>43740</v>
      </c>
      <c r="I4184" s="35">
        <f>H4184-F4184*VLOOKUP(銷售總表!B4184,產品!$A$2:$H$61,8,FALSE)</f>
        <v>22140</v>
      </c>
      <c r="J4184" s="20">
        <f t="shared" si="65"/>
        <v>0.50617283950617287</v>
      </c>
    </row>
    <row r="4185" spans="1:10" x14ac:dyDescent="0.3">
      <c r="A4185" s="33">
        <v>4184</v>
      </c>
      <c r="B4185" s="4">
        <v>8</v>
      </c>
      <c r="C4185" s="15">
        <v>115</v>
      </c>
      <c r="D4185" s="16">
        <v>4</v>
      </c>
      <c r="E4185" s="22">
        <v>44660</v>
      </c>
      <c r="F4185" s="19">
        <v>40</v>
      </c>
      <c r="G4185" s="18">
        <v>0.17</v>
      </c>
      <c r="H4185">
        <f>F4185*VLOOKUP(B4185,產品!$A$2:$H$61,7,FALSE)*(1-銷售總表!G4185)</f>
        <v>33200</v>
      </c>
      <c r="I4185" s="35">
        <f>H4185-F4185*VLOOKUP(銷售總表!B4185,產品!$A$2:$H$61,8,FALSE)</f>
        <v>17200</v>
      </c>
      <c r="J4185" s="20">
        <f t="shared" si="65"/>
        <v>0.51807228915662651</v>
      </c>
    </row>
    <row r="4186" spans="1:10" x14ac:dyDescent="0.3">
      <c r="A4186" s="33">
        <v>4185</v>
      </c>
      <c r="B4186" s="4">
        <v>8</v>
      </c>
      <c r="C4186" s="15">
        <v>9</v>
      </c>
      <c r="D4186" s="16">
        <v>7</v>
      </c>
      <c r="E4186" s="22">
        <v>44660</v>
      </c>
      <c r="F4186" s="19">
        <v>80</v>
      </c>
      <c r="G4186" s="18">
        <v>0.14000000000000001</v>
      </c>
      <c r="H4186">
        <f>F4186*VLOOKUP(B4186,產品!$A$2:$H$61,7,FALSE)*(1-銷售總表!G4186)</f>
        <v>68800</v>
      </c>
      <c r="I4186" s="35">
        <f>H4186-F4186*VLOOKUP(銷售總表!B4186,產品!$A$2:$H$61,8,FALSE)</f>
        <v>36800</v>
      </c>
      <c r="J4186" s="20">
        <f t="shared" si="65"/>
        <v>0.53488372093023251</v>
      </c>
    </row>
    <row r="4187" spans="1:10" x14ac:dyDescent="0.3">
      <c r="A4187" s="33">
        <v>4186</v>
      </c>
      <c r="B4187" s="4">
        <v>5</v>
      </c>
      <c r="C4187" s="15">
        <v>286</v>
      </c>
      <c r="D4187" s="16">
        <v>3</v>
      </c>
      <c r="E4187" s="22">
        <v>44660</v>
      </c>
      <c r="F4187" s="19">
        <v>90</v>
      </c>
      <c r="G4187" s="18">
        <v>0.05</v>
      </c>
      <c r="H4187">
        <f>F4187*VLOOKUP(B4187,產品!$A$2:$H$61,7,FALSE)*(1-銷售總表!G4187)</f>
        <v>85500</v>
      </c>
      <c r="I4187" s="35">
        <f>H4187-F4187*VLOOKUP(銷售總表!B4187,產品!$A$2:$H$61,8,FALSE)</f>
        <v>49500</v>
      </c>
      <c r="J4187" s="20">
        <f t="shared" si="65"/>
        <v>0.57894736842105265</v>
      </c>
    </row>
    <row r="4188" spans="1:10" x14ac:dyDescent="0.3">
      <c r="A4188" s="33">
        <v>4187</v>
      </c>
      <c r="B4188" s="4">
        <v>42</v>
      </c>
      <c r="C4188" s="15">
        <v>121</v>
      </c>
      <c r="D4188" s="16">
        <v>2</v>
      </c>
      <c r="E4188" s="22">
        <v>44661</v>
      </c>
      <c r="F4188" s="19">
        <v>2</v>
      </c>
      <c r="G4188" s="18">
        <v>0.08</v>
      </c>
      <c r="H4188">
        <f>F4188*VLOOKUP(B4188,產品!$A$2:$H$61,7,FALSE)*(1-銷售總表!G4188)</f>
        <v>27600</v>
      </c>
      <c r="I4188" s="35">
        <f>H4188-F4188*VLOOKUP(銷售總表!B4188,產品!$A$2:$H$61,8,FALSE)</f>
        <v>8100</v>
      </c>
      <c r="J4188" s="20">
        <f t="shared" si="65"/>
        <v>0.29347826086956524</v>
      </c>
    </row>
    <row r="4189" spans="1:10" x14ac:dyDescent="0.3">
      <c r="A4189" s="33">
        <v>4188</v>
      </c>
      <c r="B4189" s="4">
        <v>29</v>
      </c>
      <c r="C4189" s="15">
        <v>135</v>
      </c>
      <c r="D4189" s="16">
        <v>7</v>
      </c>
      <c r="E4189" s="22">
        <v>44661</v>
      </c>
      <c r="F4189" s="19">
        <v>15</v>
      </c>
      <c r="G4189" s="18">
        <v>7.0000000000000007E-2</v>
      </c>
      <c r="H4189">
        <f>F4189*VLOOKUP(B4189,產品!$A$2:$H$61,7,FALSE)*(1-銷售總表!G4189)</f>
        <v>83700</v>
      </c>
      <c r="I4189" s="35">
        <f>H4189-F4189*VLOOKUP(銷售總表!B4189,產品!$A$2:$H$61,8,FALSE)</f>
        <v>29700</v>
      </c>
      <c r="J4189" s="20">
        <f t="shared" si="65"/>
        <v>0.35483870967741937</v>
      </c>
    </row>
    <row r="4190" spans="1:10" x14ac:dyDescent="0.3">
      <c r="A4190" s="33">
        <v>4189</v>
      </c>
      <c r="B4190" s="4">
        <v>30</v>
      </c>
      <c r="C4190" s="15">
        <v>259</v>
      </c>
      <c r="D4190" s="16">
        <v>1</v>
      </c>
      <c r="E4190" s="22">
        <v>44661</v>
      </c>
      <c r="F4190" s="19">
        <v>40</v>
      </c>
      <c r="G4190" s="18">
        <v>0.09</v>
      </c>
      <c r="H4190">
        <f>F4190*VLOOKUP(B4190,產品!$A$2:$H$61,7,FALSE)*(1-銷售總表!G4190)</f>
        <v>236600</v>
      </c>
      <c r="I4190" s="35">
        <f>H4190-F4190*VLOOKUP(銷售總表!B4190,產品!$A$2:$H$61,8,FALSE)</f>
        <v>80600</v>
      </c>
      <c r="J4190" s="20">
        <f t="shared" si="65"/>
        <v>0.34065934065934067</v>
      </c>
    </row>
    <row r="4191" spans="1:10" x14ac:dyDescent="0.3">
      <c r="A4191" s="33">
        <v>4190</v>
      </c>
      <c r="B4191" s="4">
        <v>10</v>
      </c>
      <c r="C4191" s="15">
        <v>262</v>
      </c>
      <c r="D4191" s="16">
        <v>4</v>
      </c>
      <c r="E4191" s="22">
        <v>44661</v>
      </c>
      <c r="F4191" s="19">
        <v>50</v>
      </c>
      <c r="G4191" s="18">
        <v>0.18</v>
      </c>
      <c r="H4191">
        <f>F4191*VLOOKUP(B4191,產品!$A$2:$H$61,7,FALSE)*(1-銷售總表!G4191)</f>
        <v>41000</v>
      </c>
      <c r="I4191" s="35">
        <f>H4191-F4191*VLOOKUP(銷售總表!B4191,產品!$A$2:$H$61,8,FALSE)</f>
        <v>21000</v>
      </c>
      <c r="J4191" s="20">
        <f t="shared" si="65"/>
        <v>0.51219512195121952</v>
      </c>
    </row>
    <row r="4192" spans="1:10" x14ac:dyDescent="0.3">
      <c r="A4192" s="33">
        <v>4191</v>
      </c>
      <c r="B4192" s="4">
        <v>12</v>
      </c>
      <c r="C4192" s="15">
        <v>264</v>
      </c>
      <c r="D4192" s="16">
        <v>2</v>
      </c>
      <c r="E4192" s="22">
        <v>44661</v>
      </c>
      <c r="F4192" s="19">
        <v>90</v>
      </c>
      <c r="G4192" s="18">
        <v>0.16</v>
      </c>
      <c r="H4192">
        <f>F4192*VLOOKUP(B4192,產品!$A$2:$H$61,7,FALSE)*(1-銷售總表!G4192)</f>
        <v>75600</v>
      </c>
      <c r="I4192" s="35">
        <f>H4192-F4192*VLOOKUP(銷售總表!B4192,產品!$A$2:$H$61,8,FALSE)</f>
        <v>39600</v>
      </c>
      <c r="J4192" s="20">
        <f t="shared" si="65"/>
        <v>0.52380952380952384</v>
      </c>
    </row>
    <row r="4193" spans="1:10" x14ac:dyDescent="0.3">
      <c r="A4193" s="33">
        <v>4192</v>
      </c>
      <c r="B4193" s="4">
        <v>33</v>
      </c>
      <c r="C4193" s="15">
        <v>257</v>
      </c>
      <c r="D4193" s="16">
        <v>7</v>
      </c>
      <c r="E4193" s="22">
        <v>44662</v>
      </c>
      <c r="F4193" s="19">
        <v>5</v>
      </c>
      <c r="G4193" s="18">
        <v>0.12</v>
      </c>
      <c r="H4193">
        <f>F4193*VLOOKUP(B4193,產品!$A$2:$H$61,7,FALSE)*(1-銷售總表!G4193)</f>
        <v>33000</v>
      </c>
      <c r="I4193" s="35">
        <f>H4193-F4193*VLOOKUP(銷售總表!B4193,產品!$A$2:$H$61,8,FALSE)</f>
        <v>10500</v>
      </c>
      <c r="J4193" s="20">
        <f t="shared" si="65"/>
        <v>0.31818181818181818</v>
      </c>
    </row>
    <row r="4194" spans="1:10" x14ac:dyDescent="0.3">
      <c r="A4194" s="33">
        <v>4193</v>
      </c>
      <c r="B4194" s="4">
        <v>3</v>
      </c>
      <c r="C4194" s="15">
        <v>261</v>
      </c>
      <c r="D4194" s="16">
        <v>2</v>
      </c>
      <c r="E4194" s="22">
        <v>44662</v>
      </c>
      <c r="F4194" s="19">
        <v>15</v>
      </c>
      <c r="G4194" s="18">
        <v>0.13</v>
      </c>
      <c r="H4194">
        <f>F4194*VLOOKUP(B4194,產品!$A$2:$H$61,7,FALSE)*(1-銷售總表!G4194)</f>
        <v>13050</v>
      </c>
      <c r="I4194" s="35">
        <f>H4194-F4194*VLOOKUP(銷售總表!B4194,產品!$A$2:$H$61,8,FALSE)</f>
        <v>7050</v>
      </c>
      <c r="J4194" s="20">
        <f t="shared" si="65"/>
        <v>0.54022988505747127</v>
      </c>
    </row>
    <row r="4195" spans="1:10" x14ac:dyDescent="0.3">
      <c r="A4195" s="33">
        <v>4194</v>
      </c>
      <c r="B4195" s="4">
        <v>6</v>
      </c>
      <c r="C4195" s="15">
        <v>10</v>
      </c>
      <c r="D4195" s="16">
        <v>6</v>
      </c>
      <c r="E4195" s="23">
        <v>44662</v>
      </c>
      <c r="F4195">
        <v>80</v>
      </c>
      <c r="G4195" s="20">
        <v>0.1</v>
      </c>
      <c r="H4195">
        <f>F4195*VLOOKUP(B4195,產品!$A$2:$H$61,7,FALSE)*(1-銷售總表!G4195)</f>
        <v>72000</v>
      </c>
      <c r="I4195" s="35">
        <f>H4195-F4195*VLOOKUP(銷售總表!B4195,產品!$A$2:$H$61,8,FALSE)</f>
        <v>40000</v>
      </c>
      <c r="J4195" s="20">
        <f t="shared" si="65"/>
        <v>0.55555555555555558</v>
      </c>
    </row>
    <row r="4196" spans="1:10" x14ac:dyDescent="0.3">
      <c r="A4196" s="33">
        <v>4195</v>
      </c>
      <c r="B4196" s="4">
        <v>7</v>
      </c>
      <c r="C4196" s="15">
        <v>257</v>
      </c>
      <c r="D4196" s="16">
        <v>6</v>
      </c>
      <c r="E4196" s="22">
        <v>44662</v>
      </c>
      <c r="F4196" s="19">
        <v>90</v>
      </c>
      <c r="G4196" s="18">
        <v>0.11</v>
      </c>
      <c r="H4196">
        <f>F4196*VLOOKUP(B4196,產品!$A$2:$H$61,7,FALSE)*(1-銷售總表!G4196)</f>
        <v>80100</v>
      </c>
      <c r="I4196" s="35">
        <f>H4196-F4196*VLOOKUP(銷售總表!B4196,產品!$A$2:$H$61,8,FALSE)</f>
        <v>44100</v>
      </c>
      <c r="J4196" s="20">
        <f t="shared" si="65"/>
        <v>0.550561797752809</v>
      </c>
    </row>
    <row r="4197" spans="1:10" x14ac:dyDescent="0.3">
      <c r="A4197" s="33">
        <v>4196</v>
      </c>
      <c r="B4197" s="4">
        <v>56</v>
      </c>
      <c r="C4197" s="15">
        <v>2</v>
      </c>
      <c r="D4197" s="16">
        <v>9</v>
      </c>
      <c r="E4197" s="22">
        <v>44663</v>
      </c>
      <c r="F4197" s="19">
        <v>3</v>
      </c>
      <c r="G4197" s="18">
        <v>0.15</v>
      </c>
      <c r="H4197">
        <f>F4197*VLOOKUP(B4197,產品!$A$2:$H$61,7,FALSE)*(1-銷售總表!G4197)</f>
        <v>56100</v>
      </c>
      <c r="I4197" s="35">
        <f>H4197-F4197*VLOOKUP(銷售總表!B4197,產品!$A$2:$H$61,8,FALSE)</f>
        <v>9900.0000000000073</v>
      </c>
      <c r="J4197" s="20">
        <f t="shared" si="65"/>
        <v>0.17647058823529424</v>
      </c>
    </row>
    <row r="4198" spans="1:10" x14ac:dyDescent="0.3">
      <c r="A4198" s="33">
        <v>4197</v>
      </c>
      <c r="B4198" s="4">
        <v>47</v>
      </c>
      <c r="C4198" s="15">
        <v>12</v>
      </c>
      <c r="D4198" s="16">
        <v>3</v>
      </c>
      <c r="E4198" s="22">
        <v>44663</v>
      </c>
      <c r="F4198" s="19">
        <v>4</v>
      </c>
      <c r="G4198" s="18">
        <v>0.06</v>
      </c>
      <c r="H4198">
        <f>F4198*VLOOKUP(B4198,產品!$A$2:$H$61,7,FALSE)*(1-銷售總表!G4198)</f>
        <v>75200</v>
      </c>
      <c r="I4198" s="35">
        <f>H4198-F4198*VLOOKUP(銷售總表!B4198,產品!$A$2:$H$61,8,FALSE)</f>
        <v>23200</v>
      </c>
      <c r="J4198" s="20">
        <f t="shared" si="65"/>
        <v>0.30851063829787234</v>
      </c>
    </row>
    <row r="4199" spans="1:10" x14ac:dyDescent="0.3">
      <c r="A4199" s="33">
        <v>4198</v>
      </c>
      <c r="B4199" s="4">
        <v>42</v>
      </c>
      <c r="C4199" s="15">
        <v>116</v>
      </c>
      <c r="D4199" s="16">
        <v>5</v>
      </c>
      <c r="E4199" s="22">
        <v>44663</v>
      </c>
      <c r="F4199" s="17">
        <v>9</v>
      </c>
      <c r="G4199" s="18">
        <v>0.13</v>
      </c>
      <c r="H4199">
        <f>F4199*VLOOKUP(B4199,產品!$A$2:$H$61,7,FALSE)*(1-銷售總表!G4199)</f>
        <v>117450</v>
      </c>
      <c r="I4199" s="35">
        <f>H4199-F4199*VLOOKUP(銷售總表!B4199,產品!$A$2:$H$61,8,FALSE)</f>
        <v>29700</v>
      </c>
      <c r="J4199" s="20">
        <f t="shared" si="65"/>
        <v>0.25287356321839083</v>
      </c>
    </row>
    <row r="4200" spans="1:10" x14ac:dyDescent="0.3">
      <c r="A4200" s="33">
        <v>4199</v>
      </c>
      <c r="B4200" s="4">
        <v>40</v>
      </c>
      <c r="C4200" s="15">
        <v>283</v>
      </c>
      <c r="D4200" s="16">
        <v>4</v>
      </c>
      <c r="E4200" s="22">
        <v>44663</v>
      </c>
      <c r="F4200" s="19">
        <v>10</v>
      </c>
      <c r="G4200" s="18">
        <v>0.15</v>
      </c>
      <c r="H4200">
        <f>F4200*VLOOKUP(B4200,產品!$A$2:$H$61,7,FALSE)*(1-銷售總表!G4200)</f>
        <v>170000</v>
      </c>
      <c r="I4200" s="35">
        <f>H4200-F4200*VLOOKUP(銷售總表!B4200,產品!$A$2:$H$61,8,FALSE)</f>
        <v>40000</v>
      </c>
      <c r="J4200" s="20">
        <f t="shared" si="65"/>
        <v>0.23529411764705882</v>
      </c>
    </row>
    <row r="4201" spans="1:10" x14ac:dyDescent="0.3">
      <c r="A4201" s="33">
        <v>4200</v>
      </c>
      <c r="B4201" s="4">
        <v>17</v>
      </c>
      <c r="C4201" s="15">
        <v>1</v>
      </c>
      <c r="D4201" s="16">
        <v>8</v>
      </c>
      <c r="E4201" s="22">
        <v>44663</v>
      </c>
      <c r="F4201" s="19">
        <v>50</v>
      </c>
      <c r="G4201" s="18">
        <v>0.17</v>
      </c>
      <c r="H4201">
        <f>F4201*VLOOKUP(B4201,產品!$A$2:$H$61,7,FALSE)*(1-銷售總表!G4201)</f>
        <v>74700</v>
      </c>
      <c r="I4201" s="35">
        <f>H4201-F4201*VLOOKUP(銷售總表!B4201,產品!$A$2:$H$61,8,FALSE)</f>
        <v>38700</v>
      </c>
      <c r="J4201" s="20">
        <f t="shared" si="65"/>
        <v>0.51807228915662651</v>
      </c>
    </row>
    <row r="4202" spans="1:10" x14ac:dyDescent="0.3">
      <c r="A4202" s="33">
        <v>4201</v>
      </c>
      <c r="B4202" s="4">
        <v>14</v>
      </c>
      <c r="C4202" s="15">
        <v>121</v>
      </c>
      <c r="D4202" s="16">
        <v>6</v>
      </c>
      <c r="E4202" s="22">
        <v>44663</v>
      </c>
      <c r="F4202" s="19">
        <v>60</v>
      </c>
      <c r="G4202" s="18">
        <v>0.08</v>
      </c>
      <c r="H4202">
        <f>F4202*VLOOKUP(B4202,產品!$A$2:$H$61,7,FALSE)*(1-銷售總表!G4202)</f>
        <v>99360</v>
      </c>
      <c r="I4202" s="35">
        <f>H4202-F4202*VLOOKUP(銷售總表!B4202,產品!$A$2:$H$61,8,FALSE)</f>
        <v>56160</v>
      </c>
      <c r="J4202" s="20">
        <f t="shared" si="65"/>
        <v>0.56521739130434778</v>
      </c>
    </row>
    <row r="4203" spans="1:10" x14ac:dyDescent="0.3">
      <c r="A4203" s="33">
        <v>4202</v>
      </c>
      <c r="B4203" s="4">
        <v>18</v>
      </c>
      <c r="C4203" s="15">
        <v>135</v>
      </c>
      <c r="D4203" s="16">
        <v>8</v>
      </c>
      <c r="E4203" s="22">
        <v>44663</v>
      </c>
      <c r="F4203" s="19">
        <v>100</v>
      </c>
      <c r="G4203" s="18">
        <v>0.09</v>
      </c>
      <c r="H4203">
        <f>F4203*VLOOKUP(B4203,產品!$A$2:$H$61,7,FALSE)*(1-銷售總表!G4203)</f>
        <v>163800</v>
      </c>
      <c r="I4203" s="35">
        <f>H4203-F4203*VLOOKUP(銷售總表!B4203,產品!$A$2:$H$61,8,FALSE)</f>
        <v>91800</v>
      </c>
      <c r="J4203" s="20">
        <f t="shared" si="65"/>
        <v>0.56043956043956045</v>
      </c>
    </row>
    <row r="4204" spans="1:10" x14ac:dyDescent="0.3">
      <c r="A4204" s="33">
        <v>4203</v>
      </c>
      <c r="B4204" s="4">
        <v>47</v>
      </c>
      <c r="C4204" s="15">
        <v>115</v>
      </c>
      <c r="D4204" s="16">
        <v>4</v>
      </c>
      <c r="E4204" s="22">
        <v>44664</v>
      </c>
      <c r="F4204" s="19">
        <v>3</v>
      </c>
      <c r="G4204" s="18">
        <v>0.12</v>
      </c>
      <c r="H4204">
        <f>F4204*VLOOKUP(B4204,產品!$A$2:$H$61,7,FALSE)*(1-銷售總表!G4204)</f>
        <v>52800</v>
      </c>
      <c r="I4204" s="35">
        <f>H4204-F4204*VLOOKUP(銷售總表!B4204,產品!$A$2:$H$61,8,FALSE)</f>
        <v>13800</v>
      </c>
      <c r="J4204" s="20">
        <f t="shared" si="65"/>
        <v>0.26136363636363635</v>
      </c>
    </row>
    <row r="4205" spans="1:10" x14ac:dyDescent="0.3">
      <c r="A4205" s="33">
        <v>4204</v>
      </c>
      <c r="B4205" s="4">
        <v>31</v>
      </c>
      <c r="C4205" s="15">
        <v>285</v>
      </c>
      <c r="D4205" s="16">
        <v>1</v>
      </c>
      <c r="E4205" s="22">
        <v>44664</v>
      </c>
      <c r="F4205" s="19">
        <v>4</v>
      </c>
      <c r="G4205" s="18">
        <v>0.09</v>
      </c>
      <c r="H4205">
        <f>F4205*VLOOKUP(B4205,產品!$A$2:$H$61,7,FALSE)*(1-銷售總表!G4205)</f>
        <v>25480</v>
      </c>
      <c r="I4205" s="35">
        <f>H4205-F4205*VLOOKUP(銷售總表!B4205,產品!$A$2:$H$61,8,FALSE)</f>
        <v>8680</v>
      </c>
      <c r="J4205" s="20">
        <f t="shared" si="65"/>
        <v>0.34065934065934067</v>
      </c>
    </row>
    <row r="4206" spans="1:10" x14ac:dyDescent="0.3">
      <c r="A4206" s="33">
        <v>4205</v>
      </c>
      <c r="B4206" s="4">
        <v>50</v>
      </c>
      <c r="C4206" s="15">
        <v>7</v>
      </c>
      <c r="D4206" s="16">
        <v>10</v>
      </c>
      <c r="E4206" s="22">
        <v>44664</v>
      </c>
      <c r="F4206" s="19">
        <v>9</v>
      </c>
      <c r="G4206" s="18">
        <v>0.06</v>
      </c>
      <c r="H4206">
        <f>F4206*VLOOKUP(B4206,產品!$A$2:$H$61,7,FALSE)*(1-銷售總表!G4206)</f>
        <v>152280</v>
      </c>
      <c r="I4206" s="35">
        <f>H4206-F4206*VLOOKUP(銷售總表!B4206,產品!$A$2:$H$61,8,FALSE)</f>
        <v>38880</v>
      </c>
      <c r="J4206" s="20">
        <f t="shared" si="65"/>
        <v>0.25531914893617019</v>
      </c>
    </row>
    <row r="4207" spans="1:10" x14ac:dyDescent="0.3">
      <c r="A4207" s="33">
        <v>4206</v>
      </c>
      <c r="B4207" s="4">
        <v>22</v>
      </c>
      <c r="C4207" s="15">
        <v>264</v>
      </c>
      <c r="D4207" s="16">
        <v>4</v>
      </c>
      <c r="E4207" s="22">
        <v>44664</v>
      </c>
      <c r="F4207" s="19">
        <v>14</v>
      </c>
      <c r="G4207" s="18">
        <v>0.06</v>
      </c>
      <c r="H4207">
        <f>F4207*VLOOKUP(B4207,產品!$A$2:$H$61,7,FALSE)*(1-銷售總表!G4207)</f>
        <v>23688</v>
      </c>
      <c r="I4207" s="35">
        <f>H4207-F4207*VLOOKUP(銷售總表!B4207,產品!$A$2:$H$61,8,FALSE)</f>
        <v>13608</v>
      </c>
      <c r="J4207" s="20">
        <f t="shared" si="65"/>
        <v>0.57446808510638303</v>
      </c>
    </row>
    <row r="4208" spans="1:10" x14ac:dyDescent="0.3">
      <c r="A4208" s="33">
        <v>4207</v>
      </c>
      <c r="B4208" s="4">
        <v>7</v>
      </c>
      <c r="C4208" s="15">
        <v>122</v>
      </c>
      <c r="D4208" s="16">
        <v>3</v>
      </c>
      <c r="E4208" s="22">
        <v>44664</v>
      </c>
      <c r="F4208" s="19">
        <v>20</v>
      </c>
      <c r="G4208" s="18">
        <v>0.11</v>
      </c>
      <c r="H4208">
        <f>F4208*VLOOKUP(B4208,產品!$A$2:$H$61,7,FALSE)*(1-銷售總表!G4208)</f>
        <v>17800</v>
      </c>
      <c r="I4208" s="35">
        <f>H4208-F4208*VLOOKUP(銷售總表!B4208,產品!$A$2:$H$61,8,FALSE)</f>
        <v>9800</v>
      </c>
      <c r="J4208" s="20">
        <f t="shared" si="65"/>
        <v>0.550561797752809</v>
      </c>
    </row>
    <row r="4209" spans="1:10" x14ac:dyDescent="0.3">
      <c r="A4209" s="33">
        <v>4208</v>
      </c>
      <c r="B4209" s="4">
        <v>2</v>
      </c>
      <c r="C4209" s="15">
        <v>116</v>
      </c>
      <c r="D4209" s="16">
        <v>4</v>
      </c>
      <c r="E4209" s="22">
        <v>44664</v>
      </c>
      <c r="F4209" s="17">
        <v>30</v>
      </c>
      <c r="G4209" s="18">
        <v>0.14000000000000001</v>
      </c>
      <c r="H4209">
        <f>F4209*VLOOKUP(B4209,產品!$A$2:$H$61,7,FALSE)*(1-銷售總表!G4209)</f>
        <v>25800</v>
      </c>
      <c r="I4209" s="35">
        <f>H4209-F4209*VLOOKUP(銷售總表!B4209,產品!$A$2:$H$61,8,FALSE)</f>
        <v>13800</v>
      </c>
      <c r="J4209" s="20">
        <f t="shared" si="65"/>
        <v>0.53488372093023251</v>
      </c>
    </row>
    <row r="4210" spans="1:10" x14ac:dyDescent="0.3">
      <c r="A4210" s="33">
        <v>4209</v>
      </c>
      <c r="B4210" s="4">
        <v>21</v>
      </c>
      <c r="C4210" s="15">
        <v>267</v>
      </c>
      <c r="D4210" s="16">
        <v>8</v>
      </c>
      <c r="E4210" s="22">
        <v>44664</v>
      </c>
      <c r="F4210" s="19">
        <v>40</v>
      </c>
      <c r="G4210" s="18">
        <v>7.0000000000000007E-2</v>
      </c>
      <c r="H4210">
        <f>F4210*VLOOKUP(B4210,產品!$A$2:$H$61,7,FALSE)*(1-銷售總表!G4210)</f>
        <v>66960</v>
      </c>
      <c r="I4210" s="35">
        <f>H4210-F4210*VLOOKUP(銷售總表!B4210,產品!$A$2:$H$61,8,FALSE)</f>
        <v>38160</v>
      </c>
      <c r="J4210" s="20">
        <f t="shared" si="65"/>
        <v>0.56989247311827962</v>
      </c>
    </row>
    <row r="4211" spans="1:10" x14ac:dyDescent="0.3">
      <c r="A4211" s="33">
        <v>4210</v>
      </c>
      <c r="B4211" s="4">
        <v>28</v>
      </c>
      <c r="C4211" s="15">
        <v>118</v>
      </c>
      <c r="D4211" s="16">
        <v>8</v>
      </c>
      <c r="E4211" s="22">
        <v>44665</v>
      </c>
      <c r="F4211" s="19">
        <v>2</v>
      </c>
      <c r="G4211" s="18">
        <v>0.2</v>
      </c>
      <c r="H4211">
        <f>F4211*VLOOKUP(B4211,產品!$A$2:$H$61,7,FALSE)*(1-銷售總表!G4211)</f>
        <v>12000</v>
      </c>
      <c r="I4211" s="35">
        <f>H4211-F4211*VLOOKUP(銷售總表!B4211,產品!$A$2:$H$61,8,FALSE)</f>
        <v>3000</v>
      </c>
      <c r="J4211" s="20">
        <f t="shared" si="65"/>
        <v>0.25</v>
      </c>
    </row>
    <row r="4212" spans="1:10" x14ac:dyDescent="0.3">
      <c r="A4212" s="33">
        <v>4211</v>
      </c>
      <c r="B4212" s="4">
        <v>51</v>
      </c>
      <c r="C4212" s="15">
        <v>123</v>
      </c>
      <c r="D4212" s="16">
        <v>7</v>
      </c>
      <c r="E4212" s="22">
        <v>44665</v>
      </c>
      <c r="F4212" s="17">
        <v>5</v>
      </c>
      <c r="G4212" s="18">
        <v>7.0000000000000007E-2</v>
      </c>
      <c r="H4212">
        <f>F4212*VLOOKUP(B4212,產品!$A$2:$H$61,7,FALSE)*(1-銷售總表!G4212)</f>
        <v>93000</v>
      </c>
      <c r="I4212" s="35">
        <f>H4212-F4212*VLOOKUP(銷售總表!B4212,產品!$A$2:$H$61,8,FALSE)</f>
        <v>23000</v>
      </c>
      <c r="J4212" s="20">
        <f t="shared" si="65"/>
        <v>0.24731182795698925</v>
      </c>
    </row>
    <row r="4213" spans="1:10" x14ac:dyDescent="0.3">
      <c r="A4213" s="33">
        <v>4212</v>
      </c>
      <c r="B4213" s="4">
        <v>60</v>
      </c>
      <c r="C4213" s="15">
        <v>116</v>
      </c>
      <c r="D4213" s="16">
        <v>10</v>
      </c>
      <c r="E4213" s="22">
        <v>44665</v>
      </c>
      <c r="F4213" s="19">
        <v>5</v>
      </c>
      <c r="G4213" s="18">
        <v>0.17</v>
      </c>
      <c r="H4213">
        <f>F4213*VLOOKUP(B4213,產品!$A$2:$H$61,7,FALSE)*(1-銷售總表!G4213)</f>
        <v>103750</v>
      </c>
      <c r="I4213" s="35">
        <f>H4213-F4213*VLOOKUP(銷售總表!B4213,產品!$A$2:$H$61,8,FALSE)</f>
        <v>16250</v>
      </c>
      <c r="J4213" s="20">
        <f t="shared" si="65"/>
        <v>0.15662650602409639</v>
      </c>
    </row>
    <row r="4214" spans="1:10" x14ac:dyDescent="0.3">
      <c r="A4214" s="33">
        <v>4213</v>
      </c>
      <c r="B4214" s="4">
        <v>33</v>
      </c>
      <c r="C4214" s="15">
        <v>11</v>
      </c>
      <c r="D4214" s="16">
        <v>10</v>
      </c>
      <c r="E4214" s="22">
        <v>44665</v>
      </c>
      <c r="F4214" s="19">
        <v>6</v>
      </c>
      <c r="G4214" s="18">
        <v>0.1</v>
      </c>
      <c r="H4214">
        <f>F4214*VLOOKUP(B4214,產品!$A$2:$H$61,7,FALSE)*(1-銷售總表!G4214)</f>
        <v>40500</v>
      </c>
      <c r="I4214" s="35">
        <f>H4214-F4214*VLOOKUP(銷售總表!B4214,產品!$A$2:$H$61,8,FALSE)</f>
        <v>13500</v>
      </c>
      <c r="J4214" s="20">
        <f t="shared" si="65"/>
        <v>0.33333333333333331</v>
      </c>
    </row>
    <row r="4215" spans="1:10" x14ac:dyDescent="0.3">
      <c r="A4215" s="33">
        <v>4214</v>
      </c>
      <c r="B4215" s="4">
        <v>48</v>
      </c>
      <c r="C4215" s="15">
        <v>265</v>
      </c>
      <c r="D4215" s="16">
        <v>5</v>
      </c>
      <c r="E4215" s="22">
        <v>44665</v>
      </c>
      <c r="F4215" s="19">
        <v>7</v>
      </c>
      <c r="G4215" s="18">
        <v>0.13</v>
      </c>
      <c r="H4215">
        <f>F4215*VLOOKUP(B4215,產品!$A$2:$H$61,7,FALSE)*(1-銷售總表!G4215)</f>
        <v>133980</v>
      </c>
      <c r="I4215" s="35">
        <f>H4215-F4215*VLOOKUP(銷售總表!B4215,產品!$A$2:$H$61,8,FALSE)</f>
        <v>33880</v>
      </c>
      <c r="J4215" s="20">
        <f t="shared" si="65"/>
        <v>0.25287356321839083</v>
      </c>
    </row>
    <row r="4216" spans="1:10" x14ac:dyDescent="0.3">
      <c r="A4216" s="33">
        <v>4215</v>
      </c>
      <c r="B4216" s="4">
        <v>25</v>
      </c>
      <c r="C4216" s="15">
        <v>116</v>
      </c>
      <c r="D4216" s="16">
        <v>7</v>
      </c>
      <c r="E4216" s="22">
        <v>44665</v>
      </c>
      <c r="F4216" s="19">
        <v>7</v>
      </c>
      <c r="G4216" s="18">
        <v>0.17</v>
      </c>
      <c r="H4216">
        <f>F4216*VLOOKUP(B4216,產品!$A$2:$H$61,7,FALSE)*(1-銷售總表!G4216)</f>
        <v>34860</v>
      </c>
      <c r="I4216" s="35">
        <f>H4216-F4216*VLOOKUP(銷售總表!B4216,產品!$A$2:$H$61,8,FALSE)</f>
        <v>9660</v>
      </c>
      <c r="J4216" s="20">
        <f t="shared" si="65"/>
        <v>0.27710843373493976</v>
      </c>
    </row>
    <row r="4217" spans="1:10" x14ac:dyDescent="0.3">
      <c r="A4217" s="33">
        <v>4216</v>
      </c>
      <c r="B4217" s="4">
        <v>53</v>
      </c>
      <c r="C4217" s="15">
        <v>125</v>
      </c>
      <c r="D4217" s="16">
        <v>9</v>
      </c>
      <c r="E4217" s="22">
        <v>44665</v>
      </c>
      <c r="F4217" s="19">
        <v>13</v>
      </c>
      <c r="G4217" s="18">
        <v>0.05</v>
      </c>
      <c r="H4217">
        <f>F4217*VLOOKUP(B4217,產品!$A$2:$H$61,7,FALSE)*(1-銷售總表!G4217)</f>
        <v>185250</v>
      </c>
      <c r="I4217" s="35">
        <f>H4217-F4217*VLOOKUP(銷售總表!B4217,產品!$A$2:$H$61,8,FALSE)</f>
        <v>48750</v>
      </c>
      <c r="J4217" s="20">
        <f t="shared" si="65"/>
        <v>0.26315789473684209</v>
      </c>
    </row>
    <row r="4218" spans="1:10" x14ac:dyDescent="0.3">
      <c r="A4218" s="33">
        <v>4217</v>
      </c>
      <c r="B4218" s="4">
        <v>37</v>
      </c>
      <c r="C4218" s="15">
        <v>123</v>
      </c>
      <c r="D4218" s="16">
        <v>8</v>
      </c>
      <c r="E4218" s="22">
        <v>44665</v>
      </c>
      <c r="F4218" s="19">
        <v>16</v>
      </c>
      <c r="G4218" s="18">
        <v>0.1</v>
      </c>
      <c r="H4218">
        <f>F4218*VLOOKUP(B4218,產品!$A$2:$H$61,7,FALSE)*(1-銷售總表!G4218)</f>
        <v>172800</v>
      </c>
      <c r="I4218" s="35">
        <f>H4218-F4218*VLOOKUP(銷售總表!B4218,產品!$A$2:$H$61,8,FALSE)</f>
        <v>48000</v>
      </c>
      <c r="J4218" s="20">
        <f t="shared" si="65"/>
        <v>0.27777777777777779</v>
      </c>
    </row>
    <row r="4219" spans="1:10" x14ac:dyDescent="0.3">
      <c r="A4219" s="33">
        <v>4218</v>
      </c>
      <c r="B4219" s="4">
        <v>11</v>
      </c>
      <c r="C4219" s="15">
        <v>294</v>
      </c>
      <c r="D4219" s="16">
        <v>3</v>
      </c>
      <c r="E4219" s="22">
        <v>44665</v>
      </c>
      <c r="F4219" s="19">
        <v>40</v>
      </c>
      <c r="G4219" s="18">
        <v>0.12</v>
      </c>
      <c r="H4219">
        <f>F4219*VLOOKUP(B4219,產品!$A$2:$H$61,7,FALSE)*(1-銷售總表!G4219)</f>
        <v>35200</v>
      </c>
      <c r="I4219" s="35">
        <f>H4219-F4219*VLOOKUP(銷售總表!B4219,產品!$A$2:$H$61,8,FALSE)</f>
        <v>19200</v>
      </c>
      <c r="J4219" s="20">
        <f t="shared" si="65"/>
        <v>0.54545454545454541</v>
      </c>
    </row>
    <row r="4220" spans="1:10" x14ac:dyDescent="0.3">
      <c r="A4220" s="33">
        <v>4219</v>
      </c>
      <c r="B4220" s="4">
        <v>20</v>
      </c>
      <c r="C4220" s="15">
        <v>274</v>
      </c>
      <c r="D4220" s="16">
        <v>6</v>
      </c>
      <c r="E4220" s="22">
        <v>44665</v>
      </c>
      <c r="F4220" s="19">
        <v>90</v>
      </c>
      <c r="G4220" s="18">
        <v>0.17</v>
      </c>
      <c r="H4220">
        <f>F4220*VLOOKUP(B4220,產品!$A$2:$H$61,7,FALSE)*(1-銷售總表!G4220)</f>
        <v>134460</v>
      </c>
      <c r="I4220" s="35">
        <f>H4220-F4220*VLOOKUP(銷售總表!B4220,產品!$A$2:$H$61,8,FALSE)</f>
        <v>69660</v>
      </c>
      <c r="J4220" s="20">
        <f t="shared" si="65"/>
        <v>0.51807228915662651</v>
      </c>
    </row>
    <row r="4221" spans="1:10" x14ac:dyDescent="0.3">
      <c r="A4221" s="33">
        <v>4220</v>
      </c>
      <c r="B4221" s="4">
        <v>9</v>
      </c>
      <c r="C4221" s="15">
        <v>7</v>
      </c>
      <c r="D4221" s="16">
        <v>2</v>
      </c>
      <c r="E4221" s="23">
        <v>44665</v>
      </c>
      <c r="F4221">
        <v>200</v>
      </c>
      <c r="G4221" s="20">
        <v>0.08</v>
      </c>
      <c r="H4221">
        <f>F4221*VLOOKUP(B4221,產品!$A$2:$H$61,7,FALSE)*(1-銷售總表!G4221)</f>
        <v>184000</v>
      </c>
      <c r="I4221" s="35">
        <f>H4221-F4221*VLOOKUP(銷售總表!B4221,產品!$A$2:$H$61,8,FALSE)</f>
        <v>104000</v>
      </c>
      <c r="J4221" s="20">
        <f t="shared" si="65"/>
        <v>0.56521739130434778</v>
      </c>
    </row>
    <row r="4222" spans="1:10" x14ac:dyDescent="0.3">
      <c r="A4222" s="33">
        <v>4221</v>
      </c>
      <c r="B4222" s="4">
        <v>40</v>
      </c>
      <c r="C4222" s="15">
        <v>290</v>
      </c>
      <c r="D4222" s="16">
        <v>9</v>
      </c>
      <c r="E4222" s="22">
        <v>44666</v>
      </c>
      <c r="F4222" s="19">
        <v>3</v>
      </c>
      <c r="G4222" s="18">
        <v>0.2</v>
      </c>
      <c r="H4222">
        <f>F4222*VLOOKUP(B4222,產品!$A$2:$H$61,7,FALSE)*(1-銷售總表!G4222)</f>
        <v>48000</v>
      </c>
      <c r="I4222" s="35">
        <f>H4222-F4222*VLOOKUP(銷售總表!B4222,產品!$A$2:$H$61,8,FALSE)</f>
        <v>9000</v>
      </c>
      <c r="J4222" s="20">
        <f t="shared" si="65"/>
        <v>0.1875</v>
      </c>
    </row>
    <row r="4223" spans="1:10" x14ac:dyDescent="0.3">
      <c r="A4223" s="33">
        <v>4222</v>
      </c>
      <c r="B4223" s="4">
        <v>56</v>
      </c>
      <c r="C4223" s="15">
        <v>5</v>
      </c>
      <c r="D4223" s="16">
        <v>10</v>
      </c>
      <c r="E4223" s="22">
        <v>44666</v>
      </c>
      <c r="F4223" s="19">
        <v>5</v>
      </c>
      <c r="G4223" s="18">
        <v>0.06</v>
      </c>
      <c r="H4223">
        <f>F4223*VLOOKUP(B4223,產品!$A$2:$H$61,7,FALSE)*(1-銷售總表!G4223)</f>
        <v>103400</v>
      </c>
      <c r="I4223" s="35">
        <f>H4223-F4223*VLOOKUP(銷售總表!B4223,產品!$A$2:$H$61,8,FALSE)</f>
        <v>26400.000000000015</v>
      </c>
      <c r="J4223" s="20">
        <f t="shared" si="65"/>
        <v>0.25531914893617036</v>
      </c>
    </row>
    <row r="4224" spans="1:10" x14ac:dyDescent="0.3">
      <c r="A4224" s="33">
        <v>4223</v>
      </c>
      <c r="B4224" s="4">
        <v>37</v>
      </c>
      <c r="C4224" s="15">
        <v>9</v>
      </c>
      <c r="D4224" s="16">
        <v>4</v>
      </c>
      <c r="E4224" s="22">
        <v>44666</v>
      </c>
      <c r="F4224" s="19">
        <v>5</v>
      </c>
      <c r="G4224" s="18">
        <v>0.11</v>
      </c>
      <c r="H4224">
        <f>F4224*VLOOKUP(B4224,產品!$A$2:$H$61,7,FALSE)*(1-銷售總表!G4224)</f>
        <v>53400</v>
      </c>
      <c r="I4224" s="35">
        <f>H4224-F4224*VLOOKUP(銷售總表!B4224,產品!$A$2:$H$61,8,FALSE)</f>
        <v>14400</v>
      </c>
      <c r="J4224" s="20">
        <f t="shared" si="65"/>
        <v>0.2696629213483146</v>
      </c>
    </row>
    <row r="4225" spans="1:10" x14ac:dyDescent="0.3">
      <c r="A4225" s="33">
        <v>4224</v>
      </c>
      <c r="B4225" s="4">
        <v>19</v>
      </c>
      <c r="C4225" s="15">
        <v>274</v>
      </c>
      <c r="D4225" s="16">
        <v>2</v>
      </c>
      <c r="E4225" s="22">
        <v>44666</v>
      </c>
      <c r="F4225" s="19">
        <v>10</v>
      </c>
      <c r="G4225" s="18">
        <v>0.16</v>
      </c>
      <c r="H4225">
        <f>F4225*VLOOKUP(B4225,產品!$A$2:$H$61,7,FALSE)*(1-銷售總表!G4225)</f>
        <v>15120</v>
      </c>
      <c r="I4225" s="35">
        <f>H4225-F4225*VLOOKUP(銷售總表!B4225,產品!$A$2:$H$61,8,FALSE)</f>
        <v>7920</v>
      </c>
      <c r="J4225" s="20">
        <f t="shared" si="65"/>
        <v>0.52380952380952384</v>
      </c>
    </row>
    <row r="4226" spans="1:10" x14ac:dyDescent="0.3">
      <c r="A4226" s="33">
        <v>4225</v>
      </c>
      <c r="B4226" s="4">
        <v>36</v>
      </c>
      <c r="C4226" s="15">
        <v>113</v>
      </c>
      <c r="D4226" s="16">
        <v>4</v>
      </c>
      <c r="E4226" s="22">
        <v>44666</v>
      </c>
      <c r="F4226" s="19">
        <v>13</v>
      </c>
      <c r="G4226" s="18">
        <v>0.19</v>
      </c>
      <c r="H4226">
        <f>F4226*VLOOKUP(B4226,產品!$A$2:$H$61,7,FALSE)*(1-銷售總表!G4226)</f>
        <v>94770</v>
      </c>
      <c r="I4226" s="35">
        <f>H4226-F4226*VLOOKUP(銷售總表!B4226,產品!$A$2:$H$61,8,FALSE)</f>
        <v>24570</v>
      </c>
      <c r="J4226" s="20">
        <f t="shared" si="65"/>
        <v>0.25925925925925924</v>
      </c>
    </row>
    <row r="4227" spans="1:10" x14ac:dyDescent="0.3">
      <c r="A4227" s="33">
        <v>4226</v>
      </c>
      <c r="B4227" s="4">
        <v>31</v>
      </c>
      <c r="C4227" s="15">
        <v>291</v>
      </c>
      <c r="D4227" s="16">
        <v>2</v>
      </c>
      <c r="E4227" s="22">
        <v>44666</v>
      </c>
      <c r="F4227" s="19">
        <v>18</v>
      </c>
      <c r="G4227" s="18">
        <v>0.17</v>
      </c>
      <c r="H4227">
        <f>F4227*VLOOKUP(B4227,產品!$A$2:$H$61,7,FALSE)*(1-銷售總表!G4227)</f>
        <v>104580</v>
      </c>
      <c r="I4227" s="35">
        <f>H4227-F4227*VLOOKUP(銷售總表!B4227,產品!$A$2:$H$61,8,FALSE)</f>
        <v>28980</v>
      </c>
      <c r="J4227" s="20">
        <f t="shared" ref="J4227:J4290" si="66">I4227/H4227</f>
        <v>0.27710843373493976</v>
      </c>
    </row>
    <row r="4228" spans="1:10" x14ac:dyDescent="0.3">
      <c r="A4228" s="33">
        <v>4227</v>
      </c>
      <c r="B4228" s="4">
        <v>1</v>
      </c>
      <c r="C4228" s="15">
        <v>272</v>
      </c>
      <c r="D4228" s="16">
        <v>7</v>
      </c>
      <c r="E4228" s="22">
        <v>44666</v>
      </c>
      <c r="F4228" s="19">
        <v>30</v>
      </c>
      <c r="G4228" s="18">
        <v>0.1</v>
      </c>
      <c r="H4228">
        <f>F4228*VLOOKUP(B4228,產品!$A$2:$H$61,7,FALSE)*(1-銷售總表!G4228)</f>
        <v>27000</v>
      </c>
      <c r="I4228" s="35">
        <f>H4228-F4228*VLOOKUP(銷售總表!B4228,產品!$A$2:$H$61,8,FALSE)</f>
        <v>15000</v>
      </c>
      <c r="J4228" s="20">
        <f t="shared" si="66"/>
        <v>0.55555555555555558</v>
      </c>
    </row>
    <row r="4229" spans="1:10" x14ac:dyDescent="0.3">
      <c r="A4229" s="33">
        <v>4228</v>
      </c>
      <c r="B4229" s="4">
        <v>36</v>
      </c>
      <c r="C4229" s="15">
        <v>290</v>
      </c>
      <c r="D4229" s="16">
        <v>8</v>
      </c>
      <c r="E4229" s="22">
        <v>44666</v>
      </c>
      <c r="F4229" s="19">
        <v>40</v>
      </c>
      <c r="G4229" s="18">
        <v>0.18</v>
      </c>
      <c r="H4229">
        <f>F4229*VLOOKUP(B4229,產品!$A$2:$H$61,7,FALSE)*(1-銷售總表!G4229)</f>
        <v>295200</v>
      </c>
      <c r="I4229" s="35">
        <f>H4229-F4229*VLOOKUP(銷售總表!B4229,產品!$A$2:$H$61,8,FALSE)</f>
        <v>79200</v>
      </c>
      <c r="J4229" s="20">
        <f t="shared" si="66"/>
        <v>0.26829268292682928</v>
      </c>
    </row>
    <row r="4230" spans="1:10" x14ac:dyDescent="0.3">
      <c r="A4230" s="33">
        <v>4229</v>
      </c>
      <c r="B4230" s="4">
        <v>24</v>
      </c>
      <c r="C4230" s="15">
        <v>1</v>
      </c>
      <c r="D4230" s="16">
        <v>7</v>
      </c>
      <c r="E4230" s="22">
        <v>44666</v>
      </c>
      <c r="F4230" s="19">
        <v>100</v>
      </c>
      <c r="G4230" s="18">
        <v>0.16</v>
      </c>
      <c r="H4230">
        <f>F4230*VLOOKUP(B4230,產品!$A$2:$H$61,7,FALSE)*(1-銷售總表!G4230)</f>
        <v>151200</v>
      </c>
      <c r="I4230" s="35">
        <f>H4230-F4230*VLOOKUP(銷售總表!B4230,產品!$A$2:$H$61,8,FALSE)</f>
        <v>79200</v>
      </c>
      <c r="J4230" s="20">
        <f t="shared" si="66"/>
        <v>0.52380952380952384</v>
      </c>
    </row>
    <row r="4231" spans="1:10" x14ac:dyDescent="0.3">
      <c r="A4231" s="33">
        <v>4230</v>
      </c>
      <c r="B4231" s="4">
        <v>6</v>
      </c>
      <c r="C4231" s="15">
        <v>259</v>
      </c>
      <c r="D4231" s="16">
        <v>2</v>
      </c>
      <c r="E4231" s="22">
        <v>44666</v>
      </c>
      <c r="F4231" s="19">
        <v>200</v>
      </c>
      <c r="G4231" s="18">
        <v>0.09</v>
      </c>
      <c r="H4231">
        <f>F4231*VLOOKUP(B4231,產品!$A$2:$H$61,7,FALSE)*(1-銷售總表!G4231)</f>
        <v>182000</v>
      </c>
      <c r="I4231" s="35">
        <f>H4231-F4231*VLOOKUP(銷售總表!B4231,產品!$A$2:$H$61,8,FALSE)</f>
        <v>102000</v>
      </c>
      <c r="J4231" s="20">
        <f t="shared" si="66"/>
        <v>0.56043956043956045</v>
      </c>
    </row>
    <row r="4232" spans="1:10" x14ac:dyDescent="0.3">
      <c r="A4232" s="33">
        <v>4231</v>
      </c>
      <c r="B4232" s="4">
        <v>40</v>
      </c>
      <c r="C4232" s="15">
        <v>4</v>
      </c>
      <c r="D4232" s="16">
        <v>8</v>
      </c>
      <c r="E4232" s="22">
        <v>44667</v>
      </c>
      <c r="F4232" s="19">
        <v>3</v>
      </c>
      <c r="G4232" s="18">
        <v>0.05</v>
      </c>
      <c r="H4232">
        <f>F4232*VLOOKUP(B4232,產品!$A$2:$H$61,7,FALSE)*(1-銷售總表!G4232)</f>
        <v>57000</v>
      </c>
      <c r="I4232" s="35">
        <f>H4232-F4232*VLOOKUP(銷售總表!B4232,產品!$A$2:$H$61,8,FALSE)</f>
        <v>18000</v>
      </c>
      <c r="J4232" s="20">
        <f t="shared" si="66"/>
        <v>0.31578947368421051</v>
      </c>
    </row>
    <row r="4233" spans="1:10" x14ac:dyDescent="0.3">
      <c r="A4233" s="33">
        <v>4232</v>
      </c>
      <c r="B4233" s="4">
        <v>18</v>
      </c>
      <c r="C4233" s="15">
        <v>264</v>
      </c>
      <c r="D4233" s="16">
        <v>9</v>
      </c>
      <c r="E4233" s="22">
        <v>44667</v>
      </c>
      <c r="F4233" s="19">
        <v>10</v>
      </c>
      <c r="G4233" s="18">
        <v>0.13</v>
      </c>
      <c r="H4233">
        <f>F4233*VLOOKUP(B4233,產品!$A$2:$H$61,7,FALSE)*(1-銷售總表!G4233)</f>
        <v>15660</v>
      </c>
      <c r="I4233" s="35">
        <f>H4233-F4233*VLOOKUP(銷售總表!B4233,產品!$A$2:$H$61,8,FALSE)</f>
        <v>8460</v>
      </c>
      <c r="J4233" s="20">
        <f t="shared" si="66"/>
        <v>0.54022988505747127</v>
      </c>
    </row>
    <row r="4234" spans="1:10" x14ac:dyDescent="0.3">
      <c r="A4234" s="33">
        <v>4233</v>
      </c>
      <c r="B4234" s="4">
        <v>55</v>
      </c>
      <c r="C4234" s="15">
        <v>116</v>
      </c>
      <c r="D4234" s="16">
        <v>7</v>
      </c>
      <c r="E4234" s="22">
        <v>44667</v>
      </c>
      <c r="F4234" s="19">
        <v>15</v>
      </c>
      <c r="G4234" s="18">
        <v>0.19</v>
      </c>
      <c r="H4234">
        <f>F4234*VLOOKUP(B4234,產品!$A$2:$H$61,7,FALSE)*(1-銷售總表!G4234)</f>
        <v>243000.00000000003</v>
      </c>
      <c r="I4234" s="35">
        <f>H4234-F4234*VLOOKUP(銷售總表!B4234,產品!$A$2:$H$61,8,FALSE)</f>
        <v>33000.000000000029</v>
      </c>
      <c r="J4234" s="20">
        <f t="shared" si="66"/>
        <v>0.13580246913580257</v>
      </c>
    </row>
    <row r="4235" spans="1:10" x14ac:dyDescent="0.3">
      <c r="A4235" s="33">
        <v>4234</v>
      </c>
      <c r="B4235" s="4">
        <v>33</v>
      </c>
      <c r="C4235" s="15">
        <v>3</v>
      </c>
      <c r="D4235" s="16">
        <v>4</v>
      </c>
      <c r="E4235" s="22">
        <v>44667</v>
      </c>
      <c r="F4235" s="19">
        <v>40</v>
      </c>
      <c r="G4235" s="18">
        <v>0.06</v>
      </c>
      <c r="H4235">
        <f>F4235*VLOOKUP(B4235,產品!$A$2:$H$61,7,FALSE)*(1-銷售總表!G4235)</f>
        <v>282000</v>
      </c>
      <c r="I4235" s="35">
        <f>H4235-F4235*VLOOKUP(銷售總表!B4235,產品!$A$2:$H$61,8,FALSE)</f>
        <v>102000</v>
      </c>
      <c r="J4235" s="20">
        <f t="shared" si="66"/>
        <v>0.36170212765957449</v>
      </c>
    </row>
    <row r="4236" spans="1:10" x14ac:dyDescent="0.3">
      <c r="A4236" s="33">
        <v>4235</v>
      </c>
      <c r="B4236" s="4">
        <v>34</v>
      </c>
      <c r="C4236" s="15">
        <v>123</v>
      </c>
      <c r="D4236" s="16">
        <v>7</v>
      </c>
      <c r="E4236" s="22">
        <v>44668</v>
      </c>
      <c r="F4236" s="17">
        <v>1</v>
      </c>
      <c r="G4236" s="18">
        <v>0.15</v>
      </c>
      <c r="H4236">
        <f>F4236*VLOOKUP(B4236,產品!$A$2:$H$61,7,FALSE)*(1-銷售總表!G4236)</f>
        <v>6800</v>
      </c>
      <c r="I4236" s="35">
        <f>H4236-F4236*VLOOKUP(銷售總表!B4236,產品!$A$2:$H$61,8,FALSE)</f>
        <v>2000</v>
      </c>
      <c r="J4236" s="20">
        <f t="shared" si="66"/>
        <v>0.29411764705882354</v>
      </c>
    </row>
    <row r="4237" spans="1:10" x14ac:dyDescent="0.3">
      <c r="A4237" s="33">
        <v>4236</v>
      </c>
      <c r="B4237" s="4">
        <v>60</v>
      </c>
      <c r="C4237" s="15">
        <v>265</v>
      </c>
      <c r="D4237" s="16">
        <v>4</v>
      </c>
      <c r="E4237" s="22">
        <v>44668</v>
      </c>
      <c r="F4237" s="19">
        <v>2</v>
      </c>
      <c r="G4237" s="18">
        <v>0.18</v>
      </c>
      <c r="H4237">
        <f>F4237*VLOOKUP(B4237,產品!$A$2:$H$61,7,FALSE)*(1-銷售總表!G4237)</f>
        <v>41000</v>
      </c>
      <c r="I4237" s="35">
        <f>H4237-F4237*VLOOKUP(銷售總表!B4237,產品!$A$2:$H$61,8,FALSE)</f>
        <v>6000</v>
      </c>
      <c r="J4237" s="20">
        <f t="shared" si="66"/>
        <v>0.14634146341463414</v>
      </c>
    </row>
    <row r="4238" spans="1:10" x14ac:dyDescent="0.3">
      <c r="A4238" s="33">
        <v>4237</v>
      </c>
      <c r="B4238" s="4">
        <v>60</v>
      </c>
      <c r="C4238" s="15">
        <v>282</v>
      </c>
      <c r="D4238" s="16">
        <v>9</v>
      </c>
      <c r="E4238" s="23">
        <v>44668</v>
      </c>
      <c r="F4238">
        <v>5</v>
      </c>
      <c r="G4238" s="20">
        <v>0.17</v>
      </c>
      <c r="H4238">
        <f>F4238*VLOOKUP(B4238,產品!$A$2:$H$61,7,FALSE)*(1-銷售總表!G4238)</f>
        <v>103750</v>
      </c>
      <c r="I4238" s="35">
        <f>H4238-F4238*VLOOKUP(銷售總表!B4238,產品!$A$2:$H$61,8,FALSE)</f>
        <v>16250</v>
      </c>
      <c r="J4238" s="20">
        <f t="shared" si="66"/>
        <v>0.15662650602409639</v>
      </c>
    </row>
    <row r="4239" spans="1:10" x14ac:dyDescent="0.3">
      <c r="A4239" s="33">
        <v>4238</v>
      </c>
      <c r="B4239" s="4">
        <v>53</v>
      </c>
      <c r="C4239" s="15">
        <v>114</v>
      </c>
      <c r="D4239" s="16">
        <v>3</v>
      </c>
      <c r="E4239" s="22">
        <v>44668</v>
      </c>
      <c r="F4239" s="19">
        <v>7</v>
      </c>
      <c r="G4239" s="18">
        <v>0.18</v>
      </c>
      <c r="H4239">
        <f>F4239*VLOOKUP(B4239,產品!$A$2:$H$61,7,FALSE)*(1-銷售總表!G4239)</f>
        <v>86100</v>
      </c>
      <c r="I4239" s="35">
        <f>H4239-F4239*VLOOKUP(銷售總表!B4239,產品!$A$2:$H$61,8,FALSE)</f>
        <v>12600</v>
      </c>
      <c r="J4239" s="20">
        <f t="shared" si="66"/>
        <v>0.14634146341463414</v>
      </c>
    </row>
    <row r="4240" spans="1:10" x14ac:dyDescent="0.3">
      <c r="A4240" s="33">
        <v>4239</v>
      </c>
      <c r="B4240" s="4">
        <v>20</v>
      </c>
      <c r="C4240" s="15">
        <v>1</v>
      </c>
      <c r="D4240" s="16">
        <v>10</v>
      </c>
      <c r="E4240" s="22">
        <v>44668</v>
      </c>
      <c r="F4240" s="19">
        <v>10</v>
      </c>
      <c r="G4240" s="18">
        <v>0.06</v>
      </c>
      <c r="H4240">
        <f>F4240*VLOOKUP(B4240,產品!$A$2:$H$61,7,FALSE)*(1-銷售總表!G4240)</f>
        <v>16920</v>
      </c>
      <c r="I4240" s="35">
        <f>H4240-F4240*VLOOKUP(銷售總表!B4240,產品!$A$2:$H$61,8,FALSE)</f>
        <v>9720</v>
      </c>
      <c r="J4240" s="20">
        <f t="shared" si="66"/>
        <v>0.57446808510638303</v>
      </c>
    </row>
    <row r="4241" spans="1:10" x14ac:dyDescent="0.3">
      <c r="A4241" s="33">
        <v>4240</v>
      </c>
      <c r="B4241" s="4">
        <v>45</v>
      </c>
      <c r="C4241" s="15">
        <v>264</v>
      </c>
      <c r="D4241" s="16">
        <v>7</v>
      </c>
      <c r="E4241" s="22">
        <v>44668</v>
      </c>
      <c r="F4241" s="19">
        <v>11</v>
      </c>
      <c r="G4241" s="18">
        <v>0.16</v>
      </c>
      <c r="H4241">
        <f>F4241*VLOOKUP(B4241,產品!$A$2:$H$61,7,FALSE)*(1-銷售總表!G4241)</f>
        <v>129360</v>
      </c>
      <c r="I4241" s="35">
        <f>H4241-F4241*VLOOKUP(銷售總表!B4241,產品!$A$2:$H$61,8,FALSE)</f>
        <v>29260</v>
      </c>
      <c r="J4241" s="20">
        <f t="shared" si="66"/>
        <v>0.22619047619047619</v>
      </c>
    </row>
    <row r="4242" spans="1:10" x14ac:dyDescent="0.3">
      <c r="A4242" s="33">
        <v>4241</v>
      </c>
      <c r="B4242" s="4">
        <v>43</v>
      </c>
      <c r="C4242" s="15">
        <v>265</v>
      </c>
      <c r="D4242" s="16">
        <v>3</v>
      </c>
      <c r="E4242" s="22">
        <v>44668</v>
      </c>
      <c r="F4242" s="19">
        <v>13</v>
      </c>
      <c r="G4242" s="18">
        <v>0.13</v>
      </c>
      <c r="H4242">
        <f>F4242*VLOOKUP(B4242,產品!$A$2:$H$61,7,FALSE)*(1-銷售總表!G4242)</f>
        <v>203580</v>
      </c>
      <c r="I4242" s="35">
        <f>H4242-F4242*VLOOKUP(銷售總表!B4242,產品!$A$2:$H$61,8,FALSE)</f>
        <v>51480</v>
      </c>
      <c r="J4242" s="20">
        <f t="shared" si="66"/>
        <v>0.25287356321839083</v>
      </c>
    </row>
    <row r="4243" spans="1:10" x14ac:dyDescent="0.3">
      <c r="A4243" s="33">
        <v>4242</v>
      </c>
      <c r="B4243" s="4">
        <v>32</v>
      </c>
      <c r="C4243" s="15">
        <v>287</v>
      </c>
      <c r="D4243" s="16">
        <v>1</v>
      </c>
      <c r="E4243" s="22">
        <v>44668</v>
      </c>
      <c r="F4243" s="19">
        <v>25</v>
      </c>
      <c r="G4243" s="18">
        <v>0.19</v>
      </c>
      <c r="H4243">
        <f>F4243*VLOOKUP(B4243,產品!$A$2:$H$61,7,FALSE)*(1-銷售總表!G4243)</f>
        <v>151875</v>
      </c>
      <c r="I4243" s="35">
        <f>H4243-F4243*VLOOKUP(銷售總表!B4243,產品!$A$2:$H$61,8,FALSE)</f>
        <v>39375</v>
      </c>
      <c r="J4243" s="20">
        <f t="shared" si="66"/>
        <v>0.25925925925925924</v>
      </c>
    </row>
    <row r="4244" spans="1:10" x14ac:dyDescent="0.3">
      <c r="A4244" s="33">
        <v>4243</v>
      </c>
      <c r="B4244" s="4">
        <v>27</v>
      </c>
      <c r="C4244" s="15">
        <v>112</v>
      </c>
      <c r="D4244" s="16">
        <v>7</v>
      </c>
      <c r="E4244" s="23">
        <v>44669</v>
      </c>
      <c r="F4244">
        <v>9</v>
      </c>
      <c r="G4244" s="20">
        <v>7.0000000000000007E-2</v>
      </c>
      <c r="H4244">
        <f>F4244*VLOOKUP(B4244,產品!$A$2:$H$61,7,FALSE)*(1-銷售總表!G4244)</f>
        <v>58589.999999999993</v>
      </c>
      <c r="I4244" s="35">
        <f>H4244-F4244*VLOOKUP(銷售總表!B4244,產品!$A$2:$H$61,8,FALSE)</f>
        <v>20789.999999999993</v>
      </c>
      <c r="J4244" s="20">
        <f t="shared" si="66"/>
        <v>0.35483870967741926</v>
      </c>
    </row>
    <row r="4245" spans="1:10" x14ac:dyDescent="0.3">
      <c r="A4245" s="33">
        <v>4244</v>
      </c>
      <c r="B4245" s="4">
        <v>18</v>
      </c>
      <c r="C4245" s="15">
        <v>277</v>
      </c>
      <c r="D4245" s="16">
        <v>10</v>
      </c>
      <c r="E4245" s="22">
        <v>44669</v>
      </c>
      <c r="F4245" s="19">
        <v>30</v>
      </c>
      <c r="G4245" s="18">
        <v>0.16</v>
      </c>
      <c r="H4245">
        <f>F4245*VLOOKUP(B4245,產品!$A$2:$H$61,7,FALSE)*(1-銷售總表!G4245)</f>
        <v>45360</v>
      </c>
      <c r="I4245" s="35">
        <f>H4245-F4245*VLOOKUP(銷售總表!B4245,產品!$A$2:$H$61,8,FALSE)</f>
        <v>23760</v>
      </c>
      <c r="J4245" s="20">
        <f t="shared" si="66"/>
        <v>0.52380952380952384</v>
      </c>
    </row>
    <row r="4246" spans="1:10" x14ac:dyDescent="0.3">
      <c r="A4246" s="33">
        <v>4245</v>
      </c>
      <c r="B4246" s="4">
        <v>12</v>
      </c>
      <c r="C4246" s="15">
        <v>273</v>
      </c>
      <c r="D4246" s="16">
        <v>8</v>
      </c>
      <c r="E4246" s="22">
        <v>44669</v>
      </c>
      <c r="F4246" s="19">
        <v>50</v>
      </c>
      <c r="G4246" s="18">
        <v>7.0000000000000007E-2</v>
      </c>
      <c r="H4246">
        <f>F4246*VLOOKUP(B4246,產品!$A$2:$H$61,7,FALSE)*(1-銷售總表!G4246)</f>
        <v>46500</v>
      </c>
      <c r="I4246" s="35">
        <f>H4246-F4246*VLOOKUP(銷售總表!B4246,產品!$A$2:$H$61,8,FALSE)</f>
        <v>26500</v>
      </c>
      <c r="J4246" s="20">
        <f t="shared" si="66"/>
        <v>0.56989247311827962</v>
      </c>
    </row>
    <row r="4247" spans="1:10" x14ac:dyDescent="0.3">
      <c r="A4247" s="33">
        <v>4246</v>
      </c>
      <c r="B4247" s="4">
        <v>21</v>
      </c>
      <c r="C4247" s="15">
        <v>11</v>
      </c>
      <c r="D4247" s="16">
        <v>6</v>
      </c>
      <c r="E4247" s="22">
        <v>44669</v>
      </c>
      <c r="F4247" s="19">
        <v>70</v>
      </c>
      <c r="G4247" s="18">
        <v>0.16</v>
      </c>
      <c r="H4247">
        <f>F4247*VLOOKUP(B4247,產品!$A$2:$H$61,7,FALSE)*(1-銷售總表!G4247)</f>
        <v>105840</v>
      </c>
      <c r="I4247" s="35">
        <f>H4247-F4247*VLOOKUP(銷售總表!B4247,產品!$A$2:$H$61,8,FALSE)</f>
        <v>55440</v>
      </c>
      <c r="J4247" s="20">
        <f t="shared" si="66"/>
        <v>0.52380952380952384</v>
      </c>
    </row>
    <row r="4248" spans="1:10" x14ac:dyDescent="0.3">
      <c r="A4248" s="33">
        <v>4247</v>
      </c>
      <c r="B4248" s="4">
        <v>14</v>
      </c>
      <c r="C4248" s="15">
        <v>287</v>
      </c>
      <c r="D4248" s="16">
        <v>1</v>
      </c>
      <c r="E4248" s="22">
        <v>44669</v>
      </c>
      <c r="F4248" s="19">
        <v>80</v>
      </c>
      <c r="G4248" s="18">
        <v>0.13</v>
      </c>
      <c r="H4248">
        <f>F4248*VLOOKUP(B4248,產品!$A$2:$H$61,7,FALSE)*(1-銷售總表!G4248)</f>
        <v>125280</v>
      </c>
      <c r="I4248" s="35">
        <f>H4248-F4248*VLOOKUP(銷售總表!B4248,產品!$A$2:$H$61,8,FALSE)</f>
        <v>67680</v>
      </c>
      <c r="J4248" s="20">
        <f t="shared" si="66"/>
        <v>0.54022988505747127</v>
      </c>
    </row>
    <row r="4249" spans="1:10" x14ac:dyDescent="0.3">
      <c r="A4249" s="33">
        <v>4248</v>
      </c>
      <c r="B4249" s="4">
        <v>9</v>
      </c>
      <c r="C4249" s="15">
        <v>282</v>
      </c>
      <c r="D4249" s="16">
        <v>4</v>
      </c>
      <c r="E4249" s="22">
        <v>44669</v>
      </c>
      <c r="F4249" s="19">
        <v>100</v>
      </c>
      <c r="G4249" s="18">
        <v>0.14000000000000001</v>
      </c>
      <c r="H4249">
        <f>F4249*VLOOKUP(B4249,產品!$A$2:$H$61,7,FALSE)*(1-銷售總表!G4249)</f>
        <v>86000</v>
      </c>
      <c r="I4249" s="35">
        <f>H4249-F4249*VLOOKUP(銷售總表!B4249,產品!$A$2:$H$61,8,FALSE)</f>
        <v>46000</v>
      </c>
      <c r="J4249" s="20">
        <f t="shared" si="66"/>
        <v>0.53488372093023251</v>
      </c>
    </row>
    <row r="4250" spans="1:10" x14ac:dyDescent="0.3">
      <c r="A4250" s="33">
        <v>4249</v>
      </c>
      <c r="B4250" s="4">
        <v>5</v>
      </c>
      <c r="C4250" s="15">
        <v>125</v>
      </c>
      <c r="D4250" s="16">
        <v>10</v>
      </c>
      <c r="E4250" s="22">
        <v>44669</v>
      </c>
      <c r="F4250" s="19">
        <v>150</v>
      </c>
      <c r="G4250" s="18">
        <v>0.08</v>
      </c>
      <c r="H4250">
        <f>F4250*VLOOKUP(B4250,產品!$A$2:$H$61,7,FALSE)*(1-銷售總表!G4250)</f>
        <v>138000</v>
      </c>
      <c r="I4250" s="35">
        <f>H4250-F4250*VLOOKUP(銷售總表!B4250,產品!$A$2:$H$61,8,FALSE)</f>
        <v>78000</v>
      </c>
      <c r="J4250" s="20">
        <f t="shared" si="66"/>
        <v>0.56521739130434778</v>
      </c>
    </row>
    <row r="4251" spans="1:10" x14ac:dyDescent="0.3">
      <c r="A4251" s="33">
        <v>4250</v>
      </c>
      <c r="B4251" s="4">
        <v>35</v>
      </c>
      <c r="C4251" s="15">
        <v>5</v>
      </c>
      <c r="D4251" s="16">
        <v>3</v>
      </c>
      <c r="E4251" s="22">
        <v>44670</v>
      </c>
      <c r="F4251" s="19">
        <v>1</v>
      </c>
      <c r="G4251" s="18">
        <v>0.13</v>
      </c>
      <c r="H4251">
        <f>F4251*VLOOKUP(B4251,產品!$A$2:$H$61,7,FALSE)*(1-銷售總表!G4251)</f>
        <v>7395</v>
      </c>
      <c r="I4251" s="35">
        <f>H4251-F4251*VLOOKUP(銷售總表!B4251,產品!$A$2:$H$61,8,FALSE)</f>
        <v>2295</v>
      </c>
      <c r="J4251" s="20">
        <f t="shared" si="66"/>
        <v>0.31034482758620691</v>
      </c>
    </row>
    <row r="4252" spans="1:10" x14ac:dyDescent="0.3">
      <c r="A4252" s="33">
        <v>4251</v>
      </c>
      <c r="B4252" s="4">
        <v>46</v>
      </c>
      <c r="C4252" s="15">
        <v>117</v>
      </c>
      <c r="D4252" s="16">
        <v>3</v>
      </c>
      <c r="E4252" s="22">
        <v>44670</v>
      </c>
      <c r="F4252" s="19">
        <v>2</v>
      </c>
      <c r="G4252" s="18">
        <v>0.13</v>
      </c>
      <c r="H4252">
        <f>F4252*VLOOKUP(B4252,產品!$A$2:$H$61,7,FALSE)*(1-銷售總表!G4252)</f>
        <v>29580</v>
      </c>
      <c r="I4252" s="35">
        <f>H4252-F4252*VLOOKUP(銷售總表!B4252,產品!$A$2:$H$61,8,FALSE)</f>
        <v>7480</v>
      </c>
      <c r="J4252" s="20">
        <f t="shared" si="66"/>
        <v>0.25287356321839083</v>
      </c>
    </row>
    <row r="4253" spans="1:10" x14ac:dyDescent="0.3">
      <c r="A4253" s="33">
        <v>4252</v>
      </c>
      <c r="B4253" s="4">
        <v>58</v>
      </c>
      <c r="C4253" s="15">
        <v>8</v>
      </c>
      <c r="D4253" s="16">
        <v>2</v>
      </c>
      <c r="E4253" s="22">
        <v>44670</v>
      </c>
      <c r="F4253" s="19">
        <v>5</v>
      </c>
      <c r="G4253" s="18">
        <v>0.05</v>
      </c>
      <c r="H4253">
        <f>F4253*VLOOKUP(B4253,產品!$A$2:$H$61,7,FALSE)*(1-銷售總表!G4253)</f>
        <v>99750</v>
      </c>
      <c r="I4253" s="35">
        <f>H4253-F4253*VLOOKUP(銷售總表!B4253,產品!$A$2:$H$61,8,FALSE)</f>
        <v>26250.000000000015</v>
      </c>
      <c r="J4253" s="20">
        <f t="shared" si="66"/>
        <v>0.26315789473684226</v>
      </c>
    </row>
    <row r="4254" spans="1:10" x14ac:dyDescent="0.3">
      <c r="A4254" s="33">
        <v>4253</v>
      </c>
      <c r="B4254" s="4">
        <v>51</v>
      </c>
      <c r="C4254" s="15">
        <v>10</v>
      </c>
      <c r="D4254" s="16">
        <v>7</v>
      </c>
      <c r="E4254" s="22">
        <v>44670</v>
      </c>
      <c r="F4254" s="19">
        <v>5</v>
      </c>
      <c r="G4254" s="18">
        <v>0.19</v>
      </c>
      <c r="H4254">
        <f>F4254*VLOOKUP(B4254,產品!$A$2:$H$61,7,FALSE)*(1-銷售總表!G4254)</f>
        <v>81000</v>
      </c>
      <c r="I4254" s="35">
        <f>H4254-F4254*VLOOKUP(銷售總表!B4254,產品!$A$2:$H$61,8,FALSE)</f>
        <v>11000</v>
      </c>
      <c r="J4254" s="20">
        <f t="shared" si="66"/>
        <v>0.13580246913580246</v>
      </c>
    </row>
    <row r="4255" spans="1:10" x14ac:dyDescent="0.3">
      <c r="A4255" s="33">
        <v>4254</v>
      </c>
      <c r="B4255" s="4">
        <v>44</v>
      </c>
      <c r="C4255" s="15">
        <v>4</v>
      </c>
      <c r="D4255" s="16">
        <v>9</v>
      </c>
      <c r="E4255" s="23">
        <v>44670</v>
      </c>
      <c r="F4255">
        <v>9</v>
      </c>
      <c r="G4255" s="20">
        <v>0.05</v>
      </c>
      <c r="H4255">
        <f>F4255*VLOOKUP(B4255,產品!$A$2:$H$61,7,FALSE)*(1-銷售總表!G4255)</f>
        <v>171000</v>
      </c>
      <c r="I4255" s="35">
        <f>H4255-F4255*VLOOKUP(銷售總表!B4255,產品!$A$2:$H$61,8,FALSE)</f>
        <v>54000</v>
      </c>
      <c r="J4255" s="20">
        <f t="shared" si="66"/>
        <v>0.31578947368421051</v>
      </c>
    </row>
    <row r="4256" spans="1:10" x14ac:dyDescent="0.3">
      <c r="A4256" s="33">
        <v>4255</v>
      </c>
      <c r="B4256" s="4">
        <v>42</v>
      </c>
      <c r="C4256" s="15">
        <v>259</v>
      </c>
      <c r="D4256" s="16">
        <v>8</v>
      </c>
      <c r="E4256" s="22">
        <v>44670</v>
      </c>
      <c r="F4256" s="19">
        <v>10</v>
      </c>
      <c r="G4256" s="18">
        <v>0.08</v>
      </c>
      <c r="H4256">
        <f>F4256*VLOOKUP(B4256,產品!$A$2:$H$61,7,FALSE)*(1-銷售總表!G4256)</f>
        <v>138000</v>
      </c>
      <c r="I4256" s="35">
        <f>H4256-F4256*VLOOKUP(銷售總表!B4256,產品!$A$2:$H$61,8,FALSE)</f>
        <v>40500</v>
      </c>
      <c r="J4256" s="20">
        <f t="shared" si="66"/>
        <v>0.29347826086956524</v>
      </c>
    </row>
    <row r="4257" spans="1:10" x14ac:dyDescent="0.3">
      <c r="A4257" s="33">
        <v>4256</v>
      </c>
      <c r="B4257" s="4">
        <v>58</v>
      </c>
      <c r="C4257" s="15">
        <v>134</v>
      </c>
      <c r="D4257" s="16">
        <v>2</v>
      </c>
      <c r="E4257" s="22">
        <v>44670</v>
      </c>
      <c r="F4257" s="19">
        <v>10</v>
      </c>
      <c r="G4257" s="18">
        <v>0.15</v>
      </c>
      <c r="H4257">
        <f>F4257*VLOOKUP(B4257,產品!$A$2:$H$61,7,FALSE)*(1-銷售總表!G4257)</f>
        <v>178500</v>
      </c>
      <c r="I4257" s="35">
        <f>H4257-F4257*VLOOKUP(銷售總表!B4257,產品!$A$2:$H$61,8,FALSE)</f>
        <v>31500.000000000029</v>
      </c>
      <c r="J4257" s="20">
        <f t="shared" si="66"/>
        <v>0.17647058823529427</v>
      </c>
    </row>
    <row r="4258" spans="1:10" x14ac:dyDescent="0.3">
      <c r="A4258" s="33">
        <v>4257</v>
      </c>
      <c r="B4258" s="4">
        <v>33</v>
      </c>
      <c r="C4258" s="15">
        <v>140</v>
      </c>
      <c r="D4258" s="16">
        <v>1</v>
      </c>
      <c r="E4258" s="22">
        <v>44670</v>
      </c>
      <c r="F4258" s="19">
        <v>11</v>
      </c>
      <c r="G4258" s="18">
        <v>7.0000000000000007E-2</v>
      </c>
      <c r="H4258">
        <f>F4258*VLOOKUP(B4258,產品!$A$2:$H$61,7,FALSE)*(1-銷售總表!G4258)</f>
        <v>76725</v>
      </c>
      <c r="I4258" s="35">
        <f>H4258-F4258*VLOOKUP(銷售總表!B4258,產品!$A$2:$H$61,8,FALSE)</f>
        <v>27225</v>
      </c>
      <c r="J4258" s="20">
        <f t="shared" si="66"/>
        <v>0.35483870967741937</v>
      </c>
    </row>
    <row r="4259" spans="1:10" x14ac:dyDescent="0.3">
      <c r="A4259" s="33">
        <v>4258</v>
      </c>
      <c r="B4259" s="4">
        <v>44</v>
      </c>
      <c r="C4259" s="15">
        <v>272</v>
      </c>
      <c r="D4259" s="16">
        <v>6</v>
      </c>
      <c r="E4259" s="22">
        <v>44670</v>
      </c>
      <c r="F4259" s="19">
        <v>12</v>
      </c>
      <c r="G4259" s="18">
        <v>0.12</v>
      </c>
      <c r="H4259">
        <f>F4259*VLOOKUP(B4259,產品!$A$2:$H$61,7,FALSE)*(1-銷售總表!G4259)</f>
        <v>211200</v>
      </c>
      <c r="I4259" s="35">
        <f>H4259-F4259*VLOOKUP(銷售總表!B4259,產品!$A$2:$H$61,8,FALSE)</f>
        <v>55200</v>
      </c>
      <c r="J4259" s="20">
        <f t="shared" si="66"/>
        <v>0.26136363636363635</v>
      </c>
    </row>
    <row r="4260" spans="1:10" x14ac:dyDescent="0.3">
      <c r="A4260" s="33">
        <v>4259</v>
      </c>
      <c r="B4260" s="4">
        <v>41</v>
      </c>
      <c r="C4260" s="15">
        <v>292</v>
      </c>
      <c r="D4260" s="16">
        <v>1</v>
      </c>
      <c r="E4260" s="23">
        <v>44670</v>
      </c>
      <c r="F4260">
        <v>17</v>
      </c>
      <c r="G4260" s="20">
        <v>0.18</v>
      </c>
      <c r="H4260">
        <f>F4260*VLOOKUP(B4260,產品!$A$2:$H$61,7,FALSE)*(1-銷售總表!G4260)</f>
        <v>167280</v>
      </c>
      <c r="I4260" s="35">
        <f>H4260-F4260*VLOOKUP(銷售總表!B4260,產品!$A$2:$H$61,8,FALSE)</f>
        <v>34680</v>
      </c>
      <c r="J4260" s="20">
        <f t="shared" si="66"/>
        <v>0.2073170731707317</v>
      </c>
    </row>
    <row r="4261" spans="1:10" x14ac:dyDescent="0.3">
      <c r="A4261" s="33">
        <v>4260</v>
      </c>
      <c r="B4261" s="4">
        <v>41</v>
      </c>
      <c r="C4261" s="15">
        <v>121</v>
      </c>
      <c r="D4261" s="16">
        <v>1</v>
      </c>
      <c r="E4261" s="22">
        <v>44670</v>
      </c>
      <c r="F4261" s="19">
        <v>18</v>
      </c>
      <c r="G4261" s="18">
        <v>0.06</v>
      </c>
      <c r="H4261">
        <f>F4261*VLOOKUP(B4261,產品!$A$2:$H$61,7,FALSE)*(1-銷售總表!G4261)</f>
        <v>203040</v>
      </c>
      <c r="I4261" s="35">
        <f>H4261-F4261*VLOOKUP(銷售總表!B4261,產品!$A$2:$H$61,8,FALSE)</f>
        <v>62640</v>
      </c>
      <c r="J4261" s="20">
        <f t="shared" si="66"/>
        <v>0.30851063829787234</v>
      </c>
    </row>
    <row r="4262" spans="1:10" x14ac:dyDescent="0.3">
      <c r="A4262" s="33">
        <v>4261</v>
      </c>
      <c r="B4262" s="4">
        <v>14</v>
      </c>
      <c r="C4262" s="15">
        <v>121</v>
      </c>
      <c r="D4262" s="16">
        <v>1</v>
      </c>
      <c r="E4262" s="22">
        <v>44670</v>
      </c>
      <c r="F4262" s="19">
        <v>40</v>
      </c>
      <c r="G4262" s="18">
        <v>0.11</v>
      </c>
      <c r="H4262">
        <f>F4262*VLOOKUP(B4262,產品!$A$2:$H$61,7,FALSE)*(1-銷售總表!G4262)</f>
        <v>64080</v>
      </c>
      <c r="I4262" s="35">
        <f>H4262-F4262*VLOOKUP(銷售總表!B4262,產品!$A$2:$H$61,8,FALSE)</f>
        <v>35280</v>
      </c>
      <c r="J4262" s="20">
        <f t="shared" si="66"/>
        <v>0.550561797752809</v>
      </c>
    </row>
    <row r="4263" spans="1:10" x14ac:dyDescent="0.3">
      <c r="A4263" s="33">
        <v>4262</v>
      </c>
      <c r="B4263" s="4">
        <v>19</v>
      </c>
      <c r="C4263" s="15">
        <v>257</v>
      </c>
      <c r="D4263" s="16">
        <v>8</v>
      </c>
      <c r="E4263" s="22">
        <v>44670</v>
      </c>
      <c r="F4263" s="19">
        <v>60</v>
      </c>
      <c r="G4263" s="18">
        <v>0.14000000000000001</v>
      </c>
      <c r="H4263">
        <f>F4263*VLOOKUP(B4263,產品!$A$2:$H$61,7,FALSE)*(1-銷售總表!G4263)</f>
        <v>92880</v>
      </c>
      <c r="I4263" s="35">
        <f>H4263-F4263*VLOOKUP(銷售總表!B4263,產品!$A$2:$H$61,8,FALSE)</f>
        <v>49680</v>
      </c>
      <c r="J4263" s="20">
        <f t="shared" si="66"/>
        <v>0.53488372093023251</v>
      </c>
    </row>
    <row r="4264" spans="1:10" x14ac:dyDescent="0.3">
      <c r="A4264" s="33">
        <v>4263</v>
      </c>
      <c r="B4264" s="4">
        <v>28</v>
      </c>
      <c r="C4264" s="15">
        <v>276</v>
      </c>
      <c r="D4264" s="16">
        <v>2</v>
      </c>
      <c r="E4264" s="22">
        <v>44671</v>
      </c>
      <c r="F4264" s="19">
        <v>3</v>
      </c>
      <c r="G4264" s="18">
        <v>0.19</v>
      </c>
      <c r="H4264">
        <f>F4264*VLOOKUP(B4264,產品!$A$2:$H$61,7,FALSE)*(1-銷售總表!G4264)</f>
        <v>18225</v>
      </c>
      <c r="I4264" s="35">
        <f>H4264-F4264*VLOOKUP(銷售總表!B4264,產品!$A$2:$H$61,8,FALSE)</f>
        <v>4725</v>
      </c>
      <c r="J4264" s="20">
        <f t="shared" si="66"/>
        <v>0.25925925925925924</v>
      </c>
    </row>
    <row r="4265" spans="1:10" x14ac:dyDescent="0.3">
      <c r="A4265" s="33">
        <v>4264</v>
      </c>
      <c r="B4265" s="4">
        <v>42</v>
      </c>
      <c r="C4265" s="15">
        <v>261</v>
      </c>
      <c r="D4265" s="16">
        <v>6</v>
      </c>
      <c r="E4265" s="22">
        <v>44671</v>
      </c>
      <c r="F4265" s="19">
        <v>5</v>
      </c>
      <c r="G4265" s="18">
        <v>0.18</v>
      </c>
      <c r="H4265">
        <f>F4265*VLOOKUP(B4265,產品!$A$2:$H$61,7,FALSE)*(1-銷售總表!G4265)</f>
        <v>61500.000000000007</v>
      </c>
      <c r="I4265" s="35">
        <f>H4265-F4265*VLOOKUP(銷售總表!B4265,產品!$A$2:$H$61,8,FALSE)</f>
        <v>12750.000000000007</v>
      </c>
      <c r="J4265" s="20">
        <f t="shared" si="66"/>
        <v>0.20731707317073181</v>
      </c>
    </row>
    <row r="4266" spans="1:10" x14ac:dyDescent="0.3">
      <c r="A4266" s="33">
        <v>4265</v>
      </c>
      <c r="B4266" s="4">
        <v>43</v>
      </c>
      <c r="C4266" s="15">
        <v>263</v>
      </c>
      <c r="D4266" s="16">
        <v>3</v>
      </c>
      <c r="E4266" s="23">
        <v>44671</v>
      </c>
      <c r="F4266">
        <v>6</v>
      </c>
      <c r="G4266" s="20">
        <v>0.18</v>
      </c>
      <c r="H4266">
        <f>F4266*VLOOKUP(B4266,產品!$A$2:$H$61,7,FALSE)*(1-銷售總表!G4266)</f>
        <v>88560</v>
      </c>
      <c r="I4266" s="35">
        <f>H4266-F4266*VLOOKUP(銷售總表!B4266,產品!$A$2:$H$61,8,FALSE)</f>
        <v>18360</v>
      </c>
      <c r="J4266" s="20">
        <f t="shared" si="66"/>
        <v>0.2073170731707317</v>
      </c>
    </row>
    <row r="4267" spans="1:10" x14ac:dyDescent="0.3">
      <c r="A4267" s="33">
        <v>4266</v>
      </c>
      <c r="B4267" s="4">
        <v>47</v>
      </c>
      <c r="C4267" s="15">
        <v>112</v>
      </c>
      <c r="D4267" s="16">
        <v>10</v>
      </c>
      <c r="E4267" s="22">
        <v>44671</v>
      </c>
      <c r="F4267" s="19">
        <v>10</v>
      </c>
      <c r="G4267" s="18">
        <v>0.16</v>
      </c>
      <c r="H4267">
        <f>F4267*VLOOKUP(B4267,產品!$A$2:$H$61,7,FALSE)*(1-銷售總表!G4267)</f>
        <v>168000</v>
      </c>
      <c r="I4267" s="35">
        <f>H4267-F4267*VLOOKUP(銷售總表!B4267,產品!$A$2:$H$61,8,FALSE)</f>
        <v>38000</v>
      </c>
      <c r="J4267" s="20">
        <f t="shared" si="66"/>
        <v>0.22619047619047619</v>
      </c>
    </row>
    <row r="4268" spans="1:10" x14ac:dyDescent="0.3">
      <c r="A4268" s="33">
        <v>4267</v>
      </c>
      <c r="B4268" s="4">
        <v>24</v>
      </c>
      <c r="C4268" s="15">
        <v>278</v>
      </c>
      <c r="D4268" s="16">
        <v>6</v>
      </c>
      <c r="E4268" s="22">
        <v>44671</v>
      </c>
      <c r="F4268" s="19">
        <v>40</v>
      </c>
      <c r="G4268" s="18">
        <v>0.1</v>
      </c>
      <c r="H4268">
        <f>F4268*VLOOKUP(B4268,產品!$A$2:$H$61,7,FALSE)*(1-銷售總表!G4268)</f>
        <v>64800</v>
      </c>
      <c r="I4268" s="35">
        <f>H4268-F4268*VLOOKUP(銷售總表!B4268,產品!$A$2:$H$61,8,FALSE)</f>
        <v>36000</v>
      </c>
      <c r="J4268" s="20">
        <f t="shared" si="66"/>
        <v>0.55555555555555558</v>
      </c>
    </row>
    <row r="4269" spans="1:10" x14ac:dyDescent="0.3">
      <c r="A4269" s="33">
        <v>4268</v>
      </c>
      <c r="B4269" s="4">
        <v>13</v>
      </c>
      <c r="C4269" s="15">
        <v>6</v>
      </c>
      <c r="D4269" s="16">
        <v>10</v>
      </c>
      <c r="E4269" s="22">
        <v>44671</v>
      </c>
      <c r="F4269" s="19">
        <v>40</v>
      </c>
      <c r="G4269" s="18">
        <v>0.16</v>
      </c>
      <c r="H4269">
        <f>F4269*VLOOKUP(B4269,產品!$A$2:$H$61,7,FALSE)*(1-銷售總表!G4269)</f>
        <v>60480</v>
      </c>
      <c r="I4269" s="35">
        <f>H4269-F4269*VLOOKUP(銷售總表!B4269,產品!$A$2:$H$61,8,FALSE)</f>
        <v>31680</v>
      </c>
      <c r="J4269" s="20">
        <f t="shared" si="66"/>
        <v>0.52380952380952384</v>
      </c>
    </row>
    <row r="4270" spans="1:10" x14ac:dyDescent="0.3">
      <c r="A4270" s="33">
        <v>4269</v>
      </c>
      <c r="B4270" s="4">
        <v>13</v>
      </c>
      <c r="C4270" s="15">
        <v>6</v>
      </c>
      <c r="D4270" s="16">
        <v>7</v>
      </c>
      <c r="E4270" s="22">
        <v>44671</v>
      </c>
      <c r="F4270" s="17">
        <v>50</v>
      </c>
      <c r="G4270" s="18">
        <v>0.15</v>
      </c>
      <c r="H4270">
        <f>F4270*VLOOKUP(B4270,產品!$A$2:$H$61,7,FALSE)*(1-銷售總表!G4270)</f>
        <v>76500</v>
      </c>
      <c r="I4270" s="35">
        <f>H4270-F4270*VLOOKUP(銷售總表!B4270,產品!$A$2:$H$61,8,FALSE)</f>
        <v>40500</v>
      </c>
      <c r="J4270" s="20">
        <f t="shared" si="66"/>
        <v>0.52941176470588236</v>
      </c>
    </row>
    <row r="4271" spans="1:10" x14ac:dyDescent="0.3">
      <c r="A4271" s="33">
        <v>4270</v>
      </c>
      <c r="B4271" s="4">
        <v>23</v>
      </c>
      <c r="C4271" s="15">
        <v>5</v>
      </c>
      <c r="D4271" s="16">
        <v>2</v>
      </c>
      <c r="E4271" s="22">
        <v>44671</v>
      </c>
      <c r="F4271" s="19">
        <v>90</v>
      </c>
      <c r="G4271" s="18">
        <v>0.2</v>
      </c>
      <c r="H4271">
        <f>F4271*VLOOKUP(B4271,產品!$A$2:$H$61,7,FALSE)*(1-銷售總表!G4271)</f>
        <v>129600</v>
      </c>
      <c r="I4271" s="35">
        <f>H4271-F4271*VLOOKUP(銷售總表!B4271,產品!$A$2:$H$61,8,FALSE)</f>
        <v>64800</v>
      </c>
      <c r="J4271" s="20">
        <f t="shared" si="66"/>
        <v>0.5</v>
      </c>
    </row>
    <row r="4272" spans="1:10" x14ac:dyDescent="0.3">
      <c r="A4272" s="33">
        <v>4271</v>
      </c>
      <c r="B4272" s="4">
        <v>8</v>
      </c>
      <c r="C4272" s="15">
        <v>3</v>
      </c>
      <c r="D4272" s="16">
        <v>10</v>
      </c>
      <c r="E4272" s="22">
        <v>44671</v>
      </c>
      <c r="F4272" s="19">
        <v>250</v>
      </c>
      <c r="G4272" s="18">
        <v>0.16</v>
      </c>
      <c r="H4272">
        <f>F4272*VLOOKUP(B4272,產品!$A$2:$H$61,7,FALSE)*(1-銷售總表!G4272)</f>
        <v>210000</v>
      </c>
      <c r="I4272" s="35">
        <f>H4272-F4272*VLOOKUP(銷售總表!B4272,產品!$A$2:$H$61,8,FALSE)</f>
        <v>110000</v>
      </c>
      <c r="J4272" s="20">
        <f t="shared" si="66"/>
        <v>0.52380952380952384</v>
      </c>
    </row>
    <row r="4273" spans="1:10" x14ac:dyDescent="0.3">
      <c r="A4273" s="33">
        <v>4272</v>
      </c>
      <c r="B4273" s="4">
        <v>58</v>
      </c>
      <c r="C4273" s="15">
        <v>271</v>
      </c>
      <c r="D4273" s="16">
        <v>9</v>
      </c>
      <c r="E4273" s="22">
        <v>44672</v>
      </c>
      <c r="F4273" s="19">
        <v>3</v>
      </c>
      <c r="G4273" s="18">
        <v>0.15</v>
      </c>
      <c r="H4273">
        <f>F4273*VLOOKUP(B4273,產品!$A$2:$H$61,7,FALSE)*(1-銷售總表!G4273)</f>
        <v>53550</v>
      </c>
      <c r="I4273" s="35">
        <f>H4273-F4273*VLOOKUP(銷售總表!B4273,產品!$A$2:$H$61,8,FALSE)</f>
        <v>9450.0000000000073</v>
      </c>
      <c r="J4273" s="20">
        <f t="shared" si="66"/>
        <v>0.17647058823529424</v>
      </c>
    </row>
    <row r="4274" spans="1:10" x14ac:dyDescent="0.3">
      <c r="A4274" s="33">
        <v>4273</v>
      </c>
      <c r="B4274" s="4">
        <v>47</v>
      </c>
      <c r="C4274" s="15">
        <v>285</v>
      </c>
      <c r="D4274" s="16">
        <v>8</v>
      </c>
      <c r="E4274" s="22">
        <v>44672</v>
      </c>
      <c r="F4274" s="19">
        <v>4</v>
      </c>
      <c r="G4274" s="18">
        <v>0.14000000000000001</v>
      </c>
      <c r="H4274">
        <f>F4274*VLOOKUP(B4274,產品!$A$2:$H$61,7,FALSE)*(1-銷售總表!G4274)</f>
        <v>68800</v>
      </c>
      <c r="I4274" s="35">
        <f>H4274-F4274*VLOOKUP(銷售總表!B4274,產品!$A$2:$H$61,8,FALSE)</f>
        <v>16800</v>
      </c>
      <c r="J4274" s="20">
        <f t="shared" si="66"/>
        <v>0.2441860465116279</v>
      </c>
    </row>
    <row r="4275" spans="1:10" x14ac:dyDescent="0.3">
      <c r="A4275" s="33">
        <v>4274</v>
      </c>
      <c r="B4275" s="4">
        <v>39</v>
      </c>
      <c r="C4275" s="15">
        <v>122</v>
      </c>
      <c r="D4275" s="16">
        <v>7</v>
      </c>
      <c r="E4275" s="22">
        <v>44672</v>
      </c>
      <c r="F4275" s="19">
        <v>5</v>
      </c>
      <c r="G4275" s="18">
        <v>0.19</v>
      </c>
      <c r="H4275">
        <f>F4275*VLOOKUP(B4275,產品!$A$2:$H$61,7,FALSE)*(1-銷售總表!G4275)</f>
        <v>72900</v>
      </c>
      <c r="I4275" s="35">
        <f>H4275-F4275*VLOOKUP(銷售總表!B4275,產品!$A$2:$H$61,8,FALSE)</f>
        <v>14400</v>
      </c>
      <c r="J4275" s="20">
        <f t="shared" si="66"/>
        <v>0.19753086419753085</v>
      </c>
    </row>
    <row r="4276" spans="1:10" x14ac:dyDescent="0.3">
      <c r="A4276" s="33">
        <v>4275</v>
      </c>
      <c r="B4276" s="4">
        <v>38</v>
      </c>
      <c r="C4276" s="15">
        <v>136</v>
      </c>
      <c r="D4276" s="16">
        <v>7</v>
      </c>
      <c r="E4276" s="23">
        <v>44672</v>
      </c>
      <c r="F4276">
        <v>6</v>
      </c>
      <c r="G4276" s="20">
        <v>0.15</v>
      </c>
      <c r="H4276">
        <f>F4276*VLOOKUP(B4276,產品!$A$2:$H$61,7,FALSE)*(1-銷售總表!G4276)</f>
        <v>76500</v>
      </c>
      <c r="I4276" s="35">
        <f>H4276-F4276*VLOOKUP(銷售總表!B4276,產品!$A$2:$H$61,8,FALSE)</f>
        <v>18000</v>
      </c>
      <c r="J4276" s="20">
        <f t="shared" si="66"/>
        <v>0.23529411764705882</v>
      </c>
    </row>
    <row r="4277" spans="1:10" x14ac:dyDescent="0.3">
      <c r="A4277" s="33">
        <v>4276</v>
      </c>
      <c r="B4277" s="4">
        <v>34</v>
      </c>
      <c r="C4277" s="15">
        <v>264</v>
      </c>
      <c r="D4277" s="16">
        <v>9</v>
      </c>
      <c r="E4277" s="22">
        <v>44673</v>
      </c>
      <c r="F4277" s="19">
        <v>3</v>
      </c>
      <c r="G4277" s="18">
        <v>0.2</v>
      </c>
      <c r="H4277">
        <f>F4277*VLOOKUP(B4277,產品!$A$2:$H$61,7,FALSE)*(1-銷售總表!G4277)</f>
        <v>19200</v>
      </c>
      <c r="I4277" s="35">
        <f>H4277-F4277*VLOOKUP(銷售總表!B4277,產品!$A$2:$H$61,8,FALSE)</f>
        <v>4800</v>
      </c>
      <c r="J4277" s="20">
        <f t="shared" si="66"/>
        <v>0.25</v>
      </c>
    </row>
    <row r="4278" spans="1:10" x14ac:dyDescent="0.3">
      <c r="A4278" s="33">
        <v>4277</v>
      </c>
      <c r="B4278" s="4">
        <v>50</v>
      </c>
      <c r="C4278" s="15">
        <v>281</v>
      </c>
      <c r="D4278" s="16">
        <v>2</v>
      </c>
      <c r="E4278" s="22">
        <v>44673</v>
      </c>
      <c r="F4278" s="19">
        <v>6</v>
      </c>
      <c r="G4278" s="18">
        <v>0.12</v>
      </c>
      <c r="H4278">
        <f>F4278*VLOOKUP(B4278,產品!$A$2:$H$61,7,FALSE)*(1-銷售總表!G4278)</f>
        <v>95040</v>
      </c>
      <c r="I4278" s="35">
        <f>H4278-F4278*VLOOKUP(銷售總表!B4278,產品!$A$2:$H$61,8,FALSE)</f>
        <v>19440</v>
      </c>
      <c r="J4278" s="20">
        <f t="shared" si="66"/>
        <v>0.20454545454545456</v>
      </c>
    </row>
    <row r="4279" spans="1:10" x14ac:dyDescent="0.3">
      <c r="A4279" s="33">
        <v>4278</v>
      </c>
      <c r="B4279" s="4">
        <v>37</v>
      </c>
      <c r="C4279" s="15">
        <v>116</v>
      </c>
      <c r="D4279" s="16">
        <v>6</v>
      </c>
      <c r="E4279" s="22">
        <v>44673</v>
      </c>
      <c r="F4279" s="19">
        <v>6</v>
      </c>
      <c r="G4279" s="18">
        <v>0.08</v>
      </c>
      <c r="H4279">
        <f>F4279*VLOOKUP(B4279,產品!$A$2:$H$61,7,FALSE)*(1-銷售總表!G4279)</f>
        <v>66240</v>
      </c>
      <c r="I4279" s="35">
        <f>H4279-F4279*VLOOKUP(銷售總表!B4279,產品!$A$2:$H$61,8,FALSE)</f>
        <v>19440</v>
      </c>
      <c r="J4279" s="20">
        <f t="shared" si="66"/>
        <v>0.29347826086956524</v>
      </c>
    </row>
    <row r="4280" spans="1:10" x14ac:dyDescent="0.3">
      <c r="A4280" s="33">
        <v>4279</v>
      </c>
      <c r="B4280" s="4">
        <v>33</v>
      </c>
      <c r="C4280" s="15">
        <v>116</v>
      </c>
      <c r="D4280" s="16">
        <v>10</v>
      </c>
      <c r="E4280" s="22">
        <v>44673</v>
      </c>
      <c r="F4280" s="19">
        <v>8</v>
      </c>
      <c r="G4280" s="18">
        <v>0.12</v>
      </c>
      <c r="H4280">
        <f>F4280*VLOOKUP(B4280,產品!$A$2:$H$61,7,FALSE)*(1-銷售總表!G4280)</f>
        <v>52800</v>
      </c>
      <c r="I4280" s="35">
        <f>H4280-F4280*VLOOKUP(銷售總表!B4280,產品!$A$2:$H$61,8,FALSE)</f>
        <v>16800</v>
      </c>
      <c r="J4280" s="20">
        <f t="shared" si="66"/>
        <v>0.31818181818181818</v>
      </c>
    </row>
    <row r="4281" spans="1:10" x14ac:dyDescent="0.3">
      <c r="A4281" s="33">
        <v>4280</v>
      </c>
      <c r="B4281" s="4">
        <v>36</v>
      </c>
      <c r="C4281" s="15">
        <v>123</v>
      </c>
      <c r="D4281" s="16">
        <v>5</v>
      </c>
      <c r="E4281" s="22">
        <v>44673</v>
      </c>
      <c r="F4281" s="19">
        <v>17</v>
      </c>
      <c r="G4281" s="18">
        <v>0.11</v>
      </c>
      <c r="H4281">
        <f>F4281*VLOOKUP(B4281,產品!$A$2:$H$61,7,FALSE)*(1-銷售總表!G4281)</f>
        <v>136170</v>
      </c>
      <c r="I4281" s="35">
        <f>H4281-F4281*VLOOKUP(銷售總表!B4281,產品!$A$2:$H$61,8,FALSE)</f>
        <v>44370</v>
      </c>
      <c r="J4281" s="20">
        <f t="shared" si="66"/>
        <v>0.3258426966292135</v>
      </c>
    </row>
    <row r="4282" spans="1:10" x14ac:dyDescent="0.3">
      <c r="A4282" s="33">
        <v>4281</v>
      </c>
      <c r="B4282" s="4">
        <v>20</v>
      </c>
      <c r="C4282" s="15">
        <v>276</v>
      </c>
      <c r="D4282" s="16">
        <v>2</v>
      </c>
      <c r="E4282" s="22">
        <v>44673</v>
      </c>
      <c r="F4282" s="19">
        <v>50</v>
      </c>
      <c r="G4282" s="18">
        <v>0.14000000000000001</v>
      </c>
      <c r="H4282">
        <f>F4282*VLOOKUP(B4282,產品!$A$2:$H$61,7,FALSE)*(1-銷售總表!G4282)</f>
        <v>77400</v>
      </c>
      <c r="I4282" s="35">
        <f>H4282-F4282*VLOOKUP(銷售總表!B4282,產品!$A$2:$H$61,8,FALSE)</f>
        <v>41400</v>
      </c>
      <c r="J4282" s="20">
        <f t="shared" si="66"/>
        <v>0.53488372093023251</v>
      </c>
    </row>
    <row r="4283" spans="1:10" x14ac:dyDescent="0.3">
      <c r="A4283" s="33">
        <v>4282</v>
      </c>
      <c r="B4283" s="4">
        <v>15</v>
      </c>
      <c r="C4283" s="15">
        <v>3</v>
      </c>
      <c r="D4283" s="16">
        <v>4</v>
      </c>
      <c r="E4283" s="22">
        <v>44673</v>
      </c>
      <c r="F4283" s="17">
        <v>60</v>
      </c>
      <c r="G4283" s="18">
        <v>0.12</v>
      </c>
      <c r="H4283">
        <f>F4283*VLOOKUP(B4283,產品!$A$2:$H$61,7,FALSE)*(1-銷售總表!G4283)</f>
        <v>95040</v>
      </c>
      <c r="I4283" s="35">
        <f>H4283-F4283*VLOOKUP(銷售總表!B4283,產品!$A$2:$H$61,8,FALSE)</f>
        <v>51840</v>
      </c>
      <c r="J4283" s="20">
        <f t="shared" si="66"/>
        <v>0.54545454545454541</v>
      </c>
    </row>
    <row r="4284" spans="1:10" x14ac:dyDescent="0.3">
      <c r="A4284" s="33">
        <v>4283</v>
      </c>
      <c r="B4284" s="4">
        <v>44</v>
      </c>
      <c r="C4284" s="15">
        <v>136</v>
      </c>
      <c r="D4284" s="16">
        <v>4</v>
      </c>
      <c r="E4284" s="22">
        <v>44674</v>
      </c>
      <c r="F4284" s="19">
        <v>3</v>
      </c>
      <c r="G4284" s="18">
        <v>0.15</v>
      </c>
      <c r="H4284">
        <f>F4284*VLOOKUP(B4284,產品!$A$2:$H$61,7,FALSE)*(1-銷售總表!G4284)</f>
        <v>51000</v>
      </c>
      <c r="I4284" s="35">
        <f>H4284-F4284*VLOOKUP(銷售總表!B4284,產品!$A$2:$H$61,8,FALSE)</f>
        <v>12000</v>
      </c>
      <c r="J4284" s="20">
        <f t="shared" si="66"/>
        <v>0.23529411764705882</v>
      </c>
    </row>
    <row r="4285" spans="1:10" x14ac:dyDescent="0.3">
      <c r="A4285" s="33">
        <v>4284</v>
      </c>
      <c r="B4285" s="4">
        <v>40</v>
      </c>
      <c r="C4285" s="15">
        <v>11</v>
      </c>
      <c r="D4285" s="16">
        <v>7</v>
      </c>
      <c r="E4285" s="22">
        <v>44674</v>
      </c>
      <c r="F4285" s="19">
        <v>5</v>
      </c>
      <c r="G4285" s="18">
        <v>0.06</v>
      </c>
      <c r="H4285">
        <f>F4285*VLOOKUP(B4285,產品!$A$2:$H$61,7,FALSE)*(1-銷售總表!G4285)</f>
        <v>94000</v>
      </c>
      <c r="I4285" s="35">
        <f>H4285-F4285*VLOOKUP(銷售總表!B4285,產品!$A$2:$H$61,8,FALSE)</f>
        <v>29000</v>
      </c>
      <c r="J4285" s="20">
        <f t="shared" si="66"/>
        <v>0.30851063829787234</v>
      </c>
    </row>
    <row r="4286" spans="1:10" x14ac:dyDescent="0.3">
      <c r="A4286" s="33">
        <v>4285</v>
      </c>
      <c r="B4286" s="4">
        <v>47</v>
      </c>
      <c r="C4286" s="15">
        <v>280</v>
      </c>
      <c r="D4286" s="16">
        <v>9</v>
      </c>
      <c r="E4286" s="22">
        <v>44674</v>
      </c>
      <c r="F4286" s="19">
        <v>5</v>
      </c>
      <c r="G4286" s="18">
        <v>0.17</v>
      </c>
      <c r="H4286">
        <f>F4286*VLOOKUP(B4286,產品!$A$2:$H$61,7,FALSE)*(1-銷售總表!G4286)</f>
        <v>83000</v>
      </c>
      <c r="I4286" s="35">
        <f>H4286-F4286*VLOOKUP(銷售總表!B4286,產品!$A$2:$H$61,8,FALSE)</f>
        <v>18000</v>
      </c>
      <c r="J4286" s="20">
        <f t="shared" si="66"/>
        <v>0.21686746987951808</v>
      </c>
    </row>
    <row r="4287" spans="1:10" x14ac:dyDescent="0.3">
      <c r="A4287" s="33">
        <v>4286</v>
      </c>
      <c r="B4287" s="4">
        <v>27</v>
      </c>
      <c r="C4287" s="15">
        <v>283</v>
      </c>
      <c r="D4287" s="16">
        <v>5</v>
      </c>
      <c r="E4287" s="22">
        <v>44674</v>
      </c>
      <c r="F4287" s="19">
        <v>8</v>
      </c>
      <c r="G4287" s="18">
        <v>0.18</v>
      </c>
      <c r="H4287">
        <f>F4287*VLOOKUP(B4287,產品!$A$2:$H$61,7,FALSE)*(1-銷售總表!G4287)</f>
        <v>45920</v>
      </c>
      <c r="I4287" s="35">
        <f>H4287-F4287*VLOOKUP(銷售總表!B4287,產品!$A$2:$H$61,8,FALSE)</f>
        <v>12320</v>
      </c>
      <c r="J4287" s="20">
        <f t="shared" si="66"/>
        <v>0.26829268292682928</v>
      </c>
    </row>
    <row r="4288" spans="1:10" x14ac:dyDescent="0.3">
      <c r="A4288" s="33">
        <v>4287</v>
      </c>
      <c r="B4288" s="4">
        <v>32</v>
      </c>
      <c r="C4288" s="15">
        <v>134</v>
      </c>
      <c r="D4288" s="16">
        <v>2</v>
      </c>
      <c r="E4288" s="22">
        <v>44674</v>
      </c>
      <c r="F4288" s="19">
        <v>15</v>
      </c>
      <c r="G4288" s="18">
        <v>0.12</v>
      </c>
      <c r="H4288">
        <f>F4288*VLOOKUP(B4288,產品!$A$2:$H$61,7,FALSE)*(1-銷售總表!G4288)</f>
        <v>99000</v>
      </c>
      <c r="I4288" s="35">
        <f>H4288-F4288*VLOOKUP(銷售總表!B4288,產品!$A$2:$H$61,8,FALSE)</f>
        <v>31500</v>
      </c>
      <c r="J4288" s="20">
        <f t="shared" si="66"/>
        <v>0.31818181818181818</v>
      </c>
    </row>
    <row r="4289" spans="1:10" x14ac:dyDescent="0.3">
      <c r="A4289" s="33">
        <v>4288</v>
      </c>
      <c r="B4289" s="4">
        <v>5</v>
      </c>
      <c r="C4289" s="15">
        <v>114</v>
      </c>
      <c r="D4289" s="16">
        <v>6</v>
      </c>
      <c r="E4289" s="22">
        <v>44674</v>
      </c>
      <c r="F4289" s="19">
        <v>20</v>
      </c>
      <c r="G4289" s="18">
        <v>0.06</v>
      </c>
      <c r="H4289">
        <f>F4289*VLOOKUP(B4289,產品!$A$2:$H$61,7,FALSE)*(1-銷售總表!G4289)</f>
        <v>18800</v>
      </c>
      <c r="I4289" s="35">
        <f>H4289-F4289*VLOOKUP(銷售總表!B4289,產品!$A$2:$H$61,8,FALSE)</f>
        <v>10800</v>
      </c>
      <c r="J4289" s="20">
        <f t="shared" si="66"/>
        <v>0.57446808510638303</v>
      </c>
    </row>
    <row r="4290" spans="1:10" x14ac:dyDescent="0.3">
      <c r="A4290" s="33">
        <v>4289</v>
      </c>
      <c r="B4290" s="4">
        <v>14</v>
      </c>
      <c r="C4290" s="15">
        <v>112</v>
      </c>
      <c r="D4290" s="16">
        <v>7</v>
      </c>
      <c r="E4290" s="22">
        <v>44674</v>
      </c>
      <c r="F4290" s="19">
        <v>80</v>
      </c>
      <c r="G4290" s="18">
        <v>0.05</v>
      </c>
      <c r="H4290">
        <f>F4290*VLOOKUP(B4290,產品!$A$2:$H$61,7,FALSE)*(1-銷售總表!G4290)</f>
        <v>136800</v>
      </c>
      <c r="I4290" s="35">
        <f>H4290-F4290*VLOOKUP(銷售總表!B4290,產品!$A$2:$H$61,8,FALSE)</f>
        <v>79200</v>
      </c>
      <c r="J4290" s="20">
        <f t="shared" si="66"/>
        <v>0.57894736842105265</v>
      </c>
    </row>
    <row r="4291" spans="1:10" x14ac:dyDescent="0.3">
      <c r="A4291" s="33">
        <v>4290</v>
      </c>
      <c r="B4291" s="4">
        <v>2</v>
      </c>
      <c r="C4291" s="15">
        <v>8</v>
      </c>
      <c r="D4291" s="16">
        <v>9</v>
      </c>
      <c r="E4291" s="22">
        <v>44674</v>
      </c>
      <c r="F4291" s="19">
        <v>200</v>
      </c>
      <c r="G4291" s="18">
        <v>0.06</v>
      </c>
      <c r="H4291">
        <f>F4291*VLOOKUP(B4291,產品!$A$2:$H$61,7,FALSE)*(1-銷售總表!G4291)</f>
        <v>188000</v>
      </c>
      <c r="I4291" s="35">
        <f>H4291-F4291*VLOOKUP(銷售總表!B4291,產品!$A$2:$H$61,8,FALSE)</f>
        <v>108000</v>
      </c>
      <c r="J4291" s="20">
        <f t="shared" ref="J4291:J4354" si="67">I4291/H4291</f>
        <v>0.57446808510638303</v>
      </c>
    </row>
    <row r="4292" spans="1:10" x14ac:dyDescent="0.3">
      <c r="A4292" s="33">
        <v>4291</v>
      </c>
      <c r="B4292" s="4">
        <v>59</v>
      </c>
      <c r="C4292" s="15">
        <v>274</v>
      </c>
      <c r="D4292" s="16">
        <v>2</v>
      </c>
      <c r="E4292" s="22">
        <v>44675</v>
      </c>
      <c r="F4292" s="19">
        <v>3</v>
      </c>
      <c r="G4292" s="18">
        <v>0.08</v>
      </c>
      <c r="H4292">
        <f>F4292*VLOOKUP(B4292,產品!$A$2:$H$61,7,FALSE)*(1-銷售總表!G4292)</f>
        <v>66240</v>
      </c>
      <c r="I4292" s="35">
        <f>H4292-F4292*VLOOKUP(銷售總表!B4292,產品!$A$2:$H$61,8,FALSE)</f>
        <v>15840</v>
      </c>
      <c r="J4292" s="20">
        <f t="shared" si="67"/>
        <v>0.2391304347826087</v>
      </c>
    </row>
    <row r="4293" spans="1:10" x14ac:dyDescent="0.3">
      <c r="A4293" s="33">
        <v>4292</v>
      </c>
      <c r="B4293" s="4">
        <v>46</v>
      </c>
      <c r="C4293" s="15">
        <v>292</v>
      </c>
      <c r="D4293" s="16">
        <v>8</v>
      </c>
      <c r="E4293" s="22">
        <v>44675</v>
      </c>
      <c r="F4293" s="19">
        <v>5</v>
      </c>
      <c r="G4293" s="18">
        <v>0.05</v>
      </c>
      <c r="H4293">
        <f>F4293*VLOOKUP(B4293,產品!$A$2:$H$61,7,FALSE)*(1-銷售總表!G4293)</f>
        <v>80750</v>
      </c>
      <c r="I4293" s="35">
        <f>H4293-F4293*VLOOKUP(銷售總表!B4293,產品!$A$2:$H$61,8,FALSE)</f>
        <v>25500</v>
      </c>
      <c r="J4293" s="20">
        <f t="shared" si="67"/>
        <v>0.31578947368421051</v>
      </c>
    </row>
    <row r="4294" spans="1:10" x14ac:dyDescent="0.3">
      <c r="A4294" s="33">
        <v>4293</v>
      </c>
      <c r="B4294" s="4">
        <v>49</v>
      </c>
      <c r="C4294" s="15">
        <v>11</v>
      </c>
      <c r="D4294" s="16">
        <v>10</v>
      </c>
      <c r="E4294" s="22">
        <v>44675</v>
      </c>
      <c r="F4294" s="19">
        <v>12</v>
      </c>
      <c r="G4294" s="18">
        <v>0.09</v>
      </c>
      <c r="H4294">
        <f>F4294*VLOOKUP(B4294,產品!$A$2:$H$61,7,FALSE)*(1-銷售總表!G4294)</f>
        <v>163800</v>
      </c>
      <c r="I4294" s="35">
        <f>H4294-F4294*VLOOKUP(銷售總表!B4294,產品!$A$2:$H$61,8,FALSE)</f>
        <v>37800</v>
      </c>
      <c r="J4294" s="20">
        <f t="shared" si="67"/>
        <v>0.23076923076923078</v>
      </c>
    </row>
    <row r="4295" spans="1:10" x14ac:dyDescent="0.3">
      <c r="A4295" s="33">
        <v>4294</v>
      </c>
      <c r="B4295" s="4">
        <v>11</v>
      </c>
      <c r="C4295" s="15">
        <v>10</v>
      </c>
      <c r="D4295" s="16">
        <v>5</v>
      </c>
      <c r="E4295" s="23">
        <v>44675</v>
      </c>
      <c r="F4295">
        <v>40</v>
      </c>
      <c r="G4295" s="20">
        <v>0.1</v>
      </c>
      <c r="H4295">
        <f>F4295*VLOOKUP(B4295,產品!$A$2:$H$61,7,FALSE)*(1-銷售總表!G4295)</f>
        <v>36000</v>
      </c>
      <c r="I4295" s="35">
        <f>H4295-F4295*VLOOKUP(銷售總表!B4295,產品!$A$2:$H$61,8,FALSE)</f>
        <v>20000</v>
      </c>
      <c r="J4295" s="20">
        <f t="shared" si="67"/>
        <v>0.55555555555555558</v>
      </c>
    </row>
    <row r="4296" spans="1:10" x14ac:dyDescent="0.3">
      <c r="A4296" s="33">
        <v>4295</v>
      </c>
      <c r="B4296" s="4">
        <v>6</v>
      </c>
      <c r="C4296" s="15">
        <v>114</v>
      </c>
      <c r="D4296" s="16">
        <v>6</v>
      </c>
      <c r="E4296" s="22">
        <v>44675</v>
      </c>
      <c r="F4296" s="19">
        <v>40</v>
      </c>
      <c r="G4296" s="18">
        <v>0.2</v>
      </c>
      <c r="H4296">
        <f>F4296*VLOOKUP(B4296,產品!$A$2:$H$61,7,FALSE)*(1-銷售總表!G4296)</f>
        <v>32000</v>
      </c>
      <c r="I4296" s="35">
        <f>H4296-F4296*VLOOKUP(銷售總表!B4296,產品!$A$2:$H$61,8,FALSE)</f>
        <v>16000</v>
      </c>
      <c r="J4296" s="20">
        <f t="shared" si="67"/>
        <v>0.5</v>
      </c>
    </row>
    <row r="4297" spans="1:10" x14ac:dyDescent="0.3">
      <c r="A4297" s="33">
        <v>4296</v>
      </c>
      <c r="B4297" s="4">
        <v>19</v>
      </c>
      <c r="C4297" s="15">
        <v>12</v>
      </c>
      <c r="D4297" s="16">
        <v>3</v>
      </c>
      <c r="E4297" s="22">
        <v>44675</v>
      </c>
      <c r="F4297" s="19">
        <v>60</v>
      </c>
      <c r="G4297" s="18">
        <v>0.19</v>
      </c>
      <c r="H4297">
        <f>F4297*VLOOKUP(B4297,產品!$A$2:$H$61,7,FALSE)*(1-銷售總表!G4297)</f>
        <v>87480</v>
      </c>
      <c r="I4297" s="35">
        <f>H4297-F4297*VLOOKUP(銷售總表!B4297,產品!$A$2:$H$61,8,FALSE)</f>
        <v>44280</v>
      </c>
      <c r="J4297" s="20">
        <f t="shared" si="67"/>
        <v>0.50617283950617287</v>
      </c>
    </row>
    <row r="4298" spans="1:10" x14ac:dyDescent="0.3">
      <c r="A4298" s="33">
        <v>4297</v>
      </c>
      <c r="B4298" s="4">
        <v>18</v>
      </c>
      <c r="C4298" s="15">
        <v>281</v>
      </c>
      <c r="D4298" s="16">
        <v>8</v>
      </c>
      <c r="E4298" s="22">
        <v>44675</v>
      </c>
      <c r="F4298" s="19">
        <v>105</v>
      </c>
      <c r="G4298" s="18">
        <v>0.06</v>
      </c>
      <c r="H4298">
        <f>F4298*VLOOKUP(B4298,產品!$A$2:$H$61,7,FALSE)*(1-銷售總表!G4298)</f>
        <v>177660</v>
      </c>
      <c r="I4298" s="35">
        <f>H4298-F4298*VLOOKUP(銷售總表!B4298,產品!$A$2:$H$61,8,FALSE)</f>
        <v>102060</v>
      </c>
      <c r="J4298" s="20">
        <f t="shared" si="67"/>
        <v>0.57446808510638303</v>
      </c>
    </row>
    <row r="4299" spans="1:10" x14ac:dyDescent="0.3">
      <c r="A4299" s="33">
        <v>4298</v>
      </c>
      <c r="B4299" s="4">
        <v>56</v>
      </c>
      <c r="C4299" s="15">
        <v>262</v>
      </c>
      <c r="D4299" s="16">
        <v>10</v>
      </c>
      <c r="E4299" s="22">
        <v>44676</v>
      </c>
      <c r="F4299" s="19">
        <v>2</v>
      </c>
      <c r="G4299" s="18">
        <v>0.12</v>
      </c>
      <c r="H4299">
        <f>F4299*VLOOKUP(B4299,產品!$A$2:$H$61,7,FALSE)*(1-銷售總表!G4299)</f>
        <v>38720</v>
      </c>
      <c r="I4299" s="35">
        <f>H4299-F4299*VLOOKUP(銷售總表!B4299,產品!$A$2:$H$61,8,FALSE)</f>
        <v>7920.0000000000036</v>
      </c>
      <c r="J4299" s="20">
        <f t="shared" si="67"/>
        <v>0.20454545454545464</v>
      </c>
    </row>
    <row r="4300" spans="1:10" x14ac:dyDescent="0.3">
      <c r="A4300" s="33">
        <v>4299</v>
      </c>
      <c r="B4300" s="4">
        <v>11</v>
      </c>
      <c r="C4300" s="15">
        <v>124</v>
      </c>
      <c r="D4300" s="16">
        <v>5</v>
      </c>
      <c r="E4300" s="22">
        <v>44676</v>
      </c>
      <c r="F4300" s="19">
        <v>10</v>
      </c>
      <c r="G4300" s="18">
        <v>0.15</v>
      </c>
      <c r="H4300">
        <f>F4300*VLOOKUP(B4300,產品!$A$2:$H$61,7,FALSE)*(1-銷售總表!G4300)</f>
        <v>8500</v>
      </c>
      <c r="I4300" s="35">
        <f>H4300-F4300*VLOOKUP(銷售總表!B4300,產品!$A$2:$H$61,8,FALSE)</f>
        <v>4500</v>
      </c>
      <c r="J4300" s="20">
        <f t="shared" si="67"/>
        <v>0.52941176470588236</v>
      </c>
    </row>
    <row r="4301" spans="1:10" x14ac:dyDescent="0.3">
      <c r="A4301" s="33">
        <v>4300</v>
      </c>
      <c r="B4301" s="4">
        <v>14</v>
      </c>
      <c r="C4301" s="15">
        <v>278</v>
      </c>
      <c r="D4301" s="16">
        <v>6</v>
      </c>
      <c r="E4301" s="22">
        <v>44676</v>
      </c>
      <c r="F4301" s="19">
        <v>40</v>
      </c>
      <c r="G4301" s="18">
        <v>0.09</v>
      </c>
      <c r="H4301">
        <f>F4301*VLOOKUP(B4301,產品!$A$2:$H$61,7,FALSE)*(1-銷售總表!G4301)</f>
        <v>65520</v>
      </c>
      <c r="I4301" s="35">
        <f>H4301-F4301*VLOOKUP(銷售總表!B4301,產品!$A$2:$H$61,8,FALSE)</f>
        <v>36720</v>
      </c>
      <c r="J4301" s="20">
        <f t="shared" si="67"/>
        <v>0.56043956043956045</v>
      </c>
    </row>
    <row r="4302" spans="1:10" x14ac:dyDescent="0.3">
      <c r="A4302" s="33">
        <v>4301</v>
      </c>
      <c r="B4302" s="4">
        <v>11</v>
      </c>
      <c r="C4302" s="15">
        <v>272</v>
      </c>
      <c r="D4302" s="16">
        <v>6</v>
      </c>
      <c r="E4302" s="22">
        <v>44676</v>
      </c>
      <c r="F4302" s="19">
        <v>60</v>
      </c>
      <c r="G4302" s="18">
        <v>0.15</v>
      </c>
      <c r="H4302">
        <f>F4302*VLOOKUP(B4302,產品!$A$2:$H$61,7,FALSE)*(1-銷售總表!G4302)</f>
        <v>51000</v>
      </c>
      <c r="I4302" s="35">
        <f>H4302-F4302*VLOOKUP(銷售總表!B4302,產品!$A$2:$H$61,8,FALSE)</f>
        <v>27000</v>
      </c>
      <c r="J4302" s="20">
        <f t="shared" si="67"/>
        <v>0.52941176470588236</v>
      </c>
    </row>
    <row r="4303" spans="1:10" x14ac:dyDescent="0.3">
      <c r="A4303" s="33">
        <v>4302</v>
      </c>
      <c r="B4303" s="4">
        <v>7</v>
      </c>
      <c r="C4303" s="15">
        <v>264</v>
      </c>
      <c r="D4303" s="16">
        <v>2</v>
      </c>
      <c r="E4303" s="22">
        <v>44676</v>
      </c>
      <c r="F4303" s="19">
        <v>90</v>
      </c>
      <c r="G4303" s="18">
        <v>7.0000000000000007E-2</v>
      </c>
      <c r="H4303">
        <f>F4303*VLOOKUP(B4303,產品!$A$2:$H$61,7,FALSE)*(1-銷售總表!G4303)</f>
        <v>83700</v>
      </c>
      <c r="I4303" s="35">
        <f>H4303-F4303*VLOOKUP(銷售總表!B4303,產品!$A$2:$H$61,8,FALSE)</f>
        <v>47700</v>
      </c>
      <c r="J4303" s="20">
        <f t="shared" si="67"/>
        <v>0.56989247311827962</v>
      </c>
    </row>
    <row r="4304" spans="1:10" x14ac:dyDescent="0.3">
      <c r="A4304" s="33">
        <v>4303</v>
      </c>
      <c r="B4304" s="4">
        <v>26</v>
      </c>
      <c r="C4304" s="15">
        <v>7</v>
      </c>
      <c r="D4304" s="16">
        <v>8</v>
      </c>
      <c r="E4304" s="22">
        <v>44677</v>
      </c>
      <c r="F4304" s="19">
        <v>3</v>
      </c>
      <c r="G4304" s="18">
        <v>7.0000000000000007E-2</v>
      </c>
      <c r="H4304">
        <f>F4304*VLOOKUP(B4304,產品!$A$2:$H$61,7,FALSE)*(1-銷售總表!G4304)</f>
        <v>18135</v>
      </c>
      <c r="I4304" s="35">
        <f>H4304-F4304*VLOOKUP(銷售總表!B4304,產品!$A$2:$H$61,8,FALSE)</f>
        <v>6435</v>
      </c>
      <c r="J4304" s="20">
        <f t="shared" si="67"/>
        <v>0.35483870967741937</v>
      </c>
    </row>
    <row r="4305" spans="1:10" x14ac:dyDescent="0.3">
      <c r="A4305" s="33">
        <v>4304</v>
      </c>
      <c r="B4305" s="4">
        <v>20</v>
      </c>
      <c r="C4305" s="15">
        <v>273</v>
      </c>
      <c r="D4305" s="16">
        <v>3</v>
      </c>
      <c r="E4305" s="23">
        <v>44677</v>
      </c>
      <c r="F4305">
        <v>5</v>
      </c>
      <c r="G4305" s="20">
        <v>0.08</v>
      </c>
      <c r="H4305">
        <f>F4305*VLOOKUP(B4305,產品!$A$2:$H$61,7,FALSE)*(1-銷售總表!G4305)</f>
        <v>8280</v>
      </c>
      <c r="I4305" s="35">
        <f>H4305-F4305*VLOOKUP(銷售總表!B4305,產品!$A$2:$H$61,8,FALSE)</f>
        <v>4680</v>
      </c>
      <c r="J4305" s="20">
        <f t="shared" si="67"/>
        <v>0.56521739130434778</v>
      </c>
    </row>
    <row r="4306" spans="1:10" x14ac:dyDescent="0.3">
      <c r="A4306" s="33">
        <v>4305</v>
      </c>
      <c r="B4306" s="4">
        <v>30</v>
      </c>
      <c r="C4306" s="15">
        <v>258</v>
      </c>
      <c r="D4306" s="16">
        <v>10</v>
      </c>
      <c r="E4306" s="22">
        <v>44677</v>
      </c>
      <c r="F4306" s="19">
        <v>9</v>
      </c>
      <c r="G4306" s="18">
        <v>0.08</v>
      </c>
      <c r="H4306">
        <f>F4306*VLOOKUP(B4306,產品!$A$2:$H$61,7,FALSE)*(1-銷售總表!G4306)</f>
        <v>53820</v>
      </c>
      <c r="I4306" s="35">
        <f>H4306-F4306*VLOOKUP(銷售總表!B4306,產品!$A$2:$H$61,8,FALSE)</f>
        <v>18720</v>
      </c>
      <c r="J4306" s="20">
        <f t="shared" si="67"/>
        <v>0.34782608695652173</v>
      </c>
    </row>
    <row r="4307" spans="1:10" x14ac:dyDescent="0.3">
      <c r="A4307" s="33">
        <v>4306</v>
      </c>
      <c r="B4307" s="4">
        <v>3</v>
      </c>
      <c r="C4307" s="15">
        <v>274</v>
      </c>
      <c r="D4307" s="16">
        <v>5</v>
      </c>
      <c r="E4307" s="22">
        <v>44677</v>
      </c>
      <c r="F4307" s="19">
        <v>10</v>
      </c>
      <c r="G4307" s="18">
        <v>0.09</v>
      </c>
      <c r="H4307">
        <f>F4307*VLOOKUP(B4307,產品!$A$2:$H$61,7,FALSE)*(1-銷售總表!G4307)</f>
        <v>9100</v>
      </c>
      <c r="I4307" s="35">
        <f>H4307-F4307*VLOOKUP(銷售總表!B4307,產品!$A$2:$H$61,8,FALSE)</f>
        <v>5100</v>
      </c>
      <c r="J4307" s="20">
        <f t="shared" si="67"/>
        <v>0.56043956043956045</v>
      </c>
    </row>
    <row r="4308" spans="1:10" x14ac:dyDescent="0.3">
      <c r="A4308" s="33">
        <v>4307</v>
      </c>
      <c r="B4308" s="4">
        <v>44</v>
      </c>
      <c r="C4308" s="15">
        <v>118</v>
      </c>
      <c r="D4308" s="16">
        <v>4</v>
      </c>
      <c r="E4308" s="22">
        <v>44677</v>
      </c>
      <c r="F4308" s="19">
        <v>10</v>
      </c>
      <c r="G4308" s="18">
        <v>0.18</v>
      </c>
      <c r="H4308">
        <f>F4308*VLOOKUP(B4308,產品!$A$2:$H$61,7,FALSE)*(1-銷售總表!G4308)</f>
        <v>164000</v>
      </c>
      <c r="I4308" s="35">
        <f>H4308-F4308*VLOOKUP(銷售總表!B4308,產品!$A$2:$H$61,8,FALSE)</f>
        <v>34000</v>
      </c>
      <c r="J4308" s="20">
        <f t="shared" si="67"/>
        <v>0.2073170731707317</v>
      </c>
    </row>
    <row r="4309" spans="1:10" x14ac:dyDescent="0.3">
      <c r="A4309" s="33">
        <v>4308</v>
      </c>
      <c r="B4309" s="4">
        <v>10</v>
      </c>
      <c r="C4309" s="15">
        <v>138</v>
      </c>
      <c r="D4309" s="16">
        <v>1</v>
      </c>
      <c r="E4309" s="22">
        <v>44677</v>
      </c>
      <c r="F4309" s="19">
        <v>11</v>
      </c>
      <c r="G4309" s="18">
        <v>0.13</v>
      </c>
      <c r="H4309">
        <f>F4309*VLOOKUP(B4309,產品!$A$2:$H$61,7,FALSE)*(1-銷售總表!G4309)</f>
        <v>9570</v>
      </c>
      <c r="I4309" s="35">
        <f>H4309-F4309*VLOOKUP(銷售總表!B4309,產品!$A$2:$H$61,8,FALSE)</f>
        <v>5170</v>
      </c>
      <c r="J4309" s="20">
        <f t="shared" si="67"/>
        <v>0.54022988505747127</v>
      </c>
    </row>
    <row r="4310" spans="1:10" x14ac:dyDescent="0.3">
      <c r="A4310" s="33">
        <v>4309</v>
      </c>
      <c r="B4310" s="4">
        <v>10</v>
      </c>
      <c r="C4310" s="15">
        <v>267</v>
      </c>
      <c r="D4310" s="16">
        <v>7</v>
      </c>
      <c r="E4310" s="22">
        <v>44677</v>
      </c>
      <c r="F4310" s="19">
        <v>90</v>
      </c>
      <c r="G4310" s="18">
        <v>0.17</v>
      </c>
      <c r="H4310">
        <f>F4310*VLOOKUP(B4310,產品!$A$2:$H$61,7,FALSE)*(1-銷售總表!G4310)</f>
        <v>74700</v>
      </c>
      <c r="I4310" s="35">
        <f>H4310-F4310*VLOOKUP(銷售總表!B4310,產品!$A$2:$H$61,8,FALSE)</f>
        <v>38700</v>
      </c>
      <c r="J4310" s="20">
        <f t="shared" si="67"/>
        <v>0.51807228915662651</v>
      </c>
    </row>
    <row r="4311" spans="1:10" x14ac:dyDescent="0.3">
      <c r="A4311" s="33">
        <v>4310</v>
      </c>
      <c r="B4311" s="4">
        <v>28</v>
      </c>
      <c r="C4311" s="15">
        <v>268</v>
      </c>
      <c r="D4311" s="16">
        <v>6</v>
      </c>
      <c r="E4311" s="22">
        <v>44678</v>
      </c>
      <c r="F4311" s="19">
        <v>2</v>
      </c>
      <c r="G4311" s="18">
        <v>0.11</v>
      </c>
      <c r="H4311">
        <f>F4311*VLOOKUP(B4311,產品!$A$2:$H$61,7,FALSE)*(1-銷售總表!G4311)</f>
        <v>13350</v>
      </c>
      <c r="I4311" s="35">
        <f>H4311-F4311*VLOOKUP(銷售總表!B4311,產品!$A$2:$H$61,8,FALSE)</f>
        <v>4350</v>
      </c>
      <c r="J4311" s="20">
        <f t="shared" si="67"/>
        <v>0.3258426966292135</v>
      </c>
    </row>
    <row r="4312" spans="1:10" x14ac:dyDescent="0.3">
      <c r="A4312" s="33">
        <v>4311</v>
      </c>
      <c r="B4312" s="4">
        <v>29</v>
      </c>
      <c r="C4312" s="15">
        <v>138</v>
      </c>
      <c r="D4312" s="16">
        <v>6</v>
      </c>
      <c r="E4312" s="22">
        <v>44678</v>
      </c>
      <c r="F4312" s="19">
        <v>3</v>
      </c>
      <c r="G4312" s="18">
        <v>7.0000000000000007E-2</v>
      </c>
      <c r="H4312">
        <f>F4312*VLOOKUP(B4312,產品!$A$2:$H$61,7,FALSE)*(1-銷售總表!G4312)</f>
        <v>16740</v>
      </c>
      <c r="I4312" s="35">
        <f>H4312-F4312*VLOOKUP(銷售總表!B4312,產品!$A$2:$H$61,8,FALSE)</f>
        <v>5940</v>
      </c>
      <c r="J4312" s="20">
        <f t="shared" si="67"/>
        <v>0.35483870967741937</v>
      </c>
    </row>
    <row r="4313" spans="1:10" x14ac:dyDescent="0.3">
      <c r="A4313" s="33">
        <v>4312</v>
      </c>
      <c r="B4313" s="4">
        <v>38</v>
      </c>
      <c r="C4313" s="15">
        <v>286</v>
      </c>
      <c r="D4313" s="16">
        <v>6</v>
      </c>
      <c r="E4313" s="22">
        <v>44678</v>
      </c>
      <c r="F4313" s="19">
        <v>4</v>
      </c>
      <c r="G4313" s="18">
        <v>0.06</v>
      </c>
      <c r="H4313">
        <f>F4313*VLOOKUP(B4313,產品!$A$2:$H$61,7,FALSE)*(1-銷售總表!G4313)</f>
        <v>56400</v>
      </c>
      <c r="I4313" s="35">
        <f>H4313-F4313*VLOOKUP(銷售總表!B4313,產品!$A$2:$H$61,8,FALSE)</f>
        <v>17400</v>
      </c>
      <c r="J4313" s="20">
        <f t="shared" si="67"/>
        <v>0.30851063829787234</v>
      </c>
    </row>
    <row r="4314" spans="1:10" x14ac:dyDescent="0.3">
      <c r="A4314" s="33">
        <v>4313</v>
      </c>
      <c r="B4314" s="4">
        <v>51</v>
      </c>
      <c r="C4314" s="15">
        <v>277</v>
      </c>
      <c r="D4314" s="16">
        <v>10</v>
      </c>
      <c r="E4314" s="22">
        <v>44678</v>
      </c>
      <c r="F4314" s="19">
        <v>8</v>
      </c>
      <c r="G4314" s="18">
        <v>0.19</v>
      </c>
      <c r="H4314">
        <f>F4314*VLOOKUP(B4314,產品!$A$2:$H$61,7,FALSE)*(1-銷售總表!G4314)</f>
        <v>129600.00000000001</v>
      </c>
      <c r="I4314" s="35">
        <f>H4314-F4314*VLOOKUP(銷售總表!B4314,產品!$A$2:$H$61,8,FALSE)</f>
        <v>17600.000000000015</v>
      </c>
      <c r="J4314" s="20">
        <f t="shared" si="67"/>
        <v>0.13580246913580257</v>
      </c>
    </row>
    <row r="4315" spans="1:10" x14ac:dyDescent="0.3">
      <c r="A4315" s="33">
        <v>4314</v>
      </c>
      <c r="B4315" s="4">
        <v>25</v>
      </c>
      <c r="C4315" s="15">
        <v>265</v>
      </c>
      <c r="D4315" s="16">
        <v>9</v>
      </c>
      <c r="E4315" s="22">
        <v>44678</v>
      </c>
      <c r="F4315" s="19">
        <v>8</v>
      </c>
      <c r="G4315" s="18">
        <v>0.18</v>
      </c>
      <c r="H4315">
        <f>F4315*VLOOKUP(B4315,產品!$A$2:$H$61,7,FALSE)*(1-銷售總表!G4315)</f>
        <v>39360</v>
      </c>
      <c r="I4315" s="35">
        <f>H4315-F4315*VLOOKUP(銷售總表!B4315,產品!$A$2:$H$61,8,FALSE)</f>
        <v>10560</v>
      </c>
      <c r="J4315" s="20">
        <f t="shared" si="67"/>
        <v>0.26829268292682928</v>
      </c>
    </row>
    <row r="4316" spans="1:10" x14ac:dyDescent="0.3">
      <c r="A4316" s="33">
        <v>4315</v>
      </c>
      <c r="B4316" s="4">
        <v>37</v>
      </c>
      <c r="C4316" s="15">
        <v>138</v>
      </c>
      <c r="D4316" s="16">
        <v>4</v>
      </c>
      <c r="E4316" s="22">
        <v>44678</v>
      </c>
      <c r="F4316" s="19">
        <v>17</v>
      </c>
      <c r="G4316" s="18">
        <v>0.06</v>
      </c>
      <c r="H4316">
        <f>F4316*VLOOKUP(B4316,產品!$A$2:$H$61,7,FALSE)*(1-銷售總表!G4316)</f>
        <v>191760</v>
      </c>
      <c r="I4316" s="35">
        <f>H4316-F4316*VLOOKUP(銷售總表!B4316,產品!$A$2:$H$61,8,FALSE)</f>
        <v>59160</v>
      </c>
      <c r="J4316" s="20">
        <f t="shared" si="67"/>
        <v>0.30851063829787234</v>
      </c>
    </row>
    <row r="4317" spans="1:10" x14ac:dyDescent="0.3">
      <c r="A4317" s="33">
        <v>4316</v>
      </c>
      <c r="B4317" s="4">
        <v>16</v>
      </c>
      <c r="C4317" s="15">
        <v>278</v>
      </c>
      <c r="D4317" s="16">
        <v>3</v>
      </c>
      <c r="E4317" s="22">
        <v>44678</v>
      </c>
      <c r="F4317" s="19">
        <v>20</v>
      </c>
      <c r="G4317" s="18">
        <v>0.14000000000000001</v>
      </c>
      <c r="H4317">
        <f>F4317*VLOOKUP(B4317,產品!$A$2:$H$61,7,FALSE)*(1-銷售總表!G4317)</f>
        <v>30960</v>
      </c>
      <c r="I4317" s="35">
        <f>H4317-F4317*VLOOKUP(銷售總表!B4317,產品!$A$2:$H$61,8,FALSE)</f>
        <v>16560</v>
      </c>
      <c r="J4317" s="20">
        <f t="shared" si="67"/>
        <v>0.53488372093023251</v>
      </c>
    </row>
    <row r="4318" spans="1:10" x14ac:dyDescent="0.3">
      <c r="A4318" s="33">
        <v>4317</v>
      </c>
      <c r="B4318" s="4">
        <v>23</v>
      </c>
      <c r="C4318" s="15">
        <v>11</v>
      </c>
      <c r="D4318" s="16">
        <v>4</v>
      </c>
      <c r="E4318" s="23">
        <v>44678</v>
      </c>
      <c r="F4318">
        <v>50</v>
      </c>
      <c r="G4318" s="20">
        <v>0.08</v>
      </c>
      <c r="H4318">
        <f>F4318*VLOOKUP(B4318,產品!$A$2:$H$61,7,FALSE)*(1-銷售總表!G4318)</f>
        <v>82800</v>
      </c>
      <c r="I4318" s="35">
        <f>H4318-F4318*VLOOKUP(銷售總表!B4318,產品!$A$2:$H$61,8,FALSE)</f>
        <v>46800</v>
      </c>
      <c r="J4318" s="20">
        <f t="shared" si="67"/>
        <v>0.56521739130434778</v>
      </c>
    </row>
    <row r="4319" spans="1:10" x14ac:dyDescent="0.3">
      <c r="A4319" s="33">
        <v>4318</v>
      </c>
      <c r="B4319" s="4">
        <v>12</v>
      </c>
      <c r="C4319" s="15">
        <v>11</v>
      </c>
      <c r="D4319" s="16">
        <v>4</v>
      </c>
      <c r="E4319" s="22">
        <v>44678</v>
      </c>
      <c r="F4319" s="19">
        <v>75</v>
      </c>
      <c r="G4319" s="18">
        <v>0.19</v>
      </c>
      <c r="H4319">
        <f>F4319*VLOOKUP(B4319,產品!$A$2:$H$61,7,FALSE)*(1-銷售總表!G4319)</f>
        <v>60750.000000000007</v>
      </c>
      <c r="I4319" s="35">
        <f>H4319-F4319*VLOOKUP(銷售總表!B4319,產品!$A$2:$H$61,8,FALSE)</f>
        <v>30750.000000000007</v>
      </c>
      <c r="J4319" s="20">
        <f t="shared" si="67"/>
        <v>0.50617283950617287</v>
      </c>
    </row>
    <row r="4320" spans="1:10" x14ac:dyDescent="0.3">
      <c r="A4320" s="33">
        <v>4319</v>
      </c>
      <c r="B4320" s="4">
        <v>43</v>
      </c>
      <c r="C4320" s="15">
        <v>137</v>
      </c>
      <c r="D4320" s="16">
        <v>4</v>
      </c>
      <c r="E4320" s="22">
        <v>44679</v>
      </c>
      <c r="F4320" s="19">
        <v>2</v>
      </c>
      <c r="G4320" s="18">
        <v>0.18</v>
      </c>
      <c r="H4320">
        <f>F4320*VLOOKUP(B4320,產品!$A$2:$H$61,7,FALSE)*(1-銷售總表!G4320)</f>
        <v>29520.000000000004</v>
      </c>
      <c r="I4320" s="35">
        <f>H4320-F4320*VLOOKUP(銷售總表!B4320,產品!$A$2:$H$61,8,FALSE)</f>
        <v>6120.0000000000036</v>
      </c>
      <c r="J4320" s="20">
        <f t="shared" si="67"/>
        <v>0.20731707317073181</v>
      </c>
    </row>
    <row r="4321" spans="1:10" x14ac:dyDescent="0.3">
      <c r="A4321" s="33">
        <v>4320</v>
      </c>
      <c r="B4321" s="4">
        <v>40</v>
      </c>
      <c r="C4321" s="15">
        <v>10</v>
      </c>
      <c r="D4321" s="16">
        <v>5</v>
      </c>
      <c r="E4321" s="22">
        <v>44679</v>
      </c>
      <c r="F4321" s="19">
        <v>6</v>
      </c>
      <c r="G4321" s="18">
        <v>0.14000000000000001</v>
      </c>
      <c r="H4321">
        <f>F4321*VLOOKUP(B4321,產品!$A$2:$H$61,7,FALSE)*(1-銷售總表!G4321)</f>
        <v>103200</v>
      </c>
      <c r="I4321" s="35">
        <f>H4321-F4321*VLOOKUP(銷售總表!B4321,產品!$A$2:$H$61,8,FALSE)</f>
        <v>25200</v>
      </c>
      <c r="J4321" s="20">
        <f t="shared" si="67"/>
        <v>0.2441860465116279</v>
      </c>
    </row>
    <row r="4322" spans="1:10" x14ac:dyDescent="0.3">
      <c r="A4322" s="33">
        <v>4321</v>
      </c>
      <c r="B4322" s="4">
        <v>56</v>
      </c>
      <c r="C4322" s="15">
        <v>293</v>
      </c>
      <c r="D4322" s="16">
        <v>9</v>
      </c>
      <c r="E4322" s="22">
        <v>44679</v>
      </c>
      <c r="F4322" s="19">
        <v>7</v>
      </c>
      <c r="G4322" s="18">
        <v>0.08</v>
      </c>
      <c r="H4322">
        <f>F4322*VLOOKUP(B4322,產品!$A$2:$H$61,7,FALSE)*(1-銷售總表!G4322)</f>
        <v>141680</v>
      </c>
      <c r="I4322" s="35">
        <f>H4322-F4322*VLOOKUP(銷售總表!B4322,產品!$A$2:$H$61,8,FALSE)</f>
        <v>33880.000000000015</v>
      </c>
      <c r="J4322" s="20">
        <f t="shared" si="67"/>
        <v>0.23913043478260879</v>
      </c>
    </row>
    <row r="4323" spans="1:10" x14ac:dyDescent="0.3">
      <c r="A4323" s="33">
        <v>4322</v>
      </c>
      <c r="B4323" s="4">
        <v>60</v>
      </c>
      <c r="C4323" s="15">
        <v>257</v>
      </c>
      <c r="D4323" s="16">
        <v>4</v>
      </c>
      <c r="E4323" s="23">
        <v>44679</v>
      </c>
      <c r="F4323">
        <v>8</v>
      </c>
      <c r="G4323" s="20">
        <v>0.05</v>
      </c>
      <c r="H4323">
        <f>F4323*VLOOKUP(B4323,產品!$A$2:$H$61,7,FALSE)*(1-銷售總表!G4323)</f>
        <v>190000</v>
      </c>
      <c r="I4323" s="35">
        <f>H4323-F4323*VLOOKUP(銷售總表!B4323,產品!$A$2:$H$61,8,FALSE)</f>
        <v>50000</v>
      </c>
      <c r="J4323" s="20">
        <f t="shared" si="67"/>
        <v>0.26315789473684209</v>
      </c>
    </row>
    <row r="4324" spans="1:10" x14ac:dyDescent="0.3">
      <c r="A4324" s="33">
        <v>4323</v>
      </c>
      <c r="B4324" s="4">
        <v>9</v>
      </c>
      <c r="C4324" s="15">
        <v>138</v>
      </c>
      <c r="D4324" s="16">
        <v>9</v>
      </c>
      <c r="E4324" s="23">
        <v>44679</v>
      </c>
      <c r="F4324">
        <v>15</v>
      </c>
      <c r="G4324" s="20">
        <v>0.2</v>
      </c>
      <c r="H4324">
        <f>F4324*VLOOKUP(B4324,產品!$A$2:$H$61,7,FALSE)*(1-銷售總表!G4324)</f>
        <v>12000</v>
      </c>
      <c r="I4324" s="35">
        <f>H4324-F4324*VLOOKUP(銷售總表!B4324,產品!$A$2:$H$61,8,FALSE)</f>
        <v>6000</v>
      </c>
      <c r="J4324" s="20">
        <f t="shared" si="67"/>
        <v>0.5</v>
      </c>
    </row>
    <row r="4325" spans="1:10" x14ac:dyDescent="0.3">
      <c r="A4325" s="33">
        <v>4324</v>
      </c>
      <c r="B4325" s="4">
        <v>33</v>
      </c>
      <c r="C4325" s="15">
        <v>2</v>
      </c>
      <c r="D4325" s="16">
        <v>10</v>
      </c>
      <c r="E4325" s="22">
        <v>44679</v>
      </c>
      <c r="F4325" s="19">
        <v>18</v>
      </c>
      <c r="G4325" s="18">
        <v>0.1</v>
      </c>
      <c r="H4325">
        <f>F4325*VLOOKUP(B4325,產品!$A$2:$H$61,7,FALSE)*(1-銷售總表!G4325)</f>
        <v>121500</v>
      </c>
      <c r="I4325" s="35">
        <f>H4325-F4325*VLOOKUP(銷售總表!B4325,產品!$A$2:$H$61,8,FALSE)</f>
        <v>40500</v>
      </c>
      <c r="J4325" s="20">
        <f t="shared" si="67"/>
        <v>0.33333333333333331</v>
      </c>
    </row>
    <row r="4326" spans="1:10" x14ac:dyDescent="0.3">
      <c r="A4326" s="33">
        <v>4325</v>
      </c>
      <c r="B4326" s="4">
        <v>23</v>
      </c>
      <c r="C4326" s="15">
        <v>122</v>
      </c>
      <c r="D4326" s="16">
        <v>2</v>
      </c>
      <c r="E4326" s="22">
        <v>44679</v>
      </c>
      <c r="F4326" s="19">
        <v>30</v>
      </c>
      <c r="G4326" s="18">
        <v>0.17</v>
      </c>
      <c r="H4326">
        <f>F4326*VLOOKUP(B4326,產品!$A$2:$H$61,7,FALSE)*(1-銷售總表!G4326)</f>
        <v>44820</v>
      </c>
      <c r="I4326" s="35">
        <f>H4326-F4326*VLOOKUP(銷售總表!B4326,產品!$A$2:$H$61,8,FALSE)</f>
        <v>23220</v>
      </c>
      <c r="J4326" s="20">
        <f t="shared" si="67"/>
        <v>0.51807228915662651</v>
      </c>
    </row>
    <row r="4327" spans="1:10" x14ac:dyDescent="0.3">
      <c r="A4327" s="33">
        <v>4326</v>
      </c>
      <c r="B4327" s="4">
        <v>21</v>
      </c>
      <c r="C4327" s="15">
        <v>292</v>
      </c>
      <c r="D4327" s="16">
        <v>1</v>
      </c>
      <c r="E4327" s="22">
        <v>44679</v>
      </c>
      <c r="F4327" s="19">
        <v>60</v>
      </c>
      <c r="G4327" s="18">
        <v>0.2</v>
      </c>
      <c r="H4327">
        <f>F4327*VLOOKUP(B4327,產品!$A$2:$H$61,7,FALSE)*(1-銷售總表!G4327)</f>
        <v>86400</v>
      </c>
      <c r="I4327" s="35">
        <f>H4327-F4327*VLOOKUP(銷售總表!B4327,產品!$A$2:$H$61,8,FALSE)</f>
        <v>43200</v>
      </c>
      <c r="J4327" s="20">
        <f t="shared" si="67"/>
        <v>0.5</v>
      </c>
    </row>
    <row r="4328" spans="1:10" x14ac:dyDescent="0.3">
      <c r="A4328" s="33">
        <v>4327</v>
      </c>
      <c r="B4328" s="4">
        <v>2</v>
      </c>
      <c r="C4328" s="15">
        <v>287</v>
      </c>
      <c r="D4328" s="16">
        <v>4</v>
      </c>
      <c r="E4328" s="23">
        <v>44679</v>
      </c>
      <c r="F4328" s="19">
        <v>100</v>
      </c>
      <c r="G4328" s="20">
        <v>0.15</v>
      </c>
      <c r="H4328">
        <f>F4328*VLOOKUP(B4328,產品!$A$2:$H$61,7,FALSE)*(1-銷售總表!G4328)</f>
        <v>85000</v>
      </c>
      <c r="I4328" s="35">
        <f>H4328-F4328*VLOOKUP(銷售總表!B4328,產品!$A$2:$H$61,8,FALSE)</f>
        <v>45000</v>
      </c>
      <c r="J4328" s="20">
        <f t="shared" si="67"/>
        <v>0.52941176470588236</v>
      </c>
    </row>
    <row r="4329" spans="1:10" x14ac:dyDescent="0.3">
      <c r="A4329" s="33">
        <v>4328</v>
      </c>
      <c r="B4329" s="4">
        <v>41</v>
      </c>
      <c r="C4329" s="15">
        <v>269</v>
      </c>
      <c r="D4329" s="16">
        <v>9</v>
      </c>
      <c r="E4329" s="22">
        <v>44680</v>
      </c>
      <c r="F4329" s="19">
        <v>2</v>
      </c>
      <c r="G4329" s="18">
        <v>0.1</v>
      </c>
      <c r="H4329">
        <f>F4329*VLOOKUP(B4329,產品!$A$2:$H$61,7,FALSE)*(1-銷售總表!G4329)</f>
        <v>21600</v>
      </c>
      <c r="I4329" s="35">
        <f>H4329-F4329*VLOOKUP(銷售總表!B4329,產品!$A$2:$H$61,8,FALSE)</f>
        <v>6000</v>
      </c>
      <c r="J4329" s="20">
        <f t="shared" si="67"/>
        <v>0.27777777777777779</v>
      </c>
    </row>
    <row r="4330" spans="1:10" x14ac:dyDescent="0.3">
      <c r="A4330" s="33">
        <v>4329</v>
      </c>
      <c r="B4330" s="4">
        <v>36</v>
      </c>
      <c r="C4330" s="15">
        <v>285</v>
      </c>
      <c r="D4330" s="16">
        <v>5</v>
      </c>
      <c r="E4330" s="22">
        <v>44680</v>
      </c>
      <c r="F4330" s="19">
        <v>3</v>
      </c>
      <c r="G4330" s="18">
        <v>0.06</v>
      </c>
      <c r="H4330">
        <f>F4330*VLOOKUP(B4330,產品!$A$2:$H$61,7,FALSE)*(1-銷售總表!G4330)</f>
        <v>25380</v>
      </c>
      <c r="I4330" s="35">
        <f>H4330-F4330*VLOOKUP(銷售總表!B4330,產品!$A$2:$H$61,8,FALSE)</f>
        <v>9180</v>
      </c>
      <c r="J4330" s="20">
        <f t="shared" si="67"/>
        <v>0.36170212765957449</v>
      </c>
    </row>
    <row r="4331" spans="1:10" x14ac:dyDescent="0.3">
      <c r="A4331" s="33">
        <v>4330</v>
      </c>
      <c r="B4331" s="4">
        <v>28</v>
      </c>
      <c r="C4331" s="15">
        <v>294</v>
      </c>
      <c r="D4331" s="16">
        <v>9</v>
      </c>
      <c r="E4331" s="22">
        <v>44680</v>
      </c>
      <c r="F4331" s="19">
        <v>3</v>
      </c>
      <c r="G4331" s="18">
        <v>0.12</v>
      </c>
      <c r="H4331">
        <f>F4331*VLOOKUP(B4331,產品!$A$2:$H$61,7,FALSE)*(1-銷售總表!G4331)</f>
        <v>19800</v>
      </c>
      <c r="I4331" s="35">
        <f>H4331-F4331*VLOOKUP(銷售總表!B4331,產品!$A$2:$H$61,8,FALSE)</f>
        <v>6300</v>
      </c>
      <c r="J4331" s="20">
        <f t="shared" si="67"/>
        <v>0.31818181818181818</v>
      </c>
    </row>
    <row r="4332" spans="1:10" x14ac:dyDescent="0.3">
      <c r="A4332" s="33">
        <v>4331</v>
      </c>
      <c r="B4332" s="4">
        <v>54</v>
      </c>
      <c r="C4332" s="15">
        <v>126</v>
      </c>
      <c r="D4332" s="16">
        <v>2</v>
      </c>
      <c r="E4332" s="22">
        <v>44680</v>
      </c>
      <c r="F4332" s="19">
        <v>4</v>
      </c>
      <c r="G4332" s="18">
        <v>0.13</v>
      </c>
      <c r="H4332">
        <f>F4332*VLOOKUP(B4332,產品!$A$2:$H$61,7,FALSE)*(1-銷售總表!G4332)</f>
        <v>62640</v>
      </c>
      <c r="I4332" s="35">
        <f>H4332-F4332*VLOOKUP(銷售總表!B4332,產品!$A$2:$H$61,8,FALSE)</f>
        <v>12240</v>
      </c>
      <c r="J4332" s="20">
        <f t="shared" si="67"/>
        <v>0.19540229885057472</v>
      </c>
    </row>
    <row r="4333" spans="1:10" x14ac:dyDescent="0.3">
      <c r="A4333" s="33">
        <v>4332</v>
      </c>
      <c r="B4333" s="4">
        <v>56</v>
      </c>
      <c r="C4333" s="15">
        <v>261</v>
      </c>
      <c r="D4333" s="16">
        <v>2</v>
      </c>
      <c r="E4333" s="22">
        <v>44680</v>
      </c>
      <c r="F4333" s="19">
        <v>5</v>
      </c>
      <c r="G4333" s="18">
        <v>0.19</v>
      </c>
      <c r="H4333">
        <f>F4333*VLOOKUP(B4333,產品!$A$2:$H$61,7,FALSE)*(1-銷售總表!G4333)</f>
        <v>89100</v>
      </c>
      <c r="I4333" s="35">
        <f>H4333-F4333*VLOOKUP(銷售總表!B4333,產品!$A$2:$H$61,8,FALSE)</f>
        <v>12100.000000000015</v>
      </c>
      <c r="J4333" s="20">
        <f t="shared" si="67"/>
        <v>0.13580246913580263</v>
      </c>
    </row>
    <row r="4334" spans="1:10" x14ac:dyDescent="0.3">
      <c r="A4334" s="33">
        <v>4333</v>
      </c>
      <c r="B4334" s="4">
        <v>26</v>
      </c>
      <c r="C4334" s="15">
        <v>258</v>
      </c>
      <c r="D4334" s="16">
        <v>10</v>
      </c>
      <c r="E4334" s="22">
        <v>44680</v>
      </c>
      <c r="F4334" s="19">
        <v>6</v>
      </c>
      <c r="G4334" s="18">
        <v>0.09</v>
      </c>
      <c r="H4334">
        <f>F4334*VLOOKUP(B4334,產品!$A$2:$H$61,7,FALSE)*(1-銷售總表!G4334)</f>
        <v>35490</v>
      </c>
      <c r="I4334" s="35">
        <f>H4334-F4334*VLOOKUP(銷售總表!B4334,產品!$A$2:$H$61,8,FALSE)</f>
        <v>12090</v>
      </c>
      <c r="J4334" s="20">
        <f t="shared" si="67"/>
        <v>0.34065934065934067</v>
      </c>
    </row>
    <row r="4335" spans="1:10" x14ac:dyDescent="0.3">
      <c r="A4335" s="33">
        <v>4334</v>
      </c>
      <c r="B4335" s="4">
        <v>31</v>
      </c>
      <c r="C4335" s="15">
        <v>138</v>
      </c>
      <c r="D4335" s="16">
        <v>2</v>
      </c>
      <c r="E4335" s="22">
        <v>44680</v>
      </c>
      <c r="F4335" s="19">
        <v>13</v>
      </c>
      <c r="G4335" s="18">
        <v>0.1</v>
      </c>
      <c r="H4335">
        <f>F4335*VLOOKUP(B4335,產品!$A$2:$H$61,7,FALSE)*(1-銷售總表!G4335)</f>
        <v>81900</v>
      </c>
      <c r="I4335" s="35">
        <f>H4335-F4335*VLOOKUP(銷售總表!B4335,產品!$A$2:$H$61,8,FALSE)</f>
        <v>27300</v>
      </c>
      <c r="J4335" s="20">
        <f t="shared" si="67"/>
        <v>0.33333333333333331</v>
      </c>
    </row>
    <row r="4336" spans="1:10" x14ac:dyDescent="0.3">
      <c r="A4336" s="33">
        <v>4335</v>
      </c>
      <c r="B4336" s="4">
        <v>60</v>
      </c>
      <c r="C4336" s="15">
        <v>6</v>
      </c>
      <c r="D4336" s="16">
        <v>5</v>
      </c>
      <c r="E4336" s="22">
        <v>44681</v>
      </c>
      <c r="F4336" s="19">
        <v>5</v>
      </c>
      <c r="G4336" s="18">
        <v>0.16</v>
      </c>
      <c r="H4336">
        <f>F4336*VLOOKUP(B4336,產品!$A$2:$H$61,7,FALSE)*(1-銷售總表!G4336)</f>
        <v>105000</v>
      </c>
      <c r="I4336" s="35">
        <f>H4336-F4336*VLOOKUP(銷售總表!B4336,產品!$A$2:$H$61,8,FALSE)</f>
        <v>17500</v>
      </c>
      <c r="J4336" s="20">
        <f t="shared" si="67"/>
        <v>0.16666666666666666</v>
      </c>
    </row>
    <row r="4337" spans="1:10" x14ac:dyDescent="0.3">
      <c r="A4337" s="33">
        <v>4336</v>
      </c>
      <c r="B4337" s="4">
        <v>59</v>
      </c>
      <c r="C4337" s="15">
        <v>138</v>
      </c>
      <c r="D4337" s="16">
        <v>2</v>
      </c>
      <c r="E4337" s="22">
        <v>44681</v>
      </c>
      <c r="F4337" s="19">
        <v>5</v>
      </c>
      <c r="G4337" s="18">
        <v>0.18</v>
      </c>
      <c r="H4337">
        <f>F4337*VLOOKUP(B4337,產品!$A$2:$H$61,7,FALSE)*(1-銷售總表!G4337)</f>
        <v>98400.000000000015</v>
      </c>
      <c r="I4337" s="35">
        <f>H4337-F4337*VLOOKUP(銷售總表!B4337,產品!$A$2:$H$61,8,FALSE)</f>
        <v>14400.000000000015</v>
      </c>
      <c r="J4337" s="20">
        <f t="shared" si="67"/>
        <v>0.14634146341463428</v>
      </c>
    </row>
    <row r="4338" spans="1:10" x14ac:dyDescent="0.3">
      <c r="A4338" s="33">
        <v>4337</v>
      </c>
      <c r="B4338" s="4">
        <v>59</v>
      </c>
      <c r="C4338" s="15">
        <v>2</v>
      </c>
      <c r="D4338" s="16">
        <v>7</v>
      </c>
      <c r="E4338" s="22">
        <v>44681</v>
      </c>
      <c r="F4338" s="19">
        <v>10</v>
      </c>
      <c r="G4338" s="18">
        <v>0.13</v>
      </c>
      <c r="H4338">
        <f>F4338*VLOOKUP(B4338,產品!$A$2:$H$61,7,FALSE)*(1-銷售總表!G4338)</f>
        <v>208800</v>
      </c>
      <c r="I4338" s="35">
        <f>H4338-F4338*VLOOKUP(銷售總表!B4338,產品!$A$2:$H$61,8,FALSE)</f>
        <v>40800</v>
      </c>
      <c r="J4338" s="20">
        <f t="shared" si="67"/>
        <v>0.19540229885057472</v>
      </c>
    </row>
    <row r="4339" spans="1:10" x14ac:dyDescent="0.3">
      <c r="A4339" s="33">
        <v>4338</v>
      </c>
      <c r="B4339" s="4">
        <v>20</v>
      </c>
      <c r="C4339" s="15">
        <v>258</v>
      </c>
      <c r="D4339" s="16">
        <v>6</v>
      </c>
      <c r="E4339" s="22">
        <v>44681</v>
      </c>
      <c r="F4339" s="19">
        <v>50</v>
      </c>
      <c r="G4339" s="18">
        <v>0.17</v>
      </c>
      <c r="H4339">
        <f>F4339*VLOOKUP(B4339,產品!$A$2:$H$61,7,FALSE)*(1-銷售總表!G4339)</f>
        <v>74700</v>
      </c>
      <c r="I4339" s="35">
        <f>H4339-F4339*VLOOKUP(銷售總表!B4339,產品!$A$2:$H$61,8,FALSE)</f>
        <v>38700</v>
      </c>
      <c r="J4339" s="20">
        <f t="shared" si="67"/>
        <v>0.51807228915662651</v>
      </c>
    </row>
    <row r="4340" spans="1:10" x14ac:dyDescent="0.3">
      <c r="A4340" s="33">
        <v>4339</v>
      </c>
      <c r="B4340" s="4">
        <v>12</v>
      </c>
      <c r="C4340" s="15">
        <v>273</v>
      </c>
      <c r="D4340" s="16">
        <v>7</v>
      </c>
      <c r="E4340" s="22">
        <v>44681</v>
      </c>
      <c r="F4340" s="19">
        <v>80</v>
      </c>
      <c r="G4340" s="18">
        <v>0.17</v>
      </c>
      <c r="H4340">
        <f>F4340*VLOOKUP(B4340,產品!$A$2:$H$61,7,FALSE)*(1-銷售總表!G4340)</f>
        <v>66400</v>
      </c>
      <c r="I4340" s="35">
        <f>H4340-F4340*VLOOKUP(銷售總表!B4340,產品!$A$2:$H$61,8,FALSE)</f>
        <v>34400</v>
      </c>
      <c r="J4340" s="20">
        <f t="shared" si="67"/>
        <v>0.51807228915662651</v>
      </c>
    </row>
    <row r="4341" spans="1:10" x14ac:dyDescent="0.3">
      <c r="A4341" s="33">
        <v>4340</v>
      </c>
      <c r="B4341" s="4">
        <v>47</v>
      </c>
      <c r="C4341" s="15">
        <v>5</v>
      </c>
      <c r="D4341" s="16">
        <v>2</v>
      </c>
      <c r="E4341" s="22">
        <v>44682</v>
      </c>
      <c r="F4341" s="19">
        <v>4</v>
      </c>
      <c r="G4341" s="18">
        <v>0.16</v>
      </c>
      <c r="H4341">
        <f>F4341*VLOOKUP(B4341,產品!$A$2:$H$61,7,FALSE)*(1-銷售總表!G4341)</f>
        <v>67200</v>
      </c>
      <c r="I4341" s="35">
        <f>H4341-F4341*VLOOKUP(銷售總表!B4341,產品!$A$2:$H$61,8,FALSE)</f>
        <v>15200</v>
      </c>
      <c r="J4341" s="20">
        <f t="shared" si="67"/>
        <v>0.22619047619047619</v>
      </c>
    </row>
    <row r="4342" spans="1:10" x14ac:dyDescent="0.3">
      <c r="A4342" s="33">
        <v>4341</v>
      </c>
      <c r="B4342" s="4">
        <v>1</v>
      </c>
      <c r="C4342" s="15">
        <v>7</v>
      </c>
      <c r="D4342" s="16">
        <v>8</v>
      </c>
      <c r="E4342" s="23">
        <v>44682</v>
      </c>
      <c r="F4342">
        <v>10</v>
      </c>
      <c r="G4342" s="20">
        <v>0.18</v>
      </c>
      <c r="H4342">
        <f>F4342*VLOOKUP(B4342,產品!$A$2:$H$61,7,FALSE)*(1-銷售總表!G4342)</f>
        <v>8200</v>
      </c>
      <c r="I4342" s="35">
        <f>H4342-F4342*VLOOKUP(銷售總表!B4342,產品!$A$2:$H$61,8,FALSE)</f>
        <v>4200</v>
      </c>
      <c r="J4342" s="20">
        <f t="shared" si="67"/>
        <v>0.51219512195121952</v>
      </c>
    </row>
    <row r="4343" spans="1:10" x14ac:dyDescent="0.3">
      <c r="A4343" s="33">
        <v>4342</v>
      </c>
      <c r="B4343" s="4">
        <v>22</v>
      </c>
      <c r="C4343" s="15">
        <v>136</v>
      </c>
      <c r="D4343" s="16">
        <v>10</v>
      </c>
      <c r="E4343" s="22">
        <v>44682</v>
      </c>
      <c r="F4343" s="19">
        <v>14</v>
      </c>
      <c r="G4343" s="18">
        <v>0.09</v>
      </c>
      <c r="H4343">
        <f>F4343*VLOOKUP(B4343,產品!$A$2:$H$61,7,FALSE)*(1-銷售總表!G4343)</f>
        <v>22932</v>
      </c>
      <c r="I4343" s="35">
        <f>H4343-F4343*VLOOKUP(銷售總表!B4343,產品!$A$2:$H$61,8,FALSE)</f>
        <v>12852</v>
      </c>
      <c r="J4343" s="20">
        <f t="shared" si="67"/>
        <v>0.56043956043956045</v>
      </c>
    </row>
    <row r="4344" spans="1:10" x14ac:dyDescent="0.3">
      <c r="A4344" s="33">
        <v>4343</v>
      </c>
      <c r="B4344" s="4">
        <v>17</v>
      </c>
      <c r="C4344" s="15">
        <v>122</v>
      </c>
      <c r="D4344" s="16">
        <v>7</v>
      </c>
      <c r="E4344" s="22">
        <v>44682</v>
      </c>
      <c r="F4344" s="19">
        <v>45</v>
      </c>
      <c r="G4344" s="18">
        <v>0.17</v>
      </c>
      <c r="H4344">
        <f>F4344*VLOOKUP(B4344,產品!$A$2:$H$61,7,FALSE)*(1-銷售總表!G4344)</f>
        <v>67230</v>
      </c>
      <c r="I4344" s="35">
        <f>H4344-F4344*VLOOKUP(銷售總表!B4344,產品!$A$2:$H$61,8,FALSE)</f>
        <v>34830</v>
      </c>
      <c r="J4344" s="20">
        <f t="shared" si="67"/>
        <v>0.51807228915662651</v>
      </c>
    </row>
    <row r="4345" spans="1:10" x14ac:dyDescent="0.3">
      <c r="A4345" s="33">
        <v>4344</v>
      </c>
      <c r="B4345" s="4">
        <v>14</v>
      </c>
      <c r="C4345" s="15">
        <v>262</v>
      </c>
      <c r="D4345" s="16">
        <v>4</v>
      </c>
      <c r="E4345" s="22">
        <v>44682</v>
      </c>
      <c r="F4345" s="19">
        <v>60</v>
      </c>
      <c r="G4345" s="18">
        <v>0.18</v>
      </c>
      <c r="H4345">
        <f>F4345*VLOOKUP(B4345,產品!$A$2:$H$61,7,FALSE)*(1-銷售總表!G4345)</f>
        <v>88560</v>
      </c>
      <c r="I4345" s="35">
        <f>H4345-F4345*VLOOKUP(銷售總表!B4345,產品!$A$2:$H$61,8,FALSE)</f>
        <v>45360</v>
      </c>
      <c r="J4345" s="20">
        <f t="shared" si="67"/>
        <v>0.51219512195121952</v>
      </c>
    </row>
    <row r="4346" spans="1:10" x14ac:dyDescent="0.3">
      <c r="A4346" s="33">
        <v>4345</v>
      </c>
      <c r="B4346" s="4">
        <v>1</v>
      </c>
      <c r="C4346" s="15">
        <v>269</v>
      </c>
      <c r="D4346" s="16">
        <v>6</v>
      </c>
      <c r="E4346" s="22">
        <v>44682</v>
      </c>
      <c r="F4346" s="19">
        <v>60</v>
      </c>
      <c r="G4346" s="18">
        <v>0.18</v>
      </c>
      <c r="H4346">
        <f>F4346*VLOOKUP(B4346,產品!$A$2:$H$61,7,FALSE)*(1-銷售總表!G4346)</f>
        <v>49200.000000000007</v>
      </c>
      <c r="I4346" s="35">
        <f>H4346-F4346*VLOOKUP(銷售總表!B4346,產品!$A$2:$H$61,8,FALSE)</f>
        <v>25200.000000000007</v>
      </c>
      <c r="J4346" s="20">
        <f t="shared" si="67"/>
        <v>0.51219512195121963</v>
      </c>
    </row>
    <row r="4347" spans="1:10" x14ac:dyDescent="0.3">
      <c r="A4347" s="33">
        <v>4346</v>
      </c>
      <c r="B4347" s="4">
        <v>6</v>
      </c>
      <c r="C4347" s="15">
        <v>271</v>
      </c>
      <c r="D4347" s="16">
        <v>9</v>
      </c>
      <c r="E4347" s="22">
        <v>44682</v>
      </c>
      <c r="F4347" s="19">
        <v>135</v>
      </c>
      <c r="G4347" s="18">
        <v>0.13</v>
      </c>
      <c r="H4347">
        <f>F4347*VLOOKUP(B4347,產品!$A$2:$H$61,7,FALSE)*(1-銷售總表!G4347)</f>
        <v>117450</v>
      </c>
      <c r="I4347" s="35">
        <f>H4347-F4347*VLOOKUP(銷售總表!B4347,產品!$A$2:$H$61,8,FALSE)</f>
        <v>63450</v>
      </c>
      <c r="J4347" s="20">
        <f t="shared" si="67"/>
        <v>0.54022988505747127</v>
      </c>
    </row>
    <row r="4348" spans="1:10" x14ac:dyDescent="0.3">
      <c r="A4348" s="33">
        <v>4347</v>
      </c>
      <c r="B4348" s="4">
        <v>41</v>
      </c>
      <c r="C4348" s="15">
        <v>135</v>
      </c>
      <c r="D4348" s="16">
        <v>10</v>
      </c>
      <c r="E4348" s="22">
        <v>44683</v>
      </c>
      <c r="F4348" s="19">
        <v>4</v>
      </c>
      <c r="G4348" s="18">
        <v>0.12</v>
      </c>
      <c r="H4348">
        <f>F4348*VLOOKUP(B4348,產品!$A$2:$H$61,7,FALSE)*(1-銷售總表!G4348)</f>
        <v>42240</v>
      </c>
      <c r="I4348" s="35">
        <f>H4348-F4348*VLOOKUP(銷售總表!B4348,產品!$A$2:$H$61,8,FALSE)</f>
        <v>11040</v>
      </c>
      <c r="J4348" s="20">
        <f t="shared" si="67"/>
        <v>0.26136363636363635</v>
      </c>
    </row>
    <row r="4349" spans="1:10" x14ac:dyDescent="0.3">
      <c r="A4349" s="33">
        <v>4348</v>
      </c>
      <c r="B4349" s="4">
        <v>60</v>
      </c>
      <c r="C4349" s="15">
        <v>281</v>
      </c>
      <c r="D4349" s="16">
        <v>9</v>
      </c>
      <c r="E4349" s="22">
        <v>44683</v>
      </c>
      <c r="F4349" s="19">
        <v>6</v>
      </c>
      <c r="G4349" s="18">
        <v>0.17</v>
      </c>
      <c r="H4349">
        <f>F4349*VLOOKUP(B4349,產品!$A$2:$H$61,7,FALSE)*(1-銷售總表!G4349)</f>
        <v>124500</v>
      </c>
      <c r="I4349" s="35">
        <f>H4349-F4349*VLOOKUP(銷售總表!B4349,產品!$A$2:$H$61,8,FALSE)</f>
        <v>19500</v>
      </c>
      <c r="J4349" s="20">
        <f t="shared" si="67"/>
        <v>0.15662650602409639</v>
      </c>
    </row>
    <row r="4350" spans="1:10" x14ac:dyDescent="0.3">
      <c r="A4350" s="33">
        <v>4349</v>
      </c>
      <c r="B4350" s="4">
        <v>33</v>
      </c>
      <c r="C4350" s="15">
        <v>257</v>
      </c>
      <c r="D4350" s="16">
        <v>2</v>
      </c>
      <c r="E4350" s="22">
        <v>44683</v>
      </c>
      <c r="F4350" s="19">
        <v>8</v>
      </c>
      <c r="G4350" s="18">
        <v>0.13</v>
      </c>
      <c r="H4350">
        <f>F4350*VLOOKUP(B4350,產品!$A$2:$H$61,7,FALSE)*(1-銷售總表!G4350)</f>
        <v>52200</v>
      </c>
      <c r="I4350" s="35">
        <f>H4350-F4350*VLOOKUP(銷售總表!B4350,產品!$A$2:$H$61,8,FALSE)</f>
        <v>16200</v>
      </c>
      <c r="J4350" s="20">
        <f t="shared" si="67"/>
        <v>0.31034482758620691</v>
      </c>
    </row>
    <row r="4351" spans="1:10" x14ac:dyDescent="0.3">
      <c r="A4351" s="33">
        <v>4350</v>
      </c>
      <c r="B4351" s="4">
        <v>48</v>
      </c>
      <c r="C4351" s="15">
        <v>119</v>
      </c>
      <c r="D4351" s="16">
        <v>10</v>
      </c>
      <c r="E4351" s="23">
        <v>44683</v>
      </c>
      <c r="F4351">
        <v>9</v>
      </c>
      <c r="G4351" s="20">
        <v>0.16</v>
      </c>
      <c r="H4351">
        <f>F4351*VLOOKUP(B4351,產品!$A$2:$H$61,7,FALSE)*(1-銷售總表!G4351)</f>
        <v>166320</v>
      </c>
      <c r="I4351" s="35">
        <f>H4351-F4351*VLOOKUP(銷售總表!B4351,產品!$A$2:$H$61,8,FALSE)</f>
        <v>37620</v>
      </c>
      <c r="J4351" s="20">
        <f t="shared" si="67"/>
        <v>0.22619047619047619</v>
      </c>
    </row>
    <row r="4352" spans="1:10" x14ac:dyDescent="0.3">
      <c r="A4352" s="33">
        <v>4351</v>
      </c>
      <c r="B4352" s="4">
        <v>55</v>
      </c>
      <c r="C4352" s="15">
        <v>136</v>
      </c>
      <c r="D4352" s="16">
        <v>8</v>
      </c>
      <c r="E4352" s="22">
        <v>44683</v>
      </c>
      <c r="F4352" s="19">
        <v>9</v>
      </c>
      <c r="G4352" s="18">
        <v>0.16</v>
      </c>
      <c r="H4352">
        <f>F4352*VLOOKUP(B4352,產品!$A$2:$H$61,7,FALSE)*(1-銷售總表!G4352)</f>
        <v>151200</v>
      </c>
      <c r="I4352" s="35">
        <f>H4352-F4352*VLOOKUP(銷售總表!B4352,產品!$A$2:$H$61,8,FALSE)</f>
        <v>25200</v>
      </c>
      <c r="J4352" s="20">
        <f t="shared" si="67"/>
        <v>0.16666666666666666</v>
      </c>
    </row>
    <row r="4353" spans="1:10" x14ac:dyDescent="0.3">
      <c r="A4353" s="33">
        <v>4352</v>
      </c>
      <c r="B4353" s="4">
        <v>50</v>
      </c>
      <c r="C4353" s="15">
        <v>8</v>
      </c>
      <c r="D4353" s="16">
        <v>9</v>
      </c>
      <c r="E4353" s="22">
        <v>44683</v>
      </c>
      <c r="F4353" s="19">
        <v>14</v>
      </c>
      <c r="G4353" s="18">
        <v>0.13</v>
      </c>
      <c r="H4353">
        <f>F4353*VLOOKUP(B4353,產品!$A$2:$H$61,7,FALSE)*(1-銷售總表!G4353)</f>
        <v>219240</v>
      </c>
      <c r="I4353" s="35">
        <f>H4353-F4353*VLOOKUP(銷售總表!B4353,產品!$A$2:$H$61,8,FALSE)</f>
        <v>42840</v>
      </c>
      <c r="J4353" s="20">
        <f t="shared" si="67"/>
        <v>0.19540229885057472</v>
      </c>
    </row>
    <row r="4354" spans="1:10" x14ac:dyDescent="0.3">
      <c r="A4354" s="33">
        <v>4353</v>
      </c>
      <c r="B4354" s="4">
        <v>18</v>
      </c>
      <c r="C4354" s="15">
        <v>6</v>
      </c>
      <c r="D4354" s="16">
        <v>1</v>
      </c>
      <c r="E4354" s="22">
        <v>44683</v>
      </c>
      <c r="F4354" s="19">
        <v>40</v>
      </c>
      <c r="G4354" s="18">
        <v>7.0000000000000007E-2</v>
      </c>
      <c r="H4354">
        <f>F4354*VLOOKUP(B4354,產品!$A$2:$H$61,7,FALSE)*(1-銷售總表!G4354)</f>
        <v>66960</v>
      </c>
      <c r="I4354" s="35">
        <f>H4354-F4354*VLOOKUP(銷售總表!B4354,產品!$A$2:$H$61,8,FALSE)</f>
        <v>38160</v>
      </c>
      <c r="J4354" s="20">
        <f t="shared" si="67"/>
        <v>0.56989247311827962</v>
      </c>
    </row>
    <row r="4355" spans="1:10" x14ac:dyDescent="0.3">
      <c r="A4355" s="33">
        <v>4354</v>
      </c>
      <c r="B4355" s="4">
        <v>16</v>
      </c>
      <c r="C4355" s="15">
        <v>134</v>
      </c>
      <c r="D4355" s="16">
        <v>6</v>
      </c>
      <c r="E4355" s="22">
        <v>44683</v>
      </c>
      <c r="F4355" s="19">
        <v>60</v>
      </c>
      <c r="G4355" s="18">
        <v>0.15</v>
      </c>
      <c r="H4355">
        <f>F4355*VLOOKUP(B4355,產品!$A$2:$H$61,7,FALSE)*(1-銷售總表!G4355)</f>
        <v>91800</v>
      </c>
      <c r="I4355" s="35">
        <f>H4355-F4355*VLOOKUP(銷售總表!B4355,產品!$A$2:$H$61,8,FALSE)</f>
        <v>48600</v>
      </c>
      <c r="J4355" s="20">
        <f t="shared" ref="J4355:J4418" si="68">I4355/H4355</f>
        <v>0.52941176470588236</v>
      </c>
    </row>
    <row r="4356" spans="1:10" x14ac:dyDescent="0.3">
      <c r="A4356" s="33">
        <v>4355</v>
      </c>
      <c r="B4356" s="4">
        <v>6</v>
      </c>
      <c r="C4356" s="15">
        <v>284</v>
      </c>
      <c r="D4356" s="16">
        <v>10</v>
      </c>
      <c r="E4356" s="22">
        <v>44683</v>
      </c>
      <c r="F4356" s="19">
        <v>90</v>
      </c>
      <c r="G4356" s="18">
        <v>0.12</v>
      </c>
      <c r="H4356">
        <f>F4356*VLOOKUP(B4356,產品!$A$2:$H$61,7,FALSE)*(1-銷售總表!G4356)</f>
        <v>79200</v>
      </c>
      <c r="I4356" s="35">
        <f>H4356-F4356*VLOOKUP(銷售總表!B4356,產品!$A$2:$H$61,8,FALSE)</f>
        <v>43200</v>
      </c>
      <c r="J4356" s="20">
        <f t="shared" si="68"/>
        <v>0.54545454545454541</v>
      </c>
    </row>
    <row r="4357" spans="1:10" x14ac:dyDescent="0.3">
      <c r="A4357" s="33">
        <v>4356</v>
      </c>
      <c r="B4357" s="4">
        <v>10</v>
      </c>
      <c r="C4357" s="15">
        <v>274</v>
      </c>
      <c r="D4357" s="16">
        <v>7</v>
      </c>
      <c r="E4357" s="22">
        <v>44683</v>
      </c>
      <c r="F4357" s="19">
        <v>150</v>
      </c>
      <c r="G4357" s="18">
        <v>0.15</v>
      </c>
      <c r="H4357">
        <f>F4357*VLOOKUP(B4357,產品!$A$2:$H$61,7,FALSE)*(1-銷售總表!G4357)</f>
        <v>127500</v>
      </c>
      <c r="I4357" s="35">
        <f>H4357-F4357*VLOOKUP(銷售總表!B4357,產品!$A$2:$H$61,8,FALSE)</f>
        <v>67500</v>
      </c>
      <c r="J4357" s="20">
        <f t="shared" si="68"/>
        <v>0.52941176470588236</v>
      </c>
    </row>
    <row r="4358" spans="1:10" x14ac:dyDescent="0.3">
      <c r="A4358" s="33">
        <v>4357</v>
      </c>
      <c r="B4358" s="4">
        <v>25</v>
      </c>
      <c r="C4358" s="15">
        <v>116</v>
      </c>
      <c r="D4358" s="16">
        <v>8</v>
      </c>
      <c r="E4358" s="22">
        <v>44684</v>
      </c>
      <c r="F4358" s="19">
        <v>4</v>
      </c>
      <c r="G4358" s="18">
        <v>7.0000000000000007E-2</v>
      </c>
      <c r="H4358">
        <f>F4358*VLOOKUP(B4358,產品!$A$2:$H$61,7,FALSE)*(1-銷售總表!G4358)</f>
        <v>22320</v>
      </c>
      <c r="I4358" s="35">
        <f>H4358-F4358*VLOOKUP(銷售總表!B4358,產品!$A$2:$H$61,8,FALSE)</f>
        <v>7920</v>
      </c>
      <c r="J4358" s="20">
        <f t="shared" si="68"/>
        <v>0.35483870967741937</v>
      </c>
    </row>
    <row r="4359" spans="1:10" x14ac:dyDescent="0.3">
      <c r="A4359" s="33">
        <v>4358</v>
      </c>
      <c r="B4359" s="4">
        <v>54</v>
      </c>
      <c r="C4359" s="15">
        <v>3</v>
      </c>
      <c r="D4359" s="16">
        <v>6</v>
      </c>
      <c r="E4359" s="22">
        <v>44684</v>
      </c>
      <c r="F4359" s="19">
        <v>5</v>
      </c>
      <c r="G4359" s="18">
        <v>0.17</v>
      </c>
      <c r="H4359">
        <f>F4359*VLOOKUP(B4359,產品!$A$2:$H$61,7,FALSE)*(1-銷售總表!G4359)</f>
        <v>74700</v>
      </c>
      <c r="I4359" s="35">
        <f>H4359-F4359*VLOOKUP(銷售總表!B4359,產品!$A$2:$H$61,8,FALSE)</f>
        <v>11700</v>
      </c>
      <c r="J4359" s="20">
        <f t="shared" si="68"/>
        <v>0.15662650602409639</v>
      </c>
    </row>
    <row r="4360" spans="1:10" x14ac:dyDescent="0.3">
      <c r="A4360" s="33">
        <v>4359</v>
      </c>
      <c r="B4360" s="4">
        <v>56</v>
      </c>
      <c r="C4360" s="15">
        <v>5</v>
      </c>
      <c r="D4360" s="16">
        <v>8</v>
      </c>
      <c r="E4360" s="22">
        <v>44684</v>
      </c>
      <c r="F4360" s="19">
        <v>6</v>
      </c>
      <c r="G4360" s="18">
        <v>0.14000000000000001</v>
      </c>
      <c r="H4360">
        <f>F4360*VLOOKUP(B4360,產品!$A$2:$H$61,7,FALSE)*(1-銷售總表!G4360)</f>
        <v>113520</v>
      </c>
      <c r="I4360" s="35">
        <f>H4360-F4360*VLOOKUP(銷售總表!B4360,產品!$A$2:$H$61,8,FALSE)</f>
        <v>21120.000000000015</v>
      </c>
      <c r="J4360" s="20">
        <f t="shared" si="68"/>
        <v>0.18604651162790711</v>
      </c>
    </row>
    <row r="4361" spans="1:10" x14ac:dyDescent="0.3">
      <c r="A4361" s="33">
        <v>4360</v>
      </c>
      <c r="B4361" s="4">
        <v>40</v>
      </c>
      <c r="C4361" s="15">
        <v>258</v>
      </c>
      <c r="D4361" s="16">
        <v>10</v>
      </c>
      <c r="E4361" s="22">
        <v>44684</v>
      </c>
      <c r="F4361" s="19">
        <v>8</v>
      </c>
      <c r="G4361" s="18">
        <v>0.12</v>
      </c>
      <c r="H4361">
        <f>F4361*VLOOKUP(B4361,產品!$A$2:$H$61,7,FALSE)*(1-銷售總表!G4361)</f>
        <v>140800</v>
      </c>
      <c r="I4361" s="35">
        <f>H4361-F4361*VLOOKUP(銷售總表!B4361,產品!$A$2:$H$61,8,FALSE)</f>
        <v>36800</v>
      </c>
      <c r="J4361" s="20">
        <f t="shared" si="68"/>
        <v>0.26136363636363635</v>
      </c>
    </row>
    <row r="4362" spans="1:10" x14ac:dyDescent="0.3">
      <c r="A4362" s="33">
        <v>4361</v>
      </c>
      <c r="B4362" s="4">
        <v>36</v>
      </c>
      <c r="C4362" s="15">
        <v>117</v>
      </c>
      <c r="D4362" s="16">
        <v>6</v>
      </c>
      <c r="E4362" s="22">
        <v>44684</v>
      </c>
      <c r="F4362" s="19">
        <v>10</v>
      </c>
      <c r="G4362" s="18">
        <v>0.06</v>
      </c>
      <c r="H4362">
        <f>F4362*VLOOKUP(B4362,產品!$A$2:$H$61,7,FALSE)*(1-銷售總表!G4362)</f>
        <v>84600</v>
      </c>
      <c r="I4362" s="35">
        <f>H4362-F4362*VLOOKUP(銷售總表!B4362,產品!$A$2:$H$61,8,FALSE)</f>
        <v>30600</v>
      </c>
      <c r="J4362" s="20">
        <f t="shared" si="68"/>
        <v>0.36170212765957449</v>
      </c>
    </row>
    <row r="4363" spans="1:10" x14ac:dyDescent="0.3">
      <c r="A4363" s="33">
        <v>4362</v>
      </c>
      <c r="B4363" s="4">
        <v>6</v>
      </c>
      <c r="C4363" s="15">
        <v>5</v>
      </c>
      <c r="D4363" s="16">
        <v>9</v>
      </c>
      <c r="E4363" s="22">
        <v>44684</v>
      </c>
      <c r="F4363" s="19">
        <v>30</v>
      </c>
      <c r="G4363" s="18">
        <v>0.08</v>
      </c>
      <c r="H4363">
        <f>F4363*VLOOKUP(B4363,產品!$A$2:$H$61,7,FALSE)*(1-銷售總表!G4363)</f>
        <v>27600</v>
      </c>
      <c r="I4363" s="35">
        <f>H4363-F4363*VLOOKUP(銷售總表!B4363,產品!$A$2:$H$61,8,FALSE)</f>
        <v>15600</v>
      </c>
      <c r="J4363" s="20">
        <f t="shared" si="68"/>
        <v>0.56521739130434778</v>
      </c>
    </row>
    <row r="4364" spans="1:10" x14ac:dyDescent="0.3">
      <c r="A4364" s="33">
        <v>4363</v>
      </c>
      <c r="B4364" s="4">
        <v>18</v>
      </c>
      <c r="C4364" s="15">
        <v>112</v>
      </c>
      <c r="D4364" s="16">
        <v>3</v>
      </c>
      <c r="E4364" s="22">
        <v>44684</v>
      </c>
      <c r="F4364" s="19">
        <v>60</v>
      </c>
      <c r="G4364" s="18">
        <v>0.2</v>
      </c>
      <c r="H4364">
        <f>F4364*VLOOKUP(B4364,產品!$A$2:$H$61,7,FALSE)*(1-銷售總表!G4364)</f>
        <v>86400</v>
      </c>
      <c r="I4364" s="35">
        <f>H4364-F4364*VLOOKUP(銷售總表!B4364,產品!$A$2:$H$61,8,FALSE)</f>
        <v>43200</v>
      </c>
      <c r="J4364" s="20">
        <f t="shared" si="68"/>
        <v>0.5</v>
      </c>
    </row>
    <row r="4365" spans="1:10" x14ac:dyDescent="0.3">
      <c r="A4365" s="33">
        <v>4364</v>
      </c>
      <c r="B4365" s="4">
        <v>20</v>
      </c>
      <c r="C4365" s="15">
        <v>9</v>
      </c>
      <c r="D4365" s="16">
        <v>5</v>
      </c>
      <c r="E4365" s="22">
        <v>44684</v>
      </c>
      <c r="F4365" s="19">
        <v>75</v>
      </c>
      <c r="G4365" s="18">
        <v>0.09</v>
      </c>
      <c r="H4365">
        <f>F4365*VLOOKUP(B4365,產品!$A$2:$H$61,7,FALSE)*(1-銷售總表!G4365)</f>
        <v>122850</v>
      </c>
      <c r="I4365" s="35">
        <f>H4365-F4365*VLOOKUP(銷售總表!B4365,產品!$A$2:$H$61,8,FALSE)</f>
        <v>68850</v>
      </c>
      <c r="J4365" s="20">
        <f t="shared" si="68"/>
        <v>0.56043956043956045</v>
      </c>
    </row>
    <row r="4366" spans="1:10" x14ac:dyDescent="0.3">
      <c r="A4366" s="33">
        <v>4365</v>
      </c>
      <c r="B4366" s="4">
        <v>23</v>
      </c>
      <c r="C4366" s="15">
        <v>122</v>
      </c>
      <c r="D4366" s="16">
        <v>4</v>
      </c>
      <c r="E4366" s="22">
        <v>44684</v>
      </c>
      <c r="F4366" s="19">
        <v>100</v>
      </c>
      <c r="G4366" s="18">
        <v>0.05</v>
      </c>
      <c r="H4366">
        <f>F4366*VLOOKUP(B4366,產品!$A$2:$H$61,7,FALSE)*(1-銷售總表!G4366)</f>
        <v>171000</v>
      </c>
      <c r="I4366" s="35">
        <f>H4366-F4366*VLOOKUP(銷售總表!B4366,產品!$A$2:$H$61,8,FALSE)</f>
        <v>99000</v>
      </c>
      <c r="J4366" s="20">
        <f t="shared" si="68"/>
        <v>0.57894736842105265</v>
      </c>
    </row>
    <row r="4367" spans="1:10" x14ac:dyDescent="0.3">
      <c r="A4367" s="33">
        <v>4366</v>
      </c>
      <c r="B4367" s="4">
        <v>1</v>
      </c>
      <c r="C4367" s="15">
        <v>116</v>
      </c>
      <c r="D4367" s="16">
        <v>2</v>
      </c>
      <c r="E4367" s="22">
        <v>44684</v>
      </c>
      <c r="F4367" s="19">
        <v>200</v>
      </c>
      <c r="G4367" s="18">
        <v>0.08</v>
      </c>
      <c r="H4367">
        <f>F4367*VLOOKUP(B4367,產品!$A$2:$H$61,7,FALSE)*(1-銷售總表!G4367)</f>
        <v>184000</v>
      </c>
      <c r="I4367" s="35">
        <f>H4367-F4367*VLOOKUP(銷售總表!B4367,產品!$A$2:$H$61,8,FALSE)</f>
        <v>104000</v>
      </c>
      <c r="J4367" s="20">
        <f t="shared" si="68"/>
        <v>0.56521739130434778</v>
      </c>
    </row>
    <row r="4368" spans="1:10" x14ac:dyDescent="0.3">
      <c r="A4368" s="33">
        <v>4367</v>
      </c>
      <c r="B4368" s="4">
        <v>25</v>
      </c>
      <c r="C4368" s="15">
        <v>258</v>
      </c>
      <c r="D4368" s="16">
        <v>7</v>
      </c>
      <c r="E4368" s="22">
        <v>44685</v>
      </c>
      <c r="F4368" s="19">
        <v>3</v>
      </c>
      <c r="G4368" s="18">
        <v>0.14000000000000001</v>
      </c>
      <c r="H4368">
        <f>F4368*VLOOKUP(B4368,產品!$A$2:$H$61,7,FALSE)*(1-銷售總表!G4368)</f>
        <v>15480</v>
      </c>
      <c r="I4368" s="35">
        <f>H4368-F4368*VLOOKUP(銷售總表!B4368,產品!$A$2:$H$61,8,FALSE)</f>
        <v>4680</v>
      </c>
      <c r="J4368" s="20">
        <f t="shared" si="68"/>
        <v>0.30232558139534882</v>
      </c>
    </row>
    <row r="4369" spans="1:10" x14ac:dyDescent="0.3">
      <c r="A4369" s="33">
        <v>4368</v>
      </c>
      <c r="B4369" s="4">
        <v>29</v>
      </c>
      <c r="C4369" s="15">
        <v>122</v>
      </c>
      <c r="D4369" s="16">
        <v>10</v>
      </c>
      <c r="E4369" s="22">
        <v>44685</v>
      </c>
      <c r="F4369" s="19">
        <v>4</v>
      </c>
      <c r="G4369" s="18">
        <v>0.14000000000000001</v>
      </c>
      <c r="H4369">
        <f>F4369*VLOOKUP(B4369,產品!$A$2:$H$61,7,FALSE)*(1-銷售總表!G4369)</f>
        <v>20640</v>
      </c>
      <c r="I4369" s="35">
        <f>H4369-F4369*VLOOKUP(銷售總表!B4369,產品!$A$2:$H$61,8,FALSE)</f>
        <v>6240</v>
      </c>
      <c r="J4369" s="20">
        <f t="shared" si="68"/>
        <v>0.30232558139534882</v>
      </c>
    </row>
    <row r="4370" spans="1:10" x14ac:dyDescent="0.3">
      <c r="A4370" s="33">
        <v>4369</v>
      </c>
      <c r="B4370" s="4">
        <v>38</v>
      </c>
      <c r="C4370" s="15">
        <v>4</v>
      </c>
      <c r="D4370" s="16">
        <v>9</v>
      </c>
      <c r="E4370" s="22">
        <v>44685</v>
      </c>
      <c r="F4370" s="19">
        <v>8</v>
      </c>
      <c r="G4370" s="18">
        <v>0.12</v>
      </c>
      <c r="H4370">
        <f>F4370*VLOOKUP(B4370,產品!$A$2:$H$61,7,FALSE)*(1-銷售總表!G4370)</f>
        <v>105600</v>
      </c>
      <c r="I4370" s="35">
        <f>H4370-F4370*VLOOKUP(銷售總表!B4370,產品!$A$2:$H$61,8,FALSE)</f>
        <v>27600</v>
      </c>
      <c r="J4370" s="20">
        <f t="shared" si="68"/>
        <v>0.26136363636363635</v>
      </c>
    </row>
    <row r="4371" spans="1:10" x14ac:dyDescent="0.3">
      <c r="A4371" s="33">
        <v>4370</v>
      </c>
      <c r="B4371" s="4">
        <v>9</v>
      </c>
      <c r="C4371" s="15">
        <v>113</v>
      </c>
      <c r="D4371" s="16">
        <v>4</v>
      </c>
      <c r="E4371" s="22">
        <v>44685</v>
      </c>
      <c r="F4371" s="19">
        <v>10</v>
      </c>
      <c r="G4371" s="18">
        <v>0.2</v>
      </c>
      <c r="H4371">
        <f>F4371*VLOOKUP(B4371,產品!$A$2:$H$61,7,FALSE)*(1-銷售總表!G4371)</f>
        <v>8000</v>
      </c>
      <c r="I4371" s="35">
        <f>H4371-F4371*VLOOKUP(銷售總表!B4371,產品!$A$2:$H$61,8,FALSE)</f>
        <v>4000</v>
      </c>
      <c r="J4371" s="20">
        <f t="shared" si="68"/>
        <v>0.5</v>
      </c>
    </row>
    <row r="4372" spans="1:10" x14ac:dyDescent="0.3">
      <c r="A4372" s="33">
        <v>4371</v>
      </c>
      <c r="B4372" s="4">
        <v>5</v>
      </c>
      <c r="C4372" s="15">
        <v>291</v>
      </c>
      <c r="D4372" s="16">
        <v>8</v>
      </c>
      <c r="E4372" s="22">
        <v>44685</v>
      </c>
      <c r="F4372" s="19">
        <v>10</v>
      </c>
      <c r="G4372" s="18">
        <v>7.0000000000000007E-2</v>
      </c>
      <c r="H4372">
        <f>F4372*VLOOKUP(B4372,產品!$A$2:$H$61,7,FALSE)*(1-銷售總表!G4372)</f>
        <v>9300</v>
      </c>
      <c r="I4372" s="35">
        <f>H4372-F4372*VLOOKUP(銷售總表!B4372,產品!$A$2:$H$61,8,FALSE)</f>
        <v>5300</v>
      </c>
      <c r="J4372" s="20">
        <f t="shared" si="68"/>
        <v>0.56989247311827962</v>
      </c>
    </row>
    <row r="4373" spans="1:10" x14ac:dyDescent="0.3">
      <c r="A4373" s="33">
        <v>4372</v>
      </c>
      <c r="B4373" s="4">
        <v>26</v>
      </c>
      <c r="C4373" s="15">
        <v>276</v>
      </c>
      <c r="D4373" s="16">
        <v>6</v>
      </c>
      <c r="E4373" s="22">
        <v>44685</v>
      </c>
      <c r="F4373" s="19">
        <v>11</v>
      </c>
      <c r="G4373" s="18">
        <v>0.11</v>
      </c>
      <c r="H4373">
        <f>F4373*VLOOKUP(B4373,產品!$A$2:$H$61,7,FALSE)*(1-銷售總表!G4373)</f>
        <v>63635</v>
      </c>
      <c r="I4373" s="35">
        <f>H4373-F4373*VLOOKUP(銷售總表!B4373,產品!$A$2:$H$61,8,FALSE)</f>
        <v>20735</v>
      </c>
      <c r="J4373" s="20">
        <f t="shared" si="68"/>
        <v>0.3258426966292135</v>
      </c>
    </row>
    <row r="4374" spans="1:10" x14ac:dyDescent="0.3">
      <c r="A4374" s="33">
        <v>4373</v>
      </c>
      <c r="B4374" s="4">
        <v>3</v>
      </c>
      <c r="C4374" s="15">
        <v>117</v>
      </c>
      <c r="D4374" s="16">
        <v>6</v>
      </c>
      <c r="E4374" s="22">
        <v>44685</v>
      </c>
      <c r="F4374" s="19">
        <v>20</v>
      </c>
      <c r="G4374" s="18">
        <v>0.09</v>
      </c>
      <c r="H4374">
        <f>F4374*VLOOKUP(B4374,產品!$A$2:$H$61,7,FALSE)*(1-銷售總表!G4374)</f>
        <v>18200</v>
      </c>
      <c r="I4374" s="35">
        <f>H4374-F4374*VLOOKUP(銷售總表!B4374,產品!$A$2:$H$61,8,FALSE)</f>
        <v>10200</v>
      </c>
      <c r="J4374" s="20">
        <f t="shared" si="68"/>
        <v>0.56043956043956045</v>
      </c>
    </row>
    <row r="4375" spans="1:10" x14ac:dyDescent="0.3">
      <c r="A4375" s="33">
        <v>4374</v>
      </c>
      <c r="B4375" s="4">
        <v>41</v>
      </c>
      <c r="C4375" s="15">
        <v>293</v>
      </c>
      <c r="D4375" s="16">
        <v>7</v>
      </c>
      <c r="E4375" s="23">
        <v>44685</v>
      </c>
      <c r="F4375">
        <v>25</v>
      </c>
      <c r="G4375" s="20">
        <v>7.0000000000000007E-2</v>
      </c>
      <c r="H4375">
        <f>F4375*VLOOKUP(B4375,產品!$A$2:$H$61,7,FALSE)*(1-銷售總表!G4375)</f>
        <v>279000</v>
      </c>
      <c r="I4375" s="35">
        <f>H4375-F4375*VLOOKUP(銷售總表!B4375,產品!$A$2:$H$61,8,FALSE)</f>
        <v>84000</v>
      </c>
      <c r="J4375" s="20">
        <f t="shared" si="68"/>
        <v>0.30107526881720431</v>
      </c>
    </row>
    <row r="4376" spans="1:10" x14ac:dyDescent="0.3">
      <c r="A4376" s="33">
        <v>4375</v>
      </c>
      <c r="B4376" s="4">
        <v>30</v>
      </c>
      <c r="C4376" s="15">
        <v>11</v>
      </c>
      <c r="D4376" s="16">
        <v>6</v>
      </c>
      <c r="E4376" s="22">
        <v>44685</v>
      </c>
      <c r="F4376" s="19">
        <v>25</v>
      </c>
      <c r="G4376" s="18">
        <v>0.14000000000000001</v>
      </c>
      <c r="H4376">
        <f>F4376*VLOOKUP(B4376,產品!$A$2:$H$61,7,FALSE)*(1-銷售總表!G4376)</f>
        <v>139750</v>
      </c>
      <c r="I4376" s="35">
        <f>H4376-F4376*VLOOKUP(銷售總表!B4376,產品!$A$2:$H$61,8,FALSE)</f>
        <v>42250</v>
      </c>
      <c r="J4376" s="20">
        <f t="shared" si="68"/>
        <v>0.30232558139534882</v>
      </c>
    </row>
    <row r="4377" spans="1:10" x14ac:dyDescent="0.3">
      <c r="A4377" s="33">
        <v>4376</v>
      </c>
      <c r="B4377" s="4">
        <v>51</v>
      </c>
      <c r="C4377" s="15">
        <v>257</v>
      </c>
      <c r="D4377" s="16">
        <v>4</v>
      </c>
      <c r="E4377" s="22">
        <v>44686</v>
      </c>
      <c r="F4377" s="19">
        <v>10</v>
      </c>
      <c r="G4377" s="18">
        <v>0.15</v>
      </c>
      <c r="H4377">
        <f>F4377*VLOOKUP(B4377,產品!$A$2:$H$61,7,FALSE)*(1-銷售總表!G4377)</f>
        <v>170000</v>
      </c>
      <c r="I4377" s="35">
        <f>H4377-F4377*VLOOKUP(銷售總表!B4377,產品!$A$2:$H$61,8,FALSE)</f>
        <v>30000</v>
      </c>
      <c r="J4377" s="20">
        <f t="shared" si="68"/>
        <v>0.17647058823529413</v>
      </c>
    </row>
    <row r="4378" spans="1:10" x14ac:dyDescent="0.3">
      <c r="A4378" s="33">
        <v>4377</v>
      </c>
      <c r="B4378" s="4">
        <v>53</v>
      </c>
      <c r="C4378" s="15">
        <v>9</v>
      </c>
      <c r="D4378" s="16">
        <v>6</v>
      </c>
      <c r="E4378" s="22">
        <v>44686</v>
      </c>
      <c r="F4378" s="19">
        <v>18</v>
      </c>
      <c r="G4378" s="18">
        <v>7.0000000000000007E-2</v>
      </c>
      <c r="H4378">
        <f>F4378*VLOOKUP(B4378,產品!$A$2:$H$61,7,FALSE)*(1-銷售總表!G4378)</f>
        <v>251099.99999999997</v>
      </c>
      <c r="I4378" s="35">
        <f>H4378-F4378*VLOOKUP(銷售總表!B4378,產品!$A$2:$H$61,8,FALSE)</f>
        <v>62099.999999999971</v>
      </c>
      <c r="J4378" s="20">
        <f t="shared" si="68"/>
        <v>0.24731182795698917</v>
      </c>
    </row>
    <row r="4379" spans="1:10" x14ac:dyDescent="0.3">
      <c r="A4379" s="33">
        <v>4378</v>
      </c>
      <c r="B4379" s="4">
        <v>8</v>
      </c>
      <c r="C4379" s="15">
        <v>121</v>
      </c>
      <c r="D4379" s="16">
        <v>10</v>
      </c>
      <c r="E4379" s="22">
        <v>44686</v>
      </c>
      <c r="F4379" s="19">
        <v>20</v>
      </c>
      <c r="G4379" s="18">
        <v>0.08</v>
      </c>
      <c r="H4379">
        <f>F4379*VLOOKUP(B4379,產品!$A$2:$H$61,7,FALSE)*(1-銷售總表!G4379)</f>
        <v>18400</v>
      </c>
      <c r="I4379" s="35">
        <f>H4379-F4379*VLOOKUP(銷售總表!B4379,產品!$A$2:$H$61,8,FALSE)</f>
        <v>10400</v>
      </c>
      <c r="J4379" s="20">
        <f t="shared" si="68"/>
        <v>0.56521739130434778</v>
      </c>
    </row>
    <row r="4380" spans="1:10" x14ac:dyDescent="0.3">
      <c r="A4380" s="33">
        <v>4379</v>
      </c>
      <c r="B4380" s="4">
        <v>14</v>
      </c>
      <c r="C4380" s="15">
        <v>267</v>
      </c>
      <c r="D4380" s="16">
        <v>5</v>
      </c>
      <c r="E4380" s="22">
        <v>44686</v>
      </c>
      <c r="F4380" s="19">
        <v>50</v>
      </c>
      <c r="G4380" s="18">
        <v>7.0000000000000007E-2</v>
      </c>
      <c r="H4380">
        <f>F4380*VLOOKUP(B4380,產品!$A$2:$H$61,7,FALSE)*(1-銷售總表!G4380)</f>
        <v>83700</v>
      </c>
      <c r="I4380" s="35">
        <f>H4380-F4380*VLOOKUP(銷售總表!B4380,產品!$A$2:$H$61,8,FALSE)</f>
        <v>47700</v>
      </c>
      <c r="J4380" s="20">
        <f t="shared" si="68"/>
        <v>0.56989247311827962</v>
      </c>
    </row>
    <row r="4381" spans="1:10" x14ac:dyDescent="0.3">
      <c r="A4381" s="33">
        <v>4380</v>
      </c>
      <c r="B4381" s="4">
        <v>11</v>
      </c>
      <c r="C4381" s="15">
        <v>261</v>
      </c>
      <c r="D4381" s="16">
        <v>7</v>
      </c>
      <c r="E4381" s="22">
        <v>44686</v>
      </c>
      <c r="F4381" s="19">
        <v>75</v>
      </c>
      <c r="G4381" s="18">
        <v>0.17</v>
      </c>
      <c r="H4381">
        <f>F4381*VLOOKUP(B4381,產品!$A$2:$H$61,7,FALSE)*(1-銷售總表!G4381)</f>
        <v>62250</v>
      </c>
      <c r="I4381" s="35">
        <f>H4381-F4381*VLOOKUP(銷售總表!B4381,產品!$A$2:$H$61,8,FALSE)</f>
        <v>32250</v>
      </c>
      <c r="J4381" s="20">
        <f t="shared" si="68"/>
        <v>0.51807228915662651</v>
      </c>
    </row>
    <row r="4382" spans="1:10" x14ac:dyDescent="0.3">
      <c r="A4382" s="33">
        <v>4381</v>
      </c>
      <c r="B4382" s="4">
        <v>20</v>
      </c>
      <c r="C4382" s="15">
        <v>283</v>
      </c>
      <c r="D4382" s="16">
        <v>8</v>
      </c>
      <c r="E4382" s="22">
        <v>44686</v>
      </c>
      <c r="F4382" s="19">
        <v>80</v>
      </c>
      <c r="G4382" s="18">
        <v>0.13</v>
      </c>
      <c r="H4382">
        <f>F4382*VLOOKUP(B4382,產品!$A$2:$H$61,7,FALSE)*(1-銷售總表!G4382)</f>
        <v>125280</v>
      </c>
      <c r="I4382" s="35">
        <f>H4382-F4382*VLOOKUP(銷售總表!B4382,產品!$A$2:$H$61,8,FALSE)</f>
        <v>67680</v>
      </c>
      <c r="J4382" s="20">
        <f t="shared" si="68"/>
        <v>0.54022988505747127</v>
      </c>
    </row>
    <row r="4383" spans="1:10" x14ac:dyDescent="0.3">
      <c r="A4383" s="33">
        <v>4382</v>
      </c>
      <c r="B4383" s="4">
        <v>3</v>
      </c>
      <c r="C4383" s="15">
        <v>264</v>
      </c>
      <c r="D4383" s="16">
        <v>3</v>
      </c>
      <c r="E4383" s="22">
        <v>44686</v>
      </c>
      <c r="F4383" s="19">
        <v>90</v>
      </c>
      <c r="G4383" s="18">
        <v>0.16</v>
      </c>
      <c r="H4383">
        <f>F4383*VLOOKUP(B4383,產品!$A$2:$H$61,7,FALSE)*(1-銷售總表!G4383)</f>
        <v>75600</v>
      </c>
      <c r="I4383" s="35">
        <f>H4383-F4383*VLOOKUP(銷售總表!B4383,產品!$A$2:$H$61,8,FALSE)</f>
        <v>39600</v>
      </c>
      <c r="J4383" s="20">
        <f t="shared" si="68"/>
        <v>0.52380952380952384</v>
      </c>
    </row>
    <row r="4384" spans="1:10" x14ac:dyDescent="0.3">
      <c r="A4384" s="33">
        <v>4383</v>
      </c>
      <c r="B4384" s="4">
        <v>41</v>
      </c>
      <c r="C4384" s="15">
        <v>122</v>
      </c>
      <c r="D4384" s="16">
        <v>8</v>
      </c>
      <c r="E4384" s="22">
        <v>44687</v>
      </c>
      <c r="F4384" s="19">
        <v>15</v>
      </c>
      <c r="G4384" s="18">
        <v>0.11</v>
      </c>
      <c r="H4384">
        <f>F4384*VLOOKUP(B4384,產品!$A$2:$H$61,7,FALSE)*(1-銷售總表!G4384)</f>
        <v>160200</v>
      </c>
      <c r="I4384" s="35">
        <f>H4384-F4384*VLOOKUP(銷售總表!B4384,產品!$A$2:$H$61,8,FALSE)</f>
        <v>43200</v>
      </c>
      <c r="J4384" s="20">
        <f t="shared" si="68"/>
        <v>0.2696629213483146</v>
      </c>
    </row>
    <row r="4385" spans="1:10" x14ac:dyDescent="0.3">
      <c r="A4385" s="33">
        <v>4384</v>
      </c>
      <c r="B4385" s="4">
        <v>16</v>
      </c>
      <c r="C4385" s="15">
        <v>139</v>
      </c>
      <c r="D4385" s="16">
        <v>2</v>
      </c>
      <c r="E4385" s="22">
        <v>44687</v>
      </c>
      <c r="F4385" s="19">
        <v>50</v>
      </c>
      <c r="G4385" s="18">
        <v>0.08</v>
      </c>
      <c r="H4385">
        <f>F4385*VLOOKUP(B4385,產品!$A$2:$H$61,7,FALSE)*(1-銷售總表!G4385)</f>
        <v>82800</v>
      </c>
      <c r="I4385" s="35">
        <f>H4385-F4385*VLOOKUP(銷售總表!B4385,產品!$A$2:$H$61,8,FALSE)</f>
        <v>46800</v>
      </c>
      <c r="J4385" s="20">
        <f t="shared" si="68"/>
        <v>0.56521739130434778</v>
      </c>
    </row>
    <row r="4386" spans="1:10" x14ac:dyDescent="0.3">
      <c r="A4386" s="33">
        <v>4385</v>
      </c>
      <c r="B4386" s="4">
        <v>44</v>
      </c>
      <c r="C4386" s="15">
        <v>121</v>
      </c>
      <c r="D4386" s="16">
        <v>5</v>
      </c>
      <c r="E4386" s="22">
        <v>44688</v>
      </c>
      <c r="F4386" s="19">
        <v>3</v>
      </c>
      <c r="G4386" s="18">
        <v>0.08</v>
      </c>
      <c r="H4386">
        <f>F4386*VLOOKUP(B4386,產品!$A$2:$H$61,7,FALSE)*(1-銷售總表!G4386)</f>
        <v>55200</v>
      </c>
      <c r="I4386" s="35">
        <f>H4386-F4386*VLOOKUP(銷售總表!B4386,產品!$A$2:$H$61,8,FALSE)</f>
        <v>16200</v>
      </c>
      <c r="J4386" s="20">
        <f t="shared" si="68"/>
        <v>0.29347826086956524</v>
      </c>
    </row>
    <row r="4387" spans="1:10" x14ac:dyDescent="0.3">
      <c r="A4387" s="33">
        <v>4386</v>
      </c>
      <c r="B4387" s="4">
        <v>38</v>
      </c>
      <c r="C4387" s="15">
        <v>294</v>
      </c>
      <c r="D4387" s="16">
        <v>8</v>
      </c>
      <c r="E4387" s="22">
        <v>44688</v>
      </c>
      <c r="F4387" s="19">
        <v>3</v>
      </c>
      <c r="G4387" s="18">
        <v>7.0000000000000007E-2</v>
      </c>
      <c r="H4387">
        <f>F4387*VLOOKUP(B4387,產品!$A$2:$H$61,7,FALSE)*(1-銷售總表!G4387)</f>
        <v>41850</v>
      </c>
      <c r="I4387" s="35">
        <f>H4387-F4387*VLOOKUP(銷售總表!B4387,產品!$A$2:$H$61,8,FALSE)</f>
        <v>12600</v>
      </c>
      <c r="J4387" s="20">
        <f t="shared" si="68"/>
        <v>0.30107526881720431</v>
      </c>
    </row>
    <row r="4388" spans="1:10" x14ac:dyDescent="0.3">
      <c r="A4388" s="33">
        <v>4387</v>
      </c>
      <c r="B4388" s="4">
        <v>43</v>
      </c>
      <c r="C4388" s="15">
        <v>116</v>
      </c>
      <c r="D4388" s="16">
        <v>8</v>
      </c>
      <c r="E4388" s="22">
        <v>44688</v>
      </c>
      <c r="F4388" s="19">
        <v>3</v>
      </c>
      <c r="G4388" s="18">
        <v>0.12</v>
      </c>
      <c r="H4388">
        <f>F4388*VLOOKUP(B4388,產品!$A$2:$H$61,7,FALSE)*(1-銷售總表!G4388)</f>
        <v>47520</v>
      </c>
      <c r="I4388" s="35">
        <f>H4388-F4388*VLOOKUP(銷售總表!B4388,產品!$A$2:$H$61,8,FALSE)</f>
        <v>12420</v>
      </c>
      <c r="J4388" s="20">
        <f t="shared" si="68"/>
        <v>0.26136363636363635</v>
      </c>
    </row>
    <row r="4389" spans="1:10" x14ac:dyDescent="0.3">
      <c r="A4389" s="33">
        <v>4388</v>
      </c>
      <c r="B4389" s="4">
        <v>7</v>
      </c>
      <c r="C4389" s="15">
        <v>10</v>
      </c>
      <c r="D4389" s="16">
        <v>1</v>
      </c>
      <c r="E4389" s="22">
        <v>44688</v>
      </c>
      <c r="F4389" s="19">
        <v>10</v>
      </c>
      <c r="G4389" s="18">
        <v>0.09</v>
      </c>
      <c r="H4389">
        <f>F4389*VLOOKUP(B4389,產品!$A$2:$H$61,7,FALSE)*(1-銷售總表!G4389)</f>
        <v>9100</v>
      </c>
      <c r="I4389" s="35">
        <f>H4389-F4389*VLOOKUP(銷售總表!B4389,產品!$A$2:$H$61,8,FALSE)</f>
        <v>5100</v>
      </c>
      <c r="J4389" s="20">
        <f t="shared" si="68"/>
        <v>0.56043956043956045</v>
      </c>
    </row>
    <row r="4390" spans="1:10" x14ac:dyDescent="0.3">
      <c r="A4390" s="33">
        <v>4389</v>
      </c>
      <c r="B4390" s="4">
        <v>8</v>
      </c>
      <c r="C4390" s="15">
        <v>288</v>
      </c>
      <c r="D4390" s="16">
        <v>5</v>
      </c>
      <c r="E4390" s="22">
        <v>44688</v>
      </c>
      <c r="F4390" s="19">
        <v>30</v>
      </c>
      <c r="G4390" s="18">
        <v>0.12</v>
      </c>
      <c r="H4390">
        <f>F4390*VLOOKUP(B4390,產品!$A$2:$H$61,7,FALSE)*(1-銷售總表!G4390)</f>
        <v>26400</v>
      </c>
      <c r="I4390" s="35">
        <f>H4390-F4390*VLOOKUP(銷售總表!B4390,產品!$A$2:$H$61,8,FALSE)</f>
        <v>14400</v>
      </c>
      <c r="J4390" s="20">
        <f t="shared" si="68"/>
        <v>0.54545454545454541</v>
      </c>
    </row>
    <row r="4391" spans="1:10" x14ac:dyDescent="0.3">
      <c r="A4391" s="33">
        <v>4390</v>
      </c>
      <c r="B4391" s="4">
        <v>11</v>
      </c>
      <c r="C4391" s="15">
        <v>284</v>
      </c>
      <c r="D4391" s="16">
        <v>3</v>
      </c>
      <c r="E4391" s="22">
        <v>44688</v>
      </c>
      <c r="F4391" s="19">
        <v>60</v>
      </c>
      <c r="G4391" s="18">
        <v>0.2</v>
      </c>
      <c r="H4391">
        <f>F4391*VLOOKUP(B4391,產品!$A$2:$H$61,7,FALSE)*(1-銷售總表!G4391)</f>
        <v>48000</v>
      </c>
      <c r="I4391" s="35">
        <f>H4391-F4391*VLOOKUP(銷售總表!B4391,產品!$A$2:$H$61,8,FALSE)</f>
        <v>24000</v>
      </c>
      <c r="J4391" s="20">
        <f t="shared" si="68"/>
        <v>0.5</v>
      </c>
    </row>
    <row r="4392" spans="1:10" x14ac:dyDescent="0.3">
      <c r="A4392" s="33">
        <v>4391</v>
      </c>
      <c r="B4392" s="4">
        <v>22</v>
      </c>
      <c r="C4392" s="15">
        <v>123</v>
      </c>
      <c r="D4392" s="16">
        <v>8</v>
      </c>
      <c r="E4392" s="22">
        <v>44688</v>
      </c>
      <c r="F4392" s="19">
        <v>100</v>
      </c>
      <c r="G4392" s="18">
        <v>0.13</v>
      </c>
      <c r="H4392">
        <f>F4392*VLOOKUP(B4392,產品!$A$2:$H$61,7,FALSE)*(1-銷售總表!G4392)</f>
        <v>156600</v>
      </c>
      <c r="I4392" s="35">
        <f>H4392-F4392*VLOOKUP(銷售總表!B4392,產品!$A$2:$H$61,8,FALSE)</f>
        <v>84600</v>
      </c>
      <c r="J4392" s="20">
        <f t="shared" si="68"/>
        <v>0.54022988505747127</v>
      </c>
    </row>
    <row r="4393" spans="1:10" x14ac:dyDescent="0.3">
      <c r="A4393" s="33">
        <v>4392</v>
      </c>
      <c r="B4393" s="4">
        <v>44</v>
      </c>
      <c r="C4393" s="15">
        <v>11</v>
      </c>
      <c r="D4393" s="16">
        <v>6</v>
      </c>
      <c r="E4393" s="22">
        <v>44689</v>
      </c>
      <c r="F4393" s="19">
        <v>5</v>
      </c>
      <c r="G4393" s="18">
        <v>0.09</v>
      </c>
      <c r="H4393">
        <f>F4393*VLOOKUP(B4393,產品!$A$2:$H$61,7,FALSE)*(1-銷售總表!G4393)</f>
        <v>91000</v>
      </c>
      <c r="I4393" s="35">
        <f>H4393-F4393*VLOOKUP(銷售總表!B4393,產品!$A$2:$H$61,8,FALSE)</f>
        <v>26000</v>
      </c>
      <c r="J4393" s="20">
        <f t="shared" si="68"/>
        <v>0.2857142857142857</v>
      </c>
    </row>
    <row r="4394" spans="1:10" x14ac:dyDescent="0.3">
      <c r="A4394" s="33">
        <v>4393</v>
      </c>
      <c r="B4394" s="4">
        <v>8</v>
      </c>
      <c r="C4394" s="15">
        <v>292</v>
      </c>
      <c r="D4394" s="16">
        <v>4</v>
      </c>
      <c r="E4394" s="22">
        <v>44689</v>
      </c>
      <c r="F4394" s="19">
        <v>80</v>
      </c>
      <c r="G4394" s="18">
        <v>0.15</v>
      </c>
      <c r="H4394">
        <f>F4394*VLOOKUP(B4394,產品!$A$2:$H$61,7,FALSE)*(1-銷售總表!G4394)</f>
        <v>68000</v>
      </c>
      <c r="I4394" s="35">
        <f>H4394-F4394*VLOOKUP(銷售總表!B4394,產品!$A$2:$H$61,8,FALSE)</f>
        <v>36000</v>
      </c>
      <c r="J4394" s="20">
        <f t="shared" si="68"/>
        <v>0.52941176470588236</v>
      </c>
    </row>
    <row r="4395" spans="1:10" x14ac:dyDescent="0.3">
      <c r="A4395" s="33">
        <v>4394</v>
      </c>
      <c r="B4395" s="4">
        <v>17</v>
      </c>
      <c r="C4395" s="15">
        <v>279</v>
      </c>
      <c r="D4395" s="16">
        <v>2</v>
      </c>
      <c r="E4395" s="22">
        <v>44690</v>
      </c>
      <c r="F4395" s="19">
        <v>70</v>
      </c>
      <c r="G4395" s="18">
        <v>0.17</v>
      </c>
      <c r="H4395">
        <f>F4395*VLOOKUP(B4395,產品!$A$2:$H$61,7,FALSE)*(1-銷售總表!G4395)</f>
        <v>104580</v>
      </c>
      <c r="I4395" s="35">
        <f>H4395-F4395*VLOOKUP(銷售總表!B4395,產品!$A$2:$H$61,8,FALSE)</f>
        <v>54180</v>
      </c>
      <c r="J4395" s="20">
        <f t="shared" si="68"/>
        <v>0.51807228915662651</v>
      </c>
    </row>
    <row r="4396" spans="1:10" x14ac:dyDescent="0.3">
      <c r="A4396" s="33">
        <v>4395</v>
      </c>
      <c r="B4396" s="4">
        <v>5</v>
      </c>
      <c r="C4396" s="15">
        <v>272</v>
      </c>
      <c r="D4396" s="16">
        <v>7</v>
      </c>
      <c r="E4396" s="23">
        <v>44690</v>
      </c>
      <c r="F4396">
        <v>80</v>
      </c>
      <c r="G4396" s="20">
        <v>0.08</v>
      </c>
      <c r="H4396">
        <f>F4396*VLOOKUP(B4396,產品!$A$2:$H$61,7,FALSE)*(1-銷售總表!G4396)</f>
        <v>73600</v>
      </c>
      <c r="I4396" s="35">
        <f>H4396-F4396*VLOOKUP(銷售總表!B4396,產品!$A$2:$H$61,8,FALSE)</f>
        <v>41600</v>
      </c>
      <c r="J4396" s="20">
        <f t="shared" si="68"/>
        <v>0.56521739130434778</v>
      </c>
    </row>
    <row r="4397" spans="1:10" x14ac:dyDescent="0.3">
      <c r="A4397" s="33">
        <v>4396</v>
      </c>
      <c r="B4397" s="4">
        <v>15</v>
      </c>
      <c r="C4397" s="15">
        <v>112</v>
      </c>
      <c r="D4397" s="16">
        <v>1</v>
      </c>
      <c r="E4397" s="22">
        <v>44690</v>
      </c>
      <c r="F4397" s="19">
        <v>125</v>
      </c>
      <c r="G4397" s="18">
        <v>0.2</v>
      </c>
      <c r="H4397">
        <f>F4397*VLOOKUP(B4397,產品!$A$2:$H$61,7,FALSE)*(1-銷售總表!G4397)</f>
        <v>180000</v>
      </c>
      <c r="I4397" s="35">
        <f>H4397-F4397*VLOOKUP(銷售總表!B4397,產品!$A$2:$H$61,8,FALSE)</f>
        <v>90000</v>
      </c>
      <c r="J4397" s="20">
        <f t="shared" si="68"/>
        <v>0.5</v>
      </c>
    </row>
    <row r="4398" spans="1:10" x14ac:dyDescent="0.3">
      <c r="A4398" s="33">
        <v>4397</v>
      </c>
      <c r="B4398" s="4">
        <v>59</v>
      </c>
      <c r="C4398" s="15">
        <v>12</v>
      </c>
      <c r="D4398" s="16">
        <v>8</v>
      </c>
      <c r="E4398" s="22">
        <v>44691</v>
      </c>
      <c r="F4398" s="19">
        <v>5</v>
      </c>
      <c r="G4398" s="18">
        <v>7.0000000000000007E-2</v>
      </c>
      <c r="H4398">
        <f>F4398*VLOOKUP(B4398,產品!$A$2:$H$61,7,FALSE)*(1-銷售總表!G4398)</f>
        <v>111599.99999999999</v>
      </c>
      <c r="I4398" s="35">
        <f>H4398-F4398*VLOOKUP(銷售總表!B4398,產品!$A$2:$H$61,8,FALSE)</f>
        <v>27599.999999999985</v>
      </c>
      <c r="J4398" s="20">
        <f t="shared" si="68"/>
        <v>0.24731182795698914</v>
      </c>
    </row>
    <row r="4399" spans="1:10" x14ac:dyDescent="0.3">
      <c r="A4399" s="33">
        <v>4398</v>
      </c>
      <c r="B4399" s="4">
        <v>58</v>
      </c>
      <c r="C4399" s="15">
        <v>267</v>
      </c>
      <c r="D4399" s="16">
        <v>5</v>
      </c>
      <c r="E4399" s="22">
        <v>44691</v>
      </c>
      <c r="F4399" s="19">
        <v>5</v>
      </c>
      <c r="G4399" s="18">
        <v>0.08</v>
      </c>
      <c r="H4399">
        <f>F4399*VLOOKUP(B4399,產品!$A$2:$H$61,7,FALSE)*(1-銷售總表!G4399)</f>
        <v>96600</v>
      </c>
      <c r="I4399" s="35">
        <f>H4399-F4399*VLOOKUP(銷售總表!B4399,產品!$A$2:$H$61,8,FALSE)</f>
        <v>23100.000000000015</v>
      </c>
      <c r="J4399" s="20">
        <f t="shared" si="68"/>
        <v>0.23913043478260884</v>
      </c>
    </row>
    <row r="4400" spans="1:10" x14ac:dyDescent="0.3">
      <c r="A4400" s="33">
        <v>4399</v>
      </c>
      <c r="B4400" s="4">
        <v>52</v>
      </c>
      <c r="C4400" s="15">
        <v>263</v>
      </c>
      <c r="D4400" s="16">
        <v>7</v>
      </c>
      <c r="E4400" s="22">
        <v>44691</v>
      </c>
      <c r="F4400" s="19">
        <v>12</v>
      </c>
      <c r="G4400" s="18">
        <v>0.1</v>
      </c>
      <c r="H4400">
        <f>F4400*VLOOKUP(B4400,產品!$A$2:$H$61,7,FALSE)*(1-銷售總表!G4400)</f>
        <v>237600</v>
      </c>
      <c r="I4400" s="35">
        <f>H4400-F4400*VLOOKUP(銷售總表!B4400,產品!$A$2:$H$61,8,FALSE)</f>
        <v>52800.000000000029</v>
      </c>
      <c r="J4400" s="20">
        <f t="shared" si="68"/>
        <v>0.22222222222222235</v>
      </c>
    </row>
    <row r="4401" spans="1:10" x14ac:dyDescent="0.3">
      <c r="A4401" s="33">
        <v>4400</v>
      </c>
      <c r="B4401" s="4">
        <v>28</v>
      </c>
      <c r="C4401" s="15">
        <v>10</v>
      </c>
      <c r="D4401" s="16">
        <v>3</v>
      </c>
      <c r="E4401" s="22">
        <v>44691</v>
      </c>
      <c r="F4401" s="19">
        <v>25</v>
      </c>
      <c r="G4401" s="18">
        <v>0.1</v>
      </c>
      <c r="H4401">
        <f>F4401*VLOOKUP(B4401,產品!$A$2:$H$61,7,FALSE)*(1-銷售總表!G4401)</f>
        <v>168750</v>
      </c>
      <c r="I4401" s="35">
        <f>H4401-F4401*VLOOKUP(銷售總表!B4401,產品!$A$2:$H$61,8,FALSE)</f>
        <v>56250</v>
      </c>
      <c r="J4401" s="20">
        <f t="shared" si="68"/>
        <v>0.33333333333333331</v>
      </c>
    </row>
    <row r="4402" spans="1:10" x14ac:dyDescent="0.3">
      <c r="A4402" s="33">
        <v>4401</v>
      </c>
      <c r="B4402" s="4">
        <v>19</v>
      </c>
      <c r="C4402" s="15">
        <v>258</v>
      </c>
      <c r="D4402" s="16">
        <v>5</v>
      </c>
      <c r="E4402" s="22">
        <v>44691</v>
      </c>
      <c r="F4402" s="19">
        <v>100</v>
      </c>
      <c r="G4402" s="18">
        <v>0.18</v>
      </c>
      <c r="H4402">
        <f>F4402*VLOOKUP(B4402,產品!$A$2:$H$61,7,FALSE)*(1-銷售總表!G4402)</f>
        <v>147600</v>
      </c>
      <c r="I4402" s="35">
        <f>H4402-F4402*VLOOKUP(銷售總表!B4402,產品!$A$2:$H$61,8,FALSE)</f>
        <v>75600</v>
      </c>
      <c r="J4402" s="20">
        <f t="shared" si="68"/>
        <v>0.51219512195121952</v>
      </c>
    </row>
    <row r="4403" spans="1:10" x14ac:dyDescent="0.3">
      <c r="A4403" s="33">
        <v>4402</v>
      </c>
      <c r="B4403" s="4">
        <v>42</v>
      </c>
      <c r="C4403" s="15">
        <v>114</v>
      </c>
      <c r="D4403" s="16">
        <v>1</v>
      </c>
      <c r="E4403" s="23">
        <v>44692</v>
      </c>
      <c r="F4403">
        <v>1</v>
      </c>
      <c r="G4403" s="20">
        <v>0.06</v>
      </c>
      <c r="H4403">
        <f>F4403*VLOOKUP(B4403,產品!$A$2:$H$61,7,FALSE)*(1-銷售總表!G4403)</f>
        <v>14100</v>
      </c>
      <c r="I4403" s="35">
        <f>H4403-F4403*VLOOKUP(銷售總表!B4403,產品!$A$2:$H$61,8,FALSE)</f>
        <v>4350</v>
      </c>
      <c r="J4403" s="20">
        <f t="shared" si="68"/>
        <v>0.30851063829787234</v>
      </c>
    </row>
    <row r="4404" spans="1:10" x14ac:dyDescent="0.3">
      <c r="A4404" s="33">
        <v>4403</v>
      </c>
      <c r="B4404" s="4">
        <v>45</v>
      </c>
      <c r="C4404" s="15">
        <v>138</v>
      </c>
      <c r="D4404" s="16">
        <v>9</v>
      </c>
      <c r="E4404" s="22">
        <v>44692</v>
      </c>
      <c r="F4404" s="19">
        <v>3</v>
      </c>
      <c r="G4404" s="18">
        <v>0.18</v>
      </c>
      <c r="H4404">
        <f>F4404*VLOOKUP(B4404,產品!$A$2:$H$61,7,FALSE)*(1-銷售總表!G4404)</f>
        <v>34440</v>
      </c>
      <c r="I4404" s="35">
        <f>H4404-F4404*VLOOKUP(銷售總表!B4404,產品!$A$2:$H$61,8,FALSE)</f>
        <v>7140</v>
      </c>
      <c r="J4404" s="20">
        <f t="shared" si="68"/>
        <v>0.2073170731707317</v>
      </c>
    </row>
    <row r="4405" spans="1:10" x14ac:dyDescent="0.3">
      <c r="A4405" s="33">
        <v>4404</v>
      </c>
      <c r="B4405" s="4">
        <v>25</v>
      </c>
      <c r="C4405" s="15">
        <v>282</v>
      </c>
      <c r="D4405" s="16">
        <v>5</v>
      </c>
      <c r="E4405" s="22">
        <v>44692</v>
      </c>
      <c r="F4405" s="19">
        <v>4</v>
      </c>
      <c r="G4405" s="18">
        <v>7.0000000000000007E-2</v>
      </c>
      <c r="H4405">
        <f>F4405*VLOOKUP(B4405,產品!$A$2:$H$61,7,FALSE)*(1-銷售總表!G4405)</f>
        <v>22320</v>
      </c>
      <c r="I4405" s="35">
        <f>H4405-F4405*VLOOKUP(銷售總表!B4405,產品!$A$2:$H$61,8,FALSE)</f>
        <v>7920</v>
      </c>
      <c r="J4405" s="20">
        <f t="shared" si="68"/>
        <v>0.35483870967741937</v>
      </c>
    </row>
    <row r="4406" spans="1:10" x14ac:dyDescent="0.3">
      <c r="A4406" s="33">
        <v>4405</v>
      </c>
      <c r="B4406" s="4">
        <v>35</v>
      </c>
      <c r="C4406" s="15">
        <v>138</v>
      </c>
      <c r="D4406" s="16">
        <v>8</v>
      </c>
      <c r="E4406" s="22">
        <v>44692</v>
      </c>
      <c r="F4406" s="19">
        <v>5</v>
      </c>
      <c r="G4406" s="18">
        <v>0.17</v>
      </c>
      <c r="H4406">
        <f>F4406*VLOOKUP(B4406,產品!$A$2:$H$61,7,FALSE)*(1-銷售總表!G4406)</f>
        <v>35275</v>
      </c>
      <c r="I4406" s="35">
        <f>H4406-F4406*VLOOKUP(銷售總表!B4406,產品!$A$2:$H$61,8,FALSE)</f>
        <v>9775</v>
      </c>
      <c r="J4406" s="20">
        <f t="shared" si="68"/>
        <v>0.27710843373493976</v>
      </c>
    </row>
    <row r="4407" spans="1:10" x14ac:dyDescent="0.3">
      <c r="A4407" s="33">
        <v>4406</v>
      </c>
      <c r="B4407" s="4">
        <v>50</v>
      </c>
      <c r="C4407" s="15">
        <v>121</v>
      </c>
      <c r="D4407" s="16">
        <v>6</v>
      </c>
      <c r="E4407" s="22">
        <v>44692</v>
      </c>
      <c r="F4407" s="19">
        <v>6</v>
      </c>
      <c r="G4407" s="18">
        <v>0.14000000000000001</v>
      </c>
      <c r="H4407">
        <f>F4407*VLOOKUP(B4407,產品!$A$2:$H$61,7,FALSE)*(1-銷售總表!G4407)</f>
        <v>92880</v>
      </c>
      <c r="I4407" s="35">
        <f>H4407-F4407*VLOOKUP(銷售總表!B4407,產品!$A$2:$H$61,8,FALSE)</f>
        <v>17280</v>
      </c>
      <c r="J4407" s="20">
        <f t="shared" si="68"/>
        <v>0.18604651162790697</v>
      </c>
    </row>
    <row r="4408" spans="1:10" x14ac:dyDescent="0.3">
      <c r="A4408" s="33">
        <v>4407</v>
      </c>
      <c r="B4408" s="4">
        <v>7</v>
      </c>
      <c r="C4408" s="15">
        <v>292</v>
      </c>
      <c r="D4408" s="16">
        <v>5</v>
      </c>
      <c r="E4408" s="22">
        <v>44692</v>
      </c>
      <c r="F4408" s="17">
        <v>15</v>
      </c>
      <c r="G4408" s="18">
        <v>0.11</v>
      </c>
      <c r="H4408">
        <f>F4408*VLOOKUP(B4408,產品!$A$2:$H$61,7,FALSE)*(1-銷售總表!G4408)</f>
        <v>13350</v>
      </c>
      <c r="I4408" s="35">
        <f>H4408-F4408*VLOOKUP(銷售總表!B4408,產品!$A$2:$H$61,8,FALSE)</f>
        <v>7350</v>
      </c>
      <c r="J4408" s="20">
        <f t="shared" si="68"/>
        <v>0.550561797752809</v>
      </c>
    </row>
    <row r="4409" spans="1:10" x14ac:dyDescent="0.3">
      <c r="A4409" s="33">
        <v>4408</v>
      </c>
      <c r="B4409" s="4">
        <v>12</v>
      </c>
      <c r="C4409" s="15">
        <v>261</v>
      </c>
      <c r="D4409" s="16">
        <v>6</v>
      </c>
      <c r="E4409" s="23">
        <v>44692</v>
      </c>
      <c r="F4409">
        <v>175</v>
      </c>
      <c r="G4409" s="20">
        <v>7.0000000000000007E-2</v>
      </c>
      <c r="H4409">
        <f>F4409*VLOOKUP(B4409,產品!$A$2:$H$61,7,FALSE)*(1-銷售總表!G4409)</f>
        <v>162750</v>
      </c>
      <c r="I4409" s="35">
        <f>H4409-F4409*VLOOKUP(銷售總表!B4409,產品!$A$2:$H$61,8,FALSE)</f>
        <v>92750</v>
      </c>
      <c r="J4409" s="20">
        <f t="shared" si="68"/>
        <v>0.56989247311827962</v>
      </c>
    </row>
    <row r="4410" spans="1:10" x14ac:dyDescent="0.3">
      <c r="A4410" s="33">
        <v>4409</v>
      </c>
      <c r="B4410" s="4">
        <v>44</v>
      </c>
      <c r="C4410" s="15">
        <v>9</v>
      </c>
      <c r="D4410" s="16">
        <v>9</v>
      </c>
      <c r="E4410" s="22">
        <v>44693</v>
      </c>
      <c r="F4410" s="17">
        <v>3</v>
      </c>
      <c r="G4410" s="18">
        <v>0.09</v>
      </c>
      <c r="H4410">
        <f>F4410*VLOOKUP(B4410,產品!$A$2:$H$61,7,FALSE)*(1-銷售總表!G4410)</f>
        <v>54600</v>
      </c>
      <c r="I4410" s="35">
        <f>H4410-F4410*VLOOKUP(銷售總表!B4410,產品!$A$2:$H$61,8,FALSE)</f>
        <v>15600</v>
      </c>
      <c r="J4410" s="20">
        <f t="shared" si="68"/>
        <v>0.2857142857142857</v>
      </c>
    </row>
    <row r="4411" spans="1:10" x14ac:dyDescent="0.3">
      <c r="A4411" s="33">
        <v>4410</v>
      </c>
      <c r="B4411" s="4">
        <v>60</v>
      </c>
      <c r="C4411" s="15">
        <v>124</v>
      </c>
      <c r="D4411" s="16">
        <v>7</v>
      </c>
      <c r="E4411" s="22">
        <v>44693</v>
      </c>
      <c r="F4411" s="19">
        <v>4</v>
      </c>
      <c r="G4411" s="18">
        <v>0.16</v>
      </c>
      <c r="H4411">
        <f>F4411*VLOOKUP(B4411,產品!$A$2:$H$61,7,FALSE)*(1-銷售總表!G4411)</f>
        <v>84000</v>
      </c>
      <c r="I4411" s="35">
        <f>H4411-F4411*VLOOKUP(銷售總表!B4411,產品!$A$2:$H$61,8,FALSE)</f>
        <v>14000</v>
      </c>
      <c r="J4411" s="20">
        <f t="shared" si="68"/>
        <v>0.16666666666666666</v>
      </c>
    </row>
    <row r="4412" spans="1:10" x14ac:dyDescent="0.3">
      <c r="A4412" s="33">
        <v>4411</v>
      </c>
      <c r="B4412" s="4">
        <v>38</v>
      </c>
      <c r="C4412" s="15">
        <v>272</v>
      </c>
      <c r="D4412" s="16">
        <v>1</v>
      </c>
      <c r="E4412" s="22">
        <v>44693</v>
      </c>
      <c r="F4412" s="19">
        <v>6</v>
      </c>
      <c r="G4412" s="18">
        <v>0.08</v>
      </c>
      <c r="H4412">
        <f>F4412*VLOOKUP(B4412,產品!$A$2:$H$61,7,FALSE)*(1-銷售總表!G4412)</f>
        <v>82800</v>
      </c>
      <c r="I4412" s="35">
        <f>H4412-F4412*VLOOKUP(銷售總表!B4412,產品!$A$2:$H$61,8,FALSE)</f>
        <v>24300</v>
      </c>
      <c r="J4412" s="20">
        <f t="shared" si="68"/>
        <v>0.29347826086956524</v>
      </c>
    </row>
    <row r="4413" spans="1:10" x14ac:dyDescent="0.3">
      <c r="A4413" s="33">
        <v>4412</v>
      </c>
      <c r="B4413" s="4">
        <v>24</v>
      </c>
      <c r="C4413" s="15">
        <v>269</v>
      </c>
      <c r="D4413" s="16">
        <v>8</v>
      </c>
      <c r="E4413" s="22">
        <v>44693</v>
      </c>
      <c r="F4413" s="19">
        <v>50</v>
      </c>
      <c r="G4413" s="18">
        <v>0.16</v>
      </c>
      <c r="H4413">
        <f>F4413*VLOOKUP(B4413,產品!$A$2:$H$61,7,FALSE)*(1-銷售總表!G4413)</f>
        <v>75600</v>
      </c>
      <c r="I4413" s="35">
        <f>H4413-F4413*VLOOKUP(銷售總表!B4413,產品!$A$2:$H$61,8,FALSE)</f>
        <v>39600</v>
      </c>
      <c r="J4413" s="20">
        <f t="shared" si="68"/>
        <v>0.52380952380952384</v>
      </c>
    </row>
    <row r="4414" spans="1:10" x14ac:dyDescent="0.3">
      <c r="A4414" s="33">
        <v>4413</v>
      </c>
      <c r="B4414" s="4">
        <v>59</v>
      </c>
      <c r="C4414" s="15">
        <v>139</v>
      </c>
      <c r="D4414" s="16">
        <v>1</v>
      </c>
      <c r="E4414" s="22">
        <v>44694</v>
      </c>
      <c r="F4414" s="19">
        <v>4</v>
      </c>
      <c r="G4414" s="18">
        <v>0.18</v>
      </c>
      <c r="H4414">
        <f>F4414*VLOOKUP(B4414,產品!$A$2:$H$61,7,FALSE)*(1-銷售總表!G4414)</f>
        <v>78720</v>
      </c>
      <c r="I4414" s="35">
        <f>H4414-F4414*VLOOKUP(銷售總表!B4414,產品!$A$2:$H$61,8,FALSE)</f>
        <v>11520</v>
      </c>
      <c r="J4414" s="20">
        <f t="shared" si="68"/>
        <v>0.14634146341463414</v>
      </c>
    </row>
    <row r="4415" spans="1:10" x14ac:dyDescent="0.3">
      <c r="A4415" s="33">
        <v>4414</v>
      </c>
      <c r="B4415" s="4">
        <v>29</v>
      </c>
      <c r="C4415" s="15">
        <v>140</v>
      </c>
      <c r="D4415" s="16">
        <v>1</v>
      </c>
      <c r="E4415" s="22">
        <v>44694</v>
      </c>
      <c r="F4415" s="19">
        <v>4</v>
      </c>
      <c r="G4415" s="18">
        <v>0.16</v>
      </c>
      <c r="H4415">
        <f>F4415*VLOOKUP(B4415,產品!$A$2:$H$61,7,FALSE)*(1-銷售總表!G4415)</f>
        <v>20160</v>
      </c>
      <c r="I4415" s="35">
        <f>H4415-F4415*VLOOKUP(銷售總表!B4415,產品!$A$2:$H$61,8,FALSE)</f>
        <v>5760</v>
      </c>
      <c r="J4415" s="20">
        <f t="shared" si="68"/>
        <v>0.2857142857142857</v>
      </c>
    </row>
    <row r="4416" spans="1:10" x14ac:dyDescent="0.3">
      <c r="A4416" s="33">
        <v>4415</v>
      </c>
      <c r="B4416" s="4">
        <v>54</v>
      </c>
      <c r="C4416" s="15">
        <v>261</v>
      </c>
      <c r="D4416" s="16">
        <v>8</v>
      </c>
      <c r="E4416" s="22">
        <v>44694</v>
      </c>
      <c r="F4416" s="19">
        <v>5</v>
      </c>
      <c r="G4416" s="18">
        <v>0.1</v>
      </c>
      <c r="H4416">
        <f>F4416*VLOOKUP(B4416,產品!$A$2:$H$61,7,FALSE)*(1-銷售總表!G4416)</f>
        <v>81000</v>
      </c>
      <c r="I4416" s="35">
        <f>H4416-F4416*VLOOKUP(銷售總表!B4416,產品!$A$2:$H$61,8,FALSE)</f>
        <v>18000</v>
      </c>
      <c r="J4416" s="20">
        <f t="shared" si="68"/>
        <v>0.22222222222222221</v>
      </c>
    </row>
    <row r="4417" spans="1:10" x14ac:dyDescent="0.3">
      <c r="A4417" s="33">
        <v>4416</v>
      </c>
      <c r="B4417" s="4">
        <v>45</v>
      </c>
      <c r="C4417" s="15">
        <v>1</v>
      </c>
      <c r="D4417" s="16">
        <v>1</v>
      </c>
      <c r="E4417" s="22">
        <v>44694</v>
      </c>
      <c r="F4417" s="19">
        <v>14</v>
      </c>
      <c r="G4417" s="18">
        <v>0.08</v>
      </c>
      <c r="H4417">
        <f>F4417*VLOOKUP(B4417,產品!$A$2:$H$61,7,FALSE)*(1-銷售總表!G4417)</f>
        <v>180320</v>
      </c>
      <c r="I4417" s="35">
        <f>H4417-F4417*VLOOKUP(銷售總表!B4417,產品!$A$2:$H$61,8,FALSE)</f>
        <v>52920</v>
      </c>
      <c r="J4417" s="20">
        <f t="shared" si="68"/>
        <v>0.29347826086956524</v>
      </c>
    </row>
    <row r="4418" spans="1:10" x14ac:dyDescent="0.3">
      <c r="A4418" s="33">
        <v>4417</v>
      </c>
      <c r="B4418" s="4">
        <v>4</v>
      </c>
      <c r="C4418" s="15">
        <v>265</v>
      </c>
      <c r="D4418" s="16">
        <v>9</v>
      </c>
      <c r="E4418" s="22">
        <v>44694</v>
      </c>
      <c r="F4418" s="19">
        <v>15</v>
      </c>
      <c r="G4418" s="18">
        <v>0.19</v>
      </c>
      <c r="H4418">
        <f>F4418*VLOOKUP(B4418,產品!$A$2:$H$61,7,FALSE)*(1-銷售總表!G4418)</f>
        <v>12150</v>
      </c>
      <c r="I4418" s="35">
        <f>H4418-F4418*VLOOKUP(銷售總表!B4418,產品!$A$2:$H$61,8,FALSE)</f>
        <v>6150</v>
      </c>
      <c r="J4418" s="20">
        <f t="shared" si="68"/>
        <v>0.50617283950617287</v>
      </c>
    </row>
    <row r="4419" spans="1:10" x14ac:dyDescent="0.3">
      <c r="A4419" s="33">
        <v>4418</v>
      </c>
      <c r="B4419" s="4">
        <v>43</v>
      </c>
      <c r="C4419" s="15">
        <v>112</v>
      </c>
      <c r="D4419" s="16">
        <v>6</v>
      </c>
      <c r="E4419" s="22">
        <v>44694</v>
      </c>
      <c r="F4419" s="19">
        <v>18</v>
      </c>
      <c r="G4419" s="18">
        <v>0.2</v>
      </c>
      <c r="H4419">
        <f>F4419*VLOOKUP(B4419,產品!$A$2:$H$61,7,FALSE)*(1-銷售總表!G4419)</f>
        <v>259200</v>
      </c>
      <c r="I4419" s="35">
        <f>H4419-F4419*VLOOKUP(銷售總表!B4419,產品!$A$2:$H$61,8,FALSE)</f>
        <v>48600</v>
      </c>
      <c r="J4419" s="20">
        <f t="shared" ref="J4419:J4482" si="69">I4419/H4419</f>
        <v>0.1875</v>
      </c>
    </row>
    <row r="4420" spans="1:10" x14ac:dyDescent="0.3">
      <c r="A4420" s="33">
        <v>4419</v>
      </c>
      <c r="B4420" s="4">
        <v>12</v>
      </c>
      <c r="C4420" s="15">
        <v>5</v>
      </c>
      <c r="D4420" s="16">
        <v>1</v>
      </c>
      <c r="E4420" s="22">
        <v>44694</v>
      </c>
      <c r="F4420" s="19">
        <v>30</v>
      </c>
      <c r="G4420" s="18">
        <v>0.14000000000000001</v>
      </c>
      <c r="H4420">
        <f>F4420*VLOOKUP(B4420,產品!$A$2:$H$61,7,FALSE)*(1-銷售總表!G4420)</f>
        <v>25800</v>
      </c>
      <c r="I4420" s="35">
        <f>H4420-F4420*VLOOKUP(銷售總表!B4420,產品!$A$2:$H$61,8,FALSE)</f>
        <v>13800</v>
      </c>
      <c r="J4420" s="20">
        <f t="shared" si="69"/>
        <v>0.53488372093023251</v>
      </c>
    </row>
    <row r="4421" spans="1:10" x14ac:dyDescent="0.3">
      <c r="A4421" s="33">
        <v>4420</v>
      </c>
      <c r="B4421" s="4">
        <v>20</v>
      </c>
      <c r="C4421" s="15">
        <v>136</v>
      </c>
      <c r="D4421" s="16">
        <v>9</v>
      </c>
      <c r="E4421" s="23">
        <v>44694</v>
      </c>
      <c r="F4421">
        <v>70</v>
      </c>
      <c r="G4421" s="20">
        <v>0.09</v>
      </c>
      <c r="H4421">
        <f>F4421*VLOOKUP(B4421,產品!$A$2:$H$61,7,FALSE)*(1-銷售總表!G4421)</f>
        <v>114660</v>
      </c>
      <c r="I4421" s="35">
        <f>H4421-F4421*VLOOKUP(銷售總表!B4421,產品!$A$2:$H$61,8,FALSE)</f>
        <v>64260</v>
      </c>
      <c r="J4421" s="20">
        <f t="shared" si="69"/>
        <v>0.56043956043956045</v>
      </c>
    </row>
    <row r="4422" spans="1:10" x14ac:dyDescent="0.3">
      <c r="A4422" s="33">
        <v>4421</v>
      </c>
      <c r="B4422" s="4">
        <v>51</v>
      </c>
      <c r="C4422" s="15">
        <v>265</v>
      </c>
      <c r="D4422" s="16">
        <v>4</v>
      </c>
      <c r="E4422" s="22">
        <v>44695</v>
      </c>
      <c r="F4422" s="19">
        <v>2</v>
      </c>
      <c r="G4422" s="18">
        <v>0.15</v>
      </c>
      <c r="H4422">
        <f>F4422*VLOOKUP(B4422,產品!$A$2:$H$61,7,FALSE)*(1-銷售總表!G4422)</f>
        <v>34000</v>
      </c>
      <c r="I4422" s="35">
        <f>H4422-F4422*VLOOKUP(銷售總表!B4422,產品!$A$2:$H$61,8,FALSE)</f>
        <v>6000</v>
      </c>
      <c r="J4422" s="20">
        <f t="shared" si="69"/>
        <v>0.17647058823529413</v>
      </c>
    </row>
    <row r="4423" spans="1:10" x14ac:dyDescent="0.3">
      <c r="A4423" s="33">
        <v>4422</v>
      </c>
      <c r="B4423" s="4">
        <v>50</v>
      </c>
      <c r="C4423" s="15">
        <v>276</v>
      </c>
      <c r="D4423" s="16">
        <v>1</v>
      </c>
      <c r="E4423" s="22">
        <v>44695</v>
      </c>
      <c r="F4423" s="19">
        <v>7</v>
      </c>
      <c r="G4423" s="18">
        <v>0.14000000000000001</v>
      </c>
      <c r="H4423">
        <f>F4423*VLOOKUP(B4423,產品!$A$2:$H$61,7,FALSE)*(1-銷售總表!G4423)</f>
        <v>108360</v>
      </c>
      <c r="I4423" s="35">
        <f>H4423-F4423*VLOOKUP(銷售總表!B4423,產品!$A$2:$H$61,8,FALSE)</f>
        <v>20160</v>
      </c>
      <c r="J4423" s="20">
        <f t="shared" si="69"/>
        <v>0.18604651162790697</v>
      </c>
    </row>
    <row r="4424" spans="1:10" x14ac:dyDescent="0.3">
      <c r="A4424" s="33">
        <v>4423</v>
      </c>
      <c r="B4424" s="4">
        <v>2</v>
      </c>
      <c r="C4424" s="15">
        <v>112</v>
      </c>
      <c r="D4424" s="16">
        <v>4</v>
      </c>
      <c r="E4424" s="22">
        <v>44695</v>
      </c>
      <c r="F4424" s="19">
        <v>11</v>
      </c>
      <c r="G4424" s="18">
        <v>0.08</v>
      </c>
      <c r="H4424">
        <f>F4424*VLOOKUP(B4424,產品!$A$2:$H$61,7,FALSE)*(1-銷售總表!G4424)</f>
        <v>10120</v>
      </c>
      <c r="I4424" s="35">
        <f>H4424-F4424*VLOOKUP(銷售總表!B4424,產品!$A$2:$H$61,8,FALSE)</f>
        <v>5720</v>
      </c>
      <c r="J4424" s="20">
        <f t="shared" si="69"/>
        <v>0.56521739130434778</v>
      </c>
    </row>
    <row r="4425" spans="1:10" x14ac:dyDescent="0.3">
      <c r="A4425" s="33">
        <v>4424</v>
      </c>
      <c r="B4425" s="4">
        <v>17</v>
      </c>
      <c r="C4425" s="15">
        <v>135</v>
      </c>
      <c r="D4425" s="16">
        <v>9</v>
      </c>
      <c r="E4425" s="22">
        <v>44695</v>
      </c>
      <c r="F4425" s="19">
        <v>75</v>
      </c>
      <c r="G4425" s="18">
        <v>0.12</v>
      </c>
      <c r="H4425">
        <f>F4425*VLOOKUP(B4425,產品!$A$2:$H$61,7,FALSE)*(1-銷售總表!G4425)</f>
        <v>118800</v>
      </c>
      <c r="I4425" s="35">
        <f>H4425-F4425*VLOOKUP(銷售總表!B4425,產品!$A$2:$H$61,8,FALSE)</f>
        <v>64800</v>
      </c>
      <c r="J4425" s="20">
        <f t="shared" si="69"/>
        <v>0.54545454545454541</v>
      </c>
    </row>
    <row r="4426" spans="1:10" x14ac:dyDescent="0.3">
      <c r="A4426" s="33">
        <v>4425</v>
      </c>
      <c r="B4426" s="4">
        <v>19</v>
      </c>
      <c r="C4426" s="15">
        <v>269</v>
      </c>
      <c r="D4426" s="16">
        <v>3</v>
      </c>
      <c r="E4426" s="22">
        <v>44695</v>
      </c>
      <c r="F4426" s="19">
        <v>105</v>
      </c>
      <c r="G4426" s="18">
        <v>0.18</v>
      </c>
      <c r="H4426">
        <f>F4426*VLOOKUP(B4426,產品!$A$2:$H$61,7,FALSE)*(1-銷售總表!G4426)</f>
        <v>154980</v>
      </c>
      <c r="I4426" s="35">
        <f>H4426-F4426*VLOOKUP(銷售總表!B4426,產品!$A$2:$H$61,8,FALSE)</f>
        <v>79380</v>
      </c>
      <c r="J4426" s="20">
        <f t="shared" si="69"/>
        <v>0.51219512195121952</v>
      </c>
    </row>
    <row r="4427" spans="1:10" x14ac:dyDescent="0.3">
      <c r="A4427" s="33">
        <v>4426</v>
      </c>
      <c r="B4427" s="4">
        <v>15</v>
      </c>
      <c r="C4427" s="15">
        <v>258</v>
      </c>
      <c r="D4427" s="16">
        <v>7</v>
      </c>
      <c r="E4427" s="22">
        <v>44695</v>
      </c>
      <c r="F4427" s="19">
        <v>150</v>
      </c>
      <c r="G4427" s="18">
        <v>0.19</v>
      </c>
      <c r="H4427">
        <f>F4427*VLOOKUP(B4427,產品!$A$2:$H$61,7,FALSE)*(1-銷售總表!G4427)</f>
        <v>218700</v>
      </c>
      <c r="I4427" s="35">
        <f>H4427-F4427*VLOOKUP(銷售總表!B4427,產品!$A$2:$H$61,8,FALSE)</f>
        <v>110700</v>
      </c>
      <c r="J4427" s="20">
        <f t="shared" si="69"/>
        <v>0.50617283950617287</v>
      </c>
    </row>
    <row r="4428" spans="1:10" x14ac:dyDescent="0.3">
      <c r="A4428" s="33">
        <v>4427</v>
      </c>
      <c r="B4428" s="4">
        <v>47</v>
      </c>
      <c r="C4428" s="15">
        <v>277</v>
      </c>
      <c r="D4428" s="16">
        <v>6</v>
      </c>
      <c r="E4428" s="22">
        <v>44696</v>
      </c>
      <c r="F4428" s="19">
        <v>4</v>
      </c>
      <c r="G4428" s="18">
        <v>7.0000000000000007E-2</v>
      </c>
      <c r="H4428">
        <f>F4428*VLOOKUP(B4428,產品!$A$2:$H$61,7,FALSE)*(1-銷售總表!G4428)</f>
        <v>74400</v>
      </c>
      <c r="I4428" s="35">
        <f>H4428-F4428*VLOOKUP(銷售總表!B4428,產品!$A$2:$H$61,8,FALSE)</f>
        <v>22400</v>
      </c>
      <c r="J4428" s="20">
        <f t="shared" si="69"/>
        <v>0.30107526881720431</v>
      </c>
    </row>
    <row r="4429" spans="1:10" x14ac:dyDescent="0.3">
      <c r="A4429" s="33">
        <v>4428</v>
      </c>
      <c r="B4429" s="4">
        <v>49</v>
      </c>
      <c r="C4429" s="15">
        <v>271</v>
      </c>
      <c r="D4429" s="16">
        <v>4</v>
      </c>
      <c r="E4429" s="22">
        <v>44696</v>
      </c>
      <c r="F4429" s="19">
        <v>9</v>
      </c>
      <c r="G4429" s="18">
        <v>0.06</v>
      </c>
      <c r="H4429">
        <f>F4429*VLOOKUP(B4429,產品!$A$2:$H$61,7,FALSE)*(1-銷售總表!G4429)</f>
        <v>126900</v>
      </c>
      <c r="I4429" s="35">
        <f>H4429-F4429*VLOOKUP(銷售總表!B4429,產品!$A$2:$H$61,8,FALSE)</f>
        <v>32400</v>
      </c>
      <c r="J4429" s="20">
        <f t="shared" si="69"/>
        <v>0.25531914893617019</v>
      </c>
    </row>
    <row r="4430" spans="1:10" x14ac:dyDescent="0.3">
      <c r="A4430" s="33">
        <v>4429</v>
      </c>
      <c r="B4430" s="4">
        <v>14</v>
      </c>
      <c r="C4430" s="15">
        <v>276</v>
      </c>
      <c r="D4430" s="16">
        <v>4</v>
      </c>
      <c r="E4430" s="22">
        <v>44696</v>
      </c>
      <c r="F4430" s="19">
        <v>11</v>
      </c>
      <c r="G4430" s="18">
        <v>0.06</v>
      </c>
      <c r="H4430">
        <f>F4430*VLOOKUP(B4430,產品!$A$2:$H$61,7,FALSE)*(1-銷售總表!G4430)</f>
        <v>18612</v>
      </c>
      <c r="I4430" s="35">
        <f>H4430-F4430*VLOOKUP(銷售總表!B4430,產品!$A$2:$H$61,8,FALSE)</f>
        <v>10692</v>
      </c>
      <c r="J4430" s="20">
        <f t="shared" si="69"/>
        <v>0.57446808510638303</v>
      </c>
    </row>
    <row r="4431" spans="1:10" x14ac:dyDescent="0.3">
      <c r="A4431" s="33">
        <v>4430</v>
      </c>
      <c r="B4431" s="4">
        <v>57</v>
      </c>
      <c r="C4431" s="15">
        <v>263</v>
      </c>
      <c r="D4431" s="16">
        <v>2</v>
      </c>
      <c r="E4431" s="22">
        <v>44696</v>
      </c>
      <c r="F4431" s="19">
        <v>13</v>
      </c>
      <c r="G4431" s="18">
        <v>0.17</v>
      </c>
      <c r="H4431">
        <f>F4431*VLOOKUP(B4431,產品!$A$2:$H$61,7,FALSE)*(1-銷售總表!G4431)</f>
        <v>194220</v>
      </c>
      <c r="I4431" s="35">
        <f>H4431-F4431*VLOOKUP(銷售總表!B4431,產品!$A$2:$H$61,8,FALSE)</f>
        <v>30420</v>
      </c>
      <c r="J4431" s="20">
        <f t="shared" si="69"/>
        <v>0.15662650602409639</v>
      </c>
    </row>
    <row r="4432" spans="1:10" x14ac:dyDescent="0.3">
      <c r="A4432" s="33">
        <v>4431</v>
      </c>
      <c r="B4432" s="4">
        <v>34</v>
      </c>
      <c r="C4432" s="15">
        <v>264</v>
      </c>
      <c r="D4432" s="16">
        <v>1</v>
      </c>
      <c r="E4432" s="22">
        <v>44696</v>
      </c>
      <c r="F4432" s="19">
        <v>18</v>
      </c>
      <c r="G4432" s="18">
        <v>0.08</v>
      </c>
      <c r="H4432">
        <f>F4432*VLOOKUP(B4432,產品!$A$2:$H$61,7,FALSE)*(1-銷售總表!G4432)</f>
        <v>132480</v>
      </c>
      <c r="I4432" s="35">
        <f>H4432-F4432*VLOOKUP(銷售總表!B4432,產品!$A$2:$H$61,8,FALSE)</f>
        <v>46080</v>
      </c>
      <c r="J4432" s="20">
        <f t="shared" si="69"/>
        <v>0.34782608695652173</v>
      </c>
    </row>
    <row r="4433" spans="1:10" x14ac:dyDescent="0.3">
      <c r="A4433" s="33">
        <v>4432</v>
      </c>
      <c r="B4433" s="4">
        <v>29</v>
      </c>
      <c r="C4433" s="15">
        <v>257</v>
      </c>
      <c r="D4433" s="16">
        <v>2</v>
      </c>
      <c r="E4433" s="22">
        <v>44696</v>
      </c>
      <c r="F4433" s="19">
        <v>20</v>
      </c>
      <c r="G4433" s="18">
        <v>0.14000000000000001</v>
      </c>
      <c r="H4433">
        <f>F4433*VLOOKUP(B4433,產品!$A$2:$H$61,7,FALSE)*(1-銷售總表!G4433)</f>
        <v>103200</v>
      </c>
      <c r="I4433" s="35">
        <f>H4433-F4433*VLOOKUP(銷售總表!B4433,產品!$A$2:$H$61,8,FALSE)</f>
        <v>31200</v>
      </c>
      <c r="J4433" s="20">
        <f t="shared" si="69"/>
        <v>0.30232558139534882</v>
      </c>
    </row>
    <row r="4434" spans="1:10" x14ac:dyDescent="0.3">
      <c r="A4434" s="33">
        <v>4433</v>
      </c>
      <c r="B4434" s="4">
        <v>11</v>
      </c>
      <c r="C4434" s="15">
        <v>7</v>
      </c>
      <c r="D4434" s="16">
        <v>6</v>
      </c>
      <c r="E4434" s="22">
        <v>44696</v>
      </c>
      <c r="F4434" s="19">
        <v>100</v>
      </c>
      <c r="G4434" s="18">
        <v>0.09</v>
      </c>
      <c r="H4434">
        <f>F4434*VLOOKUP(B4434,產品!$A$2:$H$61,7,FALSE)*(1-銷售總表!G4434)</f>
        <v>91000</v>
      </c>
      <c r="I4434" s="35">
        <f>H4434-F4434*VLOOKUP(銷售總表!B4434,產品!$A$2:$H$61,8,FALSE)</f>
        <v>51000</v>
      </c>
      <c r="J4434" s="20">
        <f t="shared" si="69"/>
        <v>0.56043956043956045</v>
      </c>
    </row>
    <row r="4435" spans="1:10" x14ac:dyDescent="0.3">
      <c r="A4435" s="33">
        <v>4434</v>
      </c>
      <c r="B4435" s="4">
        <v>32</v>
      </c>
      <c r="C4435" s="15">
        <v>135</v>
      </c>
      <c r="D4435" s="16">
        <v>2</v>
      </c>
      <c r="E4435" s="22">
        <v>44697</v>
      </c>
      <c r="F4435" s="19">
        <v>3</v>
      </c>
      <c r="G4435" s="18">
        <v>0.17</v>
      </c>
      <c r="H4435">
        <f>F4435*VLOOKUP(B4435,產品!$A$2:$H$61,7,FALSE)*(1-銷售總表!G4435)</f>
        <v>18675</v>
      </c>
      <c r="I4435" s="35">
        <f>H4435-F4435*VLOOKUP(銷售總表!B4435,產品!$A$2:$H$61,8,FALSE)</f>
        <v>5175</v>
      </c>
      <c r="J4435" s="20">
        <f t="shared" si="69"/>
        <v>0.27710843373493976</v>
      </c>
    </row>
    <row r="4436" spans="1:10" x14ac:dyDescent="0.3">
      <c r="A4436" s="33">
        <v>4435</v>
      </c>
      <c r="B4436" s="4">
        <v>25</v>
      </c>
      <c r="C4436" s="15">
        <v>3</v>
      </c>
      <c r="D4436" s="16">
        <v>8</v>
      </c>
      <c r="E4436" s="22">
        <v>44697</v>
      </c>
      <c r="F4436" s="19">
        <v>4</v>
      </c>
      <c r="G4436" s="18">
        <v>0.13</v>
      </c>
      <c r="H4436">
        <f>F4436*VLOOKUP(B4436,產品!$A$2:$H$61,7,FALSE)*(1-銷售總表!G4436)</f>
        <v>20880</v>
      </c>
      <c r="I4436" s="35">
        <f>H4436-F4436*VLOOKUP(銷售總表!B4436,產品!$A$2:$H$61,8,FALSE)</f>
        <v>6480</v>
      </c>
      <c r="J4436" s="20">
        <f t="shared" si="69"/>
        <v>0.31034482758620691</v>
      </c>
    </row>
    <row r="4437" spans="1:10" x14ac:dyDescent="0.3">
      <c r="A4437" s="33">
        <v>4436</v>
      </c>
      <c r="B4437" s="4">
        <v>25</v>
      </c>
      <c r="C4437" s="15">
        <v>116</v>
      </c>
      <c r="D4437" s="16">
        <v>2</v>
      </c>
      <c r="E4437" s="22">
        <v>44697</v>
      </c>
      <c r="F4437" s="19">
        <v>6</v>
      </c>
      <c r="G4437" s="18">
        <v>0.2</v>
      </c>
      <c r="H4437">
        <f>F4437*VLOOKUP(B4437,產品!$A$2:$H$61,7,FALSE)*(1-銷售總表!G4437)</f>
        <v>28800</v>
      </c>
      <c r="I4437" s="35">
        <f>H4437-F4437*VLOOKUP(銷售總表!B4437,產品!$A$2:$H$61,8,FALSE)</f>
        <v>7200</v>
      </c>
      <c r="J4437" s="20">
        <f t="shared" si="69"/>
        <v>0.25</v>
      </c>
    </row>
    <row r="4438" spans="1:10" x14ac:dyDescent="0.3">
      <c r="A4438" s="33">
        <v>4437</v>
      </c>
      <c r="B4438" s="4">
        <v>42</v>
      </c>
      <c r="C4438" s="15">
        <v>280</v>
      </c>
      <c r="D4438" s="16">
        <v>7</v>
      </c>
      <c r="E4438" s="22">
        <v>44697</v>
      </c>
      <c r="F4438" s="19">
        <v>7</v>
      </c>
      <c r="G4438" s="18">
        <v>7.0000000000000007E-2</v>
      </c>
      <c r="H4438">
        <f>F4438*VLOOKUP(B4438,產品!$A$2:$H$61,7,FALSE)*(1-銷售總表!G4438)</f>
        <v>97650</v>
      </c>
      <c r="I4438" s="35">
        <f>H4438-F4438*VLOOKUP(銷售總表!B4438,產品!$A$2:$H$61,8,FALSE)</f>
        <v>29400</v>
      </c>
      <c r="J4438" s="20">
        <f t="shared" si="69"/>
        <v>0.30107526881720431</v>
      </c>
    </row>
    <row r="4439" spans="1:10" x14ac:dyDescent="0.3">
      <c r="A4439" s="33">
        <v>4438</v>
      </c>
      <c r="B4439" s="4">
        <v>42</v>
      </c>
      <c r="C4439" s="15">
        <v>257</v>
      </c>
      <c r="D4439" s="16">
        <v>4</v>
      </c>
      <c r="E4439" s="22">
        <v>44697</v>
      </c>
      <c r="F4439" s="19">
        <v>7</v>
      </c>
      <c r="G4439" s="18">
        <v>0.09</v>
      </c>
      <c r="H4439">
        <f>F4439*VLOOKUP(B4439,產品!$A$2:$H$61,7,FALSE)*(1-銷售總表!G4439)</f>
        <v>95550</v>
      </c>
      <c r="I4439" s="35">
        <f>H4439-F4439*VLOOKUP(銷售總表!B4439,產品!$A$2:$H$61,8,FALSE)</f>
        <v>27300</v>
      </c>
      <c r="J4439" s="20">
        <f t="shared" si="69"/>
        <v>0.2857142857142857</v>
      </c>
    </row>
    <row r="4440" spans="1:10" x14ac:dyDescent="0.3">
      <c r="A4440" s="33">
        <v>4439</v>
      </c>
      <c r="B4440" s="4">
        <v>10</v>
      </c>
      <c r="C4440" s="15">
        <v>1</v>
      </c>
      <c r="D4440" s="16">
        <v>8</v>
      </c>
      <c r="E4440" s="22">
        <v>44697</v>
      </c>
      <c r="F4440" s="19">
        <v>11</v>
      </c>
      <c r="G4440" s="18">
        <v>0.17</v>
      </c>
      <c r="H4440">
        <f>F4440*VLOOKUP(B4440,產品!$A$2:$H$61,7,FALSE)*(1-銷售總表!G4440)</f>
        <v>9130</v>
      </c>
      <c r="I4440" s="35">
        <f>H4440-F4440*VLOOKUP(銷售總表!B4440,產品!$A$2:$H$61,8,FALSE)</f>
        <v>4730</v>
      </c>
      <c r="J4440" s="20">
        <f t="shared" si="69"/>
        <v>0.51807228915662651</v>
      </c>
    </row>
    <row r="4441" spans="1:10" x14ac:dyDescent="0.3">
      <c r="A4441" s="33">
        <v>4440</v>
      </c>
      <c r="B4441" s="4">
        <v>49</v>
      </c>
      <c r="C4441" s="15">
        <v>122</v>
      </c>
      <c r="D4441" s="16">
        <v>9</v>
      </c>
      <c r="E4441" s="22">
        <v>44697</v>
      </c>
      <c r="F4441" s="19">
        <v>15</v>
      </c>
      <c r="G4441" s="18">
        <v>7.0000000000000007E-2</v>
      </c>
      <c r="H4441">
        <f>F4441*VLOOKUP(B4441,產品!$A$2:$H$61,7,FALSE)*(1-銷售總表!G4441)</f>
        <v>209250</v>
      </c>
      <c r="I4441" s="35">
        <f>H4441-F4441*VLOOKUP(銷售總表!B4441,產品!$A$2:$H$61,8,FALSE)</f>
        <v>51750</v>
      </c>
      <c r="J4441" s="20">
        <f t="shared" si="69"/>
        <v>0.24731182795698925</v>
      </c>
    </row>
    <row r="4442" spans="1:10" x14ac:dyDescent="0.3">
      <c r="A4442" s="33">
        <v>4441</v>
      </c>
      <c r="B4442" s="4">
        <v>35</v>
      </c>
      <c r="C4442" s="15">
        <v>273</v>
      </c>
      <c r="D4442" s="16">
        <v>4</v>
      </c>
      <c r="E4442" s="22">
        <v>44697</v>
      </c>
      <c r="F4442" s="19">
        <v>25</v>
      </c>
      <c r="G4442" s="18">
        <v>0.06</v>
      </c>
      <c r="H4442">
        <f>F4442*VLOOKUP(B4442,產品!$A$2:$H$61,7,FALSE)*(1-銷售總表!G4442)</f>
        <v>199750</v>
      </c>
      <c r="I4442" s="35">
        <f>H4442-F4442*VLOOKUP(銷售總表!B4442,產品!$A$2:$H$61,8,FALSE)</f>
        <v>72250</v>
      </c>
      <c r="J4442" s="20">
        <f t="shared" si="69"/>
        <v>0.36170212765957449</v>
      </c>
    </row>
    <row r="4443" spans="1:10" x14ac:dyDescent="0.3">
      <c r="A4443" s="33">
        <v>4442</v>
      </c>
      <c r="B4443" s="4">
        <v>10</v>
      </c>
      <c r="C4443" s="15">
        <v>12</v>
      </c>
      <c r="D4443" s="16">
        <v>3</v>
      </c>
      <c r="E4443" s="22">
        <v>44697</v>
      </c>
      <c r="F4443" s="19">
        <v>27</v>
      </c>
      <c r="G4443" s="18">
        <v>0.06</v>
      </c>
      <c r="H4443">
        <f>F4443*VLOOKUP(B4443,產品!$A$2:$H$61,7,FALSE)*(1-銷售總表!G4443)</f>
        <v>25380</v>
      </c>
      <c r="I4443" s="35">
        <f>H4443-F4443*VLOOKUP(銷售總表!B4443,產品!$A$2:$H$61,8,FALSE)</f>
        <v>14580</v>
      </c>
      <c r="J4443" s="20">
        <f t="shared" si="69"/>
        <v>0.57446808510638303</v>
      </c>
    </row>
    <row r="4444" spans="1:10" x14ac:dyDescent="0.3">
      <c r="A4444" s="33">
        <v>4443</v>
      </c>
      <c r="B4444" s="4">
        <v>57</v>
      </c>
      <c r="C4444" s="15">
        <v>268</v>
      </c>
      <c r="D4444" s="16">
        <v>7</v>
      </c>
      <c r="E4444" s="22">
        <v>44698</v>
      </c>
      <c r="F4444" s="19">
        <v>3</v>
      </c>
      <c r="G4444" s="18">
        <v>0.15</v>
      </c>
      <c r="H4444">
        <f>F4444*VLOOKUP(B4444,產品!$A$2:$H$61,7,FALSE)*(1-銷售總表!G4444)</f>
        <v>45900</v>
      </c>
      <c r="I4444" s="35">
        <f>H4444-F4444*VLOOKUP(銷售總表!B4444,產品!$A$2:$H$61,8,FALSE)</f>
        <v>8100</v>
      </c>
      <c r="J4444" s="20">
        <f t="shared" si="69"/>
        <v>0.17647058823529413</v>
      </c>
    </row>
    <row r="4445" spans="1:10" x14ac:dyDescent="0.3">
      <c r="A4445" s="33">
        <v>4444</v>
      </c>
      <c r="B4445" s="4">
        <v>28</v>
      </c>
      <c r="C4445" s="15">
        <v>289</v>
      </c>
      <c r="D4445" s="16">
        <v>7</v>
      </c>
      <c r="E4445" s="22">
        <v>44698</v>
      </c>
      <c r="F4445" s="19">
        <v>6</v>
      </c>
      <c r="G4445" s="18">
        <v>7.0000000000000007E-2</v>
      </c>
      <c r="H4445">
        <f>F4445*VLOOKUP(B4445,產品!$A$2:$H$61,7,FALSE)*(1-銷售總表!G4445)</f>
        <v>41850</v>
      </c>
      <c r="I4445" s="35">
        <f>H4445-F4445*VLOOKUP(銷售總表!B4445,產品!$A$2:$H$61,8,FALSE)</f>
        <v>14850</v>
      </c>
      <c r="J4445" s="20">
        <f t="shared" si="69"/>
        <v>0.35483870967741937</v>
      </c>
    </row>
    <row r="4446" spans="1:10" x14ac:dyDescent="0.3">
      <c r="A4446" s="33">
        <v>4445</v>
      </c>
      <c r="B4446" s="4">
        <v>26</v>
      </c>
      <c r="C4446" s="15">
        <v>278</v>
      </c>
      <c r="D4446" s="16">
        <v>8</v>
      </c>
      <c r="E4446" s="22">
        <v>44698</v>
      </c>
      <c r="F4446" s="19">
        <v>8</v>
      </c>
      <c r="G4446" s="18">
        <v>0.12</v>
      </c>
      <c r="H4446">
        <f>F4446*VLOOKUP(B4446,產品!$A$2:$H$61,7,FALSE)*(1-銷售總表!G4446)</f>
        <v>45760</v>
      </c>
      <c r="I4446" s="35">
        <f>H4446-F4446*VLOOKUP(銷售總表!B4446,產品!$A$2:$H$61,8,FALSE)</f>
        <v>14560</v>
      </c>
      <c r="J4446" s="20">
        <f t="shared" si="69"/>
        <v>0.31818181818181818</v>
      </c>
    </row>
    <row r="4447" spans="1:10" x14ac:dyDescent="0.3">
      <c r="A4447" s="33">
        <v>4446</v>
      </c>
      <c r="B4447" s="4">
        <v>9</v>
      </c>
      <c r="C4447" s="15">
        <v>118</v>
      </c>
      <c r="D4447" s="16">
        <v>7</v>
      </c>
      <c r="E4447" s="22">
        <v>44698</v>
      </c>
      <c r="F4447" s="19">
        <v>20</v>
      </c>
      <c r="G4447" s="18">
        <v>0.06</v>
      </c>
      <c r="H4447">
        <f>F4447*VLOOKUP(B4447,產品!$A$2:$H$61,7,FALSE)*(1-銷售總表!G4447)</f>
        <v>18800</v>
      </c>
      <c r="I4447" s="35">
        <f>H4447-F4447*VLOOKUP(銷售總表!B4447,產品!$A$2:$H$61,8,FALSE)</f>
        <v>10800</v>
      </c>
      <c r="J4447" s="20">
        <f t="shared" si="69"/>
        <v>0.57446808510638303</v>
      </c>
    </row>
    <row r="4448" spans="1:10" x14ac:dyDescent="0.3">
      <c r="A4448" s="33">
        <v>4447</v>
      </c>
      <c r="B4448" s="4">
        <v>41</v>
      </c>
      <c r="C4448" s="15">
        <v>10</v>
      </c>
      <c r="D4448" s="16">
        <v>5</v>
      </c>
      <c r="E4448" s="22">
        <v>44698</v>
      </c>
      <c r="F4448" s="19">
        <v>30</v>
      </c>
      <c r="G4448" s="18">
        <v>0.18</v>
      </c>
      <c r="H4448">
        <f>F4448*VLOOKUP(B4448,產品!$A$2:$H$61,7,FALSE)*(1-銷售總表!G4448)</f>
        <v>295200</v>
      </c>
      <c r="I4448" s="35">
        <f>H4448-F4448*VLOOKUP(銷售總表!B4448,產品!$A$2:$H$61,8,FALSE)</f>
        <v>61200</v>
      </c>
      <c r="J4448" s="20">
        <f t="shared" si="69"/>
        <v>0.2073170731707317</v>
      </c>
    </row>
    <row r="4449" spans="1:10" x14ac:dyDescent="0.3">
      <c r="A4449" s="33">
        <v>4448</v>
      </c>
      <c r="B4449" s="4">
        <v>23</v>
      </c>
      <c r="C4449" s="15">
        <v>267</v>
      </c>
      <c r="D4449" s="16">
        <v>10</v>
      </c>
      <c r="E4449" s="22">
        <v>44698</v>
      </c>
      <c r="F4449" s="19">
        <v>50</v>
      </c>
      <c r="G4449" s="18">
        <v>7.0000000000000007E-2</v>
      </c>
      <c r="H4449">
        <f>F4449*VLOOKUP(B4449,產品!$A$2:$H$61,7,FALSE)*(1-銷售總表!G4449)</f>
        <v>83700</v>
      </c>
      <c r="I4449" s="35">
        <f>H4449-F4449*VLOOKUP(銷售總表!B4449,產品!$A$2:$H$61,8,FALSE)</f>
        <v>47700</v>
      </c>
      <c r="J4449" s="20">
        <f t="shared" si="69"/>
        <v>0.56989247311827962</v>
      </c>
    </row>
    <row r="4450" spans="1:10" x14ac:dyDescent="0.3">
      <c r="A4450" s="33">
        <v>4449</v>
      </c>
      <c r="B4450" s="4">
        <v>23</v>
      </c>
      <c r="C4450" s="15">
        <v>277</v>
      </c>
      <c r="D4450" s="16">
        <v>4</v>
      </c>
      <c r="E4450" s="22">
        <v>44698</v>
      </c>
      <c r="F4450" s="19">
        <v>50</v>
      </c>
      <c r="G4450" s="18">
        <v>0.12</v>
      </c>
      <c r="H4450">
        <f>F4450*VLOOKUP(B4450,產品!$A$2:$H$61,7,FALSE)*(1-銷售總表!G4450)</f>
        <v>79200</v>
      </c>
      <c r="I4450" s="35">
        <f>H4450-F4450*VLOOKUP(銷售總表!B4450,產品!$A$2:$H$61,8,FALSE)</f>
        <v>43200</v>
      </c>
      <c r="J4450" s="20">
        <f t="shared" si="69"/>
        <v>0.54545454545454541</v>
      </c>
    </row>
    <row r="4451" spans="1:10" x14ac:dyDescent="0.3">
      <c r="A4451" s="33">
        <v>4450</v>
      </c>
      <c r="B4451" s="4">
        <v>6</v>
      </c>
      <c r="C4451" s="15">
        <v>285</v>
      </c>
      <c r="D4451" s="16">
        <v>8</v>
      </c>
      <c r="E4451" s="23">
        <v>44698</v>
      </c>
      <c r="F4451">
        <v>50</v>
      </c>
      <c r="G4451" s="20">
        <v>7.0000000000000007E-2</v>
      </c>
      <c r="H4451">
        <f>F4451*VLOOKUP(B4451,產品!$A$2:$H$61,7,FALSE)*(1-銷售總表!G4451)</f>
        <v>46500</v>
      </c>
      <c r="I4451" s="35">
        <f>H4451-F4451*VLOOKUP(銷售總表!B4451,產品!$A$2:$H$61,8,FALSE)</f>
        <v>26500</v>
      </c>
      <c r="J4451" s="20">
        <f t="shared" si="69"/>
        <v>0.56989247311827962</v>
      </c>
    </row>
    <row r="4452" spans="1:10" x14ac:dyDescent="0.3">
      <c r="A4452" s="33">
        <v>4451</v>
      </c>
      <c r="B4452" s="4">
        <v>13</v>
      </c>
      <c r="C4452" s="15">
        <v>260</v>
      </c>
      <c r="D4452" s="16">
        <v>4</v>
      </c>
      <c r="E4452" s="22">
        <v>44698</v>
      </c>
      <c r="F4452" s="19">
        <v>80</v>
      </c>
      <c r="G4452" s="18">
        <v>0.2</v>
      </c>
      <c r="H4452">
        <f>F4452*VLOOKUP(B4452,產品!$A$2:$H$61,7,FALSE)*(1-銷售總表!G4452)</f>
        <v>115200</v>
      </c>
      <c r="I4452" s="35">
        <f>H4452-F4452*VLOOKUP(銷售總表!B4452,產品!$A$2:$H$61,8,FALSE)</f>
        <v>57600</v>
      </c>
      <c r="J4452" s="20">
        <f t="shared" si="69"/>
        <v>0.5</v>
      </c>
    </row>
    <row r="4453" spans="1:10" x14ac:dyDescent="0.3">
      <c r="A4453" s="33">
        <v>4452</v>
      </c>
      <c r="B4453" s="4">
        <v>12</v>
      </c>
      <c r="C4453" s="15">
        <v>122</v>
      </c>
      <c r="D4453" s="16">
        <v>6</v>
      </c>
      <c r="E4453" s="22">
        <v>44698</v>
      </c>
      <c r="F4453" s="19">
        <v>225</v>
      </c>
      <c r="G4453" s="18">
        <v>0.2</v>
      </c>
      <c r="H4453">
        <f>F4453*VLOOKUP(B4453,產品!$A$2:$H$61,7,FALSE)*(1-銷售總表!G4453)</f>
        <v>180000</v>
      </c>
      <c r="I4453" s="35">
        <f>H4453-F4453*VLOOKUP(銷售總表!B4453,產品!$A$2:$H$61,8,FALSE)</f>
        <v>90000</v>
      </c>
      <c r="J4453" s="20">
        <f t="shared" si="69"/>
        <v>0.5</v>
      </c>
    </row>
    <row r="4454" spans="1:10" x14ac:dyDescent="0.3">
      <c r="A4454" s="33">
        <v>4453</v>
      </c>
      <c r="B4454" s="4">
        <v>37</v>
      </c>
      <c r="C4454" s="15">
        <v>282</v>
      </c>
      <c r="D4454" s="16">
        <v>5</v>
      </c>
      <c r="E4454" s="22">
        <v>44699</v>
      </c>
      <c r="F4454" s="19">
        <v>3</v>
      </c>
      <c r="G4454" s="18">
        <v>0.2</v>
      </c>
      <c r="H4454">
        <f>F4454*VLOOKUP(B4454,產品!$A$2:$H$61,7,FALSE)*(1-銷售總表!G4454)</f>
        <v>28800</v>
      </c>
      <c r="I4454" s="35">
        <f>H4454-F4454*VLOOKUP(銷售總表!B4454,產品!$A$2:$H$61,8,FALSE)</f>
        <v>5400</v>
      </c>
      <c r="J4454" s="20">
        <f t="shared" si="69"/>
        <v>0.1875</v>
      </c>
    </row>
    <row r="4455" spans="1:10" x14ac:dyDescent="0.3">
      <c r="A4455" s="33">
        <v>4454</v>
      </c>
      <c r="B4455" s="4">
        <v>50</v>
      </c>
      <c r="C4455" s="15">
        <v>3</v>
      </c>
      <c r="D4455" s="16">
        <v>4</v>
      </c>
      <c r="E4455" s="22">
        <v>44699</v>
      </c>
      <c r="F4455" s="19">
        <v>6</v>
      </c>
      <c r="G4455" s="18">
        <v>0.14000000000000001</v>
      </c>
      <c r="H4455">
        <f>F4455*VLOOKUP(B4455,產品!$A$2:$H$61,7,FALSE)*(1-銷售總表!G4455)</f>
        <v>92880</v>
      </c>
      <c r="I4455" s="35">
        <f>H4455-F4455*VLOOKUP(銷售總表!B4455,產品!$A$2:$H$61,8,FALSE)</f>
        <v>17280</v>
      </c>
      <c r="J4455" s="20">
        <f t="shared" si="69"/>
        <v>0.18604651162790697</v>
      </c>
    </row>
    <row r="4456" spans="1:10" x14ac:dyDescent="0.3">
      <c r="A4456" s="33">
        <v>4455</v>
      </c>
      <c r="B4456" s="4">
        <v>36</v>
      </c>
      <c r="C4456" s="15">
        <v>123</v>
      </c>
      <c r="D4456" s="16">
        <v>6</v>
      </c>
      <c r="E4456" s="22">
        <v>44699</v>
      </c>
      <c r="F4456" s="19">
        <v>9</v>
      </c>
      <c r="G4456" s="18">
        <v>0.18</v>
      </c>
      <c r="H4456">
        <f>F4456*VLOOKUP(B4456,產品!$A$2:$H$61,7,FALSE)*(1-銷售總表!G4456)</f>
        <v>66420</v>
      </c>
      <c r="I4456" s="35">
        <f>H4456-F4456*VLOOKUP(銷售總表!B4456,產品!$A$2:$H$61,8,FALSE)</f>
        <v>17820</v>
      </c>
      <c r="J4456" s="20">
        <f t="shared" si="69"/>
        <v>0.26829268292682928</v>
      </c>
    </row>
    <row r="4457" spans="1:10" x14ac:dyDescent="0.3">
      <c r="A4457" s="33">
        <v>4456</v>
      </c>
      <c r="B4457" s="4">
        <v>57</v>
      </c>
      <c r="C4457" s="15">
        <v>7</v>
      </c>
      <c r="D4457" s="16">
        <v>1</v>
      </c>
      <c r="E4457" s="22">
        <v>44699</v>
      </c>
      <c r="F4457" s="19">
        <v>10</v>
      </c>
      <c r="G4457" s="18">
        <v>0.16</v>
      </c>
      <c r="H4457">
        <f>F4457*VLOOKUP(B4457,產品!$A$2:$H$61,7,FALSE)*(1-銷售總表!G4457)</f>
        <v>151200</v>
      </c>
      <c r="I4457" s="35">
        <f>H4457-F4457*VLOOKUP(銷售總表!B4457,產品!$A$2:$H$61,8,FALSE)</f>
        <v>25200</v>
      </c>
      <c r="J4457" s="20">
        <f t="shared" si="69"/>
        <v>0.16666666666666666</v>
      </c>
    </row>
    <row r="4458" spans="1:10" x14ac:dyDescent="0.3">
      <c r="A4458" s="33">
        <v>4457</v>
      </c>
      <c r="B4458" s="4">
        <v>16</v>
      </c>
      <c r="C4458" s="15">
        <v>2</v>
      </c>
      <c r="D4458" s="16">
        <v>3</v>
      </c>
      <c r="E4458" s="22">
        <v>44699</v>
      </c>
      <c r="F4458" s="19">
        <v>30</v>
      </c>
      <c r="G4458" s="18">
        <v>0.18</v>
      </c>
      <c r="H4458">
        <f>F4458*VLOOKUP(B4458,產品!$A$2:$H$61,7,FALSE)*(1-銷售總表!G4458)</f>
        <v>44280</v>
      </c>
      <c r="I4458" s="35">
        <f>H4458-F4458*VLOOKUP(銷售總表!B4458,產品!$A$2:$H$61,8,FALSE)</f>
        <v>22680</v>
      </c>
      <c r="J4458" s="20">
        <f t="shared" si="69"/>
        <v>0.51219512195121952</v>
      </c>
    </row>
    <row r="4459" spans="1:10" x14ac:dyDescent="0.3">
      <c r="A4459" s="33">
        <v>4458</v>
      </c>
      <c r="B4459" s="4">
        <v>41</v>
      </c>
      <c r="C4459" s="15">
        <v>285</v>
      </c>
      <c r="D4459" s="16">
        <v>8</v>
      </c>
      <c r="E4459" s="22">
        <v>44700</v>
      </c>
      <c r="F4459" s="19">
        <v>7</v>
      </c>
      <c r="G4459" s="18">
        <v>0.2</v>
      </c>
      <c r="H4459">
        <f>F4459*VLOOKUP(B4459,產品!$A$2:$H$61,7,FALSE)*(1-銷售總表!G4459)</f>
        <v>67200</v>
      </c>
      <c r="I4459" s="35">
        <f>H4459-F4459*VLOOKUP(銷售總表!B4459,產品!$A$2:$H$61,8,FALSE)</f>
        <v>12600</v>
      </c>
      <c r="J4459" s="20">
        <f t="shared" si="69"/>
        <v>0.1875</v>
      </c>
    </row>
    <row r="4460" spans="1:10" x14ac:dyDescent="0.3">
      <c r="A4460" s="33">
        <v>4459</v>
      </c>
      <c r="B4460" s="4">
        <v>23</v>
      </c>
      <c r="C4460" s="15">
        <v>293</v>
      </c>
      <c r="D4460" s="16">
        <v>8</v>
      </c>
      <c r="E4460" s="22">
        <v>44700</v>
      </c>
      <c r="F4460" s="19">
        <v>10</v>
      </c>
      <c r="G4460" s="18">
        <v>0.1</v>
      </c>
      <c r="H4460">
        <f>F4460*VLOOKUP(B4460,產品!$A$2:$H$61,7,FALSE)*(1-銷售總表!G4460)</f>
        <v>16200</v>
      </c>
      <c r="I4460" s="35">
        <f>H4460-F4460*VLOOKUP(銷售總表!B4460,產品!$A$2:$H$61,8,FALSE)</f>
        <v>9000</v>
      </c>
      <c r="J4460" s="20">
        <f t="shared" si="69"/>
        <v>0.55555555555555558</v>
      </c>
    </row>
    <row r="4461" spans="1:10" x14ac:dyDescent="0.3">
      <c r="A4461" s="33">
        <v>4460</v>
      </c>
      <c r="B4461" s="4">
        <v>54</v>
      </c>
      <c r="C4461" s="15">
        <v>264</v>
      </c>
      <c r="D4461" s="16">
        <v>1</v>
      </c>
      <c r="E4461" s="22">
        <v>44700</v>
      </c>
      <c r="F4461" s="19">
        <v>12</v>
      </c>
      <c r="G4461" s="18">
        <v>0.05</v>
      </c>
      <c r="H4461">
        <f>F4461*VLOOKUP(B4461,產品!$A$2:$H$61,7,FALSE)*(1-銷售總表!G4461)</f>
        <v>205200</v>
      </c>
      <c r="I4461" s="35">
        <f>H4461-F4461*VLOOKUP(銷售總表!B4461,產品!$A$2:$H$61,8,FALSE)</f>
        <v>54000</v>
      </c>
      <c r="J4461" s="20">
        <f t="shared" si="69"/>
        <v>0.26315789473684209</v>
      </c>
    </row>
    <row r="4462" spans="1:10" x14ac:dyDescent="0.3">
      <c r="A4462" s="33">
        <v>4461</v>
      </c>
      <c r="B4462" s="4">
        <v>17</v>
      </c>
      <c r="C4462" s="15">
        <v>12</v>
      </c>
      <c r="D4462" s="16">
        <v>1</v>
      </c>
      <c r="E4462" s="22">
        <v>44700</v>
      </c>
      <c r="F4462" s="19">
        <v>16</v>
      </c>
      <c r="G4462" s="18">
        <v>0.05</v>
      </c>
      <c r="H4462">
        <f>F4462*VLOOKUP(B4462,產品!$A$2:$H$61,7,FALSE)*(1-銷售總表!G4462)</f>
        <v>27360</v>
      </c>
      <c r="I4462" s="35">
        <f>H4462-F4462*VLOOKUP(銷售總表!B4462,產品!$A$2:$H$61,8,FALSE)</f>
        <v>15840</v>
      </c>
      <c r="J4462" s="20">
        <f t="shared" si="69"/>
        <v>0.57894736842105265</v>
      </c>
    </row>
    <row r="4463" spans="1:10" x14ac:dyDescent="0.3">
      <c r="A4463" s="33">
        <v>4462</v>
      </c>
      <c r="B4463" s="4">
        <v>13</v>
      </c>
      <c r="C4463" s="15">
        <v>137</v>
      </c>
      <c r="D4463" s="16">
        <v>7</v>
      </c>
      <c r="E4463" s="22">
        <v>44700</v>
      </c>
      <c r="F4463" s="19">
        <v>30</v>
      </c>
      <c r="G4463" s="18">
        <v>0.13</v>
      </c>
      <c r="H4463">
        <f>F4463*VLOOKUP(B4463,產品!$A$2:$H$61,7,FALSE)*(1-銷售總表!G4463)</f>
        <v>46980</v>
      </c>
      <c r="I4463" s="35">
        <f>H4463-F4463*VLOOKUP(銷售總表!B4463,產品!$A$2:$H$61,8,FALSE)</f>
        <v>25380</v>
      </c>
      <c r="J4463" s="20">
        <f t="shared" si="69"/>
        <v>0.54022988505747127</v>
      </c>
    </row>
    <row r="4464" spans="1:10" x14ac:dyDescent="0.3">
      <c r="A4464" s="33">
        <v>4463</v>
      </c>
      <c r="B4464" s="4">
        <v>21</v>
      </c>
      <c r="C4464" s="15">
        <v>121</v>
      </c>
      <c r="D4464" s="16">
        <v>6</v>
      </c>
      <c r="E4464" s="23">
        <v>44700</v>
      </c>
      <c r="F4464">
        <v>50</v>
      </c>
      <c r="G4464" s="20">
        <v>0.13</v>
      </c>
      <c r="H4464">
        <f>F4464*VLOOKUP(B4464,產品!$A$2:$H$61,7,FALSE)*(1-銷售總表!G4464)</f>
        <v>78300</v>
      </c>
      <c r="I4464" s="35">
        <f>H4464-F4464*VLOOKUP(銷售總表!B4464,產品!$A$2:$H$61,8,FALSE)</f>
        <v>42300</v>
      </c>
      <c r="J4464" s="20">
        <f t="shared" si="69"/>
        <v>0.54022988505747127</v>
      </c>
    </row>
    <row r="4465" spans="1:10" x14ac:dyDescent="0.3">
      <c r="A4465" s="33">
        <v>4464</v>
      </c>
      <c r="B4465" s="4">
        <v>18</v>
      </c>
      <c r="C4465" s="15">
        <v>280</v>
      </c>
      <c r="D4465" s="16">
        <v>4</v>
      </c>
      <c r="E4465" s="23">
        <v>44700</v>
      </c>
      <c r="F4465">
        <v>70</v>
      </c>
      <c r="G4465" s="20">
        <v>0.18</v>
      </c>
      <c r="H4465">
        <f>F4465*VLOOKUP(B4465,產品!$A$2:$H$61,7,FALSE)*(1-銷售總表!G4465)</f>
        <v>103320.00000000001</v>
      </c>
      <c r="I4465" s="35">
        <f>H4465-F4465*VLOOKUP(銷售總表!B4465,產品!$A$2:$H$61,8,FALSE)</f>
        <v>52920.000000000015</v>
      </c>
      <c r="J4465" s="20">
        <f t="shared" si="69"/>
        <v>0.51219512195121963</v>
      </c>
    </row>
    <row r="4466" spans="1:10" x14ac:dyDescent="0.3">
      <c r="A4466" s="33">
        <v>4465</v>
      </c>
      <c r="B4466" s="4">
        <v>27</v>
      </c>
      <c r="C4466" s="15">
        <v>291</v>
      </c>
      <c r="D4466" s="16">
        <v>6</v>
      </c>
      <c r="E4466" s="22">
        <v>44701</v>
      </c>
      <c r="F4466" s="19">
        <v>2</v>
      </c>
      <c r="G4466" s="18">
        <v>0.18</v>
      </c>
      <c r="H4466">
        <f>F4466*VLOOKUP(B4466,產品!$A$2:$H$61,7,FALSE)*(1-銷售總表!G4466)</f>
        <v>11480</v>
      </c>
      <c r="I4466" s="35">
        <f>H4466-F4466*VLOOKUP(銷售總表!B4466,產品!$A$2:$H$61,8,FALSE)</f>
        <v>3080</v>
      </c>
      <c r="J4466" s="20">
        <f t="shared" si="69"/>
        <v>0.26829268292682928</v>
      </c>
    </row>
    <row r="4467" spans="1:10" x14ac:dyDescent="0.3">
      <c r="A4467" s="33">
        <v>4466</v>
      </c>
      <c r="B4467" s="4">
        <v>47</v>
      </c>
      <c r="C4467" s="15">
        <v>286</v>
      </c>
      <c r="D4467" s="16">
        <v>7</v>
      </c>
      <c r="E4467" s="23">
        <v>44701</v>
      </c>
      <c r="F4467">
        <v>5</v>
      </c>
      <c r="G4467" s="20">
        <v>0.1</v>
      </c>
      <c r="H4467">
        <f>F4467*VLOOKUP(B4467,產品!$A$2:$H$61,7,FALSE)*(1-銷售總表!G4467)</f>
        <v>90000</v>
      </c>
      <c r="I4467" s="35">
        <f>H4467-F4467*VLOOKUP(銷售總表!B4467,產品!$A$2:$H$61,8,FALSE)</f>
        <v>25000</v>
      </c>
      <c r="J4467" s="20">
        <f t="shared" si="69"/>
        <v>0.27777777777777779</v>
      </c>
    </row>
    <row r="4468" spans="1:10" x14ac:dyDescent="0.3">
      <c r="A4468" s="33">
        <v>4467</v>
      </c>
      <c r="B4468" s="4">
        <v>42</v>
      </c>
      <c r="C4468" s="15">
        <v>6</v>
      </c>
      <c r="D4468" s="16">
        <v>10</v>
      </c>
      <c r="E4468" s="22">
        <v>44701</v>
      </c>
      <c r="F4468" s="19">
        <v>9</v>
      </c>
      <c r="G4468" s="18">
        <v>0.06</v>
      </c>
      <c r="H4468">
        <f>F4468*VLOOKUP(B4468,產品!$A$2:$H$61,7,FALSE)*(1-銷售總表!G4468)</f>
        <v>126900</v>
      </c>
      <c r="I4468" s="35">
        <f>H4468-F4468*VLOOKUP(銷售總表!B4468,產品!$A$2:$H$61,8,FALSE)</f>
        <v>39150</v>
      </c>
      <c r="J4468" s="20">
        <f t="shared" si="69"/>
        <v>0.30851063829787234</v>
      </c>
    </row>
    <row r="4469" spans="1:10" x14ac:dyDescent="0.3">
      <c r="A4469" s="33">
        <v>4468</v>
      </c>
      <c r="B4469" s="4">
        <v>40</v>
      </c>
      <c r="C4469" s="15">
        <v>274</v>
      </c>
      <c r="D4469" s="16">
        <v>7</v>
      </c>
      <c r="E4469" s="23">
        <v>44701</v>
      </c>
      <c r="F4469" s="19">
        <v>10</v>
      </c>
      <c r="G4469" s="20">
        <v>0.11</v>
      </c>
      <c r="H4469">
        <f>F4469*VLOOKUP(B4469,產品!$A$2:$H$61,7,FALSE)*(1-銷售總表!G4469)</f>
        <v>178000</v>
      </c>
      <c r="I4469" s="35">
        <f>H4469-F4469*VLOOKUP(銷售總表!B4469,產品!$A$2:$H$61,8,FALSE)</f>
        <v>48000</v>
      </c>
      <c r="J4469" s="20">
        <f t="shared" si="69"/>
        <v>0.2696629213483146</v>
      </c>
    </row>
    <row r="4470" spans="1:10" x14ac:dyDescent="0.3">
      <c r="A4470" s="33">
        <v>4469</v>
      </c>
      <c r="B4470" s="4">
        <v>39</v>
      </c>
      <c r="C4470" s="15">
        <v>115</v>
      </c>
      <c r="D4470" s="16">
        <v>4</v>
      </c>
      <c r="E4470" s="22">
        <v>44701</v>
      </c>
      <c r="F4470" s="19">
        <v>12</v>
      </c>
      <c r="G4470" s="18">
        <v>0.16</v>
      </c>
      <c r="H4470">
        <f>F4470*VLOOKUP(B4470,產品!$A$2:$H$61,7,FALSE)*(1-銷售總表!G4470)</f>
        <v>181440</v>
      </c>
      <c r="I4470" s="35">
        <f>H4470-F4470*VLOOKUP(銷售總表!B4470,產品!$A$2:$H$61,8,FALSE)</f>
        <v>41040</v>
      </c>
      <c r="J4470" s="20">
        <f t="shared" si="69"/>
        <v>0.22619047619047619</v>
      </c>
    </row>
    <row r="4471" spans="1:10" x14ac:dyDescent="0.3">
      <c r="A4471" s="33">
        <v>4470</v>
      </c>
      <c r="B4471" s="4">
        <v>48</v>
      </c>
      <c r="C4471" s="15">
        <v>113</v>
      </c>
      <c r="D4471" s="16">
        <v>8</v>
      </c>
      <c r="E4471" s="23">
        <v>44701</v>
      </c>
      <c r="F4471">
        <v>15</v>
      </c>
      <c r="G4471" s="20">
        <v>0.14000000000000001</v>
      </c>
      <c r="H4471">
        <f>F4471*VLOOKUP(B4471,產品!$A$2:$H$61,7,FALSE)*(1-銷售總表!G4471)</f>
        <v>283800</v>
      </c>
      <c r="I4471" s="35">
        <f>H4471-F4471*VLOOKUP(銷售總表!B4471,產品!$A$2:$H$61,8,FALSE)</f>
        <v>69300</v>
      </c>
      <c r="J4471" s="20">
        <f t="shared" si="69"/>
        <v>0.2441860465116279</v>
      </c>
    </row>
    <row r="4472" spans="1:10" x14ac:dyDescent="0.3">
      <c r="A4472" s="33">
        <v>4471</v>
      </c>
      <c r="B4472" s="4">
        <v>53</v>
      </c>
      <c r="C4472" s="15">
        <v>261</v>
      </c>
      <c r="D4472" s="16">
        <v>1</v>
      </c>
      <c r="E4472" s="22">
        <v>44701</v>
      </c>
      <c r="F4472" s="19">
        <v>18</v>
      </c>
      <c r="G4472" s="18">
        <v>0.1</v>
      </c>
      <c r="H4472">
        <f>F4472*VLOOKUP(B4472,產品!$A$2:$H$61,7,FALSE)*(1-銷售總表!G4472)</f>
        <v>243000</v>
      </c>
      <c r="I4472" s="35">
        <f>H4472-F4472*VLOOKUP(銷售總表!B4472,產品!$A$2:$H$61,8,FALSE)</f>
        <v>54000</v>
      </c>
      <c r="J4472" s="20">
        <f t="shared" si="69"/>
        <v>0.22222222222222221</v>
      </c>
    </row>
    <row r="4473" spans="1:10" x14ac:dyDescent="0.3">
      <c r="A4473" s="33">
        <v>4472</v>
      </c>
      <c r="B4473" s="4">
        <v>25</v>
      </c>
      <c r="C4473" s="15">
        <v>2</v>
      </c>
      <c r="D4473" s="16">
        <v>2</v>
      </c>
      <c r="E4473" s="22">
        <v>44701</v>
      </c>
      <c r="F4473" s="19">
        <v>30</v>
      </c>
      <c r="G4473" s="18">
        <v>0.09</v>
      </c>
      <c r="H4473">
        <f>F4473*VLOOKUP(B4473,產品!$A$2:$H$61,7,FALSE)*(1-銷售總表!G4473)</f>
        <v>163800</v>
      </c>
      <c r="I4473" s="35">
        <f>H4473-F4473*VLOOKUP(銷售總表!B4473,產品!$A$2:$H$61,8,FALSE)</f>
        <v>55800</v>
      </c>
      <c r="J4473" s="20">
        <f t="shared" si="69"/>
        <v>0.34065934065934067</v>
      </c>
    </row>
    <row r="4474" spans="1:10" x14ac:dyDescent="0.3">
      <c r="A4474" s="33">
        <v>4473</v>
      </c>
      <c r="B4474" s="4">
        <v>19</v>
      </c>
      <c r="C4474" s="15">
        <v>272</v>
      </c>
      <c r="D4474" s="16">
        <v>3</v>
      </c>
      <c r="E4474" s="22">
        <v>44701</v>
      </c>
      <c r="F4474" s="19">
        <v>50</v>
      </c>
      <c r="G4474" s="18">
        <v>0.17</v>
      </c>
      <c r="H4474">
        <f>F4474*VLOOKUP(B4474,產品!$A$2:$H$61,7,FALSE)*(1-銷售總表!G4474)</f>
        <v>74700</v>
      </c>
      <c r="I4474" s="35">
        <f>H4474-F4474*VLOOKUP(銷售總表!B4474,產品!$A$2:$H$61,8,FALSE)</f>
        <v>38700</v>
      </c>
      <c r="J4474" s="20">
        <f t="shared" si="69"/>
        <v>0.51807228915662651</v>
      </c>
    </row>
    <row r="4475" spans="1:10" x14ac:dyDescent="0.3">
      <c r="A4475" s="33">
        <v>4474</v>
      </c>
      <c r="B4475" s="4">
        <v>5</v>
      </c>
      <c r="C4475" s="15">
        <v>267</v>
      </c>
      <c r="D4475" s="16">
        <v>2</v>
      </c>
      <c r="E4475" s="22">
        <v>44701</v>
      </c>
      <c r="F4475" s="19">
        <v>80</v>
      </c>
      <c r="G4475" s="18">
        <v>0.18</v>
      </c>
      <c r="H4475">
        <f>F4475*VLOOKUP(B4475,產品!$A$2:$H$61,7,FALSE)*(1-銷售總表!G4475)</f>
        <v>65600</v>
      </c>
      <c r="I4475" s="35">
        <f>H4475-F4475*VLOOKUP(銷售總表!B4475,產品!$A$2:$H$61,8,FALSE)</f>
        <v>33600</v>
      </c>
      <c r="J4475" s="20">
        <f t="shared" si="69"/>
        <v>0.51219512195121952</v>
      </c>
    </row>
    <row r="4476" spans="1:10" x14ac:dyDescent="0.3">
      <c r="A4476" s="33">
        <v>4475</v>
      </c>
      <c r="B4476" s="4">
        <v>17</v>
      </c>
      <c r="C4476" s="15">
        <v>294</v>
      </c>
      <c r="D4476" s="16">
        <v>2</v>
      </c>
      <c r="E4476" s="22">
        <v>44701</v>
      </c>
      <c r="F4476" s="19">
        <v>90</v>
      </c>
      <c r="G4476" s="18">
        <v>0.18</v>
      </c>
      <c r="H4476">
        <f>F4476*VLOOKUP(B4476,產品!$A$2:$H$61,7,FALSE)*(1-銷售總表!G4476)</f>
        <v>132840</v>
      </c>
      <c r="I4476" s="35">
        <f>H4476-F4476*VLOOKUP(銷售總表!B4476,產品!$A$2:$H$61,8,FALSE)</f>
        <v>68040</v>
      </c>
      <c r="J4476" s="20">
        <f t="shared" si="69"/>
        <v>0.51219512195121952</v>
      </c>
    </row>
    <row r="4477" spans="1:10" x14ac:dyDescent="0.3">
      <c r="A4477" s="33">
        <v>4476</v>
      </c>
      <c r="B4477" s="4">
        <v>32</v>
      </c>
      <c r="C4477" s="15">
        <v>259</v>
      </c>
      <c r="D4477" s="16">
        <v>6</v>
      </c>
      <c r="E4477" s="22">
        <v>44702</v>
      </c>
      <c r="F4477" s="19">
        <v>2</v>
      </c>
      <c r="G4477" s="18">
        <v>7.0000000000000007E-2</v>
      </c>
      <c r="H4477">
        <f>F4477*VLOOKUP(B4477,產品!$A$2:$H$61,7,FALSE)*(1-銷售總表!G4477)</f>
        <v>13949.999999999998</v>
      </c>
      <c r="I4477" s="35">
        <f>H4477-F4477*VLOOKUP(銷售總表!B4477,產品!$A$2:$H$61,8,FALSE)</f>
        <v>4949.9999999999982</v>
      </c>
      <c r="J4477" s="20">
        <f t="shared" si="69"/>
        <v>0.35483870967741926</v>
      </c>
    </row>
    <row r="4478" spans="1:10" x14ac:dyDescent="0.3">
      <c r="A4478" s="33">
        <v>4477</v>
      </c>
      <c r="B4478" s="4">
        <v>46</v>
      </c>
      <c r="C4478" s="15">
        <v>112</v>
      </c>
      <c r="D4478" s="16">
        <v>10</v>
      </c>
      <c r="E4478" s="22">
        <v>44702</v>
      </c>
      <c r="F4478" s="19">
        <v>3</v>
      </c>
      <c r="G4478" s="18">
        <v>0.2</v>
      </c>
      <c r="H4478">
        <f>F4478*VLOOKUP(B4478,產品!$A$2:$H$61,7,FALSE)*(1-銷售總表!G4478)</f>
        <v>40800</v>
      </c>
      <c r="I4478" s="35">
        <f>H4478-F4478*VLOOKUP(銷售總表!B4478,產品!$A$2:$H$61,8,FALSE)</f>
        <v>7650</v>
      </c>
      <c r="J4478" s="20">
        <f t="shared" si="69"/>
        <v>0.1875</v>
      </c>
    </row>
    <row r="4479" spans="1:10" x14ac:dyDescent="0.3">
      <c r="A4479" s="33">
        <v>4478</v>
      </c>
      <c r="B4479" s="4">
        <v>41</v>
      </c>
      <c r="C4479" s="15">
        <v>135</v>
      </c>
      <c r="D4479" s="16">
        <v>3</v>
      </c>
      <c r="E4479" s="22">
        <v>44702</v>
      </c>
      <c r="F4479" s="19">
        <v>6</v>
      </c>
      <c r="G4479" s="18">
        <v>0.15</v>
      </c>
      <c r="H4479">
        <f>F4479*VLOOKUP(B4479,產品!$A$2:$H$61,7,FALSE)*(1-銷售總表!G4479)</f>
        <v>61200</v>
      </c>
      <c r="I4479" s="35">
        <f>H4479-F4479*VLOOKUP(銷售總表!B4479,產品!$A$2:$H$61,8,FALSE)</f>
        <v>14400</v>
      </c>
      <c r="J4479" s="20">
        <f t="shared" si="69"/>
        <v>0.23529411764705882</v>
      </c>
    </row>
    <row r="4480" spans="1:10" x14ac:dyDescent="0.3">
      <c r="A4480" s="33">
        <v>4479</v>
      </c>
      <c r="B4480" s="4">
        <v>36</v>
      </c>
      <c r="C4480" s="15">
        <v>257</v>
      </c>
      <c r="D4480" s="16">
        <v>6</v>
      </c>
      <c r="E4480" s="22">
        <v>44702</v>
      </c>
      <c r="F4480" s="19">
        <v>13</v>
      </c>
      <c r="G4480" s="18">
        <v>0.16</v>
      </c>
      <c r="H4480">
        <f>F4480*VLOOKUP(B4480,產品!$A$2:$H$61,7,FALSE)*(1-銷售總表!G4480)</f>
        <v>98280</v>
      </c>
      <c r="I4480" s="35">
        <f>H4480-F4480*VLOOKUP(銷售總表!B4480,產品!$A$2:$H$61,8,FALSE)</f>
        <v>28080</v>
      </c>
      <c r="J4480" s="20">
        <f t="shared" si="69"/>
        <v>0.2857142857142857</v>
      </c>
    </row>
    <row r="4481" spans="1:10" x14ac:dyDescent="0.3">
      <c r="A4481" s="33">
        <v>4480</v>
      </c>
      <c r="B4481" s="4">
        <v>55</v>
      </c>
      <c r="C4481" s="15">
        <v>112</v>
      </c>
      <c r="D4481" s="16">
        <v>2</v>
      </c>
      <c r="E4481" s="22">
        <v>44702</v>
      </c>
      <c r="F4481" s="19">
        <v>15</v>
      </c>
      <c r="G4481" s="18">
        <v>0.11</v>
      </c>
      <c r="H4481">
        <f>F4481*VLOOKUP(B4481,產品!$A$2:$H$61,7,FALSE)*(1-銷售總表!G4481)</f>
        <v>267000</v>
      </c>
      <c r="I4481" s="35">
        <f>H4481-F4481*VLOOKUP(銷售總表!B4481,產品!$A$2:$H$61,8,FALSE)</f>
        <v>57000</v>
      </c>
      <c r="J4481" s="20">
        <f t="shared" si="69"/>
        <v>0.21348314606741572</v>
      </c>
    </row>
    <row r="4482" spans="1:10" x14ac:dyDescent="0.3">
      <c r="A4482" s="33">
        <v>4481</v>
      </c>
      <c r="B4482" s="4">
        <v>24</v>
      </c>
      <c r="C4482" s="15">
        <v>286</v>
      </c>
      <c r="D4482" s="16">
        <v>6</v>
      </c>
      <c r="E4482" s="22">
        <v>44702</v>
      </c>
      <c r="F4482" s="19">
        <v>18</v>
      </c>
      <c r="G4482" s="18">
        <v>0.05</v>
      </c>
      <c r="H4482">
        <f>F4482*VLOOKUP(B4482,產品!$A$2:$H$61,7,FALSE)*(1-銷售總表!G4482)</f>
        <v>30780</v>
      </c>
      <c r="I4482" s="35">
        <f>H4482-F4482*VLOOKUP(銷售總表!B4482,產品!$A$2:$H$61,8,FALSE)</f>
        <v>17820</v>
      </c>
      <c r="J4482" s="20">
        <f t="shared" si="69"/>
        <v>0.57894736842105265</v>
      </c>
    </row>
    <row r="4483" spans="1:10" x14ac:dyDescent="0.3">
      <c r="A4483" s="33">
        <v>4482</v>
      </c>
      <c r="B4483" s="4">
        <v>23</v>
      </c>
      <c r="C4483" s="15">
        <v>288</v>
      </c>
      <c r="D4483" s="16">
        <v>10</v>
      </c>
      <c r="E4483" s="22">
        <v>44702</v>
      </c>
      <c r="F4483" s="19">
        <v>30</v>
      </c>
      <c r="G4483" s="18">
        <v>0.13</v>
      </c>
      <c r="H4483">
        <f>F4483*VLOOKUP(B4483,產品!$A$2:$H$61,7,FALSE)*(1-銷售總表!G4483)</f>
        <v>46980</v>
      </c>
      <c r="I4483" s="35">
        <f>H4483-F4483*VLOOKUP(銷售總表!B4483,產品!$A$2:$H$61,8,FALSE)</f>
        <v>25380</v>
      </c>
      <c r="J4483" s="20">
        <f t="shared" ref="J4483:J4546" si="70">I4483/H4483</f>
        <v>0.54022988505747127</v>
      </c>
    </row>
    <row r="4484" spans="1:10" x14ac:dyDescent="0.3">
      <c r="A4484" s="33">
        <v>4483</v>
      </c>
      <c r="B4484" s="4">
        <v>4</v>
      </c>
      <c r="C4484" s="15">
        <v>3</v>
      </c>
      <c r="D4484" s="16">
        <v>8</v>
      </c>
      <c r="E4484" s="22">
        <v>44702</v>
      </c>
      <c r="F4484" s="19">
        <v>70</v>
      </c>
      <c r="G4484" s="18">
        <v>0.08</v>
      </c>
      <c r="H4484">
        <f>F4484*VLOOKUP(B4484,產品!$A$2:$H$61,7,FALSE)*(1-銷售總表!G4484)</f>
        <v>64400</v>
      </c>
      <c r="I4484" s="35">
        <f>H4484-F4484*VLOOKUP(銷售總表!B4484,產品!$A$2:$H$61,8,FALSE)</f>
        <v>36400</v>
      </c>
      <c r="J4484" s="20">
        <f t="shared" si="70"/>
        <v>0.56521739130434778</v>
      </c>
    </row>
    <row r="4485" spans="1:10" x14ac:dyDescent="0.3">
      <c r="A4485" s="33">
        <v>4484</v>
      </c>
      <c r="B4485" s="4">
        <v>22</v>
      </c>
      <c r="C4485" s="15">
        <v>272</v>
      </c>
      <c r="D4485" s="16">
        <v>3</v>
      </c>
      <c r="E4485" s="22">
        <v>44702</v>
      </c>
      <c r="F4485" s="19">
        <v>80</v>
      </c>
      <c r="G4485" s="18">
        <v>0.12</v>
      </c>
      <c r="H4485">
        <f>F4485*VLOOKUP(B4485,產品!$A$2:$H$61,7,FALSE)*(1-銷售總表!G4485)</f>
        <v>126720</v>
      </c>
      <c r="I4485" s="35">
        <f>H4485-F4485*VLOOKUP(銷售總表!B4485,產品!$A$2:$H$61,8,FALSE)</f>
        <v>69120</v>
      </c>
      <c r="J4485" s="20">
        <f t="shared" si="70"/>
        <v>0.54545454545454541</v>
      </c>
    </row>
    <row r="4486" spans="1:10" x14ac:dyDescent="0.3">
      <c r="A4486" s="33">
        <v>4485</v>
      </c>
      <c r="B4486" s="4">
        <v>12</v>
      </c>
      <c r="C4486" s="15">
        <v>268</v>
      </c>
      <c r="D4486" s="16">
        <v>3</v>
      </c>
      <c r="E4486" s="22">
        <v>44702</v>
      </c>
      <c r="F4486" s="19">
        <v>80</v>
      </c>
      <c r="G4486" s="18">
        <v>0.05</v>
      </c>
      <c r="H4486">
        <f>F4486*VLOOKUP(B4486,產品!$A$2:$H$61,7,FALSE)*(1-銷售總表!G4486)</f>
        <v>76000</v>
      </c>
      <c r="I4486" s="35">
        <f>H4486-F4486*VLOOKUP(銷售總表!B4486,產品!$A$2:$H$61,8,FALSE)</f>
        <v>44000</v>
      </c>
      <c r="J4486" s="20">
        <f t="shared" si="70"/>
        <v>0.57894736842105265</v>
      </c>
    </row>
    <row r="4487" spans="1:10" x14ac:dyDescent="0.3">
      <c r="A4487" s="33">
        <v>4486</v>
      </c>
      <c r="B4487" s="4">
        <v>25</v>
      </c>
      <c r="C4487" s="15">
        <v>264</v>
      </c>
      <c r="D4487" s="16">
        <v>10</v>
      </c>
      <c r="E4487" s="22">
        <v>44703</v>
      </c>
      <c r="F4487" s="19">
        <v>2</v>
      </c>
      <c r="G4487" s="18">
        <v>0.08</v>
      </c>
      <c r="H4487">
        <f>F4487*VLOOKUP(B4487,產品!$A$2:$H$61,7,FALSE)*(1-銷售總表!G4487)</f>
        <v>11040</v>
      </c>
      <c r="I4487" s="35">
        <f>H4487-F4487*VLOOKUP(銷售總表!B4487,產品!$A$2:$H$61,8,FALSE)</f>
        <v>3840</v>
      </c>
      <c r="J4487" s="20">
        <f t="shared" si="70"/>
        <v>0.34782608695652173</v>
      </c>
    </row>
    <row r="4488" spans="1:10" x14ac:dyDescent="0.3">
      <c r="A4488" s="33">
        <v>4487</v>
      </c>
      <c r="B4488" s="4">
        <v>35</v>
      </c>
      <c r="C4488" s="15">
        <v>7</v>
      </c>
      <c r="D4488" s="16">
        <v>5</v>
      </c>
      <c r="E4488" s="22">
        <v>44703</v>
      </c>
      <c r="F4488" s="19">
        <v>3</v>
      </c>
      <c r="G4488" s="18">
        <v>0.14000000000000001</v>
      </c>
      <c r="H4488">
        <f>F4488*VLOOKUP(B4488,產品!$A$2:$H$61,7,FALSE)*(1-銷售總表!G4488)</f>
        <v>21930</v>
      </c>
      <c r="I4488" s="35">
        <f>H4488-F4488*VLOOKUP(銷售總表!B4488,產品!$A$2:$H$61,8,FALSE)</f>
        <v>6630</v>
      </c>
      <c r="J4488" s="20">
        <f t="shared" si="70"/>
        <v>0.30232558139534882</v>
      </c>
    </row>
    <row r="4489" spans="1:10" x14ac:dyDescent="0.3">
      <c r="A4489" s="33">
        <v>4488</v>
      </c>
      <c r="B4489" s="4">
        <v>27</v>
      </c>
      <c r="C4489" s="15">
        <v>9</v>
      </c>
      <c r="D4489" s="16">
        <v>2</v>
      </c>
      <c r="E4489" s="22">
        <v>44703</v>
      </c>
      <c r="F4489" s="19">
        <v>4</v>
      </c>
      <c r="G4489" s="18">
        <v>0.14000000000000001</v>
      </c>
      <c r="H4489">
        <f>F4489*VLOOKUP(B4489,產品!$A$2:$H$61,7,FALSE)*(1-銷售總表!G4489)</f>
        <v>24080</v>
      </c>
      <c r="I4489" s="35">
        <f>H4489-F4489*VLOOKUP(銷售總表!B4489,產品!$A$2:$H$61,8,FALSE)</f>
        <v>7280</v>
      </c>
      <c r="J4489" s="20">
        <f t="shared" si="70"/>
        <v>0.30232558139534882</v>
      </c>
    </row>
    <row r="4490" spans="1:10" x14ac:dyDescent="0.3">
      <c r="A4490" s="33">
        <v>4489</v>
      </c>
      <c r="B4490" s="4">
        <v>26</v>
      </c>
      <c r="C4490" s="15">
        <v>258</v>
      </c>
      <c r="D4490" s="16">
        <v>3</v>
      </c>
      <c r="E4490" s="22">
        <v>44703</v>
      </c>
      <c r="F4490" s="19">
        <v>6</v>
      </c>
      <c r="G4490" s="18">
        <v>0.18</v>
      </c>
      <c r="H4490">
        <f>F4490*VLOOKUP(B4490,產品!$A$2:$H$61,7,FALSE)*(1-銷售總表!G4490)</f>
        <v>31980.000000000004</v>
      </c>
      <c r="I4490" s="35">
        <f>H4490-F4490*VLOOKUP(銷售總表!B4490,產品!$A$2:$H$61,8,FALSE)</f>
        <v>8580.0000000000036</v>
      </c>
      <c r="J4490" s="20">
        <f t="shared" si="70"/>
        <v>0.26829268292682934</v>
      </c>
    </row>
    <row r="4491" spans="1:10" x14ac:dyDescent="0.3">
      <c r="A4491" s="33">
        <v>4490</v>
      </c>
      <c r="B4491" s="4">
        <v>22</v>
      </c>
      <c r="C4491" s="15">
        <v>10</v>
      </c>
      <c r="D4491" s="16">
        <v>9</v>
      </c>
      <c r="E4491" s="22">
        <v>44703</v>
      </c>
      <c r="F4491" s="19">
        <v>150</v>
      </c>
      <c r="G4491" s="18">
        <v>0.18</v>
      </c>
      <c r="H4491">
        <f>F4491*VLOOKUP(B4491,產品!$A$2:$H$61,7,FALSE)*(1-銷售總表!G4491)</f>
        <v>221400.00000000003</v>
      </c>
      <c r="I4491" s="35">
        <f>H4491-F4491*VLOOKUP(銷售總表!B4491,產品!$A$2:$H$61,8,FALSE)</f>
        <v>113400.00000000003</v>
      </c>
      <c r="J4491" s="20">
        <f t="shared" si="70"/>
        <v>0.51219512195121952</v>
      </c>
    </row>
    <row r="4492" spans="1:10" x14ac:dyDescent="0.3">
      <c r="A4492" s="33">
        <v>4491</v>
      </c>
      <c r="B4492" s="4">
        <v>25</v>
      </c>
      <c r="C4492" s="15">
        <v>261</v>
      </c>
      <c r="D4492" s="16">
        <v>7</v>
      </c>
      <c r="E4492" s="22">
        <v>44704</v>
      </c>
      <c r="F4492" s="19">
        <v>13</v>
      </c>
      <c r="G4492" s="18">
        <v>0.08</v>
      </c>
      <c r="H4492">
        <f>F4492*VLOOKUP(B4492,產品!$A$2:$H$61,7,FALSE)*(1-銷售總表!G4492)</f>
        <v>71760</v>
      </c>
      <c r="I4492" s="35">
        <f>H4492-F4492*VLOOKUP(銷售總表!B4492,產品!$A$2:$H$61,8,FALSE)</f>
        <v>24960</v>
      </c>
      <c r="J4492" s="20">
        <f t="shared" si="70"/>
        <v>0.34782608695652173</v>
      </c>
    </row>
    <row r="4493" spans="1:10" x14ac:dyDescent="0.3">
      <c r="A4493" s="33">
        <v>4492</v>
      </c>
      <c r="B4493" s="4">
        <v>34</v>
      </c>
      <c r="C4493" s="15">
        <v>1</v>
      </c>
      <c r="D4493" s="16">
        <v>4</v>
      </c>
      <c r="E4493" s="22">
        <v>44704</v>
      </c>
      <c r="F4493" s="19">
        <v>15</v>
      </c>
      <c r="G4493" s="18">
        <v>0.11</v>
      </c>
      <c r="H4493">
        <f>F4493*VLOOKUP(B4493,產品!$A$2:$H$61,7,FALSE)*(1-銷售總表!G4493)</f>
        <v>106800</v>
      </c>
      <c r="I4493" s="35">
        <f>H4493-F4493*VLOOKUP(銷售總表!B4493,產品!$A$2:$H$61,8,FALSE)</f>
        <v>34800</v>
      </c>
      <c r="J4493" s="20">
        <f t="shared" si="70"/>
        <v>0.3258426966292135</v>
      </c>
    </row>
    <row r="4494" spans="1:10" x14ac:dyDescent="0.3">
      <c r="A4494" s="33">
        <v>4493</v>
      </c>
      <c r="B4494" s="4">
        <v>13</v>
      </c>
      <c r="C4494" s="15">
        <v>8</v>
      </c>
      <c r="D4494" s="16">
        <v>3</v>
      </c>
      <c r="E4494" s="22">
        <v>44704</v>
      </c>
      <c r="F4494" s="19">
        <v>105</v>
      </c>
      <c r="G4494" s="18">
        <v>0.19</v>
      </c>
      <c r="H4494">
        <f>F4494*VLOOKUP(B4494,產品!$A$2:$H$61,7,FALSE)*(1-銷售總表!G4494)</f>
        <v>153090</v>
      </c>
      <c r="I4494" s="35">
        <f>H4494-F4494*VLOOKUP(銷售總表!B4494,產品!$A$2:$H$61,8,FALSE)</f>
        <v>77490</v>
      </c>
      <c r="J4494" s="20">
        <f t="shared" si="70"/>
        <v>0.50617283950617287</v>
      </c>
    </row>
    <row r="4495" spans="1:10" x14ac:dyDescent="0.3">
      <c r="A4495" s="33">
        <v>4494</v>
      </c>
      <c r="B4495" s="4">
        <v>9</v>
      </c>
      <c r="C4495" s="15">
        <v>115</v>
      </c>
      <c r="D4495" s="16">
        <v>8</v>
      </c>
      <c r="E4495" s="22">
        <v>44704</v>
      </c>
      <c r="F4495" s="19">
        <v>150</v>
      </c>
      <c r="G4495" s="18">
        <v>0.18</v>
      </c>
      <c r="H4495">
        <f>F4495*VLOOKUP(B4495,產品!$A$2:$H$61,7,FALSE)*(1-銷售總表!G4495)</f>
        <v>123000.00000000001</v>
      </c>
      <c r="I4495" s="35">
        <f>H4495-F4495*VLOOKUP(銷售總表!B4495,產品!$A$2:$H$61,8,FALSE)</f>
        <v>63000.000000000015</v>
      </c>
      <c r="J4495" s="20">
        <f t="shared" si="70"/>
        <v>0.51219512195121952</v>
      </c>
    </row>
    <row r="4496" spans="1:10" x14ac:dyDescent="0.3">
      <c r="A4496" s="33">
        <v>4495</v>
      </c>
      <c r="B4496" s="4">
        <v>8</v>
      </c>
      <c r="C4496" s="15">
        <v>6</v>
      </c>
      <c r="D4496" s="16">
        <v>4</v>
      </c>
      <c r="E4496" s="22">
        <v>44704</v>
      </c>
      <c r="F4496" s="19">
        <v>160</v>
      </c>
      <c r="G4496" s="18">
        <v>0.14000000000000001</v>
      </c>
      <c r="H4496">
        <f>F4496*VLOOKUP(B4496,產品!$A$2:$H$61,7,FALSE)*(1-銷售總表!G4496)</f>
        <v>137600</v>
      </c>
      <c r="I4496" s="35">
        <f>H4496-F4496*VLOOKUP(銷售總表!B4496,產品!$A$2:$H$61,8,FALSE)</f>
        <v>73600</v>
      </c>
      <c r="J4496" s="20">
        <f t="shared" si="70"/>
        <v>0.53488372093023251</v>
      </c>
    </row>
    <row r="4497" spans="1:10" x14ac:dyDescent="0.3">
      <c r="A4497" s="33">
        <v>4496</v>
      </c>
      <c r="B4497" s="4">
        <v>40</v>
      </c>
      <c r="C4497" s="15">
        <v>6</v>
      </c>
      <c r="D4497" s="16">
        <v>3</v>
      </c>
      <c r="E4497" s="22">
        <v>44705</v>
      </c>
      <c r="F4497" s="19">
        <v>6</v>
      </c>
      <c r="G4497" s="18">
        <v>0.16</v>
      </c>
      <c r="H4497">
        <f>F4497*VLOOKUP(B4497,產品!$A$2:$H$61,7,FALSE)*(1-銷售總表!G4497)</f>
        <v>100800</v>
      </c>
      <c r="I4497" s="35">
        <f>H4497-F4497*VLOOKUP(銷售總表!B4497,產品!$A$2:$H$61,8,FALSE)</f>
        <v>22800</v>
      </c>
      <c r="J4497" s="20">
        <f t="shared" si="70"/>
        <v>0.22619047619047619</v>
      </c>
    </row>
    <row r="4498" spans="1:10" x14ac:dyDescent="0.3">
      <c r="A4498" s="33">
        <v>4497</v>
      </c>
      <c r="B4498" s="4">
        <v>44</v>
      </c>
      <c r="C4498" s="15">
        <v>115</v>
      </c>
      <c r="D4498" s="16">
        <v>5</v>
      </c>
      <c r="E4498" s="23">
        <v>44705</v>
      </c>
      <c r="F4498">
        <v>7</v>
      </c>
      <c r="G4498" s="20">
        <v>0.19</v>
      </c>
      <c r="H4498">
        <f>F4498*VLOOKUP(B4498,產品!$A$2:$H$61,7,FALSE)*(1-銷售總表!G4498)</f>
        <v>113400.00000000001</v>
      </c>
      <c r="I4498" s="35">
        <f>H4498-F4498*VLOOKUP(銷售總表!B4498,產品!$A$2:$H$61,8,FALSE)</f>
        <v>22400.000000000015</v>
      </c>
      <c r="J4498" s="20">
        <f t="shared" si="70"/>
        <v>0.19753086419753096</v>
      </c>
    </row>
    <row r="4499" spans="1:10" x14ac:dyDescent="0.3">
      <c r="A4499" s="33">
        <v>4498</v>
      </c>
      <c r="B4499" s="4">
        <v>49</v>
      </c>
      <c r="C4499" s="15">
        <v>125</v>
      </c>
      <c r="D4499" s="16">
        <v>6</v>
      </c>
      <c r="E4499" s="22">
        <v>44705</v>
      </c>
      <c r="F4499" s="19">
        <v>9</v>
      </c>
      <c r="G4499" s="18">
        <v>0.16</v>
      </c>
      <c r="H4499">
        <f>F4499*VLOOKUP(B4499,產品!$A$2:$H$61,7,FALSE)*(1-銷售總表!G4499)</f>
        <v>113400</v>
      </c>
      <c r="I4499" s="35">
        <f>H4499-F4499*VLOOKUP(銷售總表!B4499,產品!$A$2:$H$61,8,FALSE)</f>
        <v>18900</v>
      </c>
      <c r="J4499" s="20">
        <f t="shared" si="70"/>
        <v>0.16666666666666666</v>
      </c>
    </row>
    <row r="4500" spans="1:10" x14ac:dyDescent="0.3">
      <c r="A4500" s="33">
        <v>4499</v>
      </c>
      <c r="B4500" s="4">
        <v>58</v>
      </c>
      <c r="C4500" s="15">
        <v>112</v>
      </c>
      <c r="D4500" s="16">
        <v>8</v>
      </c>
      <c r="E4500" s="23">
        <v>44705</v>
      </c>
      <c r="F4500">
        <v>13</v>
      </c>
      <c r="G4500" s="20">
        <v>0.11</v>
      </c>
      <c r="H4500">
        <f>F4500*VLOOKUP(B4500,產品!$A$2:$H$61,7,FALSE)*(1-銷售總表!G4500)</f>
        <v>242970</v>
      </c>
      <c r="I4500" s="35">
        <f>H4500-F4500*VLOOKUP(銷售總表!B4500,產品!$A$2:$H$61,8,FALSE)</f>
        <v>51870.000000000029</v>
      </c>
      <c r="J4500" s="20">
        <f t="shared" si="70"/>
        <v>0.21348314606741586</v>
      </c>
    </row>
    <row r="4501" spans="1:10" x14ac:dyDescent="0.3">
      <c r="A4501" s="33">
        <v>4500</v>
      </c>
      <c r="B4501" s="4">
        <v>6</v>
      </c>
      <c r="C4501" s="15">
        <v>134</v>
      </c>
      <c r="D4501" s="16">
        <v>6</v>
      </c>
      <c r="E4501" s="22">
        <v>44705</v>
      </c>
      <c r="F4501" s="19">
        <v>30</v>
      </c>
      <c r="G4501" s="18">
        <v>0.1</v>
      </c>
      <c r="H4501">
        <f>F4501*VLOOKUP(B4501,產品!$A$2:$H$61,7,FALSE)*(1-銷售總表!G4501)</f>
        <v>27000</v>
      </c>
      <c r="I4501" s="35">
        <f>H4501-F4501*VLOOKUP(銷售總表!B4501,產品!$A$2:$H$61,8,FALSE)</f>
        <v>15000</v>
      </c>
      <c r="J4501" s="20">
        <f t="shared" si="70"/>
        <v>0.55555555555555558</v>
      </c>
    </row>
    <row r="4502" spans="1:10" x14ac:dyDescent="0.3">
      <c r="A4502" s="33">
        <v>4501</v>
      </c>
      <c r="B4502" s="4">
        <v>5</v>
      </c>
      <c r="C4502" s="15">
        <v>116</v>
      </c>
      <c r="D4502" s="16">
        <v>9</v>
      </c>
      <c r="E4502" s="22">
        <v>44705</v>
      </c>
      <c r="F4502" s="19">
        <v>50</v>
      </c>
      <c r="G4502" s="18">
        <v>0.11</v>
      </c>
      <c r="H4502">
        <f>F4502*VLOOKUP(B4502,產品!$A$2:$H$61,7,FALSE)*(1-銷售總表!G4502)</f>
        <v>44500</v>
      </c>
      <c r="I4502" s="35">
        <f>H4502-F4502*VLOOKUP(銷售總表!B4502,產品!$A$2:$H$61,8,FALSE)</f>
        <v>24500</v>
      </c>
      <c r="J4502" s="20">
        <f t="shared" si="70"/>
        <v>0.550561797752809</v>
      </c>
    </row>
    <row r="4503" spans="1:10" x14ac:dyDescent="0.3">
      <c r="A4503" s="33">
        <v>4502</v>
      </c>
      <c r="B4503" s="4">
        <v>38</v>
      </c>
      <c r="C4503" s="15">
        <v>283</v>
      </c>
      <c r="D4503" s="16">
        <v>1</v>
      </c>
      <c r="E4503" s="22">
        <v>44706</v>
      </c>
      <c r="F4503" s="19">
        <v>1</v>
      </c>
      <c r="G4503" s="18">
        <v>0.14000000000000001</v>
      </c>
      <c r="H4503">
        <f>F4503*VLOOKUP(B4503,產品!$A$2:$H$61,7,FALSE)*(1-銷售總表!G4503)</f>
        <v>12900</v>
      </c>
      <c r="I4503" s="35">
        <f>H4503-F4503*VLOOKUP(銷售總表!B4503,產品!$A$2:$H$61,8,FALSE)</f>
        <v>3150</v>
      </c>
      <c r="J4503" s="20">
        <f t="shared" si="70"/>
        <v>0.2441860465116279</v>
      </c>
    </row>
    <row r="4504" spans="1:10" x14ac:dyDescent="0.3">
      <c r="A4504" s="33">
        <v>4503</v>
      </c>
      <c r="B4504" s="4">
        <v>37</v>
      </c>
      <c r="C4504" s="15">
        <v>276</v>
      </c>
      <c r="D4504" s="16">
        <v>5</v>
      </c>
      <c r="E4504" s="22">
        <v>44706</v>
      </c>
      <c r="F4504" s="19">
        <v>2</v>
      </c>
      <c r="G4504" s="18">
        <v>7.0000000000000007E-2</v>
      </c>
      <c r="H4504">
        <f>F4504*VLOOKUP(B4504,產品!$A$2:$H$61,7,FALSE)*(1-銷售總表!G4504)</f>
        <v>22320</v>
      </c>
      <c r="I4504" s="35">
        <f>H4504-F4504*VLOOKUP(銷售總表!B4504,產品!$A$2:$H$61,8,FALSE)</f>
        <v>6720</v>
      </c>
      <c r="J4504" s="20">
        <f t="shared" si="70"/>
        <v>0.30107526881720431</v>
      </c>
    </row>
    <row r="4505" spans="1:10" x14ac:dyDescent="0.3">
      <c r="A4505" s="33">
        <v>4504</v>
      </c>
      <c r="B4505" s="4">
        <v>60</v>
      </c>
      <c r="C4505" s="15">
        <v>278</v>
      </c>
      <c r="D4505" s="16">
        <v>3</v>
      </c>
      <c r="E4505" s="22">
        <v>44706</v>
      </c>
      <c r="F4505" s="19">
        <v>3</v>
      </c>
      <c r="G4505" s="18">
        <v>0.15</v>
      </c>
      <c r="H4505">
        <f>F4505*VLOOKUP(B4505,產品!$A$2:$H$61,7,FALSE)*(1-銷售總表!G4505)</f>
        <v>63750</v>
      </c>
      <c r="I4505" s="35">
        <f>H4505-F4505*VLOOKUP(銷售總表!B4505,產品!$A$2:$H$61,8,FALSE)</f>
        <v>11250</v>
      </c>
      <c r="J4505" s="20">
        <f t="shared" si="70"/>
        <v>0.17647058823529413</v>
      </c>
    </row>
    <row r="4506" spans="1:10" x14ac:dyDescent="0.3">
      <c r="A4506" s="33">
        <v>4505</v>
      </c>
      <c r="B4506" s="4">
        <v>23</v>
      </c>
      <c r="C4506" s="15">
        <v>293</v>
      </c>
      <c r="D4506" s="16">
        <v>10</v>
      </c>
      <c r="E4506" s="22">
        <v>44706</v>
      </c>
      <c r="F4506" s="19">
        <v>10</v>
      </c>
      <c r="G4506" s="18">
        <v>0.05</v>
      </c>
      <c r="H4506">
        <f>F4506*VLOOKUP(B4506,產品!$A$2:$H$61,7,FALSE)*(1-銷售總表!G4506)</f>
        <v>17100</v>
      </c>
      <c r="I4506" s="35">
        <f>H4506-F4506*VLOOKUP(銷售總表!B4506,產品!$A$2:$H$61,8,FALSE)</f>
        <v>9900</v>
      </c>
      <c r="J4506" s="20">
        <f t="shared" si="70"/>
        <v>0.57894736842105265</v>
      </c>
    </row>
    <row r="4507" spans="1:10" x14ac:dyDescent="0.3">
      <c r="A4507" s="33">
        <v>4506</v>
      </c>
      <c r="B4507" s="4">
        <v>9</v>
      </c>
      <c r="C4507" s="15">
        <v>8</v>
      </c>
      <c r="D4507" s="16">
        <v>8</v>
      </c>
      <c r="E4507" s="22">
        <v>44706</v>
      </c>
      <c r="F4507" s="19">
        <v>10</v>
      </c>
      <c r="G4507" s="18">
        <v>0.16</v>
      </c>
      <c r="H4507">
        <f>F4507*VLOOKUP(B4507,產品!$A$2:$H$61,7,FALSE)*(1-銷售總表!G4507)</f>
        <v>8400</v>
      </c>
      <c r="I4507" s="35">
        <f>H4507-F4507*VLOOKUP(銷售總表!B4507,產品!$A$2:$H$61,8,FALSE)</f>
        <v>4400</v>
      </c>
      <c r="J4507" s="20">
        <f t="shared" si="70"/>
        <v>0.52380952380952384</v>
      </c>
    </row>
    <row r="4508" spans="1:10" x14ac:dyDescent="0.3">
      <c r="A4508" s="33">
        <v>4507</v>
      </c>
      <c r="B4508" s="4">
        <v>12</v>
      </c>
      <c r="C4508" s="15">
        <v>258</v>
      </c>
      <c r="D4508" s="16">
        <v>10</v>
      </c>
      <c r="E4508" s="22">
        <v>44706</v>
      </c>
      <c r="F4508" s="19">
        <v>50</v>
      </c>
      <c r="G4508" s="18">
        <v>0.09</v>
      </c>
      <c r="H4508">
        <f>F4508*VLOOKUP(B4508,產品!$A$2:$H$61,7,FALSE)*(1-銷售總表!G4508)</f>
        <v>45500</v>
      </c>
      <c r="I4508" s="35">
        <f>H4508-F4508*VLOOKUP(銷售總表!B4508,產品!$A$2:$H$61,8,FALSE)</f>
        <v>25500</v>
      </c>
      <c r="J4508" s="20">
        <f t="shared" si="70"/>
        <v>0.56043956043956045</v>
      </c>
    </row>
    <row r="4509" spans="1:10" x14ac:dyDescent="0.3">
      <c r="A4509" s="33">
        <v>4508</v>
      </c>
      <c r="B4509" s="4">
        <v>14</v>
      </c>
      <c r="C4509" s="15">
        <v>273</v>
      </c>
      <c r="D4509" s="16">
        <v>4</v>
      </c>
      <c r="E4509" s="22">
        <v>44706</v>
      </c>
      <c r="F4509" s="19">
        <v>70</v>
      </c>
      <c r="G4509" s="18">
        <v>0.12</v>
      </c>
      <c r="H4509">
        <f>F4509*VLOOKUP(B4509,產品!$A$2:$H$61,7,FALSE)*(1-銷售總表!G4509)</f>
        <v>110880</v>
      </c>
      <c r="I4509" s="35">
        <f>H4509-F4509*VLOOKUP(銷售總表!B4509,產品!$A$2:$H$61,8,FALSE)</f>
        <v>60480</v>
      </c>
      <c r="J4509" s="20">
        <f t="shared" si="70"/>
        <v>0.54545454545454541</v>
      </c>
    </row>
    <row r="4510" spans="1:10" x14ac:dyDescent="0.3">
      <c r="A4510" s="33">
        <v>4509</v>
      </c>
      <c r="B4510" s="4">
        <v>55</v>
      </c>
      <c r="C4510" s="15">
        <v>270</v>
      </c>
      <c r="D4510" s="16">
        <v>8</v>
      </c>
      <c r="E4510" s="22">
        <v>44707</v>
      </c>
      <c r="F4510" s="19">
        <v>4</v>
      </c>
      <c r="G4510" s="18">
        <v>0.06</v>
      </c>
      <c r="H4510">
        <f>F4510*VLOOKUP(B4510,產品!$A$2:$H$61,7,FALSE)*(1-銷售總表!G4510)</f>
        <v>75200</v>
      </c>
      <c r="I4510" s="35">
        <f>H4510-F4510*VLOOKUP(銷售總表!B4510,產品!$A$2:$H$61,8,FALSE)</f>
        <v>19200</v>
      </c>
      <c r="J4510" s="20">
        <f t="shared" si="70"/>
        <v>0.25531914893617019</v>
      </c>
    </row>
    <row r="4511" spans="1:10" x14ac:dyDescent="0.3">
      <c r="A4511" s="33">
        <v>4510</v>
      </c>
      <c r="B4511" s="4">
        <v>25</v>
      </c>
      <c r="C4511" s="15">
        <v>123</v>
      </c>
      <c r="D4511" s="16">
        <v>9</v>
      </c>
      <c r="E4511" s="22">
        <v>44707</v>
      </c>
      <c r="F4511" s="19">
        <v>6</v>
      </c>
      <c r="G4511" s="18">
        <v>0.08</v>
      </c>
      <c r="H4511">
        <f>F4511*VLOOKUP(B4511,產品!$A$2:$H$61,7,FALSE)*(1-銷售總表!G4511)</f>
        <v>33120</v>
      </c>
      <c r="I4511" s="35">
        <f>H4511-F4511*VLOOKUP(銷售總表!B4511,產品!$A$2:$H$61,8,FALSE)</f>
        <v>11520</v>
      </c>
      <c r="J4511" s="20">
        <f t="shared" si="70"/>
        <v>0.34782608695652173</v>
      </c>
    </row>
    <row r="4512" spans="1:10" x14ac:dyDescent="0.3">
      <c r="A4512" s="33">
        <v>4511</v>
      </c>
      <c r="B4512" s="4">
        <v>36</v>
      </c>
      <c r="C4512" s="15">
        <v>116</v>
      </c>
      <c r="D4512" s="16">
        <v>4</v>
      </c>
      <c r="E4512" s="22">
        <v>44707</v>
      </c>
      <c r="F4512" s="19">
        <v>12</v>
      </c>
      <c r="G4512" s="18">
        <v>7.0000000000000007E-2</v>
      </c>
      <c r="H4512">
        <f>F4512*VLOOKUP(B4512,產品!$A$2:$H$61,7,FALSE)*(1-銷售總表!G4512)</f>
        <v>100440</v>
      </c>
      <c r="I4512" s="35">
        <f>H4512-F4512*VLOOKUP(銷售總表!B4512,產品!$A$2:$H$61,8,FALSE)</f>
        <v>35640</v>
      </c>
      <c r="J4512" s="20">
        <f t="shared" si="70"/>
        <v>0.35483870967741937</v>
      </c>
    </row>
    <row r="4513" spans="1:10" x14ac:dyDescent="0.3">
      <c r="A4513" s="33">
        <v>4512</v>
      </c>
      <c r="B4513" s="4">
        <v>18</v>
      </c>
      <c r="C4513" s="15">
        <v>261</v>
      </c>
      <c r="D4513" s="16">
        <v>9</v>
      </c>
      <c r="E4513" s="22">
        <v>44707</v>
      </c>
      <c r="F4513" s="19">
        <v>30</v>
      </c>
      <c r="G4513" s="18">
        <v>0.16</v>
      </c>
      <c r="H4513">
        <f>F4513*VLOOKUP(B4513,產品!$A$2:$H$61,7,FALSE)*(1-銷售總表!G4513)</f>
        <v>45360</v>
      </c>
      <c r="I4513" s="35">
        <f>H4513-F4513*VLOOKUP(銷售總表!B4513,產品!$A$2:$H$61,8,FALSE)</f>
        <v>23760</v>
      </c>
      <c r="J4513" s="20">
        <f t="shared" si="70"/>
        <v>0.52380952380952384</v>
      </c>
    </row>
    <row r="4514" spans="1:10" x14ac:dyDescent="0.3">
      <c r="A4514" s="33">
        <v>4513</v>
      </c>
      <c r="B4514" s="4">
        <v>53</v>
      </c>
      <c r="C4514" s="15">
        <v>5</v>
      </c>
      <c r="D4514" s="16">
        <v>10</v>
      </c>
      <c r="E4514" s="22">
        <v>44708</v>
      </c>
      <c r="F4514" s="19">
        <v>4</v>
      </c>
      <c r="G4514" s="18">
        <v>0.1</v>
      </c>
      <c r="H4514">
        <f>F4514*VLOOKUP(B4514,產品!$A$2:$H$61,7,FALSE)*(1-銷售總表!G4514)</f>
        <v>54000</v>
      </c>
      <c r="I4514" s="35">
        <f>H4514-F4514*VLOOKUP(銷售總表!B4514,產品!$A$2:$H$61,8,FALSE)</f>
        <v>12000</v>
      </c>
      <c r="J4514" s="20">
        <f t="shared" si="70"/>
        <v>0.22222222222222221</v>
      </c>
    </row>
    <row r="4515" spans="1:10" x14ac:dyDescent="0.3">
      <c r="A4515" s="33">
        <v>4514</v>
      </c>
      <c r="B4515" s="4">
        <v>43</v>
      </c>
      <c r="C4515" s="15">
        <v>294</v>
      </c>
      <c r="D4515" s="16">
        <v>4</v>
      </c>
      <c r="E4515" s="22">
        <v>44708</v>
      </c>
      <c r="F4515" s="19">
        <v>6</v>
      </c>
      <c r="G4515" s="18">
        <v>0.13</v>
      </c>
      <c r="H4515">
        <f>F4515*VLOOKUP(B4515,產品!$A$2:$H$61,7,FALSE)*(1-銷售總表!G4515)</f>
        <v>93960</v>
      </c>
      <c r="I4515" s="35">
        <f>H4515-F4515*VLOOKUP(銷售總表!B4515,產品!$A$2:$H$61,8,FALSE)</f>
        <v>23760</v>
      </c>
      <c r="J4515" s="20">
        <f t="shared" si="70"/>
        <v>0.25287356321839083</v>
      </c>
    </row>
    <row r="4516" spans="1:10" x14ac:dyDescent="0.3">
      <c r="A4516" s="33">
        <v>4515</v>
      </c>
      <c r="B4516" s="4">
        <v>53</v>
      </c>
      <c r="C4516" s="15">
        <v>135</v>
      </c>
      <c r="D4516" s="16">
        <v>10</v>
      </c>
      <c r="E4516" s="22">
        <v>44708</v>
      </c>
      <c r="F4516" s="19">
        <v>9</v>
      </c>
      <c r="G4516" s="18">
        <v>0.2</v>
      </c>
      <c r="H4516">
        <f>F4516*VLOOKUP(B4516,產品!$A$2:$H$61,7,FALSE)*(1-銷售總表!G4516)</f>
        <v>108000</v>
      </c>
      <c r="I4516" s="35">
        <f>H4516-F4516*VLOOKUP(銷售總表!B4516,產品!$A$2:$H$61,8,FALSE)</f>
        <v>13500</v>
      </c>
      <c r="J4516" s="20">
        <f t="shared" si="70"/>
        <v>0.125</v>
      </c>
    </row>
    <row r="4517" spans="1:10" x14ac:dyDescent="0.3">
      <c r="A4517" s="33">
        <v>4516</v>
      </c>
      <c r="B4517" s="4">
        <v>44</v>
      </c>
      <c r="C4517" s="15">
        <v>3</v>
      </c>
      <c r="D4517" s="16">
        <v>5</v>
      </c>
      <c r="E4517" s="23">
        <v>44708</v>
      </c>
      <c r="F4517">
        <v>14</v>
      </c>
      <c r="G4517" s="20">
        <v>7.0000000000000007E-2</v>
      </c>
      <c r="H4517">
        <f>F4517*VLOOKUP(B4517,產品!$A$2:$H$61,7,FALSE)*(1-銷售總表!G4517)</f>
        <v>260399.99999999997</v>
      </c>
      <c r="I4517" s="35">
        <f>H4517-F4517*VLOOKUP(銷售總表!B4517,產品!$A$2:$H$61,8,FALSE)</f>
        <v>78399.999999999971</v>
      </c>
      <c r="J4517" s="20">
        <f t="shared" si="70"/>
        <v>0.3010752688172042</v>
      </c>
    </row>
    <row r="4518" spans="1:10" x14ac:dyDescent="0.3">
      <c r="A4518" s="33">
        <v>4517</v>
      </c>
      <c r="B4518" s="4">
        <v>35</v>
      </c>
      <c r="C4518" s="15">
        <v>5</v>
      </c>
      <c r="D4518" s="16">
        <v>9</v>
      </c>
      <c r="E4518" s="23">
        <v>44708</v>
      </c>
      <c r="F4518">
        <v>28</v>
      </c>
      <c r="G4518" s="20">
        <v>0.13</v>
      </c>
      <c r="H4518">
        <f>F4518*VLOOKUP(B4518,產品!$A$2:$H$61,7,FALSE)*(1-銷售總表!G4518)</f>
        <v>207060</v>
      </c>
      <c r="I4518" s="35">
        <f>H4518-F4518*VLOOKUP(銷售總表!B4518,產品!$A$2:$H$61,8,FALSE)</f>
        <v>64260</v>
      </c>
      <c r="J4518" s="20">
        <f t="shared" si="70"/>
        <v>0.31034482758620691</v>
      </c>
    </row>
    <row r="4519" spans="1:10" x14ac:dyDescent="0.3">
      <c r="A4519" s="33">
        <v>4518</v>
      </c>
      <c r="B4519" s="4">
        <v>10</v>
      </c>
      <c r="C4519" s="15">
        <v>117</v>
      </c>
      <c r="D4519" s="16">
        <v>9</v>
      </c>
      <c r="E4519" s="22">
        <v>44708</v>
      </c>
      <c r="F4519" s="19">
        <v>50</v>
      </c>
      <c r="G4519" s="18">
        <v>0.2</v>
      </c>
      <c r="H4519">
        <f>F4519*VLOOKUP(B4519,產品!$A$2:$H$61,7,FALSE)*(1-銷售總表!G4519)</f>
        <v>40000</v>
      </c>
      <c r="I4519" s="35">
        <f>H4519-F4519*VLOOKUP(銷售總表!B4519,產品!$A$2:$H$61,8,FALSE)</f>
        <v>20000</v>
      </c>
      <c r="J4519" s="20">
        <f t="shared" si="70"/>
        <v>0.5</v>
      </c>
    </row>
    <row r="4520" spans="1:10" x14ac:dyDescent="0.3">
      <c r="A4520" s="33">
        <v>4519</v>
      </c>
      <c r="B4520" s="4">
        <v>8</v>
      </c>
      <c r="C4520" s="15">
        <v>118</v>
      </c>
      <c r="D4520" s="16">
        <v>5</v>
      </c>
      <c r="E4520" s="22">
        <v>44708</v>
      </c>
      <c r="F4520" s="19">
        <v>90</v>
      </c>
      <c r="G4520" s="18">
        <v>0.17</v>
      </c>
      <c r="H4520">
        <f>F4520*VLOOKUP(B4520,產品!$A$2:$H$61,7,FALSE)*(1-銷售總表!G4520)</f>
        <v>74700</v>
      </c>
      <c r="I4520" s="35">
        <f>H4520-F4520*VLOOKUP(銷售總表!B4520,產品!$A$2:$H$61,8,FALSE)</f>
        <v>38700</v>
      </c>
      <c r="J4520" s="20">
        <f t="shared" si="70"/>
        <v>0.51807228915662651</v>
      </c>
    </row>
    <row r="4521" spans="1:10" x14ac:dyDescent="0.3">
      <c r="A4521" s="33">
        <v>4520</v>
      </c>
      <c r="B4521" s="4">
        <v>21</v>
      </c>
      <c r="C4521" s="15">
        <v>137</v>
      </c>
      <c r="D4521" s="16">
        <v>4</v>
      </c>
      <c r="E4521" s="22">
        <v>44708</v>
      </c>
      <c r="F4521" s="19">
        <v>100</v>
      </c>
      <c r="G4521" s="18">
        <v>0.12</v>
      </c>
      <c r="H4521">
        <f>F4521*VLOOKUP(B4521,產品!$A$2:$H$61,7,FALSE)*(1-銷售總表!G4521)</f>
        <v>158400</v>
      </c>
      <c r="I4521" s="35">
        <f>H4521-F4521*VLOOKUP(銷售總表!B4521,產品!$A$2:$H$61,8,FALSE)</f>
        <v>86400</v>
      </c>
      <c r="J4521" s="20">
        <f t="shared" si="70"/>
        <v>0.54545454545454541</v>
      </c>
    </row>
    <row r="4522" spans="1:10" x14ac:dyDescent="0.3">
      <c r="A4522" s="33">
        <v>4521</v>
      </c>
      <c r="B4522" s="4">
        <v>7</v>
      </c>
      <c r="C4522" s="15">
        <v>5</v>
      </c>
      <c r="D4522" s="16">
        <v>1</v>
      </c>
      <c r="E4522" s="22">
        <v>44708</v>
      </c>
      <c r="F4522" s="19">
        <v>200</v>
      </c>
      <c r="G4522" s="18">
        <v>0.15</v>
      </c>
      <c r="H4522">
        <f>F4522*VLOOKUP(B4522,產品!$A$2:$H$61,7,FALSE)*(1-銷售總表!G4522)</f>
        <v>170000</v>
      </c>
      <c r="I4522" s="35">
        <f>H4522-F4522*VLOOKUP(銷售總表!B4522,產品!$A$2:$H$61,8,FALSE)</f>
        <v>90000</v>
      </c>
      <c r="J4522" s="20">
        <f t="shared" si="70"/>
        <v>0.52941176470588236</v>
      </c>
    </row>
    <row r="4523" spans="1:10" x14ac:dyDescent="0.3">
      <c r="A4523" s="33">
        <v>4522</v>
      </c>
      <c r="B4523" s="4">
        <v>30</v>
      </c>
      <c r="C4523" s="15">
        <v>6</v>
      </c>
      <c r="D4523" s="16">
        <v>4</v>
      </c>
      <c r="E4523" s="22">
        <v>44709</v>
      </c>
      <c r="F4523" s="19">
        <v>9</v>
      </c>
      <c r="G4523" s="18">
        <v>0.05</v>
      </c>
      <c r="H4523">
        <f>F4523*VLOOKUP(B4523,產品!$A$2:$H$61,7,FALSE)*(1-銷售總表!G4523)</f>
        <v>55575</v>
      </c>
      <c r="I4523" s="35">
        <f>H4523-F4523*VLOOKUP(銷售總表!B4523,產品!$A$2:$H$61,8,FALSE)</f>
        <v>20475</v>
      </c>
      <c r="J4523" s="20">
        <f t="shared" si="70"/>
        <v>0.36842105263157893</v>
      </c>
    </row>
    <row r="4524" spans="1:10" x14ac:dyDescent="0.3">
      <c r="A4524" s="33">
        <v>4523</v>
      </c>
      <c r="B4524" s="4">
        <v>20</v>
      </c>
      <c r="C4524" s="15">
        <v>263</v>
      </c>
      <c r="D4524" s="16">
        <v>4</v>
      </c>
      <c r="E4524" s="22">
        <v>44709</v>
      </c>
      <c r="F4524" s="19">
        <v>45</v>
      </c>
      <c r="G4524" s="18">
        <v>0.1</v>
      </c>
      <c r="H4524">
        <f>F4524*VLOOKUP(B4524,產品!$A$2:$H$61,7,FALSE)*(1-銷售總表!G4524)</f>
        <v>72900</v>
      </c>
      <c r="I4524" s="35">
        <f>H4524-F4524*VLOOKUP(銷售總表!B4524,產品!$A$2:$H$61,8,FALSE)</f>
        <v>40500</v>
      </c>
      <c r="J4524" s="20">
        <f t="shared" si="70"/>
        <v>0.55555555555555558</v>
      </c>
    </row>
    <row r="4525" spans="1:10" x14ac:dyDescent="0.3">
      <c r="A4525" s="33">
        <v>4524</v>
      </c>
      <c r="B4525" s="4">
        <v>7</v>
      </c>
      <c r="C4525" s="15">
        <v>3</v>
      </c>
      <c r="D4525" s="16">
        <v>7</v>
      </c>
      <c r="E4525" s="22">
        <v>44709</v>
      </c>
      <c r="F4525" s="19">
        <v>175</v>
      </c>
      <c r="G4525" s="18">
        <v>0.08</v>
      </c>
      <c r="H4525">
        <f>F4525*VLOOKUP(B4525,產品!$A$2:$H$61,7,FALSE)*(1-銷售總表!G4525)</f>
        <v>161000</v>
      </c>
      <c r="I4525" s="35">
        <f>H4525-F4525*VLOOKUP(銷售總表!B4525,產品!$A$2:$H$61,8,FALSE)</f>
        <v>91000</v>
      </c>
      <c r="J4525" s="20">
        <f t="shared" si="70"/>
        <v>0.56521739130434778</v>
      </c>
    </row>
    <row r="4526" spans="1:10" x14ac:dyDescent="0.3">
      <c r="A4526" s="33">
        <v>4525</v>
      </c>
      <c r="B4526" s="4">
        <v>46</v>
      </c>
      <c r="C4526" s="15">
        <v>282</v>
      </c>
      <c r="D4526" s="16">
        <v>10</v>
      </c>
      <c r="E4526" s="22">
        <v>44710</v>
      </c>
      <c r="F4526" s="19">
        <v>3</v>
      </c>
      <c r="G4526" s="18">
        <v>0.06</v>
      </c>
      <c r="H4526">
        <f>F4526*VLOOKUP(B4526,產品!$A$2:$H$61,7,FALSE)*(1-銷售總表!G4526)</f>
        <v>47940</v>
      </c>
      <c r="I4526" s="35">
        <f>H4526-F4526*VLOOKUP(銷售總表!B4526,產品!$A$2:$H$61,8,FALSE)</f>
        <v>14790</v>
      </c>
      <c r="J4526" s="20">
        <f t="shared" si="70"/>
        <v>0.30851063829787234</v>
      </c>
    </row>
    <row r="4527" spans="1:10" x14ac:dyDescent="0.3">
      <c r="A4527" s="33">
        <v>4526</v>
      </c>
      <c r="B4527" s="4">
        <v>30</v>
      </c>
      <c r="C4527" s="15">
        <v>136</v>
      </c>
      <c r="D4527" s="16">
        <v>7</v>
      </c>
      <c r="E4527" s="23">
        <v>44710</v>
      </c>
      <c r="F4527">
        <v>9</v>
      </c>
      <c r="G4527" s="20">
        <v>0.06</v>
      </c>
      <c r="H4527">
        <f>F4527*VLOOKUP(B4527,產品!$A$2:$H$61,7,FALSE)*(1-銷售總表!G4527)</f>
        <v>54990</v>
      </c>
      <c r="I4527" s="35">
        <f>H4527-F4527*VLOOKUP(銷售總表!B4527,產品!$A$2:$H$61,8,FALSE)</f>
        <v>19890</v>
      </c>
      <c r="J4527" s="20">
        <f t="shared" si="70"/>
        <v>0.36170212765957449</v>
      </c>
    </row>
    <row r="4528" spans="1:10" x14ac:dyDescent="0.3">
      <c r="A4528" s="33">
        <v>4527</v>
      </c>
      <c r="B4528" s="4">
        <v>32</v>
      </c>
      <c r="C4528" s="15">
        <v>272</v>
      </c>
      <c r="D4528" s="16">
        <v>1</v>
      </c>
      <c r="E4528" s="22">
        <v>44710</v>
      </c>
      <c r="F4528" s="19">
        <v>10</v>
      </c>
      <c r="G4528" s="18">
        <v>0.15</v>
      </c>
      <c r="H4528">
        <f>F4528*VLOOKUP(B4528,產品!$A$2:$H$61,7,FALSE)*(1-銷售總表!G4528)</f>
        <v>63750</v>
      </c>
      <c r="I4528" s="35">
        <f>H4528-F4528*VLOOKUP(銷售總表!B4528,產品!$A$2:$H$61,8,FALSE)</f>
        <v>18750</v>
      </c>
      <c r="J4528" s="20">
        <f t="shared" si="70"/>
        <v>0.29411764705882354</v>
      </c>
    </row>
    <row r="4529" spans="1:10" x14ac:dyDescent="0.3">
      <c r="A4529" s="33">
        <v>4528</v>
      </c>
      <c r="B4529" s="4">
        <v>27</v>
      </c>
      <c r="C4529" s="15">
        <v>263</v>
      </c>
      <c r="D4529" s="16">
        <v>8</v>
      </c>
      <c r="E4529" s="23">
        <v>44710</v>
      </c>
      <c r="F4529" s="19">
        <v>10</v>
      </c>
      <c r="G4529" s="20">
        <v>0.15</v>
      </c>
      <c r="H4529">
        <f>F4529*VLOOKUP(B4529,產品!$A$2:$H$61,7,FALSE)*(1-銷售總表!G4529)</f>
        <v>59500</v>
      </c>
      <c r="I4529" s="35">
        <f>H4529-F4529*VLOOKUP(銷售總表!B4529,產品!$A$2:$H$61,8,FALSE)</f>
        <v>17500</v>
      </c>
      <c r="J4529" s="20">
        <f t="shared" si="70"/>
        <v>0.29411764705882354</v>
      </c>
    </row>
    <row r="4530" spans="1:10" x14ac:dyDescent="0.3">
      <c r="A4530" s="33">
        <v>4529</v>
      </c>
      <c r="B4530" s="4">
        <v>3</v>
      </c>
      <c r="C4530" s="15">
        <v>118</v>
      </c>
      <c r="D4530" s="16">
        <v>7</v>
      </c>
      <c r="E4530" s="22">
        <v>44710</v>
      </c>
      <c r="F4530" s="19">
        <v>50</v>
      </c>
      <c r="G4530" s="18">
        <v>0.08</v>
      </c>
      <c r="H4530">
        <f>F4530*VLOOKUP(B4530,產品!$A$2:$H$61,7,FALSE)*(1-銷售總表!G4530)</f>
        <v>46000</v>
      </c>
      <c r="I4530" s="35">
        <f>H4530-F4530*VLOOKUP(銷售總表!B4530,產品!$A$2:$H$61,8,FALSE)</f>
        <v>26000</v>
      </c>
      <c r="J4530" s="20">
        <f t="shared" si="70"/>
        <v>0.56521739130434778</v>
      </c>
    </row>
    <row r="4531" spans="1:10" x14ac:dyDescent="0.3">
      <c r="A4531" s="33">
        <v>4530</v>
      </c>
      <c r="B4531" s="4">
        <v>9</v>
      </c>
      <c r="C4531" s="15">
        <v>273</v>
      </c>
      <c r="D4531" s="16">
        <v>5</v>
      </c>
      <c r="E4531" s="22">
        <v>44710</v>
      </c>
      <c r="F4531" s="19">
        <v>90</v>
      </c>
      <c r="G4531" s="18">
        <v>0.08</v>
      </c>
      <c r="H4531">
        <f>F4531*VLOOKUP(B4531,產品!$A$2:$H$61,7,FALSE)*(1-銷售總表!G4531)</f>
        <v>82800</v>
      </c>
      <c r="I4531" s="35">
        <f>H4531-F4531*VLOOKUP(銷售總表!B4531,產品!$A$2:$H$61,8,FALSE)</f>
        <v>46800</v>
      </c>
      <c r="J4531" s="20">
        <f t="shared" si="70"/>
        <v>0.56521739130434778</v>
      </c>
    </row>
    <row r="4532" spans="1:10" x14ac:dyDescent="0.3">
      <c r="A4532" s="33">
        <v>4531</v>
      </c>
      <c r="B4532" s="4">
        <v>58</v>
      </c>
      <c r="C4532" s="15">
        <v>9</v>
      </c>
      <c r="D4532" s="16">
        <v>2</v>
      </c>
      <c r="E4532" s="22">
        <v>44711</v>
      </c>
      <c r="F4532" s="19">
        <v>1</v>
      </c>
      <c r="G4532" s="18">
        <v>0.2</v>
      </c>
      <c r="H4532">
        <f>F4532*VLOOKUP(B4532,產品!$A$2:$H$61,7,FALSE)*(1-銷售總表!G4532)</f>
        <v>16800</v>
      </c>
      <c r="I4532" s="35">
        <f>H4532-F4532*VLOOKUP(銷售總表!B4532,產品!$A$2:$H$61,8,FALSE)</f>
        <v>2100.0000000000018</v>
      </c>
      <c r="J4532" s="20">
        <f t="shared" si="70"/>
        <v>0.12500000000000011</v>
      </c>
    </row>
    <row r="4533" spans="1:10" x14ac:dyDescent="0.3">
      <c r="A4533" s="33">
        <v>4532</v>
      </c>
      <c r="B4533" s="4">
        <v>37</v>
      </c>
      <c r="C4533" s="15">
        <v>121</v>
      </c>
      <c r="D4533" s="16">
        <v>4</v>
      </c>
      <c r="E4533" s="23">
        <v>44711</v>
      </c>
      <c r="F4533">
        <v>4</v>
      </c>
      <c r="G4533" s="20">
        <v>0.1</v>
      </c>
      <c r="H4533">
        <f>F4533*VLOOKUP(B4533,產品!$A$2:$H$61,7,FALSE)*(1-銷售總表!G4533)</f>
        <v>43200</v>
      </c>
      <c r="I4533" s="35">
        <f>H4533-F4533*VLOOKUP(銷售總表!B4533,產品!$A$2:$H$61,8,FALSE)</f>
        <v>12000</v>
      </c>
      <c r="J4533" s="20">
        <f t="shared" si="70"/>
        <v>0.27777777777777779</v>
      </c>
    </row>
    <row r="4534" spans="1:10" x14ac:dyDescent="0.3">
      <c r="A4534" s="33">
        <v>4533</v>
      </c>
      <c r="B4534" s="4">
        <v>47</v>
      </c>
      <c r="C4534" s="15">
        <v>282</v>
      </c>
      <c r="D4534" s="16">
        <v>5</v>
      </c>
      <c r="E4534" s="22">
        <v>44711</v>
      </c>
      <c r="F4534" s="19">
        <v>5</v>
      </c>
      <c r="G4534" s="18">
        <v>0.15</v>
      </c>
      <c r="H4534">
        <f>F4534*VLOOKUP(B4534,產品!$A$2:$H$61,7,FALSE)*(1-銷售總表!G4534)</f>
        <v>85000</v>
      </c>
      <c r="I4534" s="35">
        <f>H4534-F4534*VLOOKUP(銷售總表!B4534,產品!$A$2:$H$61,8,FALSE)</f>
        <v>20000</v>
      </c>
      <c r="J4534" s="20">
        <f t="shared" si="70"/>
        <v>0.23529411764705882</v>
      </c>
    </row>
    <row r="4535" spans="1:10" x14ac:dyDescent="0.3">
      <c r="A4535" s="33">
        <v>4534</v>
      </c>
      <c r="B4535" s="4">
        <v>6</v>
      </c>
      <c r="C4535" s="15">
        <v>290</v>
      </c>
      <c r="D4535" s="16">
        <v>4</v>
      </c>
      <c r="E4535" s="23">
        <v>44711</v>
      </c>
      <c r="F4535">
        <v>50</v>
      </c>
      <c r="G4535" s="20">
        <v>0.06</v>
      </c>
      <c r="H4535">
        <f>F4535*VLOOKUP(B4535,產品!$A$2:$H$61,7,FALSE)*(1-銷售總表!G4535)</f>
        <v>47000</v>
      </c>
      <c r="I4535" s="35">
        <f>H4535-F4535*VLOOKUP(銷售總表!B4535,產品!$A$2:$H$61,8,FALSE)</f>
        <v>27000</v>
      </c>
      <c r="J4535" s="20">
        <f t="shared" si="70"/>
        <v>0.57446808510638303</v>
      </c>
    </row>
    <row r="4536" spans="1:10" x14ac:dyDescent="0.3">
      <c r="A4536" s="33">
        <v>4535</v>
      </c>
      <c r="B4536" s="4">
        <v>20</v>
      </c>
      <c r="C4536" s="15">
        <v>264</v>
      </c>
      <c r="D4536" s="16">
        <v>2</v>
      </c>
      <c r="E4536" s="22">
        <v>44711</v>
      </c>
      <c r="F4536" s="19">
        <v>90</v>
      </c>
      <c r="G4536" s="18">
        <v>0.2</v>
      </c>
      <c r="H4536">
        <f>F4536*VLOOKUP(B4536,產品!$A$2:$H$61,7,FALSE)*(1-銷售總表!G4536)</f>
        <v>129600</v>
      </c>
      <c r="I4536" s="35">
        <f>H4536-F4536*VLOOKUP(銷售總表!B4536,產品!$A$2:$H$61,8,FALSE)</f>
        <v>64800</v>
      </c>
      <c r="J4536" s="20">
        <f t="shared" si="70"/>
        <v>0.5</v>
      </c>
    </row>
    <row r="4537" spans="1:10" x14ac:dyDescent="0.3">
      <c r="A4537" s="33">
        <v>4536</v>
      </c>
      <c r="B4537" s="4">
        <v>16</v>
      </c>
      <c r="C4537" s="15">
        <v>258</v>
      </c>
      <c r="D4537" s="16">
        <v>7</v>
      </c>
      <c r="E4537" s="22">
        <v>44711</v>
      </c>
      <c r="F4537" s="19">
        <v>125</v>
      </c>
      <c r="G4537" s="18">
        <v>0.15</v>
      </c>
      <c r="H4537">
        <f>F4537*VLOOKUP(B4537,產品!$A$2:$H$61,7,FALSE)*(1-銷售總表!G4537)</f>
        <v>191250</v>
      </c>
      <c r="I4537" s="35">
        <f>H4537-F4537*VLOOKUP(銷售總表!B4537,產品!$A$2:$H$61,8,FALSE)</f>
        <v>101250</v>
      </c>
      <c r="J4537" s="20">
        <f t="shared" si="70"/>
        <v>0.52941176470588236</v>
      </c>
    </row>
    <row r="4538" spans="1:10" x14ac:dyDescent="0.3">
      <c r="A4538" s="33">
        <v>4537</v>
      </c>
      <c r="B4538" s="4">
        <v>40</v>
      </c>
      <c r="C4538" s="15">
        <v>257</v>
      </c>
      <c r="D4538" s="16">
        <v>9</v>
      </c>
      <c r="E4538" s="22">
        <v>44712</v>
      </c>
      <c r="F4538" s="19">
        <v>4</v>
      </c>
      <c r="G4538" s="18">
        <v>0.2</v>
      </c>
      <c r="H4538">
        <f>F4538*VLOOKUP(B4538,產品!$A$2:$H$61,7,FALSE)*(1-銷售總表!G4538)</f>
        <v>64000</v>
      </c>
      <c r="I4538" s="35">
        <f>H4538-F4538*VLOOKUP(銷售總表!B4538,產品!$A$2:$H$61,8,FALSE)</f>
        <v>12000</v>
      </c>
      <c r="J4538" s="20">
        <f t="shared" si="70"/>
        <v>0.1875</v>
      </c>
    </row>
    <row r="4539" spans="1:10" x14ac:dyDescent="0.3">
      <c r="A4539" s="33">
        <v>4538</v>
      </c>
      <c r="B4539" s="4">
        <v>36</v>
      </c>
      <c r="C4539" s="15">
        <v>282</v>
      </c>
      <c r="D4539" s="16">
        <v>2</v>
      </c>
      <c r="E4539" s="22">
        <v>44712</v>
      </c>
      <c r="F4539" s="19">
        <v>4</v>
      </c>
      <c r="G4539" s="18">
        <v>0.16</v>
      </c>
      <c r="H4539">
        <f>F4539*VLOOKUP(B4539,產品!$A$2:$H$61,7,FALSE)*(1-銷售總表!G4539)</f>
        <v>30240</v>
      </c>
      <c r="I4539" s="35">
        <f>H4539-F4539*VLOOKUP(銷售總表!B4539,產品!$A$2:$H$61,8,FALSE)</f>
        <v>8640</v>
      </c>
      <c r="J4539" s="20">
        <f t="shared" si="70"/>
        <v>0.2857142857142857</v>
      </c>
    </row>
    <row r="4540" spans="1:10" x14ac:dyDescent="0.3">
      <c r="A4540" s="33">
        <v>4539</v>
      </c>
      <c r="B4540" s="4">
        <v>29</v>
      </c>
      <c r="C4540" s="15">
        <v>271</v>
      </c>
      <c r="D4540" s="16">
        <v>9</v>
      </c>
      <c r="E4540" s="23">
        <v>44712</v>
      </c>
      <c r="F4540">
        <v>4</v>
      </c>
      <c r="G4540" s="20">
        <v>0.14000000000000001</v>
      </c>
      <c r="H4540">
        <f>F4540*VLOOKUP(B4540,產品!$A$2:$H$61,7,FALSE)*(1-銷售總表!G4540)</f>
        <v>20640</v>
      </c>
      <c r="I4540" s="35">
        <f>H4540-F4540*VLOOKUP(銷售總表!B4540,產品!$A$2:$H$61,8,FALSE)</f>
        <v>6240</v>
      </c>
      <c r="J4540" s="20">
        <f t="shared" si="70"/>
        <v>0.30232558139534882</v>
      </c>
    </row>
    <row r="4541" spans="1:10" x14ac:dyDescent="0.3">
      <c r="A4541" s="33">
        <v>4540</v>
      </c>
      <c r="B4541" s="4">
        <v>52</v>
      </c>
      <c r="C4541" s="15">
        <v>5</v>
      </c>
      <c r="D4541" s="16">
        <v>7</v>
      </c>
      <c r="E4541" s="22">
        <v>44712</v>
      </c>
      <c r="F4541" s="19">
        <v>12</v>
      </c>
      <c r="G4541" s="18">
        <v>0.12</v>
      </c>
      <c r="H4541">
        <f>F4541*VLOOKUP(B4541,產品!$A$2:$H$61,7,FALSE)*(1-銷售總表!G4541)</f>
        <v>232320</v>
      </c>
      <c r="I4541" s="35">
        <f>H4541-F4541*VLOOKUP(銷售總表!B4541,產品!$A$2:$H$61,8,FALSE)</f>
        <v>47520.000000000029</v>
      </c>
      <c r="J4541" s="20">
        <f t="shared" si="70"/>
        <v>0.20454545454545467</v>
      </c>
    </row>
    <row r="4542" spans="1:10" x14ac:dyDescent="0.3">
      <c r="A4542" s="33">
        <v>4541</v>
      </c>
      <c r="B4542" s="4">
        <v>30</v>
      </c>
      <c r="C4542" s="15">
        <v>276</v>
      </c>
      <c r="D4542" s="16">
        <v>9</v>
      </c>
      <c r="E4542" s="23">
        <v>44712</v>
      </c>
      <c r="F4542">
        <v>13</v>
      </c>
      <c r="G4542" s="20">
        <v>0.14000000000000001</v>
      </c>
      <c r="H4542">
        <f>F4542*VLOOKUP(B4542,產品!$A$2:$H$61,7,FALSE)*(1-銷售總表!G4542)</f>
        <v>72670</v>
      </c>
      <c r="I4542" s="35">
        <f>H4542-F4542*VLOOKUP(銷售總表!B4542,產品!$A$2:$H$61,8,FALSE)</f>
        <v>21970</v>
      </c>
      <c r="J4542" s="20">
        <f t="shared" si="70"/>
        <v>0.30232558139534882</v>
      </c>
    </row>
    <row r="4543" spans="1:10" x14ac:dyDescent="0.3">
      <c r="A4543" s="33">
        <v>4542</v>
      </c>
      <c r="B4543" s="4">
        <v>41</v>
      </c>
      <c r="C4543" s="15">
        <v>11</v>
      </c>
      <c r="D4543" s="16">
        <v>9</v>
      </c>
      <c r="E4543" s="22">
        <v>44712</v>
      </c>
      <c r="F4543" s="19">
        <v>18</v>
      </c>
      <c r="G4543" s="18">
        <v>0.15</v>
      </c>
      <c r="H4543">
        <f>F4543*VLOOKUP(B4543,產品!$A$2:$H$61,7,FALSE)*(1-銷售總表!G4543)</f>
        <v>183600</v>
      </c>
      <c r="I4543" s="35">
        <f>H4543-F4543*VLOOKUP(銷售總表!B4543,產品!$A$2:$H$61,8,FALSE)</f>
        <v>43200</v>
      </c>
      <c r="J4543" s="20">
        <f t="shared" si="70"/>
        <v>0.23529411764705882</v>
      </c>
    </row>
    <row r="4544" spans="1:10" x14ac:dyDescent="0.3">
      <c r="A4544" s="33">
        <v>4543</v>
      </c>
      <c r="B4544" s="4">
        <v>5</v>
      </c>
      <c r="C4544" s="15">
        <v>267</v>
      </c>
      <c r="D4544" s="16">
        <v>1</v>
      </c>
      <c r="E4544" s="22">
        <v>44712</v>
      </c>
      <c r="F4544" s="19">
        <v>30</v>
      </c>
      <c r="G4544" s="18">
        <v>0.09</v>
      </c>
      <c r="H4544">
        <f>F4544*VLOOKUP(B4544,產品!$A$2:$H$61,7,FALSE)*(1-銷售總表!G4544)</f>
        <v>27300</v>
      </c>
      <c r="I4544" s="35">
        <f>H4544-F4544*VLOOKUP(銷售總表!B4544,產品!$A$2:$H$61,8,FALSE)</f>
        <v>15300</v>
      </c>
      <c r="J4544" s="20">
        <f t="shared" si="70"/>
        <v>0.56043956043956045</v>
      </c>
    </row>
    <row r="4545" spans="1:10" x14ac:dyDescent="0.3">
      <c r="A4545" s="33">
        <v>4544</v>
      </c>
      <c r="B4545" s="4">
        <v>5</v>
      </c>
      <c r="C4545" s="15">
        <v>7</v>
      </c>
      <c r="D4545" s="16">
        <v>10</v>
      </c>
      <c r="E4545" s="22">
        <v>44712</v>
      </c>
      <c r="F4545" s="19">
        <v>40</v>
      </c>
      <c r="G4545" s="18">
        <v>0.16</v>
      </c>
      <c r="H4545">
        <f>F4545*VLOOKUP(B4545,產品!$A$2:$H$61,7,FALSE)*(1-銷售總表!G4545)</f>
        <v>33600</v>
      </c>
      <c r="I4545" s="35">
        <f>H4545-F4545*VLOOKUP(銷售總表!B4545,產品!$A$2:$H$61,8,FALSE)</f>
        <v>17600</v>
      </c>
      <c r="J4545" s="20">
        <f t="shared" si="70"/>
        <v>0.52380952380952384</v>
      </c>
    </row>
    <row r="4546" spans="1:10" x14ac:dyDescent="0.3">
      <c r="A4546" s="33">
        <v>4545</v>
      </c>
      <c r="B4546" s="4">
        <v>17</v>
      </c>
      <c r="C4546" s="15">
        <v>266</v>
      </c>
      <c r="D4546" s="16">
        <v>3</v>
      </c>
      <c r="E4546" s="22">
        <v>44712</v>
      </c>
      <c r="F4546" s="19">
        <v>50</v>
      </c>
      <c r="G4546" s="18">
        <v>0.06</v>
      </c>
      <c r="H4546">
        <f>F4546*VLOOKUP(B4546,產品!$A$2:$H$61,7,FALSE)*(1-銷售總表!G4546)</f>
        <v>84600</v>
      </c>
      <c r="I4546" s="35">
        <f>H4546-F4546*VLOOKUP(銷售總表!B4546,產品!$A$2:$H$61,8,FALSE)</f>
        <v>48600</v>
      </c>
      <c r="J4546" s="20">
        <f t="shared" si="70"/>
        <v>0.57446808510638303</v>
      </c>
    </row>
    <row r="4547" spans="1:10" x14ac:dyDescent="0.3">
      <c r="A4547" s="33">
        <v>4546</v>
      </c>
      <c r="B4547" s="4">
        <v>16</v>
      </c>
      <c r="C4547" s="15">
        <v>1</v>
      </c>
      <c r="D4547" s="16">
        <v>9</v>
      </c>
      <c r="E4547" s="23">
        <v>44713</v>
      </c>
      <c r="F4547">
        <v>10</v>
      </c>
      <c r="G4547" s="20">
        <v>0.17</v>
      </c>
      <c r="H4547">
        <f>F4547*VLOOKUP(B4547,產品!$A$2:$H$61,7,FALSE)*(1-銷售總表!G4547)</f>
        <v>14940</v>
      </c>
      <c r="I4547" s="35">
        <f>H4547-F4547*VLOOKUP(銷售總表!B4547,產品!$A$2:$H$61,8,FALSE)</f>
        <v>7740</v>
      </c>
      <c r="J4547" s="20">
        <f t="shared" ref="J4547:J4610" si="71">I4547/H4547</f>
        <v>0.51807228915662651</v>
      </c>
    </row>
    <row r="4548" spans="1:10" x14ac:dyDescent="0.3">
      <c r="A4548" s="33">
        <v>4547</v>
      </c>
      <c r="B4548" s="4">
        <v>6</v>
      </c>
      <c r="C4548" s="15">
        <v>1</v>
      </c>
      <c r="D4548" s="16">
        <v>7</v>
      </c>
      <c r="E4548" s="23">
        <v>44713</v>
      </c>
      <c r="F4548">
        <v>13</v>
      </c>
      <c r="G4548" s="20">
        <v>0.14000000000000001</v>
      </c>
      <c r="H4548">
        <f>F4548*VLOOKUP(B4548,產品!$A$2:$H$61,7,FALSE)*(1-銷售總表!G4548)</f>
        <v>11180</v>
      </c>
      <c r="I4548" s="35">
        <f>H4548-F4548*VLOOKUP(銷售總表!B4548,產品!$A$2:$H$61,8,FALSE)</f>
        <v>5980</v>
      </c>
      <c r="J4548" s="20">
        <f t="shared" si="71"/>
        <v>0.53488372093023251</v>
      </c>
    </row>
    <row r="4549" spans="1:10" x14ac:dyDescent="0.3">
      <c r="A4549" s="33">
        <v>4548</v>
      </c>
      <c r="B4549" s="4">
        <v>5</v>
      </c>
      <c r="C4549" s="15">
        <v>6</v>
      </c>
      <c r="D4549" s="16">
        <v>4</v>
      </c>
      <c r="E4549" s="22">
        <v>44713</v>
      </c>
      <c r="F4549" s="19">
        <v>50</v>
      </c>
      <c r="G4549" s="18">
        <v>0.11</v>
      </c>
      <c r="H4549">
        <f>F4549*VLOOKUP(B4549,產品!$A$2:$H$61,7,FALSE)*(1-銷售總表!G4549)</f>
        <v>44500</v>
      </c>
      <c r="I4549" s="35">
        <f>H4549-F4549*VLOOKUP(銷售總表!B4549,產品!$A$2:$H$61,8,FALSE)</f>
        <v>24500</v>
      </c>
      <c r="J4549" s="20">
        <f t="shared" si="71"/>
        <v>0.550561797752809</v>
      </c>
    </row>
    <row r="4550" spans="1:10" x14ac:dyDescent="0.3">
      <c r="A4550" s="33">
        <v>4549</v>
      </c>
      <c r="B4550" s="4">
        <v>10</v>
      </c>
      <c r="C4550" s="15">
        <v>284</v>
      </c>
      <c r="D4550" s="16">
        <v>8</v>
      </c>
      <c r="E4550" s="22">
        <v>44713</v>
      </c>
      <c r="F4550" s="19">
        <v>70</v>
      </c>
      <c r="G4550" s="18">
        <v>0.1</v>
      </c>
      <c r="H4550">
        <f>F4550*VLOOKUP(B4550,產品!$A$2:$H$61,7,FALSE)*(1-銷售總表!G4550)</f>
        <v>63000</v>
      </c>
      <c r="I4550" s="35">
        <f>H4550-F4550*VLOOKUP(銷售總表!B4550,產品!$A$2:$H$61,8,FALSE)</f>
        <v>35000</v>
      </c>
      <c r="J4550" s="20">
        <f t="shared" si="71"/>
        <v>0.55555555555555558</v>
      </c>
    </row>
    <row r="4551" spans="1:10" x14ac:dyDescent="0.3">
      <c r="A4551" s="33">
        <v>4550</v>
      </c>
      <c r="B4551" s="4">
        <v>43</v>
      </c>
      <c r="C4551" s="15">
        <v>257</v>
      </c>
      <c r="D4551" s="16">
        <v>1</v>
      </c>
      <c r="E4551" s="23">
        <v>44714</v>
      </c>
      <c r="F4551">
        <v>8</v>
      </c>
      <c r="G4551" s="20">
        <v>0.15</v>
      </c>
      <c r="H4551">
        <f>F4551*VLOOKUP(B4551,產品!$A$2:$H$61,7,FALSE)*(1-銷售總表!G4551)</f>
        <v>122400</v>
      </c>
      <c r="I4551" s="35">
        <f>H4551-F4551*VLOOKUP(銷售總表!B4551,產品!$A$2:$H$61,8,FALSE)</f>
        <v>28800</v>
      </c>
      <c r="J4551" s="20">
        <f t="shared" si="71"/>
        <v>0.23529411764705882</v>
      </c>
    </row>
    <row r="4552" spans="1:10" x14ac:dyDescent="0.3">
      <c r="A4552" s="33">
        <v>4551</v>
      </c>
      <c r="B4552" s="4">
        <v>38</v>
      </c>
      <c r="C4552" s="15">
        <v>112</v>
      </c>
      <c r="D4552" s="16">
        <v>7</v>
      </c>
      <c r="E4552" s="22">
        <v>44714</v>
      </c>
      <c r="F4552" s="19">
        <v>8</v>
      </c>
      <c r="G4552" s="18">
        <v>0.12</v>
      </c>
      <c r="H4552">
        <f>F4552*VLOOKUP(B4552,產品!$A$2:$H$61,7,FALSE)*(1-銷售總表!G4552)</f>
        <v>105600</v>
      </c>
      <c r="I4552" s="35">
        <f>H4552-F4552*VLOOKUP(銷售總表!B4552,產品!$A$2:$H$61,8,FALSE)</f>
        <v>27600</v>
      </c>
      <c r="J4552" s="20">
        <f t="shared" si="71"/>
        <v>0.26136363636363635</v>
      </c>
    </row>
    <row r="4553" spans="1:10" x14ac:dyDescent="0.3">
      <c r="A4553" s="33">
        <v>4552</v>
      </c>
      <c r="B4553" s="4">
        <v>32</v>
      </c>
      <c r="C4553" s="15">
        <v>136</v>
      </c>
      <c r="D4553" s="16">
        <v>7</v>
      </c>
      <c r="E4553" s="22">
        <v>44714</v>
      </c>
      <c r="F4553" s="19">
        <v>8</v>
      </c>
      <c r="G4553" s="18">
        <v>0.2</v>
      </c>
      <c r="H4553">
        <f>F4553*VLOOKUP(B4553,產品!$A$2:$H$61,7,FALSE)*(1-銷售總表!G4553)</f>
        <v>48000</v>
      </c>
      <c r="I4553" s="35">
        <f>H4553-F4553*VLOOKUP(銷售總表!B4553,產品!$A$2:$H$61,8,FALSE)</f>
        <v>12000</v>
      </c>
      <c r="J4553" s="20">
        <f t="shared" si="71"/>
        <v>0.25</v>
      </c>
    </row>
    <row r="4554" spans="1:10" x14ac:dyDescent="0.3">
      <c r="A4554" s="33">
        <v>4553</v>
      </c>
      <c r="B4554" s="4">
        <v>46</v>
      </c>
      <c r="C4554" s="15">
        <v>12</v>
      </c>
      <c r="D4554" s="16">
        <v>1</v>
      </c>
      <c r="E4554" s="22">
        <v>44714</v>
      </c>
      <c r="F4554" s="19">
        <v>13</v>
      </c>
      <c r="G4554" s="18">
        <v>0.17</v>
      </c>
      <c r="H4554">
        <f>F4554*VLOOKUP(B4554,產品!$A$2:$H$61,7,FALSE)*(1-銷售總表!G4554)</f>
        <v>183430</v>
      </c>
      <c r="I4554" s="35">
        <f>H4554-F4554*VLOOKUP(銷售總表!B4554,產品!$A$2:$H$61,8,FALSE)</f>
        <v>39780</v>
      </c>
      <c r="J4554" s="20">
        <f t="shared" si="71"/>
        <v>0.21686746987951808</v>
      </c>
    </row>
    <row r="4555" spans="1:10" x14ac:dyDescent="0.3">
      <c r="A4555" s="33">
        <v>4554</v>
      </c>
      <c r="B4555" s="4">
        <v>18</v>
      </c>
      <c r="C4555" s="15">
        <v>122</v>
      </c>
      <c r="D4555" s="16">
        <v>4</v>
      </c>
      <c r="E4555" s="22">
        <v>44714</v>
      </c>
      <c r="F4555" s="19">
        <v>100</v>
      </c>
      <c r="G4555" s="18">
        <v>0.09</v>
      </c>
      <c r="H4555">
        <f>F4555*VLOOKUP(B4555,產品!$A$2:$H$61,7,FALSE)*(1-銷售總表!G4555)</f>
        <v>163800</v>
      </c>
      <c r="I4555" s="35">
        <f>H4555-F4555*VLOOKUP(銷售總表!B4555,產品!$A$2:$H$61,8,FALSE)</f>
        <v>91800</v>
      </c>
      <c r="J4555" s="20">
        <f t="shared" si="71"/>
        <v>0.56043956043956045</v>
      </c>
    </row>
    <row r="4556" spans="1:10" x14ac:dyDescent="0.3">
      <c r="A4556" s="33">
        <v>4555</v>
      </c>
      <c r="B4556" s="4">
        <v>17</v>
      </c>
      <c r="C4556" s="15">
        <v>2</v>
      </c>
      <c r="D4556" s="16">
        <v>8</v>
      </c>
      <c r="E4556" s="22">
        <v>44714</v>
      </c>
      <c r="F4556" s="19">
        <v>100</v>
      </c>
      <c r="G4556" s="18">
        <v>0.2</v>
      </c>
      <c r="H4556">
        <f>F4556*VLOOKUP(B4556,產品!$A$2:$H$61,7,FALSE)*(1-銷售總表!G4556)</f>
        <v>144000</v>
      </c>
      <c r="I4556" s="35">
        <f>H4556-F4556*VLOOKUP(銷售總表!B4556,產品!$A$2:$H$61,8,FALSE)</f>
        <v>72000</v>
      </c>
      <c r="J4556" s="20">
        <f t="shared" si="71"/>
        <v>0.5</v>
      </c>
    </row>
    <row r="4557" spans="1:10" x14ac:dyDescent="0.3">
      <c r="A4557" s="33">
        <v>4556</v>
      </c>
      <c r="B4557" s="4">
        <v>3</v>
      </c>
      <c r="C4557" s="15">
        <v>259</v>
      </c>
      <c r="D4557" s="16">
        <v>8</v>
      </c>
      <c r="E4557" s="22">
        <v>44714</v>
      </c>
      <c r="F4557" s="19">
        <v>200</v>
      </c>
      <c r="G4557" s="18">
        <v>0.18</v>
      </c>
      <c r="H4557">
        <f>F4557*VLOOKUP(B4557,產品!$A$2:$H$61,7,FALSE)*(1-銷售總表!G4557)</f>
        <v>164000</v>
      </c>
      <c r="I4557" s="35">
        <f>H4557-F4557*VLOOKUP(銷售總表!B4557,產品!$A$2:$H$61,8,FALSE)</f>
        <v>84000</v>
      </c>
      <c r="J4557" s="20">
        <f t="shared" si="71"/>
        <v>0.51219512195121952</v>
      </c>
    </row>
    <row r="4558" spans="1:10" x14ac:dyDescent="0.3">
      <c r="A4558" s="33">
        <v>4557</v>
      </c>
      <c r="B4558" s="4">
        <v>25</v>
      </c>
      <c r="C4558" s="15">
        <v>126</v>
      </c>
      <c r="D4558" s="16">
        <v>5</v>
      </c>
      <c r="E4558" s="22">
        <v>44715</v>
      </c>
      <c r="F4558" s="19">
        <v>2</v>
      </c>
      <c r="G4558" s="18">
        <v>0.14000000000000001</v>
      </c>
      <c r="H4558">
        <f>F4558*VLOOKUP(B4558,產品!$A$2:$H$61,7,FALSE)*(1-銷售總表!G4558)</f>
        <v>10320</v>
      </c>
      <c r="I4558" s="35">
        <f>H4558-F4558*VLOOKUP(銷售總表!B4558,產品!$A$2:$H$61,8,FALSE)</f>
        <v>3120</v>
      </c>
      <c r="J4558" s="20">
        <f t="shared" si="71"/>
        <v>0.30232558139534882</v>
      </c>
    </row>
    <row r="4559" spans="1:10" x14ac:dyDescent="0.3">
      <c r="A4559" s="33">
        <v>4558</v>
      </c>
      <c r="B4559" s="4">
        <v>54</v>
      </c>
      <c r="C4559" s="15">
        <v>274</v>
      </c>
      <c r="D4559" s="16">
        <v>8</v>
      </c>
      <c r="E4559" s="23">
        <v>44715</v>
      </c>
      <c r="F4559" s="17">
        <v>3</v>
      </c>
      <c r="G4559" s="20">
        <v>0.2</v>
      </c>
      <c r="H4559">
        <f>F4559*VLOOKUP(B4559,產品!$A$2:$H$61,7,FALSE)*(1-銷售總表!G4559)</f>
        <v>43200</v>
      </c>
      <c r="I4559" s="35">
        <f>H4559-F4559*VLOOKUP(銷售總表!B4559,產品!$A$2:$H$61,8,FALSE)</f>
        <v>5400</v>
      </c>
      <c r="J4559" s="20">
        <f t="shared" si="71"/>
        <v>0.125</v>
      </c>
    </row>
    <row r="4560" spans="1:10" x14ac:dyDescent="0.3">
      <c r="A4560" s="33">
        <v>4559</v>
      </c>
      <c r="B4560" s="4">
        <v>36</v>
      </c>
      <c r="C4560" s="15">
        <v>121</v>
      </c>
      <c r="D4560" s="16">
        <v>1</v>
      </c>
      <c r="E4560" s="22">
        <v>44715</v>
      </c>
      <c r="F4560" s="19">
        <v>6</v>
      </c>
      <c r="G4560" s="18">
        <v>0.19</v>
      </c>
      <c r="H4560">
        <f>F4560*VLOOKUP(B4560,產品!$A$2:$H$61,7,FALSE)*(1-銷售總表!G4560)</f>
        <v>43740</v>
      </c>
      <c r="I4560" s="35">
        <f>H4560-F4560*VLOOKUP(銷售總表!B4560,產品!$A$2:$H$61,8,FALSE)</f>
        <v>11340</v>
      </c>
      <c r="J4560" s="20">
        <f t="shared" si="71"/>
        <v>0.25925925925925924</v>
      </c>
    </row>
    <row r="4561" spans="1:10" x14ac:dyDescent="0.3">
      <c r="A4561" s="33">
        <v>4560</v>
      </c>
      <c r="B4561" s="4">
        <v>10</v>
      </c>
      <c r="C4561" s="15">
        <v>291</v>
      </c>
      <c r="D4561" s="16">
        <v>10</v>
      </c>
      <c r="E4561" s="23">
        <v>44715</v>
      </c>
      <c r="F4561">
        <v>40</v>
      </c>
      <c r="G4561" s="20">
        <v>0.09</v>
      </c>
      <c r="H4561">
        <f>F4561*VLOOKUP(B4561,產品!$A$2:$H$61,7,FALSE)*(1-銷售總表!G4561)</f>
        <v>36400</v>
      </c>
      <c r="I4561" s="35">
        <f>H4561-F4561*VLOOKUP(銷售總表!B4561,產品!$A$2:$H$61,8,FALSE)</f>
        <v>20400</v>
      </c>
      <c r="J4561" s="20">
        <f t="shared" si="71"/>
        <v>0.56043956043956045</v>
      </c>
    </row>
    <row r="4562" spans="1:10" x14ac:dyDescent="0.3">
      <c r="A4562" s="33">
        <v>4561</v>
      </c>
      <c r="B4562" s="4">
        <v>22</v>
      </c>
      <c r="C4562" s="15">
        <v>284</v>
      </c>
      <c r="D4562" s="16">
        <v>2</v>
      </c>
      <c r="E4562" s="22">
        <v>44715</v>
      </c>
      <c r="F4562" s="19">
        <v>60</v>
      </c>
      <c r="G4562" s="18">
        <v>0.14000000000000001</v>
      </c>
      <c r="H4562">
        <f>F4562*VLOOKUP(B4562,產品!$A$2:$H$61,7,FALSE)*(1-銷售總表!G4562)</f>
        <v>92880</v>
      </c>
      <c r="I4562" s="35">
        <f>H4562-F4562*VLOOKUP(銷售總表!B4562,產品!$A$2:$H$61,8,FALSE)</f>
        <v>49680</v>
      </c>
      <c r="J4562" s="20">
        <f t="shared" si="71"/>
        <v>0.53488372093023251</v>
      </c>
    </row>
    <row r="4563" spans="1:10" x14ac:dyDescent="0.3">
      <c r="A4563" s="33">
        <v>4562</v>
      </c>
      <c r="B4563" s="4">
        <v>4</v>
      </c>
      <c r="C4563" s="15">
        <v>285</v>
      </c>
      <c r="D4563" s="16">
        <v>1</v>
      </c>
      <c r="E4563" s="22">
        <v>44715</v>
      </c>
      <c r="F4563" s="19">
        <v>90</v>
      </c>
      <c r="G4563" s="18">
        <v>0.11</v>
      </c>
      <c r="H4563">
        <f>F4563*VLOOKUP(B4563,產品!$A$2:$H$61,7,FALSE)*(1-銷售總表!G4563)</f>
        <v>80100</v>
      </c>
      <c r="I4563" s="35">
        <f>H4563-F4563*VLOOKUP(銷售總表!B4563,產品!$A$2:$H$61,8,FALSE)</f>
        <v>44100</v>
      </c>
      <c r="J4563" s="20">
        <f t="shared" si="71"/>
        <v>0.550561797752809</v>
      </c>
    </row>
    <row r="4564" spans="1:10" x14ac:dyDescent="0.3">
      <c r="A4564" s="33">
        <v>4563</v>
      </c>
      <c r="B4564" s="4">
        <v>43</v>
      </c>
      <c r="C4564" s="15">
        <v>281</v>
      </c>
      <c r="D4564" s="16">
        <v>2</v>
      </c>
      <c r="E4564" s="22">
        <v>44716</v>
      </c>
      <c r="F4564" s="19">
        <v>5</v>
      </c>
      <c r="G4564" s="18">
        <v>0.06</v>
      </c>
      <c r="H4564">
        <f>F4564*VLOOKUP(B4564,產品!$A$2:$H$61,7,FALSE)*(1-銷售總表!G4564)</f>
        <v>84600</v>
      </c>
      <c r="I4564" s="35">
        <f>H4564-F4564*VLOOKUP(銷售總表!B4564,產品!$A$2:$H$61,8,FALSE)</f>
        <v>26100</v>
      </c>
      <c r="J4564" s="20">
        <f t="shared" si="71"/>
        <v>0.30851063829787234</v>
      </c>
    </row>
    <row r="4565" spans="1:10" x14ac:dyDescent="0.3">
      <c r="A4565" s="33">
        <v>4564</v>
      </c>
      <c r="B4565" s="4">
        <v>40</v>
      </c>
      <c r="C4565" s="15">
        <v>118</v>
      </c>
      <c r="D4565" s="16">
        <v>2</v>
      </c>
      <c r="E4565" s="22">
        <v>44716</v>
      </c>
      <c r="F4565" s="19">
        <v>5</v>
      </c>
      <c r="G4565" s="18">
        <v>0.13</v>
      </c>
      <c r="H4565">
        <f>F4565*VLOOKUP(B4565,產品!$A$2:$H$61,7,FALSE)*(1-銷售總表!G4565)</f>
        <v>87000</v>
      </c>
      <c r="I4565" s="35">
        <f>H4565-F4565*VLOOKUP(銷售總表!B4565,產品!$A$2:$H$61,8,FALSE)</f>
        <v>22000</v>
      </c>
      <c r="J4565" s="20">
        <f t="shared" si="71"/>
        <v>0.25287356321839083</v>
      </c>
    </row>
    <row r="4566" spans="1:10" x14ac:dyDescent="0.3">
      <c r="A4566" s="33">
        <v>4565</v>
      </c>
      <c r="B4566" s="4">
        <v>42</v>
      </c>
      <c r="C4566" s="15">
        <v>117</v>
      </c>
      <c r="D4566" s="16">
        <v>2</v>
      </c>
      <c r="E4566" s="22">
        <v>44716</v>
      </c>
      <c r="F4566" s="19">
        <v>6</v>
      </c>
      <c r="G4566" s="18">
        <v>0.08</v>
      </c>
      <c r="H4566">
        <f>F4566*VLOOKUP(B4566,產品!$A$2:$H$61,7,FALSE)*(1-銷售總表!G4566)</f>
        <v>82800</v>
      </c>
      <c r="I4566" s="35">
        <f>H4566-F4566*VLOOKUP(銷售總表!B4566,產品!$A$2:$H$61,8,FALSE)</f>
        <v>24300</v>
      </c>
      <c r="J4566" s="20">
        <f t="shared" si="71"/>
        <v>0.29347826086956524</v>
      </c>
    </row>
    <row r="4567" spans="1:10" x14ac:dyDescent="0.3">
      <c r="A4567" s="33">
        <v>4566</v>
      </c>
      <c r="B4567" s="4">
        <v>17</v>
      </c>
      <c r="C4567" s="15">
        <v>115</v>
      </c>
      <c r="D4567" s="16">
        <v>1</v>
      </c>
      <c r="E4567" s="22">
        <v>44716</v>
      </c>
      <c r="F4567" s="19">
        <v>8</v>
      </c>
      <c r="G4567" s="18">
        <v>0.19</v>
      </c>
      <c r="H4567">
        <f>F4567*VLOOKUP(B4567,產品!$A$2:$H$61,7,FALSE)*(1-銷售總表!G4567)</f>
        <v>11664</v>
      </c>
      <c r="I4567" s="35">
        <f>H4567-F4567*VLOOKUP(銷售總表!B4567,產品!$A$2:$H$61,8,FALSE)</f>
        <v>5904</v>
      </c>
      <c r="J4567" s="20">
        <f t="shared" si="71"/>
        <v>0.50617283950617287</v>
      </c>
    </row>
    <row r="4568" spans="1:10" x14ac:dyDescent="0.3">
      <c r="A4568" s="33">
        <v>4567</v>
      </c>
      <c r="B4568" s="4">
        <v>17</v>
      </c>
      <c r="C4568" s="15">
        <v>291</v>
      </c>
      <c r="D4568" s="16">
        <v>5</v>
      </c>
      <c r="E4568" s="23">
        <v>44716</v>
      </c>
      <c r="F4568">
        <v>11</v>
      </c>
      <c r="G4568" s="20">
        <v>0.11</v>
      </c>
      <c r="H4568">
        <f>F4568*VLOOKUP(B4568,產品!$A$2:$H$61,7,FALSE)*(1-銷售總表!G4568)</f>
        <v>17622</v>
      </c>
      <c r="I4568" s="35">
        <f>H4568-F4568*VLOOKUP(銷售總表!B4568,產品!$A$2:$H$61,8,FALSE)</f>
        <v>9702</v>
      </c>
      <c r="J4568" s="20">
        <f t="shared" si="71"/>
        <v>0.550561797752809</v>
      </c>
    </row>
    <row r="4569" spans="1:10" x14ac:dyDescent="0.3">
      <c r="A4569" s="33">
        <v>4568</v>
      </c>
      <c r="B4569" s="4">
        <v>21</v>
      </c>
      <c r="C4569" s="15">
        <v>3</v>
      </c>
      <c r="D4569" s="16">
        <v>3</v>
      </c>
      <c r="E4569" s="22">
        <v>44716</v>
      </c>
      <c r="F4569" s="19">
        <v>20</v>
      </c>
      <c r="G4569" s="18">
        <v>0.16</v>
      </c>
      <c r="H4569">
        <f>F4569*VLOOKUP(B4569,產品!$A$2:$H$61,7,FALSE)*(1-銷售總表!G4569)</f>
        <v>30240</v>
      </c>
      <c r="I4569" s="35">
        <f>H4569-F4569*VLOOKUP(銷售總表!B4569,產品!$A$2:$H$61,8,FALSE)</f>
        <v>15840</v>
      </c>
      <c r="J4569" s="20">
        <f t="shared" si="71"/>
        <v>0.52380952380952384</v>
      </c>
    </row>
    <row r="4570" spans="1:10" x14ac:dyDescent="0.3">
      <c r="A4570" s="33">
        <v>4569</v>
      </c>
      <c r="B4570" s="4">
        <v>1</v>
      </c>
      <c r="C4570" s="15">
        <v>8</v>
      </c>
      <c r="D4570" s="16">
        <v>5</v>
      </c>
      <c r="E4570" s="22">
        <v>44716</v>
      </c>
      <c r="F4570" s="19">
        <v>20</v>
      </c>
      <c r="G4570" s="18">
        <v>0.13</v>
      </c>
      <c r="H4570">
        <f>F4570*VLOOKUP(B4570,產品!$A$2:$H$61,7,FALSE)*(1-銷售總表!G4570)</f>
        <v>17400</v>
      </c>
      <c r="I4570" s="35">
        <f>H4570-F4570*VLOOKUP(銷售總表!B4570,產品!$A$2:$H$61,8,FALSE)</f>
        <v>9400</v>
      </c>
      <c r="J4570" s="20">
        <f t="shared" si="71"/>
        <v>0.54022988505747127</v>
      </c>
    </row>
    <row r="4571" spans="1:10" x14ac:dyDescent="0.3">
      <c r="A4571" s="33">
        <v>4570</v>
      </c>
      <c r="B4571" s="4">
        <v>46</v>
      </c>
      <c r="C4571" s="15">
        <v>275</v>
      </c>
      <c r="D4571" s="16">
        <v>9</v>
      </c>
      <c r="E4571" s="22">
        <v>44717</v>
      </c>
      <c r="F4571" s="19">
        <v>5</v>
      </c>
      <c r="G4571" s="18">
        <v>0.15</v>
      </c>
      <c r="H4571">
        <f>F4571*VLOOKUP(B4571,產品!$A$2:$H$61,7,FALSE)*(1-銷售總表!G4571)</f>
        <v>72250</v>
      </c>
      <c r="I4571" s="35">
        <f>H4571-F4571*VLOOKUP(銷售總表!B4571,產品!$A$2:$H$61,8,FALSE)</f>
        <v>17000</v>
      </c>
      <c r="J4571" s="20">
        <f t="shared" si="71"/>
        <v>0.23529411764705882</v>
      </c>
    </row>
    <row r="4572" spans="1:10" x14ac:dyDescent="0.3">
      <c r="A4572" s="33">
        <v>4571</v>
      </c>
      <c r="B4572" s="4">
        <v>37</v>
      </c>
      <c r="C4572" s="15">
        <v>272</v>
      </c>
      <c r="D4572" s="16">
        <v>10</v>
      </c>
      <c r="E4572" s="22">
        <v>44717</v>
      </c>
      <c r="F4572" s="19">
        <v>5</v>
      </c>
      <c r="G4572" s="18">
        <v>0.16</v>
      </c>
      <c r="H4572">
        <f>F4572*VLOOKUP(B4572,產品!$A$2:$H$61,7,FALSE)*(1-銷售總表!G4572)</f>
        <v>50400</v>
      </c>
      <c r="I4572" s="35">
        <f>H4572-F4572*VLOOKUP(銷售總表!B4572,產品!$A$2:$H$61,8,FALSE)</f>
        <v>11400</v>
      </c>
      <c r="J4572" s="20">
        <f t="shared" si="71"/>
        <v>0.22619047619047619</v>
      </c>
    </row>
    <row r="4573" spans="1:10" x14ac:dyDescent="0.3">
      <c r="A4573" s="33">
        <v>4572</v>
      </c>
      <c r="B4573" s="4">
        <v>38</v>
      </c>
      <c r="C4573" s="15">
        <v>124</v>
      </c>
      <c r="D4573" s="16">
        <v>7</v>
      </c>
      <c r="E4573" s="22">
        <v>44717</v>
      </c>
      <c r="F4573" s="19">
        <v>6</v>
      </c>
      <c r="G4573" s="18">
        <v>0.1</v>
      </c>
      <c r="H4573">
        <f>F4573*VLOOKUP(B4573,產品!$A$2:$H$61,7,FALSE)*(1-銷售總表!G4573)</f>
        <v>81000</v>
      </c>
      <c r="I4573" s="35">
        <f>H4573-F4573*VLOOKUP(銷售總表!B4573,產品!$A$2:$H$61,8,FALSE)</f>
        <v>22500</v>
      </c>
      <c r="J4573" s="20">
        <f t="shared" si="71"/>
        <v>0.27777777777777779</v>
      </c>
    </row>
    <row r="4574" spans="1:10" x14ac:dyDescent="0.3">
      <c r="A4574" s="33">
        <v>4573</v>
      </c>
      <c r="B4574" s="4">
        <v>48</v>
      </c>
      <c r="C4574" s="15">
        <v>259</v>
      </c>
      <c r="D4574" s="16">
        <v>1</v>
      </c>
      <c r="E4574" s="22">
        <v>44717</v>
      </c>
      <c r="F4574" s="19">
        <v>13</v>
      </c>
      <c r="G4574" s="18">
        <v>0.2</v>
      </c>
      <c r="H4574">
        <f>F4574*VLOOKUP(B4574,產品!$A$2:$H$61,7,FALSE)*(1-銷售總表!G4574)</f>
        <v>228800</v>
      </c>
      <c r="I4574" s="35">
        <f>H4574-F4574*VLOOKUP(銷售總表!B4574,產品!$A$2:$H$61,8,FALSE)</f>
        <v>42900</v>
      </c>
      <c r="J4574" s="20">
        <f t="shared" si="71"/>
        <v>0.1875</v>
      </c>
    </row>
    <row r="4575" spans="1:10" x14ac:dyDescent="0.3">
      <c r="A4575" s="33">
        <v>4574</v>
      </c>
      <c r="B4575" s="4">
        <v>24</v>
      </c>
      <c r="C4575" s="15">
        <v>286</v>
      </c>
      <c r="D4575" s="16">
        <v>4</v>
      </c>
      <c r="E4575" s="22">
        <v>44717</v>
      </c>
      <c r="F4575" s="19">
        <v>20</v>
      </c>
      <c r="G4575" s="18">
        <v>0.06</v>
      </c>
      <c r="H4575">
        <f>F4575*VLOOKUP(B4575,產品!$A$2:$H$61,7,FALSE)*(1-銷售總表!G4575)</f>
        <v>33840</v>
      </c>
      <c r="I4575" s="35">
        <f>H4575-F4575*VLOOKUP(銷售總表!B4575,產品!$A$2:$H$61,8,FALSE)</f>
        <v>19440</v>
      </c>
      <c r="J4575" s="20">
        <f t="shared" si="71"/>
        <v>0.57446808510638303</v>
      </c>
    </row>
    <row r="4576" spans="1:10" x14ac:dyDescent="0.3">
      <c r="A4576" s="33">
        <v>4575</v>
      </c>
      <c r="B4576" s="4">
        <v>16</v>
      </c>
      <c r="C4576" s="15">
        <v>12</v>
      </c>
      <c r="D4576" s="16">
        <v>2</v>
      </c>
      <c r="E4576" s="22">
        <v>44717</v>
      </c>
      <c r="F4576" s="19">
        <v>30</v>
      </c>
      <c r="G4576" s="18">
        <v>0.05</v>
      </c>
      <c r="H4576">
        <f>F4576*VLOOKUP(B4576,產品!$A$2:$H$61,7,FALSE)*(1-銷售總表!G4576)</f>
        <v>51300</v>
      </c>
      <c r="I4576" s="35">
        <f>H4576-F4576*VLOOKUP(銷售總表!B4576,產品!$A$2:$H$61,8,FALSE)</f>
        <v>29700</v>
      </c>
      <c r="J4576" s="20">
        <f t="shared" si="71"/>
        <v>0.57894736842105265</v>
      </c>
    </row>
    <row r="4577" spans="1:10" x14ac:dyDescent="0.3">
      <c r="A4577" s="33">
        <v>4576</v>
      </c>
      <c r="B4577" s="4">
        <v>6</v>
      </c>
      <c r="C4577" s="15">
        <v>264</v>
      </c>
      <c r="D4577" s="16">
        <v>7</v>
      </c>
      <c r="E4577" s="23">
        <v>44717</v>
      </c>
      <c r="F4577">
        <v>40</v>
      </c>
      <c r="G4577" s="20">
        <v>0.2</v>
      </c>
      <c r="H4577">
        <f>F4577*VLOOKUP(B4577,產品!$A$2:$H$61,7,FALSE)*(1-銷售總表!G4577)</f>
        <v>32000</v>
      </c>
      <c r="I4577" s="35">
        <f>H4577-F4577*VLOOKUP(銷售總表!B4577,產品!$A$2:$H$61,8,FALSE)</f>
        <v>16000</v>
      </c>
      <c r="J4577" s="20">
        <f t="shared" si="71"/>
        <v>0.5</v>
      </c>
    </row>
    <row r="4578" spans="1:10" x14ac:dyDescent="0.3">
      <c r="A4578" s="33">
        <v>4577</v>
      </c>
      <c r="B4578" s="4">
        <v>6</v>
      </c>
      <c r="C4578" s="15">
        <v>2</v>
      </c>
      <c r="D4578" s="16">
        <v>6</v>
      </c>
      <c r="E4578" s="22">
        <v>44717</v>
      </c>
      <c r="F4578" s="19">
        <v>50</v>
      </c>
      <c r="G4578" s="18">
        <v>0.18</v>
      </c>
      <c r="H4578">
        <f>F4578*VLOOKUP(B4578,產品!$A$2:$H$61,7,FALSE)*(1-銷售總表!G4578)</f>
        <v>41000</v>
      </c>
      <c r="I4578" s="35">
        <f>H4578-F4578*VLOOKUP(銷售總表!B4578,產品!$A$2:$H$61,8,FALSE)</f>
        <v>21000</v>
      </c>
      <c r="J4578" s="20">
        <f t="shared" si="71"/>
        <v>0.51219512195121952</v>
      </c>
    </row>
    <row r="4579" spans="1:10" x14ac:dyDescent="0.3">
      <c r="A4579" s="33">
        <v>4578</v>
      </c>
      <c r="B4579" s="4">
        <v>9</v>
      </c>
      <c r="C4579" s="15">
        <v>263</v>
      </c>
      <c r="D4579" s="16">
        <v>5</v>
      </c>
      <c r="E4579" s="23">
        <v>44717</v>
      </c>
      <c r="F4579">
        <v>70</v>
      </c>
      <c r="G4579" s="20">
        <v>0.12</v>
      </c>
      <c r="H4579">
        <f>F4579*VLOOKUP(B4579,產品!$A$2:$H$61,7,FALSE)*(1-銷售總表!G4579)</f>
        <v>61600</v>
      </c>
      <c r="I4579" s="35">
        <f>H4579-F4579*VLOOKUP(銷售總表!B4579,產品!$A$2:$H$61,8,FALSE)</f>
        <v>33600</v>
      </c>
      <c r="J4579" s="20">
        <f t="shared" si="71"/>
        <v>0.54545454545454541</v>
      </c>
    </row>
    <row r="4580" spans="1:10" x14ac:dyDescent="0.3">
      <c r="A4580" s="33">
        <v>4579</v>
      </c>
      <c r="B4580" s="4">
        <v>35</v>
      </c>
      <c r="C4580" s="15">
        <v>8</v>
      </c>
      <c r="D4580" s="16">
        <v>2</v>
      </c>
      <c r="E4580" s="22">
        <v>44718</v>
      </c>
      <c r="F4580" s="19">
        <v>2</v>
      </c>
      <c r="G4580" s="18">
        <v>0.11</v>
      </c>
      <c r="H4580">
        <f>F4580*VLOOKUP(B4580,產品!$A$2:$H$61,7,FALSE)*(1-銷售總表!G4580)</f>
        <v>15130</v>
      </c>
      <c r="I4580" s="35">
        <f>H4580-F4580*VLOOKUP(銷售總表!B4580,產品!$A$2:$H$61,8,FALSE)</f>
        <v>4930</v>
      </c>
      <c r="J4580" s="20">
        <f t="shared" si="71"/>
        <v>0.3258426966292135</v>
      </c>
    </row>
    <row r="4581" spans="1:10" x14ac:dyDescent="0.3">
      <c r="A4581" s="33">
        <v>4580</v>
      </c>
      <c r="B4581" s="4">
        <v>25</v>
      </c>
      <c r="C4581" s="15">
        <v>266</v>
      </c>
      <c r="D4581" s="16">
        <v>8</v>
      </c>
      <c r="E4581" s="22">
        <v>44718</v>
      </c>
      <c r="F4581" s="19">
        <v>4</v>
      </c>
      <c r="G4581" s="18">
        <v>0.1</v>
      </c>
      <c r="H4581">
        <f>F4581*VLOOKUP(B4581,產品!$A$2:$H$61,7,FALSE)*(1-銷售總表!G4581)</f>
        <v>21600</v>
      </c>
      <c r="I4581" s="35">
        <f>H4581-F4581*VLOOKUP(銷售總表!B4581,產品!$A$2:$H$61,8,FALSE)</f>
        <v>7200</v>
      </c>
      <c r="J4581" s="20">
        <f t="shared" si="71"/>
        <v>0.33333333333333331</v>
      </c>
    </row>
    <row r="4582" spans="1:10" x14ac:dyDescent="0.3">
      <c r="A4582" s="33">
        <v>4581</v>
      </c>
      <c r="B4582" s="4">
        <v>57</v>
      </c>
      <c r="C4582" s="15">
        <v>285</v>
      </c>
      <c r="D4582" s="16">
        <v>3</v>
      </c>
      <c r="E4582" s="23">
        <v>44718</v>
      </c>
      <c r="F4582">
        <v>5</v>
      </c>
      <c r="G4582" s="20">
        <v>0.11</v>
      </c>
      <c r="H4582">
        <f>F4582*VLOOKUP(B4582,產品!$A$2:$H$61,7,FALSE)*(1-銷售總表!G4582)</f>
        <v>80100</v>
      </c>
      <c r="I4582" s="35">
        <f>H4582-F4582*VLOOKUP(銷售總表!B4582,產品!$A$2:$H$61,8,FALSE)</f>
        <v>17100</v>
      </c>
      <c r="J4582" s="20">
        <f t="shared" si="71"/>
        <v>0.21348314606741572</v>
      </c>
    </row>
    <row r="4583" spans="1:10" x14ac:dyDescent="0.3">
      <c r="A4583" s="33">
        <v>4582</v>
      </c>
      <c r="B4583" s="4">
        <v>42</v>
      </c>
      <c r="C4583" s="15">
        <v>3</v>
      </c>
      <c r="D4583" s="16">
        <v>7</v>
      </c>
      <c r="E4583" s="23">
        <v>44718</v>
      </c>
      <c r="F4583">
        <v>5</v>
      </c>
      <c r="G4583" s="20">
        <v>0.18</v>
      </c>
      <c r="H4583">
        <f>F4583*VLOOKUP(B4583,產品!$A$2:$H$61,7,FALSE)*(1-銷售總表!G4583)</f>
        <v>61500.000000000007</v>
      </c>
      <c r="I4583" s="35">
        <f>H4583-F4583*VLOOKUP(銷售總表!B4583,產品!$A$2:$H$61,8,FALSE)</f>
        <v>12750.000000000007</v>
      </c>
      <c r="J4583" s="20">
        <f t="shared" si="71"/>
        <v>0.20731707317073181</v>
      </c>
    </row>
    <row r="4584" spans="1:10" x14ac:dyDescent="0.3">
      <c r="A4584" s="33">
        <v>4583</v>
      </c>
      <c r="B4584" s="4">
        <v>37</v>
      </c>
      <c r="C4584" s="15">
        <v>287</v>
      </c>
      <c r="D4584" s="16">
        <v>9</v>
      </c>
      <c r="E4584" s="22">
        <v>44718</v>
      </c>
      <c r="F4584" s="19">
        <v>7</v>
      </c>
      <c r="G4584" s="18">
        <v>0.05</v>
      </c>
      <c r="H4584">
        <f>F4584*VLOOKUP(B4584,產品!$A$2:$H$61,7,FALSE)*(1-銷售總表!G4584)</f>
        <v>79800</v>
      </c>
      <c r="I4584" s="35">
        <f>H4584-F4584*VLOOKUP(銷售總表!B4584,產品!$A$2:$H$61,8,FALSE)</f>
        <v>25200</v>
      </c>
      <c r="J4584" s="20">
        <f t="shared" si="71"/>
        <v>0.31578947368421051</v>
      </c>
    </row>
    <row r="4585" spans="1:10" x14ac:dyDescent="0.3">
      <c r="A4585" s="33">
        <v>4584</v>
      </c>
      <c r="B4585" s="4">
        <v>14</v>
      </c>
      <c r="C4585" s="15">
        <v>2</v>
      </c>
      <c r="D4585" s="16">
        <v>3</v>
      </c>
      <c r="E4585" s="22">
        <v>44718</v>
      </c>
      <c r="F4585" s="19">
        <v>10</v>
      </c>
      <c r="G4585" s="18">
        <v>0.09</v>
      </c>
      <c r="H4585">
        <f>F4585*VLOOKUP(B4585,產品!$A$2:$H$61,7,FALSE)*(1-銷售總表!G4585)</f>
        <v>16380</v>
      </c>
      <c r="I4585" s="35">
        <f>H4585-F4585*VLOOKUP(銷售總表!B4585,產品!$A$2:$H$61,8,FALSE)</f>
        <v>9180</v>
      </c>
      <c r="J4585" s="20">
        <f t="shared" si="71"/>
        <v>0.56043956043956045</v>
      </c>
    </row>
    <row r="4586" spans="1:10" x14ac:dyDescent="0.3">
      <c r="A4586" s="33">
        <v>4585</v>
      </c>
      <c r="B4586" s="4">
        <v>10</v>
      </c>
      <c r="C4586" s="15">
        <v>118</v>
      </c>
      <c r="D4586" s="16">
        <v>7</v>
      </c>
      <c r="E4586" s="22">
        <v>44718</v>
      </c>
      <c r="F4586" s="19">
        <v>70</v>
      </c>
      <c r="G4586" s="18">
        <v>0.1</v>
      </c>
      <c r="H4586">
        <f>F4586*VLOOKUP(B4586,產品!$A$2:$H$61,7,FALSE)*(1-銷售總表!G4586)</f>
        <v>63000</v>
      </c>
      <c r="I4586" s="35">
        <f>H4586-F4586*VLOOKUP(銷售總表!B4586,產品!$A$2:$H$61,8,FALSE)</f>
        <v>35000</v>
      </c>
      <c r="J4586" s="20">
        <f t="shared" si="71"/>
        <v>0.55555555555555558</v>
      </c>
    </row>
    <row r="4587" spans="1:10" x14ac:dyDescent="0.3">
      <c r="A4587" s="33">
        <v>4586</v>
      </c>
      <c r="B4587" s="4">
        <v>35</v>
      </c>
      <c r="C4587" s="15">
        <v>276</v>
      </c>
      <c r="D4587" s="16">
        <v>9</v>
      </c>
      <c r="E4587" s="22">
        <v>44719</v>
      </c>
      <c r="F4587" s="19">
        <v>2</v>
      </c>
      <c r="G4587" s="18">
        <v>0.05</v>
      </c>
      <c r="H4587">
        <f>F4587*VLOOKUP(B4587,產品!$A$2:$H$61,7,FALSE)*(1-銷售總表!G4587)</f>
        <v>16150</v>
      </c>
      <c r="I4587" s="35">
        <f>H4587-F4587*VLOOKUP(銷售總表!B4587,產品!$A$2:$H$61,8,FALSE)</f>
        <v>5950</v>
      </c>
      <c r="J4587" s="20">
        <f t="shared" si="71"/>
        <v>0.36842105263157893</v>
      </c>
    </row>
    <row r="4588" spans="1:10" x14ac:dyDescent="0.3">
      <c r="A4588" s="33">
        <v>4587</v>
      </c>
      <c r="B4588" s="4">
        <v>36</v>
      </c>
      <c r="C4588" s="15">
        <v>121</v>
      </c>
      <c r="D4588" s="16">
        <v>8</v>
      </c>
      <c r="E4588" s="22">
        <v>44719</v>
      </c>
      <c r="F4588" s="19">
        <v>3</v>
      </c>
      <c r="G4588" s="18">
        <v>0.16</v>
      </c>
      <c r="H4588">
        <f>F4588*VLOOKUP(B4588,產品!$A$2:$H$61,7,FALSE)*(1-銷售總表!G4588)</f>
        <v>22680</v>
      </c>
      <c r="I4588" s="35">
        <f>H4588-F4588*VLOOKUP(銷售總表!B4588,產品!$A$2:$H$61,8,FALSE)</f>
        <v>6480</v>
      </c>
      <c r="J4588" s="20">
        <f t="shared" si="71"/>
        <v>0.2857142857142857</v>
      </c>
    </row>
    <row r="4589" spans="1:10" x14ac:dyDescent="0.3">
      <c r="A4589" s="33">
        <v>4588</v>
      </c>
      <c r="B4589" s="4">
        <v>40</v>
      </c>
      <c r="C4589" s="15">
        <v>285</v>
      </c>
      <c r="D4589" s="16">
        <v>6</v>
      </c>
      <c r="E4589" s="22">
        <v>44719</v>
      </c>
      <c r="F4589" s="19">
        <v>5</v>
      </c>
      <c r="G4589" s="18">
        <v>0.19</v>
      </c>
      <c r="H4589">
        <f>F4589*VLOOKUP(B4589,產品!$A$2:$H$61,7,FALSE)*(1-銷售總表!G4589)</f>
        <v>81000</v>
      </c>
      <c r="I4589" s="35">
        <f>H4589-F4589*VLOOKUP(銷售總表!B4589,產品!$A$2:$H$61,8,FALSE)</f>
        <v>16000</v>
      </c>
      <c r="J4589" s="20">
        <f t="shared" si="71"/>
        <v>0.19753086419753085</v>
      </c>
    </row>
    <row r="4590" spans="1:10" x14ac:dyDescent="0.3">
      <c r="A4590" s="33">
        <v>4589</v>
      </c>
      <c r="B4590" s="4">
        <v>43</v>
      </c>
      <c r="C4590" s="15">
        <v>290</v>
      </c>
      <c r="D4590" s="16">
        <v>8</v>
      </c>
      <c r="E4590" s="22">
        <v>44719</v>
      </c>
      <c r="F4590" s="19">
        <v>8</v>
      </c>
      <c r="G4590" s="18">
        <v>0.1</v>
      </c>
      <c r="H4590">
        <f>F4590*VLOOKUP(B4590,產品!$A$2:$H$61,7,FALSE)*(1-銷售總表!G4590)</f>
        <v>129600</v>
      </c>
      <c r="I4590" s="35">
        <f>H4590-F4590*VLOOKUP(銷售總表!B4590,產品!$A$2:$H$61,8,FALSE)</f>
        <v>36000</v>
      </c>
      <c r="J4590" s="20">
        <f t="shared" si="71"/>
        <v>0.27777777777777779</v>
      </c>
    </row>
    <row r="4591" spans="1:10" x14ac:dyDescent="0.3">
      <c r="A4591" s="33">
        <v>4590</v>
      </c>
      <c r="B4591" s="4">
        <v>21</v>
      </c>
      <c r="C4591" s="15">
        <v>258</v>
      </c>
      <c r="D4591" s="16">
        <v>2</v>
      </c>
      <c r="E4591" s="23">
        <v>44719</v>
      </c>
      <c r="F4591">
        <v>10</v>
      </c>
      <c r="G4591" s="20">
        <v>0.17</v>
      </c>
      <c r="H4591">
        <f>F4591*VLOOKUP(B4591,產品!$A$2:$H$61,7,FALSE)*(1-銷售總表!G4591)</f>
        <v>14940</v>
      </c>
      <c r="I4591" s="35">
        <f>H4591-F4591*VLOOKUP(銷售總表!B4591,產品!$A$2:$H$61,8,FALSE)</f>
        <v>7740</v>
      </c>
      <c r="J4591" s="20">
        <f t="shared" si="71"/>
        <v>0.51807228915662651</v>
      </c>
    </row>
    <row r="4592" spans="1:10" x14ac:dyDescent="0.3">
      <c r="A4592" s="33">
        <v>4591</v>
      </c>
      <c r="B4592" s="4">
        <v>8</v>
      </c>
      <c r="C4592" s="15">
        <v>1</v>
      </c>
      <c r="D4592" s="16">
        <v>5</v>
      </c>
      <c r="E4592" s="22">
        <v>44719</v>
      </c>
      <c r="F4592" s="19">
        <v>80</v>
      </c>
      <c r="G4592" s="18">
        <v>0.09</v>
      </c>
      <c r="H4592">
        <f>F4592*VLOOKUP(B4592,產品!$A$2:$H$61,7,FALSE)*(1-銷售總表!G4592)</f>
        <v>72800</v>
      </c>
      <c r="I4592" s="35">
        <f>H4592-F4592*VLOOKUP(銷售總表!B4592,產品!$A$2:$H$61,8,FALSE)</f>
        <v>40800</v>
      </c>
      <c r="J4592" s="20">
        <f t="shared" si="71"/>
        <v>0.56043956043956045</v>
      </c>
    </row>
    <row r="4593" spans="1:10" x14ac:dyDescent="0.3">
      <c r="A4593" s="33">
        <v>4592</v>
      </c>
      <c r="B4593" s="4">
        <v>8</v>
      </c>
      <c r="C4593" s="15">
        <v>5</v>
      </c>
      <c r="D4593" s="16">
        <v>3</v>
      </c>
      <c r="E4593" s="22">
        <v>44719</v>
      </c>
      <c r="F4593" s="19">
        <v>90</v>
      </c>
      <c r="G4593" s="18">
        <v>0.1</v>
      </c>
      <c r="H4593">
        <f>F4593*VLOOKUP(B4593,產品!$A$2:$H$61,7,FALSE)*(1-銷售總表!G4593)</f>
        <v>81000</v>
      </c>
      <c r="I4593" s="35">
        <f>H4593-F4593*VLOOKUP(銷售總表!B4593,產品!$A$2:$H$61,8,FALSE)</f>
        <v>45000</v>
      </c>
      <c r="J4593" s="20">
        <f t="shared" si="71"/>
        <v>0.55555555555555558</v>
      </c>
    </row>
    <row r="4594" spans="1:10" x14ac:dyDescent="0.3">
      <c r="A4594" s="33">
        <v>4593</v>
      </c>
      <c r="B4594" s="4">
        <v>59</v>
      </c>
      <c r="C4594" s="15">
        <v>258</v>
      </c>
      <c r="D4594" s="16">
        <v>9</v>
      </c>
      <c r="E4594" s="22">
        <v>44720</v>
      </c>
      <c r="F4594" s="19">
        <v>3</v>
      </c>
      <c r="G4594" s="18">
        <v>0.06</v>
      </c>
      <c r="H4594">
        <f>F4594*VLOOKUP(B4594,產品!$A$2:$H$61,7,FALSE)*(1-銷售總表!G4594)</f>
        <v>67680</v>
      </c>
      <c r="I4594" s="35">
        <f>H4594-F4594*VLOOKUP(銷售總表!B4594,產品!$A$2:$H$61,8,FALSE)</f>
        <v>17280</v>
      </c>
      <c r="J4594" s="20">
        <f t="shared" si="71"/>
        <v>0.25531914893617019</v>
      </c>
    </row>
    <row r="4595" spans="1:10" x14ac:dyDescent="0.3">
      <c r="A4595" s="33">
        <v>4594</v>
      </c>
      <c r="B4595" s="4">
        <v>37</v>
      </c>
      <c r="C4595" s="15">
        <v>259</v>
      </c>
      <c r="D4595" s="16">
        <v>7</v>
      </c>
      <c r="E4595" s="22">
        <v>44720</v>
      </c>
      <c r="F4595" s="19">
        <v>3</v>
      </c>
      <c r="G4595" s="18">
        <v>0.2</v>
      </c>
      <c r="H4595">
        <f>F4595*VLOOKUP(B4595,產品!$A$2:$H$61,7,FALSE)*(1-銷售總表!G4595)</f>
        <v>28800</v>
      </c>
      <c r="I4595" s="35">
        <f>H4595-F4595*VLOOKUP(銷售總表!B4595,產品!$A$2:$H$61,8,FALSE)</f>
        <v>5400</v>
      </c>
      <c r="J4595" s="20">
        <f t="shared" si="71"/>
        <v>0.1875</v>
      </c>
    </row>
    <row r="4596" spans="1:10" x14ac:dyDescent="0.3">
      <c r="A4596" s="33">
        <v>4595</v>
      </c>
      <c r="B4596" s="4">
        <v>37</v>
      </c>
      <c r="C4596" s="15">
        <v>264</v>
      </c>
      <c r="D4596" s="16">
        <v>2</v>
      </c>
      <c r="E4596" s="22">
        <v>44720</v>
      </c>
      <c r="F4596" s="19">
        <v>4</v>
      </c>
      <c r="G4596" s="18">
        <v>0.11</v>
      </c>
      <c r="H4596">
        <f>F4596*VLOOKUP(B4596,產品!$A$2:$H$61,7,FALSE)*(1-銷售總表!G4596)</f>
        <v>42720</v>
      </c>
      <c r="I4596" s="35">
        <f>H4596-F4596*VLOOKUP(銷售總表!B4596,產品!$A$2:$H$61,8,FALSE)</f>
        <v>11520</v>
      </c>
      <c r="J4596" s="20">
        <f t="shared" si="71"/>
        <v>0.2696629213483146</v>
      </c>
    </row>
    <row r="4597" spans="1:10" x14ac:dyDescent="0.3">
      <c r="A4597" s="33">
        <v>4596</v>
      </c>
      <c r="B4597" s="4">
        <v>53</v>
      </c>
      <c r="C4597" s="15">
        <v>283</v>
      </c>
      <c r="D4597" s="16">
        <v>1</v>
      </c>
      <c r="E4597" s="22">
        <v>44720</v>
      </c>
      <c r="F4597" s="19">
        <v>5</v>
      </c>
      <c r="G4597" s="18">
        <v>0.15</v>
      </c>
      <c r="H4597">
        <f>F4597*VLOOKUP(B4597,產品!$A$2:$H$61,7,FALSE)*(1-銷售總表!G4597)</f>
        <v>63750</v>
      </c>
      <c r="I4597" s="35">
        <f>H4597-F4597*VLOOKUP(銷售總表!B4597,產品!$A$2:$H$61,8,FALSE)</f>
        <v>11250</v>
      </c>
      <c r="J4597" s="20">
        <f t="shared" si="71"/>
        <v>0.17647058823529413</v>
      </c>
    </row>
    <row r="4598" spans="1:10" x14ac:dyDescent="0.3">
      <c r="A4598" s="33">
        <v>4597</v>
      </c>
      <c r="B4598" s="4">
        <v>36</v>
      </c>
      <c r="C4598" s="15">
        <v>4</v>
      </c>
      <c r="D4598" s="16">
        <v>2</v>
      </c>
      <c r="E4598" s="22">
        <v>44720</v>
      </c>
      <c r="F4598" s="19">
        <v>12</v>
      </c>
      <c r="G4598" s="18">
        <v>0.12</v>
      </c>
      <c r="H4598">
        <f>F4598*VLOOKUP(B4598,產品!$A$2:$H$61,7,FALSE)*(1-銷售總表!G4598)</f>
        <v>95040</v>
      </c>
      <c r="I4598" s="35">
        <f>H4598-F4598*VLOOKUP(銷售總表!B4598,產品!$A$2:$H$61,8,FALSE)</f>
        <v>30240</v>
      </c>
      <c r="J4598" s="20">
        <f t="shared" si="71"/>
        <v>0.31818181818181818</v>
      </c>
    </row>
    <row r="4599" spans="1:10" x14ac:dyDescent="0.3">
      <c r="A4599" s="33">
        <v>4598</v>
      </c>
      <c r="B4599" s="4">
        <v>50</v>
      </c>
      <c r="C4599" s="15">
        <v>10</v>
      </c>
      <c r="D4599" s="16">
        <v>8</v>
      </c>
      <c r="E4599" s="22">
        <v>44721</v>
      </c>
      <c r="F4599" s="19">
        <v>1</v>
      </c>
      <c r="G4599" s="18">
        <v>0.19</v>
      </c>
      <c r="H4599">
        <f>F4599*VLOOKUP(B4599,產品!$A$2:$H$61,7,FALSE)*(1-銷售總表!G4599)</f>
        <v>14580.000000000002</v>
      </c>
      <c r="I4599" s="35">
        <f>H4599-F4599*VLOOKUP(銷售總表!B4599,產品!$A$2:$H$61,8,FALSE)</f>
        <v>1980.0000000000018</v>
      </c>
      <c r="J4599" s="20">
        <f t="shared" si="71"/>
        <v>0.13580246913580257</v>
      </c>
    </row>
    <row r="4600" spans="1:10" x14ac:dyDescent="0.3">
      <c r="A4600" s="33">
        <v>4599</v>
      </c>
      <c r="B4600" s="4">
        <v>28</v>
      </c>
      <c r="C4600" s="15">
        <v>11</v>
      </c>
      <c r="D4600" s="16">
        <v>9</v>
      </c>
      <c r="E4600" s="22">
        <v>44721</v>
      </c>
      <c r="F4600" s="19">
        <v>8</v>
      </c>
      <c r="G4600" s="18">
        <v>0.2</v>
      </c>
      <c r="H4600">
        <f>F4600*VLOOKUP(B4600,產品!$A$2:$H$61,7,FALSE)*(1-銷售總表!G4600)</f>
        <v>48000</v>
      </c>
      <c r="I4600" s="35">
        <f>H4600-F4600*VLOOKUP(銷售總表!B4600,產品!$A$2:$H$61,8,FALSE)</f>
        <v>12000</v>
      </c>
      <c r="J4600" s="20">
        <f t="shared" si="71"/>
        <v>0.25</v>
      </c>
    </row>
    <row r="4601" spans="1:10" x14ac:dyDescent="0.3">
      <c r="A4601" s="33">
        <v>4600</v>
      </c>
      <c r="B4601" s="4">
        <v>5</v>
      </c>
      <c r="C4601" s="15">
        <v>11</v>
      </c>
      <c r="D4601" s="16">
        <v>10</v>
      </c>
      <c r="E4601" s="22">
        <v>44721</v>
      </c>
      <c r="F4601" s="19">
        <v>10</v>
      </c>
      <c r="G4601" s="18">
        <v>0.17</v>
      </c>
      <c r="H4601">
        <f>F4601*VLOOKUP(B4601,產品!$A$2:$H$61,7,FALSE)*(1-銷售總表!G4601)</f>
        <v>8300</v>
      </c>
      <c r="I4601" s="35">
        <f>H4601-F4601*VLOOKUP(銷售總表!B4601,產品!$A$2:$H$61,8,FALSE)</f>
        <v>4300</v>
      </c>
      <c r="J4601" s="20">
        <f t="shared" si="71"/>
        <v>0.51807228915662651</v>
      </c>
    </row>
    <row r="4602" spans="1:10" x14ac:dyDescent="0.3">
      <c r="A4602" s="33">
        <v>4601</v>
      </c>
      <c r="B4602" s="4">
        <v>23</v>
      </c>
      <c r="C4602" s="15">
        <v>258</v>
      </c>
      <c r="D4602" s="16">
        <v>8</v>
      </c>
      <c r="E4602" s="23">
        <v>44721</v>
      </c>
      <c r="F4602">
        <v>40</v>
      </c>
      <c r="G4602" s="20">
        <v>0.1</v>
      </c>
      <c r="H4602">
        <f>F4602*VLOOKUP(B4602,產品!$A$2:$H$61,7,FALSE)*(1-銷售總表!G4602)</f>
        <v>64800</v>
      </c>
      <c r="I4602" s="35">
        <f>H4602-F4602*VLOOKUP(銷售總表!B4602,產品!$A$2:$H$61,8,FALSE)</f>
        <v>36000</v>
      </c>
      <c r="J4602" s="20">
        <f t="shared" si="71"/>
        <v>0.55555555555555558</v>
      </c>
    </row>
    <row r="4603" spans="1:10" x14ac:dyDescent="0.3">
      <c r="A4603" s="33">
        <v>4602</v>
      </c>
      <c r="B4603" s="4">
        <v>20</v>
      </c>
      <c r="C4603" s="15">
        <v>1</v>
      </c>
      <c r="D4603" s="16">
        <v>1</v>
      </c>
      <c r="E4603" s="23">
        <v>44721</v>
      </c>
      <c r="F4603">
        <v>50</v>
      </c>
      <c r="G4603" s="20">
        <v>0.18</v>
      </c>
      <c r="H4603">
        <f>F4603*VLOOKUP(B4603,產品!$A$2:$H$61,7,FALSE)*(1-銷售總表!G4603)</f>
        <v>73800</v>
      </c>
      <c r="I4603" s="35">
        <f>H4603-F4603*VLOOKUP(銷售總表!B4603,產品!$A$2:$H$61,8,FALSE)</f>
        <v>37800</v>
      </c>
      <c r="J4603" s="20">
        <f t="shared" si="71"/>
        <v>0.51219512195121952</v>
      </c>
    </row>
    <row r="4604" spans="1:10" x14ac:dyDescent="0.3">
      <c r="A4604" s="33">
        <v>4603</v>
      </c>
      <c r="B4604" s="4">
        <v>15</v>
      </c>
      <c r="C4604" s="15">
        <v>257</v>
      </c>
      <c r="D4604" s="16">
        <v>7</v>
      </c>
      <c r="E4604" s="23">
        <v>44721</v>
      </c>
      <c r="F4604">
        <v>70</v>
      </c>
      <c r="G4604" s="20">
        <v>0.18</v>
      </c>
      <c r="H4604">
        <f>F4604*VLOOKUP(B4604,產品!$A$2:$H$61,7,FALSE)*(1-銷售總表!G4604)</f>
        <v>103320.00000000001</v>
      </c>
      <c r="I4604" s="35">
        <f>H4604-F4604*VLOOKUP(銷售總表!B4604,產品!$A$2:$H$61,8,FALSE)</f>
        <v>52920.000000000015</v>
      </c>
      <c r="J4604" s="20">
        <f t="shared" si="71"/>
        <v>0.51219512195121963</v>
      </c>
    </row>
    <row r="4605" spans="1:10" x14ac:dyDescent="0.3">
      <c r="A4605" s="33">
        <v>4604</v>
      </c>
      <c r="B4605" s="4">
        <v>14</v>
      </c>
      <c r="C4605" s="15">
        <v>123</v>
      </c>
      <c r="D4605" s="16">
        <v>7</v>
      </c>
      <c r="E4605" s="23">
        <v>44721</v>
      </c>
      <c r="F4605">
        <v>80</v>
      </c>
      <c r="G4605" s="20">
        <v>0.18</v>
      </c>
      <c r="H4605">
        <f>F4605*VLOOKUP(B4605,產品!$A$2:$H$61,7,FALSE)*(1-銷售總表!G4605)</f>
        <v>118080.00000000001</v>
      </c>
      <c r="I4605" s="35">
        <f>H4605-F4605*VLOOKUP(銷售總表!B4605,產品!$A$2:$H$61,8,FALSE)</f>
        <v>60480.000000000015</v>
      </c>
      <c r="J4605" s="20">
        <f t="shared" si="71"/>
        <v>0.51219512195121952</v>
      </c>
    </row>
    <row r="4606" spans="1:10" x14ac:dyDescent="0.3">
      <c r="A4606" s="33">
        <v>4605</v>
      </c>
      <c r="B4606" s="4">
        <v>9</v>
      </c>
      <c r="C4606" s="15">
        <v>116</v>
      </c>
      <c r="D4606" s="16">
        <v>5</v>
      </c>
      <c r="E4606" s="22">
        <v>44721</v>
      </c>
      <c r="F4606" s="19">
        <v>100</v>
      </c>
      <c r="G4606" s="18">
        <v>7.0000000000000007E-2</v>
      </c>
      <c r="H4606">
        <f>F4606*VLOOKUP(B4606,產品!$A$2:$H$61,7,FALSE)*(1-銷售總表!G4606)</f>
        <v>93000</v>
      </c>
      <c r="I4606" s="35">
        <f>H4606-F4606*VLOOKUP(銷售總表!B4606,產品!$A$2:$H$61,8,FALSE)</f>
        <v>53000</v>
      </c>
      <c r="J4606" s="20">
        <f t="shared" si="71"/>
        <v>0.56989247311827962</v>
      </c>
    </row>
    <row r="4607" spans="1:10" x14ac:dyDescent="0.3">
      <c r="A4607" s="33">
        <v>4606</v>
      </c>
      <c r="B4607" s="4">
        <v>36</v>
      </c>
      <c r="C4607" s="15">
        <v>1</v>
      </c>
      <c r="D4607" s="16">
        <v>8</v>
      </c>
      <c r="E4607" s="22">
        <v>44722</v>
      </c>
      <c r="F4607" s="19">
        <v>3</v>
      </c>
      <c r="G4607" s="18">
        <v>0.06</v>
      </c>
      <c r="H4607">
        <f>F4607*VLOOKUP(B4607,產品!$A$2:$H$61,7,FALSE)*(1-銷售總表!G4607)</f>
        <v>25380</v>
      </c>
      <c r="I4607" s="35">
        <f>H4607-F4607*VLOOKUP(銷售總表!B4607,產品!$A$2:$H$61,8,FALSE)</f>
        <v>9180</v>
      </c>
      <c r="J4607" s="20">
        <f t="shared" si="71"/>
        <v>0.36170212765957449</v>
      </c>
    </row>
    <row r="4608" spans="1:10" x14ac:dyDescent="0.3">
      <c r="A4608" s="33">
        <v>4607</v>
      </c>
      <c r="B4608" s="4">
        <v>55</v>
      </c>
      <c r="C4608" s="15">
        <v>6</v>
      </c>
      <c r="D4608" s="16">
        <v>9</v>
      </c>
      <c r="E4608" s="22">
        <v>44722</v>
      </c>
      <c r="F4608" s="19">
        <v>3</v>
      </c>
      <c r="G4608" s="18">
        <v>0.19</v>
      </c>
      <c r="H4608">
        <f>F4608*VLOOKUP(B4608,產品!$A$2:$H$61,7,FALSE)*(1-銷售總表!G4608)</f>
        <v>48600</v>
      </c>
      <c r="I4608" s="35">
        <f>H4608-F4608*VLOOKUP(銷售總表!B4608,產品!$A$2:$H$61,8,FALSE)</f>
        <v>6600</v>
      </c>
      <c r="J4608" s="20">
        <f t="shared" si="71"/>
        <v>0.13580246913580246</v>
      </c>
    </row>
    <row r="4609" spans="1:10" x14ac:dyDescent="0.3">
      <c r="A4609" s="33">
        <v>4608</v>
      </c>
      <c r="B4609" s="4">
        <v>43</v>
      </c>
      <c r="C4609" s="15">
        <v>277</v>
      </c>
      <c r="D4609" s="16">
        <v>8</v>
      </c>
      <c r="E4609" s="22">
        <v>44722</v>
      </c>
      <c r="F4609" s="19">
        <v>5</v>
      </c>
      <c r="G4609" s="18">
        <v>0.17</v>
      </c>
      <c r="H4609">
        <f>F4609*VLOOKUP(B4609,產品!$A$2:$H$61,7,FALSE)*(1-銷售總表!G4609)</f>
        <v>74700</v>
      </c>
      <c r="I4609" s="35">
        <f>H4609-F4609*VLOOKUP(銷售總表!B4609,產品!$A$2:$H$61,8,FALSE)</f>
        <v>16200</v>
      </c>
      <c r="J4609" s="20">
        <f t="shared" si="71"/>
        <v>0.21686746987951808</v>
      </c>
    </row>
    <row r="4610" spans="1:10" x14ac:dyDescent="0.3">
      <c r="A4610" s="33">
        <v>4609</v>
      </c>
      <c r="B4610" s="4">
        <v>38</v>
      </c>
      <c r="C4610" s="15">
        <v>122</v>
      </c>
      <c r="D4610" s="16">
        <v>3</v>
      </c>
      <c r="E4610" s="22">
        <v>44722</v>
      </c>
      <c r="F4610" s="19">
        <v>6</v>
      </c>
      <c r="G4610" s="18">
        <v>0.09</v>
      </c>
      <c r="H4610">
        <f>F4610*VLOOKUP(B4610,產品!$A$2:$H$61,7,FALSE)*(1-銷售總表!G4610)</f>
        <v>81900</v>
      </c>
      <c r="I4610" s="35">
        <f>H4610-F4610*VLOOKUP(銷售總表!B4610,產品!$A$2:$H$61,8,FALSE)</f>
        <v>23400</v>
      </c>
      <c r="J4610" s="20">
        <f t="shared" si="71"/>
        <v>0.2857142857142857</v>
      </c>
    </row>
    <row r="4611" spans="1:10" x14ac:dyDescent="0.3">
      <c r="A4611" s="33">
        <v>4610</v>
      </c>
      <c r="B4611" s="4">
        <v>35</v>
      </c>
      <c r="C4611" s="15">
        <v>120</v>
      </c>
      <c r="D4611" s="16">
        <v>10</v>
      </c>
      <c r="E4611" s="22">
        <v>44722</v>
      </c>
      <c r="F4611" s="19">
        <v>9</v>
      </c>
      <c r="G4611" s="18">
        <v>0.08</v>
      </c>
      <c r="H4611">
        <f>F4611*VLOOKUP(B4611,產品!$A$2:$H$61,7,FALSE)*(1-銷售總表!G4611)</f>
        <v>70380</v>
      </c>
      <c r="I4611" s="35">
        <f>H4611-F4611*VLOOKUP(銷售總表!B4611,產品!$A$2:$H$61,8,FALSE)</f>
        <v>24480</v>
      </c>
      <c r="J4611" s="20">
        <f t="shared" ref="J4611:J4674" si="72">I4611/H4611</f>
        <v>0.34782608695652173</v>
      </c>
    </row>
    <row r="4612" spans="1:10" x14ac:dyDescent="0.3">
      <c r="A4612" s="33">
        <v>4611</v>
      </c>
      <c r="B4612" s="4">
        <v>23</v>
      </c>
      <c r="C4612" s="15">
        <v>11</v>
      </c>
      <c r="D4612" s="16">
        <v>5</v>
      </c>
      <c r="E4612" s="22">
        <v>44722</v>
      </c>
      <c r="F4612" s="19">
        <v>19</v>
      </c>
      <c r="G4612" s="18">
        <v>0.11</v>
      </c>
      <c r="H4612">
        <f>F4612*VLOOKUP(B4612,產品!$A$2:$H$61,7,FALSE)*(1-銷售總表!G4612)</f>
        <v>30438</v>
      </c>
      <c r="I4612" s="35">
        <f>H4612-F4612*VLOOKUP(銷售總表!B4612,產品!$A$2:$H$61,8,FALSE)</f>
        <v>16758</v>
      </c>
      <c r="J4612" s="20">
        <f t="shared" si="72"/>
        <v>0.550561797752809</v>
      </c>
    </row>
    <row r="4613" spans="1:10" x14ac:dyDescent="0.3">
      <c r="A4613" s="33">
        <v>4612</v>
      </c>
      <c r="B4613" s="4">
        <v>25</v>
      </c>
      <c r="C4613" s="15">
        <v>4</v>
      </c>
      <c r="D4613" s="16">
        <v>8</v>
      </c>
      <c r="E4613" s="22">
        <v>44722</v>
      </c>
      <c r="F4613" s="19">
        <v>25</v>
      </c>
      <c r="G4613" s="18">
        <v>0.12</v>
      </c>
      <c r="H4613">
        <f>F4613*VLOOKUP(B4613,產品!$A$2:$H$61,7,FALSE)*(1-銷售總表!G4613)</f>
        <v>132000</v>
      </c>
      <c r="I4613" s="35">
        <f>H4613-F4613*VLOOKUP(銷售總表!B4613,產品!$A$2:$H$61,8,FALSE)</f>
        <v>42000</v>
      </c>
      <c r="J4613" s="20">
        <f t="shared" si="72"/>
        <v>0.31818181818181818</v>
      </c>
    </row>
    <row r="4614" spans="1:10" x14ac:dyDescent="0.3">
      <c r="A4614" s="33">
        <v>4613</v>
      </c>
      <c r="B4614" s="4">
        <v>11</v>
      </c>
      <c r="C4614" s="15">
        <v>264</v>
      </c>
      <c r="D4614" s="16">
        <v>4</v>
      </c>
      <c r="E4614" s="22">
        <v>44722</v>
      </c>
      <c r="F4614" s="19">
        <v>45</v>
      </c>
      <c r="G4614" s="18">
        <v>0.09</v>
      </c>
      <c r="H4614">
        <f>F4614*VLOOKUP(B4614,產品!$A$2:$H$61,7,FALSE)*(1-銷售總表!G4614)</f>
        <v>40950</v>
      </c>
      <c r="I4614" s="35">
        <f>H4614-F4614*VLOOKUP(銷售總表!B4614,產品!$A$2:$H$61,8,FALSE)</f>
        <v>22950</v>
      </c>
      <c r="J4614" s="20">
        <f t="shared" si="72"/>
        <v>0.56043956043956045</v>
      </c>
    </row>
    <row r="4615" spans="1:10" x14ac:dyDescent="0.3">
      <c r="A4615" s="33">
        <v>4614</v>
      </c>
      <c r="B4615" s="4">
        <v>7</v>
      </c>
      <c r="C4615" s="15">
        <v>8</v>
      </c>
      <c r="D4615" s="16">
        <v>4</v>
      </c>
      <c r="E4615" s="23">
        <v>44722</v>
      </c>
      <c r="F4615">
        <v>50</v>
      </c>
      <c r="G4615" s="20">
        <v>0.06</v>
      </c>
      <c r="H4615">
        <f>F4615*VLOOKUP(B4615,產品!$A$2:$H$61,7,FALSE)*(1-銷售總表!G4615)</f>
        <v>47000</v>
      </c>
      <c r="I4615" s="35">
        <f>H4615-F4615*VLOOKUP(銷售總表!B4615,產品!$A$2:$H$61,8,FALSE)</f>
        <v>27000</v>
      </c>
      <c r="J4615" s="20">
        <f t="shared" si="72"/>
        <v>0.57446808510638303</v>
      </c>
    </row>
    <row r="4616" spans="1:10" x14ac:dyDescent="0.3">
      <c r="A4616" s="33">
        <v>4615</v>
      </c>
      <c r="B4616" s="4">
        <v>55</v>
      </c>
      <c r="C4616" s="15">
        <v>263</v>
      </c>
      <c r="D4616" s="16">
        <v>3</v>
      </c>
      <c r="E4616" s="22">
        <v>44723</v>
      </c>
      <c r="F4616" s="19">
        <v>1</v>
      </c>
      <c r="G4616" s="18">
        <v>0.18</v>
      </c>
      <c r="H4616">
        <f>F4616*VLOOKUP(B4616,產品!$A$2:$H$61,7,FALSE)*(1-銷售總表!G4616)</f>
        <v>16400</v>
      </c>
      <c r="I4616" s="35">
        <f>H4616-F4616*VLOOKUP(銷售總表!B4616,產品!$A$2:$H$61,8,FALSE)</f>
        <v>2400</v>
      </c>
      <c r="J4616" s="20">
        <f t="shared" si="72"/>
        <v>0.14634146341463414</v>
      </c>
    </row>
    <row r="4617" spans="1:10" x14ac:dyDescent="0.3">
      <c r="A4617" s="33">
        <v>4616</v>
      </c>
      <c r="B4617" s="4">
        <v>57</v>
      </c>
      <c r="C4617" s="15">
        <v>118</v>
      </c>
      <c r="D4617" s="16">
        <v>2</v>
      </c>
      <c r="E4617" s="22">
        <v>44723</v>
      </c>
      <c r="F4617" s="19">
        <v>2</v>
      </c>
      <c r="G4617" s="18">
        <v>0.15</v>
      </c>
      <c r="H4617">
        <f>F4617*VLOOKUP(B4617,產品!$A$2:$H$61,7,FALSE)*(1-銷售總表!G4617)</f>
        <v>30600</v>
      </c>
      <c r="I4617" s="35">
        <f>H4617-F4617*VLOOKUP(銷售總表!B4617,產品!$A$2:$H$61,8,FALSE)</f>
        <v>5400</v>
      </c>
      <c r="J4617" s="20">
        <f t="shared" si="72"/>
        <v>0.17647058823529413</v>
      </c>
    </row>
    <row r="4618" spans="1:10" x14ac:dyDescent="0.3">
      <c r="A4618" s="33">
        <v>4617</v>
      </c>
      <c r="B4618" s="4">
        <v>28</v>
      </c>
      <c r="C4618" s="15">
        <v>261</v>
      </c>
      <c r="D4618" s="16">
        <v>10</v>
      </c>
      <c r="E4618" s="22">
        <v>44723</v>
      </c>
      <c r="F4618" s="19">
        <v>2</v>
      </c>
      <c r="G4618" s="18">
        <v>0.12</v>
      </c>
      <c r="H4618">
        <f>F4618*VLOOKUP(B4618,產品!$A$2:$H$61,7,FALSE)*(1-銷售總表!G4618)</f>
        <v>13200</v>
      </c>
      <c r="I4618" s="35">
        <f>H4618-F4618*VLOOKUP(銷售總表!B4618,產品!$A$2:$H$61,8,FALSE)</f>
        <v>4200</v>
      </c>
      <c r="J4618" s="20">
        <f t="shared" si="72"/>
        <v>0.31818181818181818</v>
      </c>
    </row>
    <row r="4619" spans="1:10" x14ac:dyDescent="0.3">
      <c r="A4619" s="33">
        <v>4618</v>
      </c>
      <c r="B4619" s="4">
        <v>55</v>
      </c>
      <c r="C4619" s="15">
        <v>283</v>
      </c>
      <c r="D4619" s="16">
        <v>1</v>
      </c>
      <c r="E4619" s="22">
        <v>44723</v>
      </c>
      <c r="F4619" s="19">
        <v>4</v>
      </c>
      <c r="G4619" s="18">
        <v>0.12</v>
      </c>
      <c r="H4619">
        <f>F4619*VLOOKUP(B4619,產品!$A$2:$H$61,7,FALSE)*(1-銷售總表!G4619)</f>
        <v>70400</v>
      </c>
      <c r="I4619" s="35">
        <f>H4619-F4619*VLOOKUP(銷售總表!B4619,產品!$A$2:$H$61,8,FALSE)</f>
        <v>14400</v>
      </c>
      <c r="J4619" s="20">
        <f t="shared" si="72"/>
        <v>0.20454545454545456</v>
      </c>
    </row>
    <row r="4620" spans="1:10" x14ac:dyDescent="0.3">
      <c r="A4620" s="33">
        <v>4619</v>
      </c>
      <c r="B4620" s="4">
        <v>49</v>
      </c>
      <c r="C4620" s="15">
        <v>282</v>
      </c>
      <c r="D4620" s="16">
        <v>9</v>
      </c>
      <c r="E4620" s="22">
        <v>44723</v>
      </c>
      <c r="F4620" s="19">
        <v>5</v>
      </c>
      <c r="G4620" s="18">
        <v>0.13</v>
      </c>
      <c r="H4620">
        <f>F4620*VLOOKUP(B4620,產品!$A$2:$H$61,7,FALSE)*(1-銷售總表!G4620)</f>
        <v>65250</v>
      </c>
      <c r="I4620" s="35">
        <f>H4620-F4620*VLOOKUP(銷售總表!B4620,產品!$A$2:$H$61,8,FALSE)</f>
        <v>12750</v>
      </c>
      <c r="J4620" s="20">
        <f t="shared" si="72"/>
        <v>0.19540229885057472</v>
      </c>
    </row>
    <row r="4621" spans="1:10" x14ac:dyDescent="0.3">
      <c r="A4621" s="33">
        <v>4620</v>
      </c>
      <c r="B4621" s="4">
        <v>42</v>
      </c>
      <c r="C4621" s="15">
        <v>275</v>
      </c>
      <c r="D4621" s="16">
        <v>8</v>
      </c>
      <c r="E4621" s="22">
        <v>44723</v>
      </c>
      <c r="F4621" s="19">
        <v>10</v>
      </c>
      <c r="G4621" s="18">
        <v>0.09</v>
      </c>
      <c r="H4621">
        <f>F4621*VLOOKUP(B4621,產品!$A$2:$H$61,7,FALSE)*(1-銷售總表!G4621)</f>
        <v>136500</v>
      </c>
      <c r="I4621" s="35">
        <f>H4621-F4621*VLOOKUP(銷售總表!B4621,產品!$A$2:$H$61,8,FALSE)</f>
        <v>39000</v>
      </c>
      <c r="J4621" s="20">
        <f t="shared" si="72"/>
        <v>0.2857142857142857</v>
      </c>
    </row>
    <row r="4622" spans="1:10" x14ac:dyDescent="0.3">
      <c r="A4622" s="33">
        <v>4621</v>
      </c>
      <c r="B4622" s="4">
        <v>46</v>
      </c>
      <c r="C4622" s="15">
        <v>12</v>
      </c>
      <c r="D4622" s="16">
        <v>10</v>
      </c>
      <c r="E4622" s="22">
        <v>44723</v>
      </c>
      <c r="F4622" s="19">
        <v>13</v>
      </c>
      <c r="G4622" s="18">
        <v>0.1</v>
      </c>
      <c r="H4622">
        <f>F4622*VLOOKUP(B4622,產品!$A$2:$H$61,7,FALSE)*(1-銷售總表!G4622)</f>
        <v>198900</v>
      </c>
      <c r="I4622" s="35">
        <f>H4622-F4622*VLOOKUP(銷售總表!B4622,產品!$A$2:$H$61,8,FALSE)</f>
        <v>55250</v>
      </c>
      <c r="J4622" s="20">
        <f t="shared" si="72"/>
        <v>0.27777777777777779</v>
      </c>
    </row>
    <row r="4623" spans="1:10" x14ac:dyDescent="0.3">
      <c r="A4623" s="33">
        <v>4622</v>
      </c>
      <c r="B4623" s="4">
        <v>34</v>
      </c>
      <c r="C4623" s="15">
        <v>121</v>
      </c>
      <c r="D4623" s="16">
        <v>9</v>
      </c>
      <c r="E4623" s="22">
        <v>44723</v>
      </c>
      <c r="F4623" s="19">
        <v>40</v>
      </c>
      <c r="G4623" s="18">
        <v>0.11</v>
      </c>
      <c r="H4623">
        <f>F4623*VLOOKUP(B4623,產品!$A$2:$H$61,7,FALSE)*(1-銷售總表!G4623)</f>
        <v>284800</v>
      </c>
      <c r="I4623" s="35">
        <f>H4623-F4623*VLOOKUP(銷售總表!B4623,產品!$A$2:$H$61,8,FALSE)</f>
        <v>92800</v>
      </c>
      <c r="J4623" s="20">
        <f t="shared" si="72"/>
        <v>0.3258426966292135</v>
      </c>
    </row>
    <row r="4624" spans="1:10" x14ac:dyDescent="0.3">
      <c r="A4624" s="33">
        <v>4623</v>
      </c>
      <c r="B4624" s="4">
        <v>11</v>
      </c>
      <c r="C4624" s="15">
        <v>7</v>
      </c>
      <c r="D4624" s="16">
        <v>5</v>
      </c>
      <c r="E4624" s="22">
        <v>44723</v>
      </c>
      <c r="F4624" s="19">
        <v>120</v>
      </c>
      <c r="G4624" s="18">
        <v>0.11</v>
      </c>
      <c r="H4624">
        <f>F4624*VLOOKUP(B4624,產品!$A$2:$H$61,7,FALSE)*(1-銷售總表!G4624)</f>
        <v>106800</v>
      </c>
      <c r="I4624" s="35">
        <f>H4624-F4624*VLOOKUP(銷售總表!B4624,產品!$A$2:$H$61,8,FALSE)</f>
        <v>58800</v>
      </c>
      <c r="J4624" s="20">
        <f t="shared" si="72"/>
        <v>0.550561797752809</v>
      </c>
    </row>
    <row r="4625" spans="1:10" x14ac:dyDescent="0.3">
      <c r="A4625" s="33">
        <v>4624</v>
      </c>
      <c r="B4625" s="4">
        <v>47</v>
      </c>
      <c r="C4625" s="15">
        <v>120</v>
      </c>
      <c r="D4625" s="16">
        <v>5</v>
      </c>
      <c r="E4625" s="22">
        <v>44724</v>
      </c>
      <c r="F4625" s="19">
        <v>5</v>
      </c>
      <c r="G4625" s="18">
        <v>0.19</v>
      </c>
      <c r="H4625">
        <f>F4625*VLOOKUP(B4625,產品!$A$2:$H$61,7,FALSE)*(1-銷售總表!G4625)</f>
        <v>81000</v>
      </c>
      <c r="I4625" s="35">
        <f>H4625-F4625*VLOOKUP(銷售總表!B4625,產品!$A$2:$H$61,8,FALSE)</f>
        <v>16000</v>
      </c>
      <c r="J4625" s="20">
        <f t="shared" si="72"/>
        <v>0.19753086419753085</v>
      </c>
    </row>
    <row r="4626" spans="1:10" x14ac:dyDescent="0.3">
      <c r="A4626" s="33">
        <v>4625</v>
      </c>
      <c r="B4626" s="4">
        <v>29</v>
      </c>
      <c r="C4626" s="15">
        <v>271</v>
      </c>
      <c r="D4626" s="16">
        <v>7</v>
      </c>
      <c r="E4626" s="22">
        <v>44724</v>
      </c>
      <c r="F4626" s="19">
        <v>8</v>
      </c>
      <c r="G4626" s="18">
        <v>0.1</v>
      </c>
      <c r="H4626">
        <f>F4626*VLOOKUP(B4626,產品!$A$2:$H$61,7,FALSE)*(1-銷售總表!G4626)</f>
        <v>43200</v>
      </c>
      <c r="I4626" s="35">
        <f>H4626-F4626*VLOOKUP(銷售總表!B4626,產品!$A$2:$H$61,8,FALSE)</f>
        <v>14400</v>
      </c>
      <c r="J4626" s="20">
        <f t="shared" si="72"/>
        <v>0.33333333333333331</v>
      </c>
    </row>
    <row r="4627" spans="1:10" x14ac:dyDescent="0.3">
      <c r="A4627" s="33">
        <v>4626</v>
      </c>
      <c r="B4627" s="4">
        <v>5</v>
      </c>
      <c r="C4627" s="15">
        <v>116</v>
      </c>
      <c r="D4627" s="16">
        <v>4</v>
      </c>
      <c r="E4627" s="23">
        <v>44724</v>
      </c>
      <c r="F4627">
        <v>10</v>
      </c>
      <c r="G4627" s="20">
        <v>0.1</v>
      </c>
      <c r="H4627">
        <f>F4627*VLOOKUP(B4627,產品!$A$2:$H$61,7,FALSE)*(1-銷售總表!G4627)</f>
        <v>9000</v>
      </c>
      <c r="I4627" s="35">
        <f>H4627-F4627*VLOOKUP(銷售總表!B4627,產品!$A$2:$H$61,8,FALSE)</f>
        <v>5000</v>
      </c>
      <c r="J4627" s="20">
        <f t="shared" si="72"/>
        <v>0.55555555555555558</v>
      </c>
    </row>
    <row r="4628" spans="1:10" x14ac:dyDescent="0.3">
      <c r="A4628" s="33">
        <v>4627</v>
      </c>
      <c r="B4628" s="4">
        <v>20</v>
      </c>
      <c r="C4628" s="15">
        <v>135</v>
      </c>
      <c r="D4628" s="16">
        <v>3</v>
      </c>
      <c r="E4628" s="22">
        <v>44724</v>
      </c>
      <c r="F4628" s="19">
        <v>75</v>
      </c>
      <c r="G4628" s="18">
        <v>0.08</v>
      </c>
      <c r="H4628">
        <f>F4628*VLOOKUP(B4628,產品!$A$2:$H$61,7,FALSE)*(1-銷售總表!G4628)</f>
        <v>124200</v>
      </c>
      <c r="I4628" s="35">
        <f>H4628-F4628*VLOOKUP(銷售總表!B4628,產品!$A$2:$H$61,8,FALSE)</f>
        <v>70200</v>
      </c>
      <c r="J4628" s="20">
        <f t="shared" si="72"/>
        <v>0.56521739130434778</v>
      </c>
    </row>
    <row r="4629" spans="1:10" x14ac:dyDescent="0.3">
      <c r="A4629" s="33">
        <v>4628</v>
      </c>
      <c r="B4629" s="4">
        <v>53</v>
      </c>
      <c r="C4629" s="15">
        <v>5</v>
      </c>
      <c r="D4629" s="16">
        <v>9</v>
      </c>
      <c r="E4629" s="22">
        <v>44725</v>
      </c>
      <c r="F4629" s="19">
        <v>8</v>
      </c>
      <c r="G4629" s="18">
        <v>0.15</v>
      </c>
      <c r="H4629">
        <f>F4629*VLOOKUP(B4629,產品!$A$2:$H$61,7,FALSE)*(1-銷售總表!G4629)</f>
        <v>102000</v>
      </c>
      <c r="I4629" s="35">
        <f>H4629-F4629*VLOOKUP(銷售總表!B4629,產品!$A$2:$H$61,8,FALSE)</f>
        <v>18000</v>
      </c>
      <c r="J4629" s="20">
        <f t="shared" si="72"/>
        <v>0.17647058823529413</v>
      </c>
    </row>
    <row r="4630" spans="1:10" x14ac:dyDescent="0.3">
      <c r="A4630" s="33">
        <v>4629</v>
      </c>
      <c r="B4630" s="4">
        <v>25</v>
      </c>
      <c r="C4630" s="15">
        <v>112</v>
      </c>
      <c r="D4630" s="16">
        <v>7</v>
      </c>
      <c r="E4630" s="22">
        <v>44725</v>
      </c>
      <c r="F4630" s="19">
        <v>9</v>
      </c>
      <c r="G4630" s="18">
        <v>0.18</v>
      </c>
      <c r="H4630">
        <f>F4630*VLOOKUP(B4630,產品!$A$2:$H$61,7,FALSE)*(1-銷售總表!G4630)</f>
        <v>44280</v>
      </c>
      <c r="I4630" s="35">
        <f>H4630-F4630*VLOOKUP(銷售總表!B4630,產品!$A$2:$H$61,8,FALSE)</f>
        <v>11880</v>
      </c>
      <c r="J4630" s="20">
        <f t="shared" si="72"/>
        <v>0.26829268292682928</v>
      </c>
    </row>
    <row r="4631" spans="1:10" x14ac:dyDescent="0.3">
      <c r="A4631" s="33">
        <v>4630</v>
      </c>
      <c r="B4631" s="4">
        <v>26</v>
      </c>
      <c r="C4631" s="15">
        <v>124</v>
      </c>
      <c r="D4631" s="16">
        <v>6</v>
      </c>
      <c r="E4631" s="23">
        <v>44725</v>
      </c>
      <c r="F4631">
        <v>11</v>
      </c>
      <c r="G4631" s="20">
        <v>0.16</v>
      </c>
      <c r="H4631">
        <f>F4631*VLOOKUP(B4631,產品!$A$2:$H$61,7,FALSE)*(1-銷售總表!G4631)</f>
        <v>60060</v>
      </c>
      <c r="I4631" s="35">
        <f>H4631-F4631*VLOOKUP(銷售總表!B4631,產品!$A$2:$H$61,8,FALSE)</f>
        <v>17160</v>
      </c>
      <c r="J4631" s="20">
        <f t="shared" si="72"/>
        <v>0.2857142857142857</v>
      </c>
    </row>
    <row r="4632" spans="1:10" x14ac:dyDescent="0.3">
      <c r="A4632" s="33">
        <v>4631</v>
      </c>
      <c r="B4632" s="4">
        <v>24</v>
      </c>
      <c r="C4632" s="15">
        <v>277</v>
      </c>
      <c r="D4632" s="16">
        <v>3</v>
      </c>
      <c r="E4632" s="22">
        <v>44725</v>
      </c>
      <c r="F4632" s="19">
        <v>40</v>
      </c>
      <c r="G4632" s="18">
        <v>0.08</v>
      </c>
      <c r="H4632">
        <f>F4632*VLOOKUP(B4632,產品!$A$2:$H$61,7,FALSE)*(1-銷售總表!G4632)</f>
        <v>66240</v>
      </c>
      <c r="I4632" s="35">
        <f>H4632-F4632*VLOOKUP(銷售總表!B4632,產品!$A$2:$H$61,8,FALSE)</f>
        <v>37440</v>
      </c>
      <c r="J4632" s="20">
        <f t="shared" si="72"/>
        <v>0.56521739130434778</v>
      </c>
    </row>
    <row r="4633" spans="1:10" x14ac:dyDescent="0.3">
      <c r="A4633" s="33">
        <v>4632</v>
      </c>
      <c r="B4633" s="4">
        <v>12</v>
      </c>
      <c r="C4633" s="15">
        <v>113</v>
      </c>
      <c r="D4633" s="16">
        <v>5</v>
      </c>
      <c r="E4633" s="22">
        <v>44725</v>
      </c>
      <c r="F4633" s="19">
        <v>60</v>
      </c>
      <c r="G4633" s="18">
        <v>0.12</v>
      </c>
      <c r="H4633">
        <f>F4633*VLOOKUP(B4633,產品!$A$2:$H$61,7,FALSE)*(1-銷售總表!G4633)</f>
        <v>52800</v>
      </c>
      <c r="I4633" s="35">
        <f>H4633-F4633*VLOOKUP(銷售總表!B4633,產品!$A$2:$H$61,8,FALSE)</f>
        <v>28800</v>
      </c>
      <c r="J4633" s="20">
        <f t="shared" si="72"/>
        <v>0.54545454545454541</v>
      </c>
    </row>
    <row r="4634" spans="1:10" x14ac:dyDescent="0.3">
      <c r="A4634" s="33">
        <v>4633</v>
      </c>
      <c r="B4634" s="4">
        <v>16</v>
      </c>
      <c r="C4634" s="15">
        <v>271</v>
      </c>
      <c r="D4634" s="16">
        <v>1</v>
      </c>
      <c r="E4634" s="22">
        <v>44725</v>
      </c>
      <c r="F4634" s="19">
        <v>70</v>
      </c>
      <c r="G4634" s="18">
        <v>0.09</v>
      </c>
      <c r="H4634">
        <f>F4634*VLOOKUP(B4634,產品!$A$2:$H$61,7,FALSE)*(1-銷售總表!G4634)</f>
        <v>114660</v>
      </c>
      <c r="I4634" s="35">
        <f>H4634-F4634*VLOOKUP(銷售總表!B4634,產品!$A$2:$H$61,8,FALSE)</f>
        <v>64260</v>
      </c>
      <c r="J4634" s="20">
        <f t="shared" si="72"/>
        <v>0.56043956043956045</v>
      </c>
    </row>
    <row r="4635" spans="1:10" x14ac:dyDescent="0.3">
      <c r="A4635" s="33">
        <v>4634</v>
      </c>
      <c r="B4635" s="4">
        <v>7</v>
      </c>
      <c r="C4635" s="15">
        <v>112</v>
      </c>
      <c r="D4635" s="16">
        <v>5</v>
      </c>
      <c r="E4635" s="22">
        <v>44725</v>
      </c>
      <c r="F4635" s="19">
        <v>100</v>
      </c>
      <c r="G4635" s="18">
        <v>0.05</v>
      </c>
      <c r="H4635">
        <f>F4635*VLOOKUP(B4635,產品!$A$2:$H$61,7,FALSE)*(1-銷售總表!G4635)</f>
        <v>95000</v>
      </c>
      <c r="I4635" s="35">
        <f>H4635-F4635*VLOOKUP(銷售總表!B4635,產品!$A$2:$H$61,8,FALSE)</f>
        <v>55000</v>
      </c>
      <c r="J4635" s="20">
        <f t="shared" si="72"/>
        <v>0.57894736842105265</v>
      </c>
    </row>
    <row r="4636" spans="1:10" x14ac:dyDescent="0.3">
      <c r="A4636" s="33">
        <v>4635</v>
      </c>
      <c r="B4636" s="4">
        <v>43</v>
      </c>
      <c r="C4636" s="15">
        <v>291</v>
      </c>
      <c r="D4636" s="16">
        <v>10</v>
      </c>
      <c r="E4636" s="22">
        <v>44726</v>
      </c>
      <c r="F4636" s="19">
        <v>3</v>
      </c>
      <c r="G4636" s="18">
        <v>0.16</v>
      </c>
      <c r="H4636">
        <f>F4636*VLOOKUP(B4636,產品!$A$2:$H$61,7,FALSE)*(1-銷售總表!G4636)</f>
        <v>45360</v>
      </c>
      <c r="I4636" s="35">
        <f>H4636-F4636*VLOOKUP(銷售總表!B4636,產品!$A$2:$H$61,8,FALSE)</f>
        <v>10260</v>
      </c>
      <c r="J4636" s="20">
        <f t="shared" si="72"/>
        <v>0.22619047619047619</v>
      </c>
    </row>
    <row r="4637" spans="1:10" x14ac:dyDescent="0.3">
      <c r="A4637" s="33">
        <v>4636</v>
      </c>
      <c r="B4637" s="4">
        <v>36</v>
      </c>
      <c r="C4637" s="15">
        <v>7</v>
      </c>
      <c r="D4637" s="16">
        <v>8</v>
      </c>
      <c r="E4637" s="22">
        <v>44726</v>
      </c>
      <c r="F4637" s="19">
        <v>3</v>
      </c>
      <c r="G4637" s="18">
        <v>0.13</v>
      </c>
      <c r="H4637">
        <f>F4637*VLOOKUP(B4637,產品!$A$2:$H$61,7,FALSE)*(1-銷售總表!G4637)</f>
        <v>23490</v>
      </c>
      <c r="I4637" s="35">
        <f>H4637-F4637*VLOOKUP(銷售總表!B4637,產品!$A$2:$H$61,8,FALSE)</f>
        <v>7290</v>
      </c>
      <c r="J4637" s="20">
        <f t="shared" si="72"/>
        <v>0.31034482758620691</v>
      </c>
    </row>
    <row r="4638" spans="1:10" x14ac:dyDescent="0.3">
      <c r="A4638" s="33">
        <v>4637</v>
      </c>
      <c r="B4638" s="4">
        <v>29</v>
      </c>
      <c r="C4638" s="15">
        <v>12</v>
      </c>
      <c r="D4638" s="16">
        <v>9</v>
      </c>
      <c r="E4638" s="22">
        <v>44726</v>
      </c>
      <c r="F4638" s="19">
        <v>4</v>
      </c>
      <c r="G4638" s="18">
        <v>0.16</v>
      </c>
      <c r="H4638">
        <f>F4638*VLOOKUP(B4638,產品!$A$2:$H$61,7,FALSE)*(1-銷售總表!G4638)</f>
        <v>20160</v>
      </c>
      <c r="I4638" s="35">
        <f>H4638-F4638*VLOOKUP(銷售總表!B4638,產品!$A$2:$H$61,8,FALSE)</f>
        <v>5760</v>
      </c>
      <c r="J4638" s="20">
        <f t="shared" si="72"/>
        <v>0.2857142857142857</v>
      </c>
    </row>
    <row r="4639" spans="1:10" x14ac:dyDescent="0.3">
      <c r="A4639" s="33">
        <v>4638</v>
      </c>
      <c r="B4639" s="4">
        <v>48</v>
      </c>
      <c r="C4639" s="15">
        <v>3</v>
      </c>
      <c r="D4639" s="16">
        <v>6</v>
      </c>
      <c r="E4639" s="23">
        <v>44726</v>
      </c>
      <c r="F4639">
        <v>12</v>
      </c>
      <c r="G4639" s="20">
        <v>0.09</v>
      </c>
      <c r="H4639">
        <f>F4639*VLOOKUP(B4639,產品!$A$2:$H$61,7,FALSE)*(1-銷售總表!G4639)</f>
        <v>240240</v>
      </c>
      <c r="I4639" s="35">
        <f>H4639-F4639*VLOOKUP(銷售總表!B4639,產品!$A$2:$H$61,8,FALSE)</f>
        <v>68640</v>
      </c>
      <c r="J4639" s="20">
        <f t="shared" si="72"/>
        <v>0.2857142857142857</v>
      </c>
    </row>
    <row r="4640" spans="1:10" x14ac:dyDescent="0.3">
      <c r="A4640" s="33">
        <v>4639</v>
      </c>
      <c r="B4640" s="4">
        <v>16</v>
      </c>
      <c r="C4640" s="15">
        <v>8</v>
      </c>
      <c r="D4640" s="16">
        <v>10</v>
      </c>
      <c r="E4640" s="22">
        <v>44726</v>
      </c>
      <c r="F4640" s="19">
        <v>12</v>
      </c>
      <c r="G4640" s="18">
        <v>0.09</v>
      </c>
      <c r="H4640">
        <f>F4640*VLOOKUP(B4640,產品!$A$2:$H$61,7,FALSE)*(1-銷售總表!G4640)</f>
        <v>19656</v>
      </c>
      <c r="I4640" s="35">
        <f>H4640-F4640*VLOOKUP(銷售總表!B4640,產品!$A$2:$H$61,8,FALSE)</f>
        <v>11016</v>
      </c>
      <c r="J4640" s="20">
        <f t="shared" si="72"/>
        <v>0.56043956043956045</v>
      </c>
    </row>
    <row r="4641" spans="1:10" x14ac:dyDescent="0.3">
      <c r="A4641" s="33">
        <v>4640</v>
      </c>
      <c r="B4641" s="4">
        <v>20</v>
      </c>
      <c r="C4641" s="15">
        <v>5</v>
      </c>
      <c r="D4641" s="16">
        <v>8</v>
      </c>
      <c r="E4641" s="22">
        <v>44726</v>
      </c>
      <c r="F4641" s="19">
        <v>20</v>
      </c>
      <c r="G4641" s="18">
        <v>0.19</v>
      </c>
      <c r="H4641">
        <f>F4641*VLOOKUP(B4641,產品!$A$2:$H$61,7,FALSE)*(1-銷售總表!G4641)</f>
        <v>29160.000000000004</v>
      </c>
      <c r="I4641" s="35">
        <f>H4641-F4641*VLOOKUP(銷售總表!B4641,產品!$A$2:$H$61,8,FALSE)</f>
        <v>14760.000000000004</v>
      </c>
      <c r="J4641" s="20">
        <f t="shared" si="72"/>
        <v>0.50617283950617287</v>
      </c>
    </row>
    <row r="4642" spans="1:10" x14ac:dyDescent="0.3">
      <c r="A4642" s="33">
        <v>4641</v>
      </c>
      <c r="B4642" s="4">
        <v>24</v>
      </c>
      <c r="C4642" s="15">
        <v>113</v>
      </c>
      <c r="D4642" s="16">
        <v>5</v>
      </c>
      <c r="E4642" s="22">
        <v>44726</v>
      </c>
      <c r="F4642" s="19">
        <v>50</v>
      </c>
      <c r="G4642" s="18">
        <v>7.0000000000000007E-2</v>
      </c>
      <c r="H4642">
        <f>F4642*VLOOKUP(B4642,產品!$A$2:$H$61,7,FALSE)*(1-銷售總表!G4642)</f>
        <v>83700</v>
      </c>
      <c r="I4642" s="35">
        <f>H4642-F4642*VLOOKUP(銷售總表!B4642,產品!$A$2:$H$61,8,FALSE)</f>
        <v>47700</v>
      </c>
      <c r="J4642" s="20">
        <f t="shared" si="72"/>
        <v>0.56989247311827962</v>
      </c>
    </row>
    <row r="4643" spans="1:10" x14ac:dyDescent="0.3">
      <c r="A4643" s="33">
        <v>4642</v>
      </c>
      <c r="B4643" s="4">
        <v>11</v>
      </c>
      <c r="C4643" s="15">
        <v>12</v>
      </c>
      <c r="D4643" s="16">
        <v>8</v>
      </c>
      <c r="E4643" s="22">
        <v>44726</v>
      </c>
      <c r="F4643" s="19">
        <v>120</v>
      </c>
      <c r="G4643" s="18">
        <v>0.11</v>
      </c>
      <c r="H4643">
        <f>F4643*VLOOKUP(B4643,產品!$A$2:$H$61,7,FALSE)*(1-銷售總表!G4643)</f>
        <v>106800</v>
      </c>
      <c r="I4643" s="35">
        <f>H4643-F4643*VLOOKUP(銷售總表!B4643,產品!$A$2:$H$61,8,FALSE)</f>
        <v>58800</v>
      </c>
      <c r="J4643" s="20">
        <f t="shared" si="72"/>
        <v>0.550561797752809</v>
      </c>
    </row>
    <row r="4644" spans="1:10" x14ac:dyDescent="0.3">
      <c r="A4644" s="33">
        <v>4643</v>
      </c>
      <c r="B4644" s="4">
        <v>4</v>
      </c>
      <c r="C4644" s="15">
        <v>124</v>
      </c>
      <c r="D4644" s="16">
        <v>10</v>
      </c>
      <c r="E4644" s="22">
        <v>44726</v>
      </c>
      <c r="F4644" s="19">
        <v>250</v>
      </c>
      <c r="G4644" s="18">
        <v>0.19</v>
      </c>
      <c r="H4644">
        <f>F4644*VLOOKUP(B4644,產品!$A$2:$H$61,7,FALSE)*(1-銷售總表!G4644)</f>
        <v>202500</v>
      </c>
      <c r="I4644" s="35">
        <f>H4644-F4644*VLOOKUP(銷售總表!B4644,產品!$A$2:$H$61,8,FALSE)</f>
        <v>102500</v>
      </c>
      <c r="J4644" s="20">
        <f t="shared" si="72"/>
        <v>0.50617283950617287</v>
      </c>
    </row>
    <row r="4645" spans="1:10" x14ac:dyDescent="0.3">
      <c r="A4645" s="33">
        <v>4644</v>
      </c>
      <c r="B4645" s="4">
        <v>54</v>
      </c>
      <c r="C4645" s="15">
        <v>260</v>
      </c>
      <c r="D4645" s="16">
        <v>9</v>
      </c>
      <c r="E4645" s="22">
        <v>44727</v>
      </c>
      <c r="F4645" s="19">
        <v>4</v>
      </c>
      <c r="G4645" s="18">
        <v>0.17</v>
      </c>
      <c r="H4645">
        <f>F4645*VLOOKUP(B4645,產品!$A$2:$H$61,7,FALSE)*(1-銷售總表!G4645)</f>
        <v>59760</v>
      </c>
      <c r="I4645" s="35">
        <f>H4645-F4645*VLOOKUP(銷售總表!B4645,產品!$A$2:$H$61,8,FALSE)</f>
        <v>9360</v>
      </c>
      <c r="J4645" s="20">
        <f t="shared" si="72"/>
        <v>0.15662650602409639</v>
      </c>
    </row>
    <row r="4646" spans="1:10" x14ac:dyDescent="0.3">
      <c r="A4646" s="33">
        <v>4645</v>
      </c>
      <c r="B4646" s="4">
        <v>36</v>
      </c>
      <c r="C4646" s="15">
        <v>267</v>
      </c>
      <c r="D4646" s="16">
        <v>5</v>
      </c>
      <c r="E4646" s="23">
        <v>44727</v>
      </c>
      <c r="F4646">
        <v>5</v>
      </c>
      <c r="G4646" s="20">
        <v>0.19</v>
      </c>
      <c r="H4646">
        <f>F4646*VLOOKUP(B4646,產品!$A$2:$H$61,7,FALSE)*(1-銷售總表!G4646)</f>
        <v>36450</v>
      </c>
      <c r="I4646" s="35">
        <f>H4646-F4646*VLOOKUP(銷售總表!B4646,產品!$A$2:$H$61,8,FALSE)</f>
        <v>9450</v>
      </c>
      <c r="J4646" s="20">
        <f t="shared" si="72"/>
        <v>0.25925925925925924</v>
      </c>
    </row>
    <row r="4647" spans="1:10" x14ac:dyDescent="0.3">
      <c r="A4647" s="33">
        <v>4646</v>
      </c>
      <c r="B4647" s="4">
        <v>49</v>
      </c>
      <c r="C4647" s="15">
        <v>5</v>
      </c>
      <c r="D4647" s="16">
        <v>8</v>
      </c>
      <c r="E4647" s="22">
        <v>44727</v>
      </c>
      <c r="F4647" s="19">
        <v>5</v>
      </c>
      <c r="G4647" s="18">
        <v>0.18</v>
      </c>
      <c r="H4647">
        <f>F4647*VLOOKUP(B4647,產品!$A$2:$H$61,7,FALSE)*(1-銷售總表!G4647)</f>
        <v>61500.000000000007</v>
      </c>
      <c r="I4647" s="35">
        <f>H4647-F4647*VLOOKUP(銷售總表!B4647,產品!$A$2:$H$61,8,FALSE)</f>
        <v>9000.0000000000073</v>
      </c>
      <c r="J4647" s="20">
        <f t="shared" si="72"/>
        <v>0.14634146341463425</v>
      </c>
    </row>
    <row r="4648" spans="1:10" x14ac:dyDescent="0.3">
      <c r="A4648" s="33">
        <v>4647</v>
      </c>
      <c r="B4648" s="4">
        <v>36</v>
      </c>
      <c r="C4648" s="15">
        <v>121</v>
      </c>
      <c r="D4648" s="16">
        <v>10</v>
      </c>
      <c r="E4648" s="22">
        <v>44727</v>
      </c>
      <c r="F4648" s="19">
        <v>7</v>
      </c>
      <c r="G4648" s="18">
        <v>0.06</v>
      </c>
      <c r="H4648">
        <f>F4648*VLOOKUP(B4648,產品!$A$2:$H$61,7,FALSE)*(1-銷售總表!G4648)</f>
        <v>59220</v>
      </c>
      <c r="I4648" s="35">
        <f>H4648-F4648*VLOOKUP(銷售總表!B4648,產品!$A$2:$H$61,8,FALSE)</f>
        <v>21420</v>
      </c>
      <c r="J4648" s="20">
        <f t="shared" si="72"/>
        <v>0.36170212765957449</v>
      </c>
    </row>
    <row r="4649" spans="1:10" x14ac:dyDescent="0.3">
      <c r="A4649" s="33">
        <v>4648</v>
      </c>
      <c r="B4649" s="4">
        <v>56</v>
      </c>
      <c r="C4649" s="15">
        <v>270</v>
      </c>
      <c r="D4649" s="16">
        <v>4</v>
      </c>
      <c r="E4649" s="22">
        <v>44727</v>
      </c>
      <c r="F4649" s="19">
        <v>9</v>
      </c>
      <c r="G4649" s="18">
        <v>0.18</v>
      </c>
      <c r="H4649">
        <f>F4649*VLOOKUP(B4649,產品!$A$2:$H$61,7,FALSE)*(1-銷售總表!G4649)</f>
        <v>162360</v>
      </c>
      <c r="I4649" s="35">
        <f>H4649-F4649*VLOOKUP(銷售總表!B4649,產品!$A$2:$H$61,8,FALSE)</f>
        <v>23760.000000000029</v>
      </c>
      <c r="J4649" s="20">
        <f t="shared" si="72"/>
        <v>0.14634146341463433</v>
      </c>
    </row>
    <row r="4650" spans="1:10" x14ac:dyDescent="0.3">
      <c r="A4650" s="33">
        <v>4649</v>
      </c>
      <c r="B4650" s="4">
        <v>16</v>
      </c>
      <c r="C4650" s="15">
        <v>258</v>
      </c>
      <c r="D4650" s="16">
        <v>10</v>
      </c>
      <c r="E4650" s="22">
        <v>44727</v>
      </c>
      <c r="F4650" s="19">
        <v>11</v>
      </c>
      <c r="G4650" s="18">
        <v>0.12</v>
      </c>
      <c r="H4650">
        <f>F4650*VLOOKUP(B4650,產品!$A$2:$H$61,7,FALSE)*(1-銷售總表!G4650)</f>
        <v>17424</v>
      </c>
      <c r="I4650" s="35">
        <f>H4650-F4650*VLOOKUP(銷售總表!B4650,產品!$A$2:$H$61,8,FALSE)</f>
        <v>9504</v>
      </c>
      <c r="J4650" s="20">
        <f t="shared" si="72"/>
        <v>0.54545454545454541</v>
      </c>
    </row>
    <row r="4651" spans="1:10" x14ac:dyDescent="0.3">
      <c r="A4651" s="33">
        <v>4650</v>
      </c>
      <c r="B4651" s="4">
        <v>22</v>
      </c>
      <c r="C4651" s="15">
        <v>292</v>
      </c>
      <c r="D4651" s="16">
        <v>5</v>
      </c>
      <c r="E4651" s="22">
        <v>44727</v>
      </c>
      <c r="F4651" s="19">
        <v>15</v>
      </c>
      <c r="G4651" s="18">
        <v>0.1</v>
      </c>
      <c r="H4651">
        <f>F4651*VLOOKUP(B4651,產品!$A$2:$H$61,7,FALSE)*(1-銷售總表!G4651)</f>
        <v>24300</v>
      </c>
      <c r="I4651" s="35">
        <f>H4651-F4651*VLOOKUP(銷售總表!B4651,產品!$A$2:$H$61,8,FALSE)</f>
        <v>13500</v>
      </c>
      <c r="J4651" s="20">
        <f t="shared" si="72"/>
        <v>0.55555555555555558</v>
      </c>
    </row>
    <row r="4652" spans="1:10" x14ac:dyDescent="0.3">
      <c r="A4652" s="33">
        <v>4651</v>
      </c>
      <c r="B4652" s="4">
        <v>36</v>
      </c>
      <c r="C4652" s="15">
        <v>294</v>
      </c>
      <c r="D4652" s="16">
        <v>5</v>
      </c>
      <c r="E4652" s="22">
        <v>44728</v>
      </c>
      <c r="F4652" s="19">
        <v>4</v>
      </c>
      <c r="G4652" s="18">
        <v>0.2</v>
      </c>
      <c r="H4652">
        <f>F4652*VLOOKUP(B4652,產品!$A$2:$H$61,7,FALSE)*(1-銷售總表!G4652)</f>
        <v>28800</v>
      </c>
      <c r="I4652" s="35">
        <f>H4652-F4652*VLOOKUP(銷售總表!B4652,產品!$A$2:$H$61,8,FALSE)</f>
        <v>7200</v>
      </c>
      <c r="J4652" s="20">
        <f t="shared" si="72"/>
        <v>0.25</v>
      </c>
    </row>
    <row r="4653" spans="1:10" x14ac:dyDescent="0.3">
      <c r="A4653" s="33">
        <v>4652</v>
      </c>
      <c r="B4653" s="4">
        <v>49</v>
      </c>
      <c r="C4653" s="15">
        <v>116</v>
      </c>
      <c r="D4653" s="16">
        <v>4</v>
      </c>
      <c r="E4653" s="23">
        <v>44728</v>
      </c>
      <c r="F4653">
        <v>15</v>
      </c>
      <c r="G4653" s="20">
        <v>0.14000000000000001</v>
      </c>
      <c r="H4653">
        <f>F4653*VLOOKUP(B4653,產品!$A$2:$H$61,7,FALSE)*(1-銷售總表!G4653)</f>
        <v>193500</v>
      </c>
      <c r="I4653" s="35">
        <f>H4653-F4653*VLOOKUP(銷售總表!B4653,產品!$A$2:$H$61,8,FALSE)</f>
        <v>36000</v>
      </c>
      <c r="J4653" s="20">
        <f t="shared" si="72"/>
        <v>0.18604651162790697</v>
      </c>
    </row>
    <row r="4654" spans="1:10" x14ac:dyDescent="0.3">
      <c r="A4654" s="33">
        <v>4653</v>
      </c>
      <c r="B4654" s="4">
        <v>19</v>
      </c>
      <c r="C4654" s="15">
        <v>2</v>
      </c>
      <c r="D4654" s="16">
        <v>5</v>
      </c>
      <c r="E4654" s="22">
        <v>44728</v>
      </c>
      <c r="F4654" s="19">
        <v>16</v>
      </c>
      <c r="G4654" s="18">
        <v>0.11</v>
      </c>
      <c r="H4654">
        <f>F4654*VLOOKUP(B4654,產品!$A$2:$H$61,7,FALSE)*(1-銷售總表!G4654)</f>
        <v>25632</v>
      </c>
      <c r="I4654" s="35">
        <f>H4654-F4654*VLOOKUP(銷售總表!B4654,產品!$A$2:$H$61,8,FALSE)</f>
        <v>14112</v>
      </c>
      <c r="J4654" s="20">
        <f t="shared" si="72"/>
        <v>0.550561797752809</v>
      </c>
    </row>
    <row r="4655" spans="1:10" x14ac:dyDescent="0.3">
      <c r="A4655" s="33">
        <v>4654</v>
      </c>
      <c r="B4655" s="4">
        <v>27</v>
      </c>
      <c r="C4655" s="15">
        <v>113</v>
      </c>
      <c r="D4655" s="16">
        <v>8</v>
      </c>
      <c r="E4655" s="22">
        <v>44728</v>
      </c>
      <c r="F4655" s="19">
        <v>20</v>
      </c>
      <c r="G4655" s="18">
        <v>0.18</v>
      </c>
      <c r="H4655">
        <f>F4655*VLOOKUP(B4655,產品!$A$2:$H$61,7,FALSE)*(1-銷售總表!G4655)</f>
        <v>114800.00000000001</v>
      </c>
      <c r="I4655" s="35">
        <f>H4655-F4655*VLOOKUP(銷售總表!B4655,產品!$A$2:$H$61,8,FALSE)</f>
        <v>30800.000000000015</v>
      </c>
      <c r="J4655" s="20">
        <f t="shared" si="72"/>
        <v>0.26829268292682934</v>
      </c>
    </row>
    <row r="4656" spans="1:10" x14ac:dyDescent="0.3">
      <c r="A4656" s="33">
        <v>4655</v>
      </c>
      <c r="B4656" s="4">
        <v>31</v>
      </c>
      <c r="C4656" s="15">
        <v>9</v>
      </c>
      <c r="D4656" s="16">
        <v>4</v>
      </c>
      <c r="E4656" s="22">
        <v>44729</v>
      </c>
      <c r="F4656" s="19">
        <v>6</v>
      </c>
      <c r="G4656" s="18">
        <v>0.05</v>
      </c>
      <c r="H4656">
        <f>F4656*VLOOKUP(B4656,產品!$A$2:$H$61,7,FALSE)*(1-銷售總表!G4656)</f>
        <v>39900</v>
      </c>
      <c r="I4656" s="35">
        <f>H4656-F4656*VLOOKUP(銷售總表!B4656,產品!$A$2:$H$61,8,FALSE)</f>
        <v>14700</v>
      </c>
      <c r="J4656" s="20">
        <f t="shared" si="72"/>
        <v>0.36842105263157893</v>
      </c>
    </row>
    <row r="4657" spans="1:10" x14ac:dyDescent="0.3">
      <c r="A4657" s="33">
        <v>4656</v>
      </c>
      <c r="B4657" s="4">
        <v>60</v>
      </c>
      <c r="C4657" s="15">
        <v>265</v>
      </c>
      <c r="D4657" s="16">
        <v>3</v>
      </c>
      <c r="E4657" s="22">
        <v>44729</v>
      </c>
      <c r="F4657" s="19">
        <v>8</v>
      </c>
      <c r="G4657" s="18">
        <v>0.1</v>
      </c>
      <c r="H4657">
        <f>F4657*VLOOKUP(B4657,產品!$A$2:$H$61,7,FALSE)*(1-銷售總表!G4657)</f>
        <v>180000</v>
      </c>
      <c r="I4657" s="35">
        <f>H4657-F4657*VLOOKUP(銷售總表!B4657,產品!$A$2:$H$61,8,FALSE)</f>
        <v>40000</v>
      </c>
      <c r="J4657" s="20">
        <f t="shared" si="72"/>
        <v>0.22222222222222221</v>
      </c>
    </row>
    <row r="4658" spans="1:10" x14ac:dyDescent="0.3">
      <c r="A4658" s="33">
        <v>4657</v>
      </c>
      <c r="B4658" s="4">
        <v>49</v>
      </c>
      <c r="C4658" s="15">
        <v>291</v>
      </c>
      <c r="D4658" s="16">
        <v>9</v>
      </c>
      <c r="E4658" s="22">
        <v>44729</v>
      </c>
      <c r="F4658" s="19">
        <v>9</v>
      </c>
      <c r="G4658" s="18">
        <v>0.05</v>
      </c>
      <c r="H4658">
        <f>F4658*VLOOKUP(B4658,產品!$A$2:$H$61,7,FALSE)*(1-銷售總表!G4658)</f>
        <v>128250</v>
      </c>
      <c r="I4658" s="35">
        <f>H4658-F4658*VLOOKUP(銷售總表!B4658,產品!$A$2:$H$61,8,FALSE)</f>
        <v>33750</v>
      </c>
      <c r="J4658" s="20">
        <f t="shared" si="72"/>
        <v>0.26315789473684209</v>
      </c>
    </row>
    <row r="4659" spans="1:10" x14ac:dyDescent="0.3">
      <c r="A4659" s="33">
        <v>4658</v>
      </c>
      <c r="B4659" s="4">
        <v>38</v>
      </c>
      <c r="C4659" s="15">
        <v>273</v>
      </c>
      <c r="D4659" s="16">
        <v>8</v>
      </c>
      <c r="E4659" s="22">
        <v>44729</v>
      </c>
      <c r="F4659" s="19">
        <v>9</v>
      </c>
      <c r="G4659" s="18">
        <v>0.17</v>
      </c>
      <c r="H4659">
        <f>F4659*VLOOKUP(B4659,產品!$A$2:$H$61,7,FALSE)*(1-銷售總表!G4659)</f>
        <v>112050</v>
      </c>
      <c r="I4659" s="35">
        <f>H4659-F4659*VLOOKUP(銷售總表!B4659,產品!$A$2:$H$61,8,FALSE)</f>
        <v>24300</v>
      </c>
      <c r="J4659" s="20">
        <f t="shared" si="72"/>
        <v>0.21686746987951808</v>
      </c>
    </row>
    <row r="4660" spans="1:10" x14ac:dyDescent="0.3">
      <c r="A4660" s="33">
        <v>4659</v>
      </c>
      <c r="B4660" s="4">
        <v>27</v>
      </c>
      <c r="C4660" s="15">
        <v>138</v>
      </c>
      <c r="D4660" s="16">
        <v>1</v>
      </c>
      <c r="E4660" s="22">
        <v>44729</v>
      </c>
      <c r="F4660" s="19">
        <v>13</v>
      </c>
      <c r="G4660" s="18">
        <v>0.08</v>
      </c>
      <c r="H4660">
        <f>F4660*VLOOKUP(B4660,產品!$A$2:$H$61,7,FALSE)*(1-銷售總表!G4660)</f>
        <v>83720</v>
      </c>
      <c r="I4660" s="35">
        <f>H4660-F4660*VLOOKUP(銷售總表!B4660,產品!$A$2:$H$61,8,FALSE)</f>
        <v>29120</v>
      </c>
      <c r="J4660" s="20">
        <f t="shared" si="72"/>
        <v>0.34782608695652173</v>
      </c>
    </row>
    <row r="4661" spans="1:10" x14ac:dyDescent="0.3">
      <c r="A4661" s="33">
        <v>4660</v>
      </c>
      <c r="B4661" s="4">
        <v>13</v>
      </c>
      <c r="C4661" s="15">
        <v>11</v>
      </c>
      <c r="D4661" s="16">
        <v>3</v>
      </c>
      <c r="E4661" s="22">
        <v>44729</v>
      </c>
      <c r="F4661" s="19">
        <v>20</v>
      </c>
      <c r="G4661" s="18">
        <v>0.05</v>
      </c>
      <c r="H4661">
        <f>F4661*VLOOKUP(B4661,產品!$A$2:$H$61,7,FALSE)*(1-銷售總表!G4661)</f>
        <v>34200</v>
      </c>
      <c r="I4661" s="35">
        <f>H4661-F4661*VLOOKUP(銷售總表!B4661,產品!$A$2:$H$61,8,FALSE)</f>
        <v>19800</v>
      </c>
      <c r="J4661" s="20">
        <f t="shared" si="72"/>
        <v>0.57894736842105265</v>
      </c>
    </row>
    <row r="4662" spans="1:10" x14ac:dyDescent="0.3">
      <c r="A4662" s="33">
        <v>4661</v>
      </c>
      <c r="B4662" s="4">
        <v>3</v>
      </c>
      <c r="C4662" s="15">
        <v>285</v>
      </c>
      <c r="D4662" s="16">
        <v>7</v>
      </c>
      <c r="E4662" s="22">
        <v>44729</v>
      </c>
      <c r="F4662" s="19">
        <v>20</v>
      </c>
      <c r="G4662" s="18">
        <v>0.1</v>
      </c>
      <c r="H4662">
        <f>F4662*VLOOKUP(B4662,產品!$A$2:$H$61,7,FALSE)*(1-銷售總表!G4662)</f>
        <v>18000</v>
      </c>
      <c r="I4662" s="35">
        <f>H4662-F4662*VLOOKUP(銷售總表!B4662,產品!$A$2:$H$61,8,FALSE)</f>
        <v>10000</v>
      </c>
      <c r="J4662" s="20">
        <f t="shared" si="72"/>
        <v>0.55555555555555558</v>
      </c>
    </row>
    <row r="4663" spans="1:10" x14ac:dyDescent="0.3">
      <c r="A4663" s="33">
        <v>4662</v>
      </c>
      <c r="B4663" s="4">
        <v>4</v>
      </c>
      <c r="C4663" s="15">
        <v>5</v>
      </c>
      <c r="D4663" s="16">
        <v>7</v>
      </c>
      <c r="E4663" s="22">
        <v>44729</v>
      </c>
      <c r="F4663" s="19">
        <v>60</v>
      </c>
      <c r="G4663" s="18">
        <v>0.2</v>
      </c>
      <c r="H4663">
        <f>F4663*VLOOKUP(B4663,產品!$A$2:$H$61,7,FALSE)*(1-銷售總表!G4663)</f>
        <v>48000</v>
      </c>
      <c r="I4663" s="35">
        <f>H4663-F4663*VLOOKUP(銷售總表!B4663,產品!$A$2:$H$61,8,FALSE)</f>
        <v>24000</v>
      </c>
      <c r="J4663" s="20">
        <f t="shared" si="72"/>
        <v>0.5</v>
      </c>
    </row>
    <row r="4664" spans="1:10" x14ac:dyDescent="0.3">
      <c r="A4664" s="33">
        <v>4663</v>
      </c>
      <c r="B4664" s="4">
        <v>19</v>
      </c>
      <c r="C4664" s="15">
        <v>264</v>
      </c>
      <c r="D4664" s="16">
        <v>4</v>
      </c>
      <c r="E4664" s="22">
        <v>44729</v>
      </c>
      <c r="F4664" s="19">
        <v>70</v>
      </c>
      <c r="G4664" s="18">
        <v>0.12</v>
      </c>
      <c r="H4664">
        <f>F4664*VLOOKUP(B4664,產品!$A$2:$H$61,7,FALSE)*(1-銷售總表!G4664)</f>
        <v>110880</v>
      </c>
      <c r="I4664" s="35">
        <f>H4664-F4664*VLOOKUP(銷售總表!B4664,產品!$A$2:$H$61,8,FALSE)</f>
        <v>60480</v>
      </c>
      <c r="J4664" s="20">
        <f t="shared" si="72"/>
        <v>0.54545454545454541</v>
      </c>
    </row>
    <row r="4665" spans="1:10" x14ac:dyDescent="0.3">
      <c r="A4665" s="33">
        <v>4664</v>
      </c>
      <c r="B4665" s="4">
        <v>7</v>
      </c>
      <c r="C4665" s="15">
        <v>136</v>
      </c>
      <c r="D4665" s="16">
        <v>3</v>
      </c>
      <c r="E4665" s="23">
        <v>44729</v>
      </c>
      <c r="F4665">
        <v>90</v>
      </c>
      <c r="G4665" s="20">
        <v>0.18</v>
      </c>
      <c r="H4665">
        <f>F4665*VLOOKUP(B4665,產品!$A$2:$H$61,7,FALSE)*(1-銷售總表!G4665)</f>
        <v>73800</v>
      </c>
      <c r="I4665" s="35">
        <f>H4665-F4665*VLOOKUP(銷售總表!B4665,產品!$A$2:$H$61,8,FALSE)</f>
        <v>37800</v>
      </c>
      <c r="J4665" s="20">
        <f t="shared" si="72"/>
        <v>0.51219512195121952</v>
      </c>
    </row>
    <row r="4666" spans="1:10" x14ac:dyDescent="0.3">
      <c r="A4666" s="33">
        <v>4665</v>
      </c>
      <c r="B4666" s="4">
        <v>39</v>
      </c>
      <c r="C4666" s="15">
        <v>115</v>
      </c>
      <c r="D4666" s="16">
        <v>9</v>
      </c>
      <c r="E4666" s="22">
        <v>44730</v>
      </c>
      <c r="F4666" s="19">
        <v>2</v>
      </c>
      <c r="G4666" s="18">
        <v>0.12</v>
      </c>
      <c r="H4666">
        <f>F4666*VLOOKUP(B4666,產品!$A$2:$H$61,7,FALSE)*(1-銷售總表!G4666)</f>
        <v>31680</v>
      </c>
      <c r="I4666" s="35">
        <f>H4666-F4666*VLOOKUP(銷售總表!B4666,產品!$A$2:$H$61,8,FALSE)</f>
        <v>8280</v>
      </c>
      <c r="J4666" s="20">
        <f t="shared" si="72"/>
        <v>0.26136363636363635</v>
      </c>
    </row>
    <row r="4667" spans="1:10" x14ac:dyDescent="0.3">
      <c r="A4667" s="33">
        <v>4666</v>
      </c>
      <c r="B4667" s="4">
        <v>52</v>
      </c>
      <c r="C4667" s="15">
        <v>122</v>
      </c>
      <c r="D4667" s="16">
        <v>8</v>
      </c>
      <c r="E4667" s="22">
        <v>44730</v>
      </c>
      <c r="F4667" s="19">
        <v>4</v>
      </c>
      <c r="G4667" s="18">
        <v>0.06</v>
      </c>
      <c r="H4667">
        <f>F4667*VLOOKUP(B4667,產品!$A$2:$H$61,7,FALSE)*(1-銷售總表!G4667)</f>
        <v>82720</v>
      </c>
      <c r="I4667" s="35">
        <f>H4667-F4667*VLOOKUP(銷售總表!B4667,產品!$A$2:$H$61,8,FALSE)</f>
        <v>21120.000000000007</v>
      </c>
      <c r="J4667" s="20">
        <f t="shared" si="72"/>
        <v>0.2553191489361703</v>
      </c>
    </row>
    <row r="4668" spans="1:10" x14ac:dyDescent="0.3">
      <c r="A4668" s="33">
        <v>4667</v>
      </c>
      <c r="B4668" s="4">
        <v>58</v>
      </c>
      <c r="C4668" s="15">
        <v>115</v>
      </c>
      <c r="D4668" s="16">
        <v>7</v>
      </c>
      <c r="E4668" s="22">
        <v>44730</v>
      </c>
      <c r="F4668" s="19">
        <v>4</v>
      </c>
      <c r="G4668" s="18">
        <v>0.05</v>
      </c>
      <c r="H4668">
        <f>F4668*VLOOKUP(B4668,產品!$A$2:$H$61,7,FALSE)*(1-銷售總表!G4668)</f>
        <v>79800</v>
      </c>
      <c r="I4668" s="35">
        <f>H4668-F4668*VLOOKUP(銷售總表!B4668,產品!$A$2:$H$61,8,FALSE)</f>
        <v>21000.000000000007</v>
      </c>
      <c r="J4668" s="20">
        <f t="shared" si="72"/>
        <v>0.2631578947368422</v>
      </c>
    </row>
    <row r="4669" spans="1:10" x14ac:dyDescent="0.3">
      <c r="A4669" s="33">
        <v>4668</v>
      </c>
      <c r="B4669" s="4">
        <v>25</v>
      </c>
      <c r="C4669" s="15">
        <v>286</v>
      </c>
      <c r="D4669" s="16">
        <v>8</v>
      </c>
      <c r="E4669" s="22">
        <v>44730</v>
      </c>
      <c r="F4669" s="19">
        <v>6</v>
      </c>
      <c r="G4669" s="18">
        <v>0.08</v>
      </c>
      <c r="H4669">
        <f>F4669*VLOOKUP(B4669,產品!$A$2:$H$61,7,FALSE)*(1-銷售總表!G4669)</f>
        <v>33120</v>
      </c>
      <c r="I4669" s="35">
        <f>H4669-F4669*VLOOKUP(銷售總表!B4669,產品!$A$2:$H$61,8,FALSE)</f>
        <v>11520</v>
      </c>
      <c r="J4669" s="20">
        <f t="shared" si="72"/>
        <v>0.34782608695652173</v>
      </c>
    </row>
    <row r="4670" spans="1:10" x14ac:dyDescent="0.3">
      <c r="A4670" s="33">
        <v>4669</v>
      </c>
      <c r="B4670" s="4">
        <v>56</v>
      </c>
      <c r="C4670" s="15">
        <v>116</v>
      </c>
      <c r="D4670" s="16">
        <v>2</v>
      </c>
      <c r="E4670" s="22">
        <v>44730</v>
      </c>
      <c r="F4670" s="19">
        <v>7</v>
      </c>
      <c r="G4670" s="18">
        <v>0.13</v>
      </c>
      <c r="H4670">
        <f>F4670*VLOOKUP(B4670,產品!$A$2:$H$61,7,FALSE)*(1-銷售總表!G4670)</f>
        <v>133980</v>
      </c>
      <c r="I4670" s="35">
        <f>H4670-F4670*VLOOKUP(銷售總表!B4670,產品!$A$2:$H$61,8,FALSE)</f>
        <v>26180.000000000015</v>
      </c>
      <c r="J4670" s="20">
        <f t="shared" si="72"/>
        <v>0.19540229885057483</v>
      </c>
    </row>
    <row r="4671" spans="1:10" x14ac:dyDescent="0.3">
      <c r="A4671" s="33">
        <v>4670</v>
      </c>
      <c r="B4671" s="4">
        <v>43</v>
      </c>
      <c r="C4671" s="15">
        <v>292</v>
      </c>
      <c r="D4671" s="16">
        <v>1</v>
      </c>
      <c r="E4671" s="22">
        <v>44730</v>
      </c>
      <c r="F4671" s="19">
        <v>13</v>
      </c>
      <c r="G4671" s="18">
        <v>0.17</v>
      </c>
      <c r="H4671">
        <f>F4671*VLOOKUP(B4671,產品!$A$2:$H$61,7,FALSE)*(1-銷售總表!G4671)</f>
        <v>194220</v>
      </c>
      <c r="I4671" s="35">
        <f>H4671-F4671*VLOOKUP(銷售總表!B4671,產品!$A$2:$H$61,8,FALSE)</f>
        <v>42120</v>
      </c>
      <c r="J4671" s="20">
        <f t="shared" si="72"/>
        <v>0.21686746987951808</v>
      </c>
    </row>
    <row r="4672" spans="1:10" x14ac:dyDescent="0.3">
      <c r="A4672" s="33">
        <v>4671</v>
      </c>
      <c r="B4672" s="4">
        <v>12</v>
      </c>
      <c r="C4672" s="15">
        <v>278</v>
      </c>
      <c r="D4672" s="16">
        <v>7</v>
      </c>
      <c r="E4672" s="22">
        <v>44730</v>
      </c>
      <c r="F4672" s="19">
        <v>20</v>
      </c>
      <c r="G4672" s="18">
        <v>0.18</v>
      </c>
      <c r="H4672">
        <f>F4672*VLOOKUP(B4672,產品!$A$2:$H$61,7,FALSE)*(1-銷售總表!G4672)</f>
        <v>16400</v>
      </c>
      <c r="I4672" s="35">
        <f>H4672-F4672*VLOOKUP(銷售總表!B4672,產品!$A$2:$H$61,8,FALSE)</f>
        <v>8400</v>
      </c>
      <c r="J4672" s="20">
        <f t="shared" si="72"/>
        <v>0.51219512195121952</v>
      </c>
    </row>
    <row r="4673" spans="1:10" x14ac:dyDescent="0.3">
      <c r="A4673" s="33">
        <v>4672</v>
      </c>
      <c r="B4673" s="4">
        <v>8</v>
      </c>
      <c r="C4673" s="15">
        <v>1</v>
      </c>
      <c r="D4673" s="16">
        <v>5</v>
      </c>
      <c r="E4673" s="22">
        <v>44730</v>
      </c>
      <c r="F4673" s="19">
        <v>40</v>
      </c>
      <c r="G4673" s="18">
        <v>0.15</v>
      </c>
      <c r="H4673">
        <f>F4673*VLOOKUP(B4673,產品!$A$2:$H$61,7,FALSE)*(1-銷售總表!G4673)</f>
        <v>34000</v>
      </c>
      <c r="I4673" s="35">
        <f>H4673-F4673*VLOOKUP(銷售總表!B4673,產品!$A$2:$H$61,8,FALSE)</f>
        <v>18000</v>
      </c>
      <c r="J4673" s="20">
        <f t="shared" si="72"/>
        <v>0.52941176470588236</v>
      </c>
    </row>
    <row r="4674" spans="1:10" x14ac:dyDescent="0.3">
      <c r="A4674" s="33">
        <v>4673</v>
      </c>
      <c r="B4674" s="4">
        <v>10</v>
      </c>
      <c r="C4674" s="15">
        <v>6</v>
      </c>
      <c r="D4674" s="16">
        <v>6</v>
      </c>
      <c r="E4674" s="22">
        <v>44730</v>
      </c>
      <c r="F4674" s="19">
        <v>50</v>
      </c>
      <c r="G4674" s="18">
        <v>0.18</v>
      </c>
      <c r="H4674">
        <f>F4674*VLOOKUP(B4674,產品!$A$2:$H$61,7,FALSE)*(1-銷售總表!G4674)</f>
        <v>41000</v>
      </c>
      <c r="I4674" s="35">
        <f>H4674-F4674*VLOOKUP(銷售總表!B4674,產品!$A$2:$H$61,8,FALSE)</f>
        <v>21000</v>
      </c>
      <c r="J4674" s="20">
        <f t="shared" si="72"/>
        <v>0.51219512195121952</v>
      </c>
    </row>
    <row r="4675" spans="1:10" x14ac:dyDescent="0.3">
      <c r="A4675" s="33">
        <v>4674</v>
      </c>
      <c r="B4675" s="4">
        <v>5</v>
      </c>
      <c r="C4675" s="15">
        <v>7</v>
      </c>
      <c r="D4675" s="16">
        <v>10</v>
      </c>
      <c r="E4675" s="22">
        <v>44730</v>
      </c>
      <c r="F4675" s="19">
        <v>60</v>
      </c>
      <c r="G4675" s="18">
        <v>0.08</v>
      </c>
      <c r="H4675">
        <f>F4675*VLOOKUP(B4675,產品!$A$2:$H$61,7,FALSE)*(1-銷售總表!G4675)</f>
        <v>55200</v>
      </c>
      <c r="I4675" s="35">
        <f>H4675-F4675*VLOOKUP(銷售總表!B4675,產品!$A$2:$H$61,8,FALSE)</f>
        <v>31200</v>
      </c>
      <c r="J4675" s="20">
        <f t="shared" ref="J4675:J4738" si="73">I4675/H4675</f>
        <v>0.56521739130434778</v>
      </c>
    </row>
    <row r="4676" spans="1:10" x14ac:dyDescent="0.3">
      <c r="A4676" s="33">
        <v>4675</v>
      </c>
      <c r="B4676" s="4">
        <v>16</v>
      </c>
      <c r="C4676" s="15">
        <v>258</v>
      </c>
      <c r="D4676" s="16">
        <v>8</v>
      </c>
      <c r="E4676" s="22">
        <v>44730</v>
      </c>
      <c r="F4676" s="19">
        <v>100</v>
      </c>
      <c r="G4676" s="18">
        <v>0.19</v>
      </c>
      <c r="H4676">
        <f>F4676*VLOOKUP(B4676,產品!$A$2:$H$61,7,FALSE)*(1-銷售總表!G4676)</f>
        <v>145800</v>
      </c>
      <c r="I4676" s="35">
        <f>H4676-F4676*VLOOKUP(銷售總表!B4676,產品!$A$2:$H$61,8,FALSE)</f>
        <v>73800</v>
      </c>
      <c r="J4676" s="20">
        <f t="shared" si="73"/>
        <v>0.50617283950617287</v>
      </c>
    </row>
    <row r="4677" spans="1:10" x14ac:dyDescent="0.3">
      <c r="A4677" s="33">
        <v>4676</v>
      </c>
      <c r="B4677" s="4">
        <v>27</v>
      </c>
      <c r="C4677" s="15">
        <v>118</v>
      </c>
      <c r="D4677" s="16">
        <v>7</v>
      </c>
      <c r="E4677" s="23">
        <v>44731</v>
      </c>
      <c r="F4677">
        <v>4</v>
      </c>
      <c r="G4677" s="20">
        <v>0.14000000000000001</v>
      </c>
      <c r="H4677">
        <f>F4677*VLOOKUP(B4677,產品!$A$2:$H$61,7,FALSE)*(1-銷售總表!G4677)</f>
        <v>24080</v>
      </c>
      <c r="I4677" s="35">
        <f>H4677-F4677*VLOOKUP(銷售總表!B4677,產品!$A$2:$H$61,8,FALSE)</f>
        <v>7280</v>
      </c>
      <c r="J4677" s="20">
        <f t="shared" si="73"/>
        <v>0.30232558139534882</v>
      </c>
    </row>
    <row r="4678" spans="1:10" x14ac:dyDescent="0.3">
      <c r="A4678" s="33">
        <v>4677</v>
      </c>
      <c r="B4678" s="4">
        <v>35</v>
      </c>
      <c r="C4678" s="15">
        <v>6</v>
      </c>
      <c r="D4678" s="16">
        <v>7</v>
      </c>
      <c r="E4678" s="22">
        <v>44731</v>
      </c>
      <c r="F4678" s="19">
        <v>6</v>
      </c>
      <c r="G4678" s="18">
        <v>0.05</v>
      </c>
      <c r="H4678">
        <f>F4678*VLOOKUP(B4678,產品!$A$2:$H$61,7,FALSE)*(1-銷售總表!G4678)</f>
        <v>48450</v>
      </c>
      <c r="I4678" s="35">
        <f>H4678-F4678*VLOOKUP(銷售總表!B4678,產品!$A$2:$H$61,8,FALSE)</f>
        <v>17850</v>
      </c>
      <c r="J4678" s="20">
        <f t="shared" si="73"/>
        <v>0.36842105263157893</v>
      </c>
    </row>
    <row r="4679" spans="1:10" x14ac:dyDescent="0.3">
      <c r="A4679" s="33">
        <v>4678</v>
      </c>
      <c r="B4679" s="4">
        <v>54</v>
      </c>
      <c r="C4679" s="15">
        <v>280</v>
      </c>
      <c r="D4679" s="16">
        <v>5</v>
      </c>
      <c r="E4679" s="23">
        <v>44731</v>
      </c>
      <c r="F4679">
        <v>6</v>
      </c>
      <c r="G4679" s="20">
        <v>0.2</v>
      </c>
      <c r="H4679">
        <f>F4679*VLOOKUP(B4679,產品!$A$2:$H$61,7,FALSE)*(1-銷售總表!G4679)</f>
        <v>86400</v>
      </c>
      <c r="I4679" s="35">
        <f>H4679-F4679*VLOOKUP(銷售總表!B4679,產品!$A$2:$H$61,8,FALSE)</f>
        <v>10800</v>
      </c>
      <c r="J4679" s="20">
        <f t="shared" si="73"/>
        <v>0.125</v>
      </c>
    </row>
    <row r="4680" spans="1:10" x14ac:dyDescent="0.3">
      <c r="A4680" s="33">
        <v>4679</v>
      </c>
      <c r="B4680" s="4">
        <v>26</v>
      </c>
      <c r="C4680" s="15">
        <v>272</v>
      </c>
      <c r="D4680" s="16">
        <v>9</v>
      </c>
      <c r="E4680" s="22">
        <v>44731</v>
      </c>
      <c r="F4680" s="19">
        <v>9</v>
      </c>
      <c r="G4680" s="18">
        <v>0.12</v>
      </c>
      <c r="H4680">
        <f>F4680*VLOOKUP(B4680,產品!$A$2:$H$61,7,FALSE)*(1-銷售總表!G4680)</f>
        <v>51480</v>
      </c>
      <c r="I4680" s="35">
        <f>H4680-F4680*VLOOKUP(銷售總表!B4680,產品!$A$2:$H$61,8,FALSE)</f>
        <v>16380</v>
      </c>
      <c r="J4680" s="20">
        <f t="shared" si="73"/>
        <v>0.31818181818181818</v>
      </c>
    </row>
    <row r="4681" spans="1:10" x14ac:dyDescent="0.3">
      <c r="A4681" s="33">
        <v>4680</v>
      </c>
      <c r="B4681" s="4">
        <v>44</v>
      </c>
      <c r="C4681" s="15">
        <v>113</v>
      </c>
      <c r="D4681" s="16">
        <v>1</v>
      </c>
      <c r="E4681" s="22">
        <v>44731</v>
      </c>
      <c r="F4681" s="19">
        <v>10</v>
      </c>
      <c r="G4681" s="18">
        <v>0.1</v>
      </c>
      <c r="H4681">
        <f>F4681*VLOOKUP(B4681,產品!$A$2:$H$61,7,FALSE)*(1-銷售總表!G4681)</f>
        <v>180000</v>
      </c>
      <c r="I4681" s="35">
        <f>H4681-F4681*VLOOKUP(銷售總表!B4681,產品!$A$2:$H$61,8,FALSE)</f>
        <v>50000</v>
      </c>
      <c r="J4681" s="20">
        <f t="shared" si="73"/>
        <v>0.27777777777777779</v>
      </c>
    </row>
    <row r="4682" spans="1:10" x14ac:dyDescent="0.3">
      <c r="A4682" s="33">
        <v>4681</v>
      </c>
      <c r="B4682" s="4">
        <v>48</v>
      </c>
      <c r="C4682" s="15">
        <v>267</v>
      </c>
      <c r="D4682" s="16">
        <v>6</v>
      </c>
      <c r="E4682" s="22">
        <v>44731</v>
      </c>
      <c r="F4682" s="19">
        <v>15</v>
      </c>
      <c r="G4682" s="18">
        <v>0.16</v>
      </c>
      <c r="H4682">
        <f>F4682*VLOOKUP(B4682,產品!$A$2:$H$61,7,FALSE)*(1-銷售總表!G4682)</f>
        <v>277200</v>
      </c>
      <c r="I4682" s="35">
        <f>H4682-F4682*VLOOKUP(銷售總表!B4682,產品!$A$2:$H$61,8,FALSE)</f>
        <v>62700</v>
      </c>
      <c r="J4682" s="20">
        <f t="shared" si="73"/>
        <v>0.22619047619047619</v>
      </c>
    </row>
    <row r="4683" spans="1:10" x14ac:dyDescent="0.3">
      <c r="A4683" s="33">
        <v>4682</v>
      </c>
      <c r="B4683" s="4">
        <v>20</v>
      </c>
      <c r="C4683" s="15">
        <v>10</v>
      </c>
      <c r="D4683" s="16">
        <v>8</v>
      </c>
      <c r="E4683" s="22">
        <v>44731</v>
      </c>
      <c r="F4683" s="19">
        <v>40</v>
      </c>
      <c r="G4683" s="18">
        <v>0.08</v>
      </c>
      <c r="H4683">
        <f>F4683*VLOOKUP(B4683,產品!$A$2:$H$61,7,FALSE)*(1-銷售總表!G4683)</f>
        <v>66240</v>
      </c>
      <c r="I4683" s="35">
        <f>H4683-F4683*VLOOKUP(銷售總表!B4683,產品!$A$2:$H$61,8,FALSE)</f>
        <v>37440</v>
      </c>
      <c r="J4683" s="20">
        <f t="shared" si="73"/>
        <v>0.56521739130434778</v>
      </c>
    </row>
    <row r="4684" spans="1:10" x14ac:dyDescent="0.3">
      <c r="A4684" s="33">
        <v>4683</v>
      </c>
      <c r="B4684" s="4">
        <v>3</v>
      </c>
      <c r="C4684" s="15">
        <v>123</v>
      </c>
      <c r="D4684" s="16">
        <v>5</v>
      </c>
      <c r="E4684" s="22">
        <v>44731</v>
      </c>
      <c r="F4684" s="19">
        <v>60</v>
      </c>
      <c r="G4684" s="18">
        <v>0.17</v>
      </c>
      <c r="H4684">
        <f>F4684*VLOOKUP(B4684,產品!$A$2:$H$61,7,FALSE)*(1-銷售總表!G4684)</f>
        <v>49800</v>
      </c>
      <c r="I4684" s="35">
        <f>H4684-F4684*VLOOKUP(銷售總表!B4684,產品!$A$2:$H$61,8,FALSE)</f>
        <v>25800</v>
      </c>
      <c r="J4684" s="20">
        <f t="shared" si="73"/>
        <v>0.51807228915662651</v>
      </c>
    </row>
    <row r="4685" spans="1:10" x14ac:dyDescent="0.3">
      <c r="A4685" s="33">
        <v>4684</v>
      </c>
      <c r="B4685" s="4">
        <v>5</v>
      </c>
      <c r="C4685" s="15">
        <v>138</v>
      </c>
      <c r="D4685" s="16">
        <v>6</v>
      </c>
      <c r="E4685" s="22">
        <v>44731</v>
      </c>
      <c r="F4685" s="19">
        <v>70</v>
      </c>
      <c r="G4685" s="18">
        <v>0.14000000000000001</v>
      </c>
      <c r="H4685">
        <f>F4685*VLOOKUP(B4685,產品!$A$2:$H$61,7,FALSE)*(1-銷售總表!G4685)</f>
        <v>60200</v>
      </c>
      <c r="I4685" s="35">
        <f>H4685-F4685*VLOOKUP(銷售總表!B4685,產品!$A$2:$H$61,8,FALSE)</f>
        <v>32200</v>
      </c>
      <c r="J4685" s="20">
        <f t="shared" si="73"/>
        <v>0.53488372093023251</v>
      </c>
    </row>
    <row r="4686" spans="1:10" x14ac:dyDescent="0.3">
      <c r="A4686" s="33">
        <v>4685</v>
      </c>
      <c r="B4686" s="4">
        <v>6</v>
      </c>
      <c r="C4686" s="15">
        <v>9</v>
      </c>
      <c r="D4686" s="16">
        <v>1</v>
      </c>
      <c r="E4686" s="22">
        <v>44731</v>
      </c>
      <c r="F4686" s="19">
        <v>150</v>
      </c>
      <c r="G4686" s="18">
        <v>0.1</v>
      </c>
      <c r="H4686">
        <f>F4686*VLOOKUP(B4686,產品!$A$2:$H$61,7,FALSE)*(1-銷售總表!G4686)</f>
        <v>135000</v>
      </c>
      <c r="I4686" s="35">
        <f>H4686-F4686*VLOOKUP(銷售總表!B4686,產品!$A$2:$H$61,8,FALSE)</f>
        <v>75000</v>
      </c>
      <c r="J4686" s="20">
        <f t="shared" si="73"/>
        <v>0.55555555555555558</v>
      </c>
    </row>
    <row r="4687" spans="1:10" x14ac:dyDescent="0.3">
      <c r="A4687" s="33">
        <v>4686</v>
      </c>
      <c r="B4687" s="4">
        <v>49</v>
      </c>
      <c r="C4687" s="15">
        <v>6</v>
      </c>
      <c r="D4687" s="16">
        <v>1</v>
      </c>
      <c r="E4687" s="22">
        <v>44732</v>
      </c>
      <c r="F4687" s="19">
        <v>3</v>
      </c>
      <c r="G4687" s="18">
        <v>0.08</v>
      </c>
      <c r="H4687">
        <f>F4687*VLOOKUP(B4687,產品!$A$2:$H$61,7,FALSE)*(1-銷售總表!G4687)</f>
        <v>41400</v>
      </c>
      <c r="I4687" s="35">
        <f>H4687-F4687*VLOOKUP(銷售總表!B4687,產品!$A$2:$H$61,8,FALSE)</f>
        <v>9900</v>
      </c>
      <c r="J4687" s="20">
        <f t="shared" si="73"/>
        <v>0.2391304347826087</v>
      </c>
    </row>
    <row r="4688" spans="1:10" x14ac:dyDescent="0.3">
      <c r="A4688" s="33">
        <v>4687</v>
      </c>
      <c r="B4688" s="4">
        <v>23</v>
      </c>
      <c r="C4688" s="15">
        <v>279</v>
      </c>
      <c r="D4688" s="16">
        <v>6</v>
      </c>
      <c r="E4688" s="22">
        <v>44732</v>
      </c>
      <c r="F4688" s="19">
        <v>40</v>
      </c>
      <c r="G4688" s="18">
        <v>0.17</v>
      </c>
      <c r="H4688">
        <f>F4688*VLOOKUP(B4688,產品!$A$2:$H$61,7,FALSE)*(1-銷售總表!G4688)</f>
        <v>59760</v>
      </c>
      <c r="I4688" s="35">
        <f>H4688-F4688*VLOOKUP(銷售總表!B4688,產品!$A$2:$H$61,8,FALSE)</f>
        <v>30960</v>
      </c>
      <c r="J4688" s="20">
        <f t="shared" si="73"/>
        <v>0.51807228915662651</v>
      </c>
    </row>
    <row r="4689" spans="1:10" x14ac:dyDescent="0.3">
      <c r="A4689" s="33">
        <v>4688</v>
      </c>
      <c r="B4689" s="4">
        <v>56</v>
      </c>
      <c r="C4689" s="15">
        <v>270</v>
      </c>
      <c r="D4689" s="16">
        <v>3</v>
      </c>
      <c r="E4689" s="22">
        <v>44733</v>
      </c>
      <c r="F4689" s="19">
        <v>2</v>
      </c>
      <c r="G4689" s="18">
        <v>0.18</v>
      </c>
      <c r="H4689">
        <f>F4689*VLOOKUP(B4689,產品!$A$2:$H$61,7,FALSE)*(1-銷售總表!G4689)</f>
        <v>36080</v>
      </c>
      <c r="I4689" s="35">
        <f>H4689-F4689*VLOOKUP(銷售總表!B4689,產品!$A$2:$H$61,8,FALSE)</f>
        <v>5280.0000000000036</v>
      </c>
      <c r="J4689" s="20">
        <f t="shared" si="73"/>
        <v>0.14634146341463425</v>
      </c>
    </row>
    <row r="4690" spans="1:10" x14ac:dyDescent="0.3">
      <c r="A4690" s="33">
        <v>4689</v>
      </c>
      <c r="B4690" s="4">
        <v>60</v>
      </c>
      <c r="C4690" s="15">
        <v>283</v>
      </c>
      <c r="D4690" s="16">
        <v>2</v>
      </c>
      <c r="E4690" s="22">
        <v>44733</v>
      </c>
      <c r="F4690" s="19">
        <v>8</v>
      </c>
      <c r="G4690" s="18">
        <v>0.17</v>
      </c>
      <c r="H4690">
        <f>F4690*VLOOKUP(B4690,產品!$A$2:$H$61,7,FALSE)*(1-銷售總表!G4690)</f>
        <v>166000</v>
      </c>
      <c r="I4690" s="35">
        <f>H4690-F4690*VLOOKUP(銷售總表!B4690,產品!$A$2:$H$61,8,FALSE)</f>
        <v>26000</v>
      </c>
      <c r="J4690" s="20">
        <f t="shared" si="73"/>
        <v>0.15662650602409639</v>
      </c>
    </row>
    <row r="4691" spans="1:10" x14ac:dyDescent="0.3">
      <c r="A4691" s="33">
        <v>4690</v>
      </c>
      <c r="B4691" s="4">
        <v>46</v>
      </c>
      <c r="C4691" s="15">
        <v>9</v>
      </c>
      <c r="D4691" s="16">
        <v>1</v>
      </c>
      <c r="E4691" s="22">
        <v>44733</v>
      </c>
      <c r="F4691" s="19">
        <v>10</v>
      </c>
      <c r="G4691" s="18">
        <v>0.06</v>
      </c>
      <c r="H4691">
        <f>F4691*VLOOKUP(B4691,產品!$A$2:$H$61,7,FALSE)*(1-銷售總表!G4691)</f>
        <v>159800</v>
      </c>
      <c r="I4691" s="35">
        <f>H4691-F4691*VLOOKUP(銷售總表!B4691,產品!$A$2:$H$61,8,FALSE)</f>
        <v>49300</v>
      </c>
      <c r="J4691" s="20">
        <f t="shared" si="73"/>
        <v>0.30851063829787234</v>
      </c>
    </row>
    <row r="4692" spans="1:10" x14ac:dyDescent="0.3">
      <c r="A4692" s="33">
        <v>4691</v>
      </c>
      <c r="B4692" s="4">
        <v>38</v>
      </c>
      <c r="C4692" s="15">
        <v>3</v>
      </c>
      <c r="D4692" s="16">
        <v>7</v>
      </c>
      <c r="E4692" s="22">
        <v>44733</v>
      </c>
      <c r="F4692" s="19">
        <v>10</v>
      </c>
      <c r="G4692" s="18">
        <v>0.16</v>
      </c>
      <c r="H4692">
        <f>F4692*VLOOKUP(B4692,產品!$A$2:$H$61,7,FALSE)*(1-銷售總表!G4692)</f>
        <v>126000</v>
      </c>
      <c r="I4692" s="35">
        <f>H4692-F4692*VLOOKUP(銷售總表!B4692,產品!$A$2:$H$61,8,FALSE)</f>
        <v>28500</v>
      </c>
      <c r="J4692" s="20">
        <f t="shared" si="73"/>
        <v>0.22619047619047619</v>
      </c>
    </row>
    <row r="4693" spans="1:10" x14ac:dyDescent="0.3">
      <c r="A4693" s="33">
        <v>4692</v>
      </c>
      <c r="B4693" s="4">
        <v>15</v>
      </c>
      <c r="C4693" s="15">
        <v>3</v>
      </c>
      <c r="D4693" s="16">
        <v>6</v>
      </c>
      <c r="E4693" s="22">
        <v>44733</v>
      </c>
      <c r="F4693" s="19">
        <v>30</v>
      </c>
      <c r="G4693" s="18">
        <v>7.0000000000000007E-2</v>
      </c>
      <c r="H4693">
        <f>F4693*VLOOKUP(B4693,產品!$A$2:$H$61,7,FALSE)*(1-銷售總表!G4693)</f>
        <v>50220</v>
      </c>
      <c r="I4693" s="35">
        <f>H4693-F4693*VLOOKUP(銷售總表!B4693,產品!$A$2:$H$61,8,FALSE)</f>
        <v>28620</v>
      </c>
      <c r="J4693" s="20">
        <f t="shared" si="73"/>
        <v>0.56989247311827962</v>
      </c>
    </row>
    <row r="4694" spans="1:10" x14ac:dyDescent="0.3">
      <c r="A4694" s="33">
        <v>4693</v>
      </c>
      <c r="B4694" s="4">
        <v>13</v>
      </c>
      <c r="C4694" s="15">
        <v>259</v>
      </c>
      <c r="D4694" s="16">
        <v>1</v>
      </c>
      <c r="E4694" s="22">
        <v>44733</v>
      </c>
      <c r="F4694" s="19">
        <v>100</v>
      </c>
      <c r="G4694" s="18">
        <v>7.0000000000000007E-2</v>
      </c>
      <c r="H4694">
        <f>F4694*VLOOKUP(B4694,產品!$A$2:$H$61,7,FALSE)*(1-銷售總表!G4694)</f>
        <v>167400</v>
      </c>
      <c r="I4694" s="35">
        <f>H4694-F4694*VLOOKUP(銷售總表!B4694,產品!$A$2:$H$61,8,FALSE)</f>
        <v>95400</v>
      </c>
      <c r="J4694" s="20">
        <f t="shared" si="73"/>
        <v>0.56989247311827962</v>
      </c>
    </row>
    <row r="4695" spans="1:10" x14ac:dyDescent="0.3">
      <c r="A4695" s="33">
        <v>4694</v>
      </c>
      <c r="B4695" s="4">
        <v>41</v>
      </c>
      <c r="C4695" s="15">
        <v>260</v>
      </c>
      <c r="D4695" s="16">
        <v>9</v>
      </c>
      <c r="E4695" s="22">
        <v>44734</v>
      </c>
      <c r="F4695" s="19">
        <v>2</v>
      </c>
      <c r="G4695" s="18">
        <v>0.17</v>
      </c>
      <c r="H4695">
        <f>F4695*VLOOKUP(B4695,產品!$A$2:$H$61,7,FALSE)*(1-銷售總表!G4695)</f>
        <v>19920</v>
      </c>
      <c r="I4695" s="35">
        <f>H4695-F4695*VLOOKUP(銷售總表!B4695,產品!$A$2:$H$61,8,FALSE)</f>
        <v>4320</v>
      </c>
      <c r="J4695" s="20">
        <f t="shared" si="73"/>
        <v>0.21686746987951808</v>
      </c>
    </row>
    <row r="4696" spans="1:10" x14ac:dyDescent="0.3">
      <c r="A4696" s="33">
        <v>4695</v>
      </c>
      <c r="B4696" s="4">
        <v>39</v>
      </c>
      <c r="C4696" s="15">
        <v>123</v>
      </c>
      <c r="D4696" s="16">
        <v>9</v>
      </c>
      <c r="E4696" s="22">
        <v>44734</v>
      </c>
      <c r="F4696" s="19">
        <v>6</v>
      </c>
      <c r="G4696" s="18">
        <v>0.18</v>
      </c>
      <c r="H4696">
        <f>F4696*VLOOKUP(B4696,產品!$A$2:$H$61,7,FALSE)*(1-銷售總表!G4696)</f>
        <v>88560</v>
      </c>
      <c r="I4696" s="35">
        <f>H4696-F4696*VLOOKUP(銷售總表!B4696,產品!$A$2:$H$61,8,FALSE)</f>
        <v>18360</v>
      </c>
      <c r="J4696" s="20">
        <f t="shared" si="73"/>
        <v>0.2073170731707317</v>
      </c>
    </row>
    <row r="4697" spans="1:10" x14ac:dyDescent="0.3">
      <c r="A4697" s="33">
        <v>4696</v>
      </c>
      <c r="B4697" s="4">
        <v>19</v>
      </c>
      <c r="C4697" s="15">
        <v>10</v>
      </c>
      <c r="D4697" s="16">
        <v>7</v>
      </c>
      <c r="E4697" s="23">
        <v>44734</v>
      </c>
      <c r="F4697">
        <v>11</v>
      </c>
      <c r="G4697" s="20">
        <v>0.19</v>
      </c>
      <c r="H4697">
        <f>F4697*VLOOKUP(B4697,產品!$A$2:$H$61,7,FALSE)*(1-銷售總表!G4697)</f>
        <v>16038.000000000002</v>
      </c>
      <c r="I4697" s="35">
        <f>H4697-F4697*VLOOKUP(銷售總表!B4697,產品!$A$2:$H$61,8,FALSE)</f>
        <v>8118.0000000000018</v>
      </c>
      <c r="J4697" s="20">
        <f t="shared" si="73"/>
        <v>0.50617283950617287</v>
      </c>
    </row>
    <row r="4698" spans="1:10" x14ac:dyDescent="0.3">
      <c r="A4698" s="33">
        <v>4697</v>
      </c>
      <c r="B4698" s="4">
        <v>57</v>
      </c>
      <c r="C4698" s="15">
        <v>112</v>
      </c>
      <c r="D4698" s="16">
        <v>8</v>
      </c>
      <c r="E4698" s="22">
        <v>44734</v>
      </c>
      <c r="F4698" s="19">
        <v>18</v>
      </c>
      <c r="G4698" s="18">
        <v>0.16</v>
      </c>
      <c r="H4698">
        <f>F4698*VLOOKUP(B4698,產品!$A$2:$H$61,7,FALSE)*(1-銷售總表!G4698)</f>
        <v>272160</v>
      </c>
      <c r="I4698" s="35">
        <f>H4698-F4698*VLOOKUP(銷售總表!B4698,產品!$A$2:$H$61,8,FALSE)</f>
        <v>45360</v>
      </c>
      <c r="J4698" s="20">
        <f t="shared" si="73"/>
        <v>0.16666666666666666</v>
      </c>
    </row>
    <row r="4699" spans="1:10" x14ac:dyDescent="0.3">
      <c r="A4699" s="33">
        <v>4698</v>
      </c>
      <c r="B4699" s="4">
        <v>1</v>
      </c>
      <c r="C4699" s="15">
        <v>281</v>
      </c>
      <c r="D4699" s="16">
        <v>10</v>
      </c>
      <c r="E4699" s="22">
        <v>44734</v>
      </c>
      <c r="F4699" s="19">
        <v>75</v>
      </c>
      <c r="G4699" s="18">
        <v>0.13</v>
      </c>
      <c r="H4699">
        <f>F4699*VLOOKUP(B4699,產品!$A$2:$H$61,7,FALSE)*(1-銷售總表!G4699)</f>
        <v>65250</v>
      </c>
      <c r="I4699" s="35">
        <f>H4699-F4699*VLOOKUP(銷售總表!B4699,產品!$A$2:$H$61,8,FALSE)</f>
        <v>35250</v>
      </c>
      <c r="J4699" s="20">
        <f t="shared" si="73"/>
        <v>0.54022988505747127</v>
      </c>
    </row>
    <row r="4700" spans="1:10" x14ac:dyDescent="0.3">
      <c r="A4700" s="33">
        <v>4699</v>
      </c>
      <c r="B4700" s="4">
        <v>32</v>
      </c>
      <c r="C4700" s="15">
        <v>121</v>
      </c>
      <c r="D4700" s="16">
        <v>3</v>
      </c>
      <c r="E4700" s="22">
        <v>44735</v>
      </c>
      <c r="F4700" s="19">
        <v>2</v>
      </c>
      <c r="G4700" s="18">
        <v>7.0000000000000007E-2</v>
      </c>
      <c r="H4700">
        <f>F4700*VLOOKUP(B4700,產品!$A$2:$H$61,7,FALSE)*(1-銷售總表!G4700)</f>
        <v>13949.999999999998</v>
      </c>
      <c r="I4700" s="35">
        <f>H4700-F4700*VLOOKUP(銷售總表!B4700,產品!$A$2:$H$61,8,FALSE)</f>
        <v>4949.9999999999982</v>
      </c>
      <c r="J4700" s="20">
        <f t="shared" si="73"/>
        <v>0.35483870967741926</v>
      </c>
    </row>
    <row r="4701" spans="1:10" x14ac:dyDescent="0.3">
      <c r="A4701" s="33">
        <v>4700</v>
      </c>
      <c r="B4701" s="4">
        <v>30</v>
      </c>
      <c r="C4701" s="15">
        <v>285</v>
      </c>
      <c r="D4701" s="16">
        <v>2</v>
      </c>
      <c r="E4701" s="22">
        <v>44735</v>
      </c>
      <c r="F4701" s="19">
        <v>3</v>
      </c>
      <c r="G4701" s="18">
        <v>0.11</v>
      </c>
      <c r="H4701">
        <f>F4701*VLOOKUP(B4701,產品!$A$2:$H$61,7,FALSE)*(1-銷售總表!G4701)</f>
        <v>17355</v>
      </c>
      <c r="I4701" s="35">
        <f>H4701-F4701*VLOOKUP(銷售總表!B4701,產品!$A$2:$H$61,8,FALSE)</f>
        <v>5655</v>
      </c>
      <c r="J4701" s="20">
        <f t="shared" si="73"/>
        <v>0.3258426966292135</v>
      </c>
    </row>
    <row r="4702" spans="1:10" x14ac:dyDescent="0.3">
      <c r="A4702" s="33">
        <v>4701</v>
      </c>
      <c r="B4702" s="4">
        <v>42</v>
      </c>
      <c r="C4702" s="15">
        <v>266</v>
      </c>
      <c r="D4702" s="16">
        <v>1</v>
      </c>
      <c r="E4702" s="22">
        <v>44735</v>
      </c>
      <c r="F4702" s="19">
        <v>4</v>
      </c>
      <c r="G4702" s="18">
        <v>0.11</v>
      </c>
      <c r="H4702">
        <f>F4702*VLOOKUP(B4702,產品!$A$2:$H$61,7,FALSE)*(1-銷售總表!G4702)</f>
        <v>53400</v>
      </c>
      <c r="I4702" s="35">
        <f>H4702-F4702*VLOOKUP(銷售總表!B4702,產品!$A$2:$H$61,8,FALSE)</f>
        <v>14400</v>
      </c>
      <c r="J4702" s="20">
        <f t="shared" si="73"/>
        <v>0.2696629213483146</v>
      </c>
    </row>
    <row r="4703" spans="1:10" x14ac:dyDescent="0.3">
      <c r="A4703" s="33">
        <v>4702</v>
      </c>
      <c r="B4703" s="4">
        <v>54</v>
      </c>
      <c r="C4703" s="15">
        <v>2</v>
      </c>
      <c r="D4703" s="16">
        <v>10</v>
      </c>
      <c r="E4703" s="22">
        <v>44735</v>
      </c>
      <c r="F4703" s="19">
        <v>8</v>
      </c>
      <c r="G4703" s="18">
        <v>0.11</v>
      </c>
      <c r="H4703">
        <f>F4703*VLOOKUP(B4703,產品!$A$2:$H$61,7,FALSE)*(1-銷售總表!G4703)</f>
        <v>128160</v>
      </c>
      <c r="I4703" s="35">
        <f>H4703-F4703*VLOOKUP(銷售總表!B4703,產品!$A$2:$H$61,8,FALSE)</f>
        <v>27360</v>
      </c>
      <c r="J4703" s="20">
        <f t="shared" si="73"/>
        <v>0.21348314606741572</v>
      </c>
    </row>
    <row r="4704" spans="1:10" x14ac:dyDescent="0.3">
      <c r="A4704" s="33">
        <v>4703</v>
      </c>
      <c r="B4704" s="4">
        <v>51</v>
      </c>
      <c r="C4704" s="15">
        <v>1</v>
      </c>
      <c r="D4704" s="16">
        <v>8</v>
      </c>
      <c r="E4704" s="22">
        <v>44735</v>
      </c>
      <c r="F4704" s="19">
        <v>9</v>
      </c>
      <c r="G4704" s="18">
        <v>0.18</v>
      </c>
      <c r="H4704">
        <f>F4704*VLOOKUP(B4704,產品!$A$2:$H$61,7,FALSE)*(1-銷售總表!G4704)</f>
        <v>147600</v>
      </c>
      <c r="I4704" s="35">
        <f>H4704-F4704*VLOOKUP(銷售總表!B4704,產品!$A$2:$H$61,8,FALSE)</f>
        <v>21600</v>
      </c>
      <c r="J4704" s="20">
        <f t="shared" si="73"/>
        <v>0.14634146341463414</v>
      </c>
    </row>
    <row r="4705" spans="1:10" x14ac:dyDescent="0.3">
      <c r="A4705" s="33">
        <v>4704</v>
      </c>
      <c r="B4705" s="4">
        <v>50</v>
      </c>
      <c r="C4705" s="15">
        <v>287</v>
      </c>
      <c r="D4705" s="16">
        <v>4</v>
      </c>
      <c r="E4705" s="22">
        <v>44735</v>
      </c>
      <c r="F4705" s="19">
        <v>10</v>
      </c>
      <c r="G4705" s="18">
        <v>0.14000000000000001</v>
      </c>
      <c r="H4705">
        <f>F4705*VLOOKUP(B4705,產品!$A$2:$H$61,7,FALSE)*(1-銷售總表!G4705)</f>
        <v>154800</v>
      </c>
      <c r="I4705" s="35">
        <f>H4705-F4705*VLOOKUP(銷售總表!B4705,產品!$A$2:$H$61,8,FALSE)</f>
        <v>28800</v>
      </c>
      <c r="J4705" s="20">
        <f t="shared" si="73"/>
        <v>0.18604651162790697</v>
      </c>
    </row>
    <row r="4706" spans="1:10" x14ac:dyDescent="0.3">
      <c r="A4706" s="33">
        <v>4705</v>
      </c>
      <c r="B4706" s="4">
        <v>19</v>
      </c>
      <c r="C4706" s="15">
        <v>117</v>
      </c>
      <c r="D4706" s="16">
        <v>7</v>
      </c>
      <c r="E4706" s="22">
        <v>44735</v>
      </c>
      <c r="F4706" s="19">
        <v>13</v>
      </c>
      <c r="G4706" s="18">
        <v>0.17</v>
      </c>
      <c r="H4706">
        <f>F4706*VLOOKUP(B4706,產品!$A$2:$H$61,7,FALSE)*(1-銷售總表!G4706)</f>
        <v>19422</v>
      </c>
      <c r="I4706" s="35">
        <f>H4706-F4706*VLOOKUP(銷售總表!B4706,產品!$A$2:$H$61,8,FALSE)</f>
        <v>10062</v>
      </c>
      <c r="J4706" s="20">
        <f t="shared" si="73"/>
        <v>0.51807228915662651</v>
      </c>
    </row>
    <row r="4707" spans="1:10" x14ac:dyDescent="0.3">
      <c r="A4707" s="33">
        <v>4706</v>
      </c>
      <c r="B4707" s="4">
        <v>38</v>
      </c>
      <c r="C4707" s="15">
        <v>2</v>
      </c>
      <c r="D4707" s="16">
        <v>1</v>
      </c>
      <c r="E4707" s="22">
        <v>44735</v>
      </c>
      <c r="F4707" s="19">
        <v>15</v>
      </c>
      <c r="G4707" s="18">
        <v>7.0000000000000007E-2</v>
      </c>
      <c r="H4707">
        <f>F4707*VLOOKUP(B4707,產品!$A$2:$H$61,7,FALSE)*(1-銷售總表!G4707)</f>
        <v>209250</v>
      </c>
      <c r="I4707" s="35">
        <f>H4707-F4707*VLOOKUP(銷售總表!B4707,產品!$A$2:$H$61,8,FALSE)</f>
        <v>63000</v>
      </c>
      <c r="J4707" s="20">
        <f t="shared" si="73"/>
        <v>0.30107526881720431</v>
      </c>
    </row>
    <row r="4708" spans="1:10" x14ac:dyDescent="0.3">
      <c r="A4708" s="33">
        <v>4707</v>
      </c>
      <c r="B4708" s="4">
        <v>7</v>
      </c>
      <c r="C4708" s="15">
        <v>2</v>
      </c>
      <c r="D4708" s="16">
        <v>9</v>
      </c>
      <c r="E4708" s="23">
        <v>44735</v>
      </c>
      <c r="F4708">
        <v>25</v>
      </c>
      <c r="G4708" s="20">
        <v>0.18</v>
      </c>
      <c r="H4708">
        <f>F4708*VLOOKUP(B4708,產品!$A$2:$H$61,7,FALSE)*(1-銷售總表!G4708)</f>
        <v>20500</v>
      </c>
      <c r="I4708" s="35">
        <f>H4708-F4708*VLOOKUP(銷售總表!B4708,產品!$A$2:$H$61,8,FALSE)</f>
        <v>10500</v>
      </c>
      <c r="J4708" s="20">
        <f t="shared" si="73"/>
        <v>0.51219512195121952</v>
      </c>
    </row>
    <row r="4709" spans="1:10" x14ac:dyDescent="0.3">
      <c r="A4709" s="33">
        <v>4708</v>
      </c>
      <c r="B4709" s="4">
        <v>5</v>
      </c>
      <c r="C4709" s="15">
        <v>138</v>
      </c>
      <c r="D4709" s="16">
        <v>1</v>
      </c>
      <c r="E4709" s="23">
        <v>44735</v>
      </c>
      <c r="F4709">
        <v>90</v>
      </c>
      <c r="G4709" s="20">
        <v>0.09</v>
      </c>
      <c r="H4709">
        <f>F4709*VLOOKUP(B4709,產品!$A$2:$H$61,7,FALSE)*(1-銷售總表!G4709)</f>
        <v>81900</v>
      </c>
      <c r="I4709" s="35">
        <f>H4709-F4709*VLOOKUP(銷售總表!B4709,產品!$A$2:$H$61,8,FALSE)</f>
        <v>45900</v>
      </c>
      <c r="J4709" s="20">
        <f t="shared" si="73"/>
        <v>0.56043956043956045</v>
      </c>
    </row>
    <row r="4710" spans="1:10" x14ac:dyDescent="0.3">
      <c r="A4710" s="33">
        <v>4709</v>
      </c>
      <c r="B4710" s="4">
        <v>43</v>
      </c>
      <c r="C4710" s="15">
        <v>4</v>
      </c>
      <c r="D4710" s="16">
        <v>5</v>
      </c>
      <c r="E4710" s="22">
        <v>44736</v>
      </c>
      <c r="F4710" s="19">
        <v>3</v>
      </c>
      <c r="G4710" s="18">
        <v>0.08</v>
      </c>
      <c r="H4710">
        <f>F4710*VLOOKUP(B4710,產品!$A$2:$H$61,7,FALSE)*(1-銷售總表!G4710)</f>
        <v>49680</v>
      </c>
      <c r="I4710" s="35">
        <f>H4710-F4710*VLOOKUP(銷售總表!B4710,產品!$A$2:$H$61,8,FALSE)</f>
        <v>14580</v>
      </c>
      <c r="J4710" s="20">
        <f t="shared" si="73"/>
        <v>0.29347826086956524</v>
      </c>
    </row>
    <row r="4711" spans="1:10" x14ac:dyDescent="0.3">
      <c r="A4711" s="33">
        <v>4710</v>
      </c>
      <c r="B4711" s="4">
        <v>41</v>
      </c>
      <c r="C4711" s="15">
        <v>262</v>
      </c>
      <c r="D4711" s="16">
        <v>5</v>
      </c>
      <c r="E4711" s="22">
        <v>44736</v>
      </c>
      <c r="F4711" s="19">
        <v>4</v>
      </c>
      <c r="G4711" s="18">
        <v>0.05</v>
      </c>
      <c r="H4711">
        <f>F4711*VLOOKUP(B4711,產品!$A$2:$H$61,7,FALSE)*(1-銷售總表!G4711)</f>
        <v>45600</v>
      </c>
      <c r="I4711" s="35">
        <f>H4711-F4711*VLOOKUP(銷售總表!B4711,產品!$A$2:$H$61,8,FALSE)</f>
        <v>14400</v>
      </c>
      <c r="J4711" s="20">
        <f t="shared" si="73"/>
        <v>0.31578947368421051</v>
      </c>
    </row>
    <row r="4712" spans="1:10" x14ac:dyDescent="0.3">
      <c r="A4712" s="33">
        <v>4711</v>
      </c>
      <c r="B4712" s="4">
        <v>58</v>
      </c>
      <c r="C4712" s="15">
        <v>140</v>
      </c>
      <c r="D4712" s="16">
        <v>10</v>
      </c>
      <c r="E4712" s="22">
        <v>44736</v>
      </c>
      <c r="F4712" s="19">
        <v>5</v>
      </c>
      <c r="G4712" s="18">
        <v>0.12</v>
      </c>
      <c r="H4712">
        <f>F4712*VLOOKUP(B4712,產品!$A$2:$H$61,7,FALSE)*(1-銷售總表!G4712)</f>
        <v>92400</v>
      </c>
      <c r="I4712" s="35">
        <f>H4712-F4712*VLOOKUP(銷售總表!B4712,產品!$A$2:$H$61,8,FALSE)</f>
        <v>18900.000000000015</v>
      </c>
      <c r="J4712" s="20">
        <f t="shared" si="73"/>
        <v>0.2045454545454547</v>
      </c>
    </row>
    <row r="4713" spans="1:10" x14ac:dyDescent="0.3">
      <c r="A4713" s="33">
        <v>4712</v>
      </c>
      <c r="B4713" s="4">
        <v>29</v>
      </c>
      <c r="C4713" s="15">
        <v>8</v>
      </c>
      <c r="D4713" s="16">
        <v>2</v>
      </c>
      <c r="E4713" s="23">
        <v>44736</v>
      </c>
      <c r="F4713">
        <v>7</v>
      </c>
      <c r="G4713" s="20">
        <v>0.11</v>
      </c>
      <c r="H4713">
        <f>F4713*VLOOKUP(B4713,產品!$A$2:$H$61,7,FALSE)*(1-銷售總表!G4713)</f>
        <v>37380</v>
      </c>
      <c r="I4713" s="35">
        <f>H4713-F4713*VLOOKUP(銷售總表!B4713,產品!$A$2:$H$61,8,FALSE)</f>
        <v>12180</v>
      </c>
      <c r="J4713" s="20">
        <f t="shared" si="73"/>
        <v>0.3258426966292135</v>
      </c>
    </row>
    <row r="4714" spans="1:10" x14ac:dyDescent="0.3">
      <c r="A4714" s="33">
        <v>4713</v>
      </c>
      <c r="B4714" s="4">
        <v>40</v>
      </c>
      <c r="C4714" s="15">
        <v>123</v>
      </c>
      <c r="D4714" s="16">
        <v>8</v>
      </c>
      <c r="E4714" s="23">
        <v>44736</v>
      </c>
      <c r="F4714">
        <v>8</v>
      </c>
      <c r="G4714" s="20">
        <v>0.06</v>
      </c>
      <c r="H4714">
        <f>F4714*VLOOKUP(B4714,產品!$A$2:$H$61,7,FALSE)*(1-銷售總表!G4714)</f>
        <v>150400</v>
      </c>
      <c r="I4714" s="35">
        <f>H4714-F4714*VLOOKUP(銷售總表!B4714,產品!$A$2:$H$61,8,FALSE)</f>
        <v>46400</v>
      </c>
      <c r="J4714" s="20">
        <f t="shared" si="73"/>
        <v>0.30851063829787234</v>
      </c>
    </row>
    <row r="4715" spans="1:10" x14ac:dyDescent="0.3">
      <c r="A4715" s="33">
        <v>4714</v>
      </c>
      <c r="B4715" s="4">
        <v>51</v>
      </c>
      <c r="C4715" s="15">
        <v>12</v>
      </c>
      <c r="D4715" s="16">
        <v>10</v>
      </c>
      <c r="E4715" s="22">
        <v>44736</v>
      </c>
      <c r="F4715" s="19">
        <v>9</v>
      </c>
      <c r="G4715" s="18">
        <v>0.08</v>
      </c>
      <c r="H4715">
        <f>F4715*VLOOKUP(B4715,產品!$A$2:$H$61,7,FALSE)*(1-銷售總表!G4715)</f>
        <v>165600</v>
      </c>
      <c r="I4715" s="35">
        <f>H4715-F4715*VLOOKUP(銷售總表!B4715,產品!$A$2:$H$61,8,FALSE)</f>
        <v>39600</v>
      </c>
      <c r="J4715" s="20">
        <f t="shared" si="73"/>
        <v>0.2391304347826087</v>
      </c>
    </row>
    <row r="4716" spans="1:10" x14ac:dyDescent="0.3">
      <c r="A4716" s="33">
        <v>4715</v>
      </c>
      <c r="B4716" s="4">
        <v>7</v>
      </c>
      <c r="C4716" s="15">
        <v>116</v>
      </c>
      <c r="D4716" s="16">
        <v>9</v>
      </c>
      <c r="E4716" s="22">
        <v>44736</v>
      </c>
      <c r="F4716" s="19">
        <v>50</v>
      </c>
      <c r="G4716" s="18">
        <v>0.13</v>
      </c>
      <c r="H4716">
        <f>F4716*VLOOKUP(B4716,產品!$A$2:$H$61,7,FALSE)*(1-銷售總表!G4716)</f>
        <v>43500</v>
      </c>
      <c r="I4716" s="35">
        <f>H4716-F4716*VLOOKUP(銷售總表!B4716,產品!$A$2:$H$61,8,FALSE)</f>
        <v>23500</v>
      </c>
      <c r="J4716" s="20">
        <f t="shared" si="73"/>
        <v>0.54022988505747127</v>
      </c>
    </row>
    <row r="4717" spans="1:10" x14ac:dyDescent="0.3">
      <c r="A4717" s="33">
        <v>4716</v>
      </c>
      <c r="B4717" s="4">
        <v>5</v>
      </c>
      <c r="C4717" s="15">
        <v>115</v>
      </c>
      <c r="D4717" s="16">
        <v>8</v>
      </c>
      <c r="E4717" s="22">
        <v>44736</v>
      </c>
      <c r="F4717" s="19">
        <v>50</v>
      </c>
      <c r="G4717" s="18">
        <v>0.16</v>
      </c>
      <c r="H4717">
        <f>F4717*VLOOKUP(B4717,產品!$A$2:$H$61,7,FALSE)*(1-銷售總表!G4717)</f>
        <v>42000</v>
      </c>
      <c r="I4717" s="35">
        <f>H4717-F4717*VLOOKUP(銷售總表!B4717,產品!$A$2:$H$61,8,FALSE)</f>
        <v>22000</v>
      </c>
      <c r="J4717" s="20">
        <f t="shared" si="73"/>
        <v>0.52380952380952384</v>
      </c>
    </row>
    <row r="4718" spans="1:10" x14ac:dyDescent="0.3">
      <c r="A4718" s="33">
        <v>4717</v>
      </c>
      <c r="B4718" s="4">
        <v>6</v>
      </c>
      <c r="C4718" s="15">
        <v>136</v>
      </c>
      <c r="D4718" s="16">
        <v>5</v>
      </c>
      <c r="E4718" s="22">
        <v>44736</v>
      </c>
      <c r="F4718" s="19">
        <v>90</v>
      </c>
      <c r="G4718" s="18">
        <v>0.19</v>
      </c>
      <c r="H4718">
        <f>F4718*VLOOKUP(B4718,產品!$A$2:$H$61,7,FALSE)*(1-銷售總表!G4718)</f>
        <v>72900</v>
      </c>
      <c r="I4718" s="35">
        <f>H4718-F4718*VLOOKUP(銷售總表!B4718,產品!$A$2:$H$61,8,FALSE)</f>
        <v>36900</v>
      </c>
      <c r="J4718" s="20">
        <f t="shared" si="73"/>
        <v>0.50617283950617287</v>
      </c>
    </row>
    <row r="4719" spans="1:10" x14ac:dyDescent="0.3">
      <c r="A4719" s="33">
        <v>4718</v>
      </c>
      <c r="B4719" s="4">
        <v>5</v>
      </c>
      <c r="C4719" s="15">
        <v>257</v>
      </c>
      <c r="D4719" s="16">
        <v>3</v>
      </c>
      <c r="E4719" s="23">
        <v>44736</v>
      </c>
      <c r="F4719">
        <v>90</v>
      </c>
      <c r="G4719" s="20">
        <v>0.19</v>
      </c>
      <c r="H4719">
        <f>F4719*VLOOKUP(B4719,產品!$A$2:$H$61,7,FALSE)*(1-銷售總表!G4719)</f>
        <v>72900</v>
      </c>
      <c r="I4719" s="35">
        <f>H4719-F4719*VLOOKUP(銷售總表!B4719,產品!$A$2:$H$61,8,FALSE)</f>
        <v>36900</v>
      </c>
      <c r="J4719" s="20">
        <f t="shared" si="73"/>
        <v>0.50617283950617287</v>
      </c>
    </row>
    <row r="4720" spans="1:10" x14ac:dyDescent="0.3">
      <c r="A4720" s="33">
        <v>4719</v>
      </c>
      <c r="B4720" s="4">
        <v>39</v>
      </c>
      <c r="C4720" s="15">
        <v>118</v>
      </c>
      <c r="D4720" s="16">
        <v>9</v>
      </c>
      <c r="E4720" s="23">
        <v>44737</v>
      </c>
      <c r="F4720">
        <v>4</v>
      </c>
      <c r="G4720" s="20">
        <v>7.0000000000000007E-2</v>
      </c>
      <c r="H4720">
        <f>F4720*VLOOKUP(B4720,產品!$A$2:$H$61,7,FALSE)*(1-銷售總表!G4720)</f>
        <v>66960</v>
      </c>
      <c r="I4720" s="35">
        <f>H4720-F4720*VLOOKUP(銷售總表!B4720,產品!$A$2:$H$61,8,FALSE)</f>
        <v>20160</v>
      </c>
      <c r="J4720" s="20">
        <f t="shared" si="73"/>
        <v>0.30107526881720431</v>
      </c>
    </row>
    <row r="4721" spans="1:10" x14ac:dyDescent="0.3">
      <c r="A4721" s="33">
        <v>4720</v>
      </c>
      <c r="B4721" s="4">
        <v>41</v>
      </c>
      <c r="C4721" s="15">
        <v>125</v>
      </c>
      <c r="D4721" s="16">
        <v>6</v>
      </c>
      <c r="E4721" s="22">
        <v>44737</v>
      </c>
      <c r="F4721" s="19">
        <v>6</v>
      </c>
      <c r="G4721" s="18">
        <v>0.18</v>
      </c>
      <c r="H4721">
        <f>F4721*VLOOKUP(B4721,產品!$A$2:$H$61,7,FALSE)*(1-銷售總表!G4721)</f>
        <v>59040.000000000007</v>
      </c>
      <c r="I4721" s="35">
        <f>H4721-F4721*VLOOKUP(銷售總表!B4721,產品!$A$2:$H$61,8,FALSE)</f>
        <v>12240.000000000007</v>
      </c>
      <c r="J4721" s="20">
        <f t="shared" si="73"/>
        <v>0.20731707317073181</v>
      </c>
    </row>
    <row r="4722" spans="1:10" x14ac:dyDescent="0.3">
      <c r="A4722" s="33">
        <v>4721</v>
      </c>
      <c r="B4722" s="4">
        <v>4</v>
      </c>
      <c r="C4722" s="15">
        <v>262</v>
      </c>
      <c r="D4722" s="16">
        <v>5</v>
      </c>
      <c r="E4722" s="22">
        <v>44737</v>
      </c>
      <c r="F4722" s="19">
        <v>19</v>
      </c>
      <c r="G4722" s="18">
        <v>0.05</v>
      </c>
      <c r="H4722">
        <f>F4722*VLOOKUP(B4722,產品!$A$2:$H$61,7,FALSE)*(1-銷售總表!G4722)</f>
        <v>18050</v>
      </c>
      <c r="I4722" s="35">
        <f>H4722-F4722*VLOOKUP(銷售總表!B4722,產品!$A$2:$H$61,8,FALSE)</f>
        <v>10450</v>
      </c>
      <c r="J4722" s="20">
        <f t="shared" si="73"/>
        <v>0.57894736842105265</v>
      </c>
    </row>
    <row r="4723" spans="1:10" x14ac:dyDescent="0.3">
      <c r="A4723" s="33">
        <v>4722</v>
      </c>
      <c r="B4723" s="4">
        <v>15</v>
      </c>
      <c r="C4723" s="15">
        <v>5</v>
      </c>
      <c r="D4723" s="16">
        <v>9</v>
      </c>
      <c r="E4723" s="22">
        <v>44738</v>
      </c>
      <c r="F4723" s="19">
        <v>10</v>
      </c>
      <c r="G4723" s="18">
        <v>7.0000000000000007E-2</v>
      </c>
      <c r="H4723">
        <f>F4723*VLOOKUP(B4723,產品!$A$2:$H$61,7,FALSE)*(1-銷售總表!G4723)</f>
        <v>16740</v>
      </c>
      <c r="I4723" s="35">
        <f>H4723-F4723*VLOOKUP(銷售總表!B4723,產品!$A$2:$H$61,8,FALSE)</f>
        <v>9540</v>
      </c>
      <c r="J4723" s="20">
        <f t="shared" si="73"/>
        <v>0.56989247311827962</v>
      </c>
    </row>
    <row r="4724" spans="1:10" x14ac:dyDescent="0.3">
      <c r="A4724" s="33">
        <v>4723</v>
      </c>
      <c r="B4724" s="4">
        <v>26</v>
      </c>
      <c r="C4724" s="15">
        <v>1</v>
      </c>
      <c r="D4724" s="16">
        <v>6</v>
      </c>
      <c r="E4724" s="22">
        <v>44738</v>
      </c>
      <c r="F4724" s="19">
        <v>12</v>
      </c>
      <c r="G4724" s="18">
        <v>0.13</v>
      </c>
      <c r="H4724">
        <f>F4724*VLOOKUP(B4724,產品!$A$2:$H$61,7,FALSE)*(1-銷售總表!G4724)</f>
        <v>67860</v>
      </c>
      <c r="I4724" s="35">
        <f>H4724-F4724*VLOOKUP(銷售總表!B4724,產品!$A$2:$H$61,8,FALSE)</f>
        <v>21060</v>
      </c>
      <c r="J4724" s="20">
        <f t="shared" si="73"/>
        <v>0.31034482758620691</v>
      </c>
    </row>
    <row r="4725" spans="1:10" x14ac:dyDescent="0.3">
      <c r="A4725" s="33">
        <v>4724</v>
      </c>
      <c r="B4725" s="4">
        <v>53</v>
      </c>
      <c r="C4725" s="15">
        <v>121</v>
      </c>
      <c r="D4725" s="16">
        <v>10</v>
      </c>
      <c r="E4725" s="22">
        <v>44738</v>
      </c>
      <c r="F4725" s="19">
        <v>20</v>
      </c>
      <c r="G4725" s="18">
        <v>0.18</v>
      </c>
      <c r="H4725">
        <f>F4725*VLOOKUP(B4725,產品!$A$2:$H$61,7,FALSE)*(1-銷售總表!G4725)</f>
        <v>246000.00000000003</v>
      </c>
      <c r="I4725" s="35">
        <f>H4725-F4725*VLOOKUP(銷售總表!B4725,產品!$A$2:$H$61,8,FALSE)</f>
        <v>36000.000000000029</v>
      </c>
      <c r="J4725" s="20">
        <f t="shared" si="73"/>
        <v>0.14634146341463425</v>
      </c>
    </row>
    <row r="4726" spans="1:10" x14ac:dyDescent="0.3">
      <c r="A4726" s="33">
        <v>4725</v>
      </c>
      <c r="B4726" s="4">
        <v>11</v>
      </c>
      <c r="C4726" s="15">
        <v>5</v>
      </c>
      <c r="D4726" s="16">
        <v>6</v>
      </c>
      <c r="E4726" s="22">
        <v>44738</v>
      </c>
      <c r="F4726" s="19">
        <v>20</v>
      </c>
      <c r="G4726" s="18">
        <v>7.0000000000000007E-2</v>
      </c>
      <c r="H4726">
        <f>F4726*VLOOKUP(B4726,產品!$A$2:$H$61,7,FALSE)*(1-銷售總表!G4726)</f>
        <v>18600</v>
      </c>
      <c r="I4726" s="35">
        <f>H4726-F4726*VLOOKUP(銷售總表!B4726,產品!$A$2:$H$61,8,FALSE)</f>
        <v>10600</v>
      </c>
      <c r="J4726" s="20">
        <f t="shared" si="73"/>
        <v>0.56989247311827962</v>
      </c>
    </row>
    <row r="4727" spans="1:10" x14ac:dyDescent="0.3">
      <c r="A4727" s="33">
        <v>4726</v>
      </c>
      <c r="B4727" s="4">
        <v>25</v>
      </c>
      <c r="C4727" s="15">
        <v>264</v>
      </c>
      <c r="D4727" s="16">
        <v>9</v>
      </c>
      <c r="E4727" s="22">
        <v>44739</v>
      </c>
      <c r="F4727" s="19">
        <v>7</v>
      </c>
      <c r="G4727" s="18">
        <v>0.06</v>
      </c>
      <c r="H4727">
        <f>F4727*VLOOKUP(B4727,產品!$A$2:$H$61,7,FALSE)*(1-銷售總表!G4727)</f>
        <v>39480</v>
      </c>
      <c r="I4727" s="35">
        <f>H4727-F4727*VLOOKUP(銷售總表!B4727,產品!$A$2:$H$61,8,FALSE)</f>
        <v>14280</v>
      </c>
      <c r="J4727" s="20">
        <f t="shared" si="73"/>
        <v>0.36170212765957449</v>
      </c>
    </row>
    <row r="4728" spans="1:10" x14ac:dyDescent="0.3">
      <c r="A4728" s="33">
        <v>4727</v>
      </c>
      <c r="B4728" s="4">
        <v>47</v>
      </c>
      <c r="C4728" s="15">
        <v>258</v>
      </c>
      <c r="D4728" s="16">
        <v>5</v>
      </c>
      <c r="E4728" s="22">
        <v>44739</v>
      </c>
      <c r="F4728" s="19">
        <v>10</v>
      </c>
      <c r="G4728" s="18">
        <v>0.12</v>
      </c>
      <c r="H4728">
        <f>F4728*VLOOKUP(B4728,產品!$A$2:$H$61,7,FALSE)*(1-銷售總表!G4728)</f>
        <v>176000</v>
      </c>
      <c r="I4728" s="35">
        <f>H4728-F4728*VLOOKUP(銷售總表!B4728,產品!$A$2:$H$61,8,FALSE)</f>
        <v>46000</v>
      </c>
      <c r="J4728" s="20">
        <f t="shared" si="73"/>
        <v>0.26136363636363635</v>
      </c>
    </row>
    <row r="4729" spans="1:10" x14ac:dyDescent="0.3">
      <c r="A4729" s="33">
        <v>4728</v>
      </c>
      <c r="B4729" s="4">
        <v>53</v>
      </c>
      <c r="C4729" s="15">
        <v>124</v>
      </c>
      <c r="D4729" s="16">
        <v>9</v>
      </c>
      <c r="E4729" s="22">
        <v>44739</v>
      </c>
      <c r="F4729" s="19">
        <v>10</v>
      </c>
      <c r="G4729" s="18">
        <v>0.2</v>
      </c>
      <c r="H4729">
        <f>F4729*VLOOKUP(B4729,產品!$A$2:$H$61,7,FALSE)*(1-銷售總表!G4729)</f>
        <v>120000</v>
      </c>
      <c r="I4729" s="35">
        <f>H4729-F4729*VLOOKUP(銷售總表!B4729,產品!$A$2:$H$61,8,FALSE)</f>
        <v>15000</v>
      </c>
      <c r="J4729" s="20">
        <f t="shared" si="73"/>
        <v>0.125</v>
      </c>
    </row>
    <row r="4730" spans="1:10" x14ac:dyDescent="0.3">
      <c r="A4730" s="33">
        <v>4729</v>
      </c>
      <c r="B4730" s="4">
        <v>24</v>
      </c>
      <c r="C4730" s="15">
        <v>3</v>
      </c>
      <c r="D4730" s="16">
        <v>2</v>
      </c>
      <c r="E4730" s="23">
        <v>44739</v>
      </c>
      <c r="F4730">
        <v>40</v>
      </c>
      <c r="G4730" s="20">
        <v>0.05</v>
      </c>
      <c r="H4730">
        <f>F4730*VLOOKUP(B4730,產品!$A$2:$H$61,7,FALSE)*(1-銷售總表!G4730)</f>
        <v>68400</v>
      </c>
      <c r="I4730" s="35">
        <f>H4730-F4730*VLOOKUP(銷售總表!B4730,產品!$A$2:$H$61,8,FALSE)</f>
        <v>39600</v>
      </c>
      <c r="J4730" s="20">
        <f t="shared" si="73"/>
        <v>0.57894736842105265</v>
      </c>
    </row>
    <row r="4731" spans="1:10" x14ac:dyDescent="0.3">
      <c r="A4731" s="33">
        <v>4730</v>
      </c>
      <c r="B4731" s="4">
        <v>24</v>
      </c>
      <c r="C4731" s="15">
        <v>282</v>
      </c>
      <c r="D4731" s="16">
        <v>3</v>
      </c>
      <c r="E4731" s="22">
        <v>44739</v>
      </c>
      <c r="F4731" s="19">
        <v>40</v>
      </c>
      <c r="G4731" s="18">
        <v>0.08</v>
      </c>
      <c r="H4731">
        <f>F4731*VLOOKUP(B4731,產品!$A$2:$H$61,7,FALSE)*(1-銷售總表!G4731)</f>
        <v>66240</v>
      </c>
      <c r="I4731" s="35">
        <f>H4731-F4731*VLOOKUP(銷售總表!B4731,產品!$A$2:$H$61,8,FALSE)</f>
        <v>37440</v>
      </c>
      <c r="J4731" s="20">
        <f t="shared" si="73"/>
        <v>0.56521739130434778</v>
      </c>
    </row>
    <row r="4732" spans="1:10" x14ac:dyDescent="0.3">
      <c r="A4732" s="33">
        <v>4731</v>
      </c>
      <c r="B4732" s="4">
        <v>23</v>
      </c>
      <c r="C4732" s="15">
        <v>261</v>
      </c>
      <c r="D4732" s="16">
        <v>5</v>
      </c>
      <c r="E4732" s="22">
        <v>44739</v>
      </c>
      <c r="F4732" s="19">
        <v>100</v>
      </c>
      <c r="G4732" s="18">
        <v>0.14000000000000001</v>
      </c>
      <c r="H4732">
        <f>F4732*VLOOKUP(B4732,產品!$A$2:$H$61,7,FALSE)*(1-銷售總表!G4732)</f>
        <v>154800</v>
      </c>
      <c r="I4732" s="35">
        <f>H4732-F4732*VLOOKUP(銷售總表!B4732,產品!$A$2:$H$61,8,FALSE)</f>
        <v>82800</v>
      </c>
      <c r="J4732" s="20">
        <f t="shared" si="73"/>
        <v>0.53488372093023251</v>
      </c>
    </row>
    <row r="4733" spans="1:10" x14ac:dyDescent="0.3">
      <c r="A4733" s="33">
        <v>4732</v>
      </c>
      <c r="B4733" s="4">
        <v>39</v>
      </c>
      <c r="C4733" s="15">
        <v>272</v>
      </c>
      <c r="D4733" s="16">
        <v>7</v>
      </c>
      <c r="E4733" s="22">
        <v>44740</v>
      </c>
      <c r="F4733" s="19">
        <v>4</v>
      </c>
      <c r="G4733" s="18">
        <v>0.06</v>
      </c>
      <c r="H4733">
        <f>F4733*VLOOKUP(B4733,產品!$A$2:$H$61,7,FALSE)*(1-銷售總表!G4733)</f>
        <v>67680</v>
      </c>
      <c r="I4733" s="35">
        <f>H4733-F4733*VLOOKUP(銷售總表!B4733,產品!$A$2:$H$61,8,FALSE)</f>
        <v>20880</v>
      </c>
      <c r="J4733" s="20">
        <f t="shared" si="73"/>
        <v>0.30851063829787234</v>
      </c>
    </row>
    <row r="4734" spans="1:10" x14ac:dyDescent="0.3">
      <c r="A4734" s="33">
        <v>4733</v>
      </c>
      <c r="B4734" s="4">
        <v>29</v>
      </c>
      <c r="C4734" s="15">
        <v>286</v>
      </c>
      <c r="D4734" s="16">
        <v>7</v>
      </c>
      <c r="E4734" s="22">
        <v>44740</v>
      </c>
      <c r="F4734" s="19">
        <v>5</v>
      </c>
      <c r="G4734" s="18">
        <v>0.06</v>
      </c>
      <c r="H4734">
        <f>F4734*VLOOKUP(B4734,產品!$A$2:$H$61,7,FALSE)*(1-銷售總表!G4734)</f>
        <v>28200</v>
      </c>
      <c r="I4734" s="35">
        <f>H4734-F4734*VLOOKUP(銷售總表!B4734,產品!$A$2:$H$61,8,FALSE)</f>
        <v>10200</v>
      </c>
      <c r="J4734" s="20">
        <f t="shared" si="73"/>
        <v>0.36170212765957449</v>
      </c>
    </row>
    <row r="4735" spans="1:10" x14ac:dyDescent="0.3">
      <c r="A4735" s="33">
        <v>4734</v>
      </c>
      <c r="B4735" s="4">
        <v>54</v>
      </c>
      <c r="C4735" s="15">
        <v>138</v>
      </c>
      <c r="D4735" s="16">
        <v>10</v>
      </c>
      <c r="E4735" s="22">
        <v>44740</v>
      </c>
      <c r="F4735" s="19">
        <v>11</v>
      </c>
      <c r="G4735" s="18">
        <v>0.12</v>
      </c>
      <c r="H4735">
        <f>F4735*VLOOKUP(B4735,產品!$A$2:$H$61,7,FALSE)*(1-銷售總表!G4735)</f>
        <v>174240</v>
      </c>
      <c r="I4735" s="35">
        <f>H4735-F4735*VLOOKUP(銷售總表!B4735,產品!$A$2:$H$61,8,FALSE)</f>
        <v>35640</v>
      </c>
      <c r="J4735" s="20">
        <f t="shared" si="73"/>
        <v>0.20454545454545456</v>
      </c>
    </row>
    <row r="4736" spans="1:10" x14ac:dyDescent="0.3">
      <c r="A4736" s="33">
        <v>4735</v>
      </c>
      <c r="B4736" s="4">
        <v>1</v>
      </c>
      <c r="C4736" s="15">
        <v>285</v>
      </c>
      <c r="D4736" s="16">
        <v>2</v>
      </c>
      <c r="E4736" s="22">
        <v>44740</v>
      </c>
      <c r="F4736" s="19">
        <v>11</v>
      </c>
      <c r="G4736" s="18">
        <v>0.15</v>
      </c>
      <c r="H4736">
        <f>F4736*VLOOKUP(B4736,產品!$A$2:$H$61,7,FALSE)*(1-銷售總表!G4736)</f>
        <v>9350</v>
      </c>
      <c r="I4736" s="35">
        <f>H4736-F4736*VLOOKUP(銷售總表!B4736,產品!$A$2:$H$61,8,FALSE)</f>
        <v>4950</v>
      </c>
      <c r="J4736" s="20">
        <f t="shared" si="73"/>
        <v>0.52941176470588236</v>
      </c>
    </row>
    <row r="4737" spans="1:10" x14ac:dyDescent="0.3">
      <c r="A4737" s="33">
        <v>4736</v>
      </c>
      <c r="B4737" s="4">
        <v>42</v>
      </c>
      <c r="C4737" s="15">
        <v>287</v>
      </c>
      <c r="D4737" s="16">
        <v>6</v>
      </c>
      <c r="E4737" s="23">
        <v>44740</v>
      </c>
      <c r="F4737">
        <v>18</v>
      </c>
      <c r="G4737" s="20">
        <v>0.2</v>
      </c>
      <c r="H4737">
        <f>F4737*VLOOKUP(B4737,產品!$A$2:$H$61,7,FALSE)*(1-銷售總表!G4737)</f>
        <v>216000</v>
      </c>
      <c r="I4737" s="35">
        <f>H4737-F4737*VLOOKUP(銷售總表!B4737,產品!$A$2:$H$61,8,FALSE)</f>
        <v>40500</v>
      </c>
      <c r="J4737" s="20">
        <f t="shared" si="73"/>
        <v>0.1875</v>
      </c>
    </row>
    <row r="4738" spans="1:10" x14ac:dyDescent="0.3">
      <c r="A4738" s="33">
        <v>4737</v>
      </c>
      <c r="B4738" s="4">
        <v>29</v>
      </c>
      <c r="C4738" s="15">
        <v>283</v>
      </c>
      <c r="D4738" s="16">
        <v>7</v>
      </c>
      <c r="E4738" s="22">
        <v>44740</v>
      </c>
      <c r="F4738" s="19">
        <v>20</v>
      </c>
      <c r="G4738" s="18">
        <v>0.17</v>
      </c>
      <c r="H4738">
        <f>F4738*VLOOKUP(B4738,產品!$A$2:$H$61,7,FALSE)*(1-銷售總表!G4738)</f>
        <v>99600</v>
      </c>
      <c r="I4738" s="35">
        <f>H4738-F4738*VLOOKUP(銷售總表!B4738,產品!$A$2:$H$61,8,FALSE)</f>
        <v>27600</v>
      </c>
      <c r="J4738" s="20">
        <f t="shared" si="73"/>
        <v>0.27710843373493976</v>
      </c>
    </row>
    <row r="4739" spans="1:10" x14ac:dyDescent="0.3">
      <c r="A4739" s="33">
        <v>4738</v>
      </c>
      <c r="B4739" s="4">
        <v>55</v>
      </c>
      <c r="C4739" s="15">
        <v>8</v>
      </c>
      <c r="D4739" s="16">
        <v>10</v>
      </c>
      <c r="E4739" s="22">
        <v>44741</v>
      </c>
      <c r="F4739" s="19">
        <v>4</v>
      </c>
      <c r="G4739" s="18">
        <v>0.08</v>
      </c>
      <c r="H4739">
        <f>F4739*VLOOKUP(B4739,產品!$A$2:$H$61,7,FALSE)*(1-銷售總表!G4739)</f>
        <v>73600</v>
      </c>
      <c r="I4739" s="35">
        <f>H4739-F4739*VLOOKUP(銷售總表!B4739,產品!$A$2:$H$61,8,FALSE)</f>
        <v>17600</v>
      </c>
      <c r="J4739" s="20">
        <f t="shared" ref="J4739:J4802" si="74">I4739/H4739</f>
        <v>0.2391304347826087</v>
      </c>
    </row>
    <row r="4740" spans="1:10" x14ac:dyDescent="0.3">
      <c r="A4740" s="33">
        <v>4739</v>
      </c>
      <c r="B4740" s="4">
        <v>43</v>
      </c>
      <c r="C4740" s="15">
        <v>285</v>
      </c>
      <c r="D4740" s="16">
        <v>5</v>
      </c>
      <c r="E4740" s="22">
        <v>44741</v>
      </c>
      <c r="F4740" s="19">
        <v>5</v>
      </c>
      <c r="G4740" s="18">
        <v>0.05</v>
      </c>
      <c r="H4740">
        <f>F4740*VLOOKUP(B4740,產品!$A$2:$H$61,7,FALSE)*(1-銷售總表!G4740)</f>
        <v>85500</v>
      </c>
      <c r="I4740" s="35">
        <f>H4740-F4740*VLOOKUP(銷售總表!B4740,產品!$A$2:$H$61,8,FALSE)</f>
        <v>27000</v>
      </c>
      <c r="J4740" s="20">
        <f t="shared" si="74"/>
        <v>0.31578947368421051</v>
      </c>
    </row>
    <row r="4741" spans="1:10" x14ac:dyDescent="0.3">
      <c r="A4741" s="33">
        <v>4740</v>
      </c>
      <c r="B4741" s="4">
        <v>58</v>
      </c>
      <c r="C4741" s="15">
        <v>10</v>
      </c>
      <c r="D4741" s="16">
        <v>1</v>
      </c>
      <c r="E4741" s="22">
        <v>44741</v>
      </c>
      <c r="F4741" s="19">
        <v>5</v>
      </c>
      <c r="G4741" s="18">
        <v>0.06</v>
      </c>
      <c r="H4741">
        <f>F4741*VLOOKUP(B4741,產品!$A$2:$H$61,7,FALSE)*(1-銷售總表!G4741)</f>
        <v>98700</v>
      </c>
      <c r="I4741" s="35">
        <f>H4741-F4741*VLOOKUP(銷售總表!B4741,產品!$A$2:$H$61,8,FALSE)</f>
        <v>25200.000000000015</v>
      </c>
      <c r="J4741" s="20">
        <f t="shared" si="74"/>
        <v>0.25531914893617036</v>
      </c>
    </row>
    <row r="4742" spans="1:10" x14ac:dyDescent="0.3">
      <c r="A4742" s="33">
        <v>4741</v>
      </c>
      <c r="B4742" s="4">
        <v>10</v>
      </c>
      <c r="C4742" s="15">
        <v>289</v>
      </c>
      <c r="D4742" s="16">
        <v>4</v>
      </c>
      <c r="E4742" s="22">
        <v>44741</v>
      </c>
      <c r="F4742" s="19">
        <v>10</v>
      </c>
      <c r="G4742" s="18">
        <v>0.16</v>
      </c>
      <c r="H4742">
        <f>F4742*VLOOKUP(B4742,產品!$A$2:$H$61,7,FALSE)*(1-銷售總表!G4742)</f>
        <v>8400</v>
      </c>
      <c r="I4742" s="35">
        <f>H4742-F4742*VLOOKUP(銷售總表!B4742,產品!$A$2:$H$61,8,FALSE)</f>
        <v>4400</v>
      </c>
      <c r="J4742" s="20">
        <f t="shared" si="74"/>
        <v>0.52380952380952384</v>
      </c>
    </row>
    <row r="4743" spans="1:10" x14ac:dyDescent="0.3">
      <c r="A4743" s="33">
        <v>4742</v>
      </c>
      <c r="B4743" s="4">
        <v>48</v>
      </c>
      <c r="C4743" s="15">
        <v>122</v>
      </c>
      <c r="D4743" s="16">
        <v>9</v>
      </c>
      <c r="E4743" s="22">
        <v>44741</v>
      </c>
      <c r="F4743" s="19">
        <v>11</v>
      </c>
      <c r="G4743" s="18">
        <v>0.05</v>
      </c>
      <c r="H4743">
        <f>F4743*VLOOKUP(B4743,產品!$A$2:$H$61,7,FALSE)*(1-銷售總表!G4743)</f>
        <v>229900</v>
      </c>
      <c r="I4743" s="35">
        <f>H4743-F4743*VLOOKUP(銷售總表!B4743,產品!$A$2:$H$61,8,FALSE)</f>
        <v>72600</v>
      </c>
      <c r="J4743" s="20">
        <f t="shared" si="74"/>
        <v>0.31578947368421051</v>
      </c>
    </row>
    <row r="4744" spans="1:10" x14ac:dyDescent="0.3">
      <c r="A4744" s="33">
        <v>4743</v>
      </c>
      <c r="B4744" s="4">
        <v>28</v>
      </c>
      <c r="C4744" s="15">
        <v>272</v>
      </c>
      <c r="D4744" s="16">
        <v>4</v>
      </c>
      <c r="E4744" s="22">
        <v>44741</v>
      </c>
      <c r="F4744" s="19">
        <v>12</v>
      </c>
      <c r="G4744" s="18">
        <v>7.0000000000000007E-2</v>
      </c>
      <c r="H4744">
        <f>F4744*VLOOKUP(B4744,產品!$A$2:$H$61,7,FALSE)*(1-銷售總表!G4744)</f>
        <v>83700</v>
      </c>
      <c r="I4744" s="35">
        <f>H4744-F4744*VLOOKUP(銷售總表!B4744,產品!$A$2:$H$61,8,FALSE)</f>
        <v>29700</v>
      </c>
      <c r="J4744" s="20">
        <f t="shared" si="74"/>
        <v>0.35483870967741937</v>
      </c>
    </row>
    <row r="4745" spans="1:10" x14ac:dyDescent="0.3">
      <c r="A4745" s="33">
        <v>4744</v>
      </c>
      <c r="B4745" s="4">
        <v>4</v>
      </c>
      <c r="C4745" s="15">
        <v>276</v>
      </c>
      <c r="D4745" s="16">
        <v>3</v>
      </c>
      <c r="E4745" s="22">
        <v>44741</v>
      </c>
      <c r="F4745" s="19">
        <v>40</v>
      </c>
      <c r="G4745" s="18">
        <v>0.11</v>
      </c>
      <c r="H4745">
        <f>F4745*VLOOKUP(B4745,產品!$A$2:$H$61,7,FALSE)*(1-銷售總表!G4745)</f>
        <v>35600</v>
      </c>
      <c r="I4745" s="35">
        <f>H4745-F4745*VLOOKUP(銷售總表!B4745,產品!$A$2:$H$61,8,FALSE)</f>
        <v>19600</v>
      </c>
      <c r="J4745" s="20">
        <f t="shared" si="74"/>
        <v>0.550561797752809</v>
      </c>
    </row>
    <row r="4746" spans="1:10" x14ac:dyDescent="0.3">
      <c r="A4746" s="33">
        <v>4745</v>
      </c>
      <c r="B4746" s="4">
        <v>10</v>
      </c>
      <c r="C4746" s="15">
        <v>138</v>
      </c>
      <c r="D4746" s="16">
        <v>10</v>
      </c>
      <c r="E4746" s="22">
        <v>44741</v>
      </c>
      <c r="F4746" s="19">
        <v>200</v>
      </c>
      <c r="G4746" s="18">
        <v>0.11</v>
      </c>
      <c r="H4746">
        <f>F4746*VLOOKUP(B4746,產品!$A$2:$H$61,7,FALSE)*(1-銷售總表!G4746)</f>
        <v>178000</v>
      </c>
      <c r="I4746" s="35">
        <f>H4746-F4746*VLOOKUP(銷售總表!B4746,產品!$A$2:$H$61,8,FALSE)</f>
        <v>98000</v>
      </c>
      <c r="J4746" s="20">
        <f t="shared" si="74"/>
        <v>0.550561797752809</v>
      </c>
    </row>
    <row r="4747" spans="1:10" x14ac:dyDescent="0.3">
      <c r="A4747" s="33">
        <v>4746</v>
      </c>
      <c r="B4747" s="4">
        <v>35</v>
      </c>
      <c r="C4747" s="15">
        <v>294</v>
      </c>
      <c r="D4747" s="16">
        <v>3</v>
      </c>
      <c r="E4747" s="22">
        <v>44742</v>
      </c>
      <c r="F4747" s="19">
        <v>8</v>
      </c>
      <c r="G4747" s="18">
        <v>0.13</v>
      </c>
      <c r="H4747">
        <f>F4747*VLOOKUP(B4747,產品!$A$2:$H$61,7,FALSE)*(1-銷售總表!G4747)</f>
        <v>59160</v>
      </c>
      <c r="I4747" s="35">
        <f>H4747-F4747*VLOOKUP(銷售總表!B4747,產品!$A$2:$H$61,8,FALSE)</f>
        <v>18360</v>
      </c>
      <c r="J4747" s="20">
        <f t="shared" si="74"/>
        <v>0.31034482758620691</v>
      </c>
    </row>
    <row r="4748" spans="1:10" x14ac:dyDescent="0.3">
      <c r="A4748" s="33">
        <v>4747</v>
      </c>
      <c r="B4748" s="4">
        <v>41</v>
      </c>
      <c r="C4748" s="15">
        <v>122</v>
      </c>
      <c r="D4748" s="16">
        <v>1</v>
      </c>
      <c r="E4748" s="22">
        <v>44742</v>
      </c>
      <c r="F4748" s="19">
        <v>8</v>
      </c>
      <c r="G4748" s="18">
        <v>0.19</v>
      </c>
      <c r="H4748">
        <f>F4748*VLOOKUP(B4748,產品!$A$2:$H$61,7,FALSE)*(1-銷售總表!G4748)</f>
        <v>77760</v>
      </c>
      <c r="I4748" s="35">
        <f>H4748-F4748*VLOOKUP(銷售總表!B4748,產品!$A$2:$H$61,8,FALSE)</f>
        <v>15360</v>
      </c>
      <c r="J4748" s="20">
        <f t="shared" si="74"/>
        <v>0.19753086419753085</v>
      </c>
    </row>
    <row r="4749" spans="1:10" x14ac:dyDescent="0.3">
      <c r="A4749" s="33">
        <v>4748</v>
      </c>
      <c r="B4749" s="4">
        <v>59</v>
      </c>
      <c r="C4749" s="15">
        <v>261</v>
      </c>
      <c r="D4749" s="16">
        <v>1</v>
      </c>
      <c r="E4749" s="22">
        <v>44742</v>
      </c>
      <c r="F4749" s="19">
        <v>13</v>
      </c>
      <c r="G4749" s="18">
        <v>0.11</v>
      </c>
      <c r="H4749">
        <f>F4749*VLOOKUP(B4749,產品!$A$2:$H$61,7,FALSE)*(1-銷售總表!G4749)</f>
        <v>277680</v>
      </c>
      <c r="I4749" s="35">
        <f>H4749-F4749*VLOOKUP(銷售總表!B4749,產品!$A$2:$H$61,8,FALSE)</f>
        <v>59280</v>
      </c>
      <c r="J4749" s="20">
        <f t="shared" si="74"/>
        <v>0.21348314606741572</v>
      </c>
    </row>
    <row r="4750" spans="1:10" x14ac:dyDescent="0.3">
      <c r="A4750" s="33">
        <v>4749</v>
      </c>
      <c r="B4750" s="4">
        <v>34</v>
      </c>
      <c r="C4750" s="15">
        <v>271</v>
      </c>
      <c r="D4750" s="16">
        <v>7</v>
      </c>
      <c r="E4750" s="22">
        <v>44742</v>
      </c>
      <c r="F4750" s="19">
        <v>25</v>
      </c>
      <c r="G4750" s="18">
        <v>0.11</v>
      </c>
      <c r="H4750">
        <f>F4750*VLOOKUP(B4750,產品!$A$2:$H$61,7,FALSE)*(1-銷售總表!G4750)</f>
        <v>178000</v>
      </c>
      <c r="I4750" s="35">
        <f>H4750-F4750*VLOOKUP(銷售總表!B4750,產品!$A$2:$H$61,8,FALSE)</f>
        <v>58000</v>
      </c>
      <c r="J4750" s="20">
        <f t="shared" si="74"/>
        <v>0.3258426966292135</v>
      </c>
    </row>
    <row r="4751" spans="1:10" x14ac:dyDescent="0.3">
      <c r="A4751" s="33">
        <v>4750</v>
      </c>
      <c r="B4751" s="4">
        <v>7</v>
      </c>
      <c r="C4751" s="15">
        <v>7</v>
      </c>
      <c r="D4751" s="16">
        <v>6</v>
      </c>
      <c r="E4751" s="22">
        <v>44742</v>
      </c>
      <c r="F4751" s="19">
        <v>32</v>
      </c>
      <c r="G4751" s="18">
        <v>0.12</v>
      </c>
      <c r="H4751">
        <f>F4751*VLOOKUP(B4751,產品!$A$2:$H$61,7,FALSE)*(1-銷售總表!G4751)</f>
        <v>28160</v>
      </c>
      <c r="I4751" s="35">
        <f>H4751-F4751*VLOOKUP(銷售總表!B4751,產品!$A$2:$H$61,8,FALSE)</f>
        <v>15360</v>
      </c>
      <c r="J4751" s="20">
        <f t="shared" si="74"/>
        <v>0.54545454545454541</v>
      </c>
    </row>
    <row r="4752" spans="1:10" x14ac:dyDescent="0.3">
      <c r="A4752" s="33">
        <v>4751</v>
      </c>
      <c r="B4752" s="4">
        <v>29</v>
      </c>
      <c r="C4752" s="15">
        <v>113</v>
      </c>
      <c r="D4752" s="16">
        <v>10</v>
      </c>
      <c r="E4752" s="22">
        <v>44742</v>
      </c>
      <c r="F4752" s="19">
        <v>40</v>
      </c>
      <c r="G4752" s="18">
        <v>0.12</v>
      </c>
      <c r="H4752">
        <f>F4752*VLOOKUP(B4752,產品!$A$2:$H$61,7,FALSE)*(1-銷售總表!G4752)</f>
        <v>211200</v>
      </c>
      <c r="I4752" s="35">
        <f>H4752-F4752*VLOOKUP(銷售總表!B4752,產品!$A$2:$H$61,8,FALSE)</f>
        <v>67200</v>
      </c>
      <c r="J4752" s="20">
        <f t="shared" si="74"/>
        <v>0.31818181818181818</v>
      </c>
    </row>
    <row r="4753" spans="1:10" x14ac:dyDescent="0.3">
      <c r="A4753" s="33">
        <v>4752</v>
      </c>
      <c r="B4753" s="4">
        <v>21</v>
      </c>
      <c r="C4753" s="15">
        <v>262</v>
      </c>
      <c r="D4753" s="16">
        <v>10</v>
      </c>
      <c r="E4753" s="22">
        <v>44742</v>
      </c>
      <c r="F4753" s="19">
        <v>70</v>
      </c>
      <c r="G4753" s="18">
        <v>0.12</v>
      </c>
      <c r="H4753">
        <f>F4753*VLOOKUP(B4753,產品!$A$2:$H$61,7,FALSE)*(1-銷售總表!G4753)</f>
        <v>110880</v>
      </c>
      <c r="I4753" s="35">
        <f>H4753-F4753*VLOOKUP(銷售總表!B4753,產品!$A$2:$H$61,8,FALSE)</f>
        <v>60480</v>
      </c>
      <c r="J4753" s="20">
        <f t="shared" si="74"/>
        <v>0.54545454545454541</v>
      </c>
    </row>
    <row r="4754" spans="1:10" x14ac:dyDescent="0.3">
      <c r="A4754" s="33">
        <v>4753</v>
      </c>
      <c r="B4754" s="4">
        <v>10</v>
      </c>
      <c r="C4754" s="15">
        <v>10</v>
      </c>
      <c r="D4754" s="16">
        <v>9</v>
      </c>
      <c r="E4754" s="22">
        <v>44742</v>
      </c>
      <c r="F4754" s="19">
        <v>75</v>
      </c>
      <c r="G4754" s="18">
        <v>7.0000000000000007E-2</v>
      </c>
      <c r="H4754">
        <f>F4754*VLOOKUP(B4754,產品!$A$2:$H$61,7,FALSE)*(1-銷售總表!G4754)</f>
        <v>69750</v>
      </c>
      <c r="I4754" s="35">
        <f>H4754-F4754*VLOOKUP(銷售總表!B4754,產品!$A$2:$H$61,8,FALSE)</f>
        <v>39750</v>
      </c>
      <c r="J4754" s="20">
        <f t="shared" si="74"/>
        <v>0.56989247311827962</v>
      </c>
    </row>
    <row r="4755" spans="1:10" x14ac:dyDescent="0.3">
      <c r="A4755" s="33">
        <v>4754</v>
      </c>
      <c r="B4755" s="4">
        <v>7</v>
      </c>
      <c r="C4755" s="15">
        <v>5</v>
      </c>
      <c r="D4755" s="16">
        <v>6</v>
      </c>
      <c r="E4755" s="23">
        <v>44742</v>
      </c>
      <c r="F4755">
        <v>100</v>
      </c>
      <c r="G4755" s="20">
        <v>0.18</v>
      </c>
      <c r="H4755">
        <f>F4755*VLOOKUP(B4755,產品!$A$2:$H$61,7,FALSE)*(1-銷售總表!G4755)</f>
        <v>82000</v>
      </c>
      <c r="I4755" s="35">
        <f>H4755-F4755*VLOOKUP(銷售總表!B4755,產品!$A$2:$H$61,8,FALSE)</f>
        <v>42000</v>
      </c>
      <c r="J4755" s="20">
        <f t="shared" si="74"/>
        <v>0.51219512195121952</v>
      </c>
    </row>
    <row r="4756" spans="1:10" x14ac:dyDescent="0.3">
      <c r="A4756" s="33">
        <v>4755</v>
      </c>
      <c r="B4756" s="4">
        <v>59</v>
      </c>
      <c r="C4756" s="15">
        <v>290</v>
      </c>
      <c r="D4756" s="16">
        <v>1</v>
      </c>
      <c r="E4756" s="22">
        <v>44743</v>
      </c>
      <c r="F4756" s="19">
        <v>8</v>
      </c>
      <c r="G4756" s="18">
        <v>0.15</v>
      </c>
      <c r="H4756">
        <f>F4756*VLOOKUP(B4756,產品!$A$2:$H$61,7,FALSE)*(1-銷售總表!G4756)</f>
        <v>163200</v>
      </c>
      <c r="I4756" s="35">
        <f>H4756-F4756*VLOOKUP(銷售總表!B4756,產品!$A$2:$H$61,8,FALSE)</f>
        <v>28800</v>
      </c>
      <c r="J4756" s="20">
        <f t="shared" si="74"/>
        <v>0.17647058823529413</v>
      </c>
    </row>
    <row r="4757" spans="1:10" x14ac:dyDescent="0.3">
      <c r="A4757" s="33">
        <v>4756</v>
      </c>
      <c r="B4757" s="4">
        <v>58</v>
      </c>
      <c r="C4757" s="15">
        <v>121</v>
      </c>
      <c r="D4757" s="16">
        <v>6</v>
      </c>
      <c r="E4757" s="22">
        <v>44743</v>
      </c>
      <c r="F4757" s="19">
        <v>9</v>
      </c>
      <c r="G4757" s="18">
        <v>0.16</v>
      </c>
      <c r="H4757">
        <f>F4757*VLOOKUP(B4757,產品!$A$2:$H$61,7,FALSE)*(1-銷售總表!G4757)</f>
        <v>158760</v>
      </c>
      <c r="I4757" s="35">
        <f>H4757-F4757*VLOOKUP(銷售總表!B4757,產品!$A$2:$H$61,8,FALSE)</f>
        <v>26460.000000000029</v>
      </c>
      <c r="J4757" s="20">
        <f t="shared" si="74"/>
        <v>0.16666666666666685</v>
      </c>
    </row>
    <row r="4758" spans="1:10" x14ac:dyDescent="0.3">
      <c r="A4758" s="33">
        <v>4757</v>
      </c>
      <c r="B4758" s="4">
        <v>29</v>
      </c>
      <c r="C4758" s="15">
        <v>124</v>
      </c>
      <c r="D4758" s="16">
        <v>3</v>
      </c>
      <c r="E4758" s="22">
        <v>44743</v>
      </c>
      <c r="F4758" s="19">
        <v>9</v>
      </c>
      <c r="G4758" s="18">
        <v>0.1</v>
      </c>
      <c r="H4758">
        <f>F4758*VLOOKUP(B4758,產品!$A$2:$H$61,7,FALSE)*(1-銷售總表!G4758)</f>
        <v>48600</v>
      </c>
      <c r="I4758" s="35">
        <f>H4758-F4758*VLOOKUP(銷售總表!B4758,產品!$A$2:$H$61,8,FALSE)</f>
        <v>16200</v>
      </c>
      <c r="J4758" s="20">
        <f t="shared" si="74"/>
        <v>0.33333333333333331</v>
      </c>
    </row>
    <row r="4759" spans="1:10" x14ac:dyDescent="0.3">
      <c r="A4759" s="33">
        <v>4758</v>
      </c>
      <c r="B4759" s="4">
        <v>7</v>
      </c>
      <c r="C4759" s="15">
        <v>284</v>
      </c>
      <c r="D4759" s="16">
        <v>3</v>
      </c>
      <c r="E4759" s="23">
        <v>44743</v>
      </c>
      <c r="F4759">
        <v>50</v>
      </c>
      <c r="G4759" s="20">
        <v>0.16</v>
      </c>
      <c r="H4759">
        <f>F4759*VLOOKUP(B4759,產品!$A$2:$H$61,7,FALSE)*(1-銷售總表!G4759)</f>
        <v>42000</v>
      </c>
      <c r="I4759" s="35">
        <f>H4759-F4759*VLOOKUP(銷售總表!B4759,產品!$A$2:$H$61,8,FALSE)</f>
        <v>22000</v>
      </c>
      <c r="J4759" s="20">
        <f t="shared" si="74"/>
        <v>0.52380952380952384</v>
      </c>
    </row>
    <row r="4760" spans="1:10" x14ac:dyDescent="0.3">
      <c r="A4760" s="33">
        <v>4759</v>
      </c>
      <c r="B4760" s="4">
        <v>4</v>
      </c>
      <c r="C4760" s="15">
        <v>124</v>
      </c>
      <c r="D4760" s="16">
        <v>4</v>
      </c>
      <c r="E4760" s="22">
        <v>44743</v>
      </c>
      <c r="F4760" s="19">
        <v>60</v>
      </c>
      <c r="G4760" s="18">
        <v>0.08</v>
      </c>
      <c r="H4760">
        <f>F4760*VLOOKUP(B4760,產品!$A$2:$H$61,7,FALSE)*(1-銷售總表!G4760)</f>
        <v>55200</v>
      </c>
      <c r="I4760" s="35">
        <f>H4760-F4760*VLOOKUP(銷售總表!B4760,產品!$A$2:$H$61,8,FALSE)</f>
        <v>31200</v>
      </c>
      <c r="J4760" s="20">
        <f t="shared" si="74"/>
        <v>0.56521739130434778</v>
      </c>
    </row>
    <row r="4761" spans="1:10" x14ac:dyDescent="0.3">
      <c r="A4761" s="33">
        <v>4760</v>
      </c>
      <c r="B4761" s="4">
        <v>13</v>
      </c>
      <c r="C4761" s="15">
        <v>125</v>
      </c>
      <c r="D4761" s="16">
        <v>4</v>
      </c>
      <c r="E4761" s="22">
        <v>44743</v>
      </c>
      <c r="F4761" s="19">
        <v>98</v>
      </c>
      <c r="G4761" s="18">
        <v>0.11</v>
      </c>
      <c r="H4761">
        <f>F4761*VLOOKUP(B4761,產品!$A$2:$H$61,7,FALSE)*(1-銷售總表!G4761)</f>
        <v>156996</v>
      </c>
      <c r="I4761" s="35">
        <f>H4761-F4761*VLOOKUP(銷售總表!B4761,產品!$A$2:$H$61,8,FALSE)</f>
        <v>86436</v>
      </c>
      <c r="J4761" s="20">
        <f t="shared" si="74"/>
        <v>0.550561797752809</v>
      </c>
    </row>
    <row r="4762" spans="1:10" x14ac:dyDescent="0.3">
      <c r="A4762" s="33">
        <v>4761</v>
      </c>
      <c r="B4762" s="4">
        <v>50</v>
      </c>
      <c r="C4762" s="15">
        <v>277</v>
      </c>
      <c r="D4762" s="16">
        <v>10</v>
      </c>
      <c r="E4762" s="22">
        <v>44744</v>
      </c>
      <c r="F4762" s="19">
        <v>3</v>
      </c>
      <c r="G4762" s="18">
        <v>0.17</v>
      </c>
      <c r="H4762">
        <f>F4762*VLOOKUP(B4762,產品!$A$2:$H$61,7,FALSE)*(1-銷售總表!G4762)</f>
        <v>44820</v>
      </c>
      <c r="I4762" s="35">
        <f>H4762-F4762*VLOOKUP(銷售總表!B4762,產品!$A$2:$H$61,8,FALSE)</f>
        <v>7020</v>
      </c>
      <c r="J4762" s="20">
        <f t="shared" si="74"/>
        <v>0.15662650602409639</v>
      </c>
    </row>
    <row r="4763" spans="1:10" x14ac:dyDescent="0.3">
      <c r="A4763" s="33">
        <v>4762</v>
      </c>
      <c r="B4763" s="4">
        <v>52</v>
      </c>
      <c r="C4763" s="15">
        <v>11</v>
      </c>
      <c r="D4763" s="16">
        <v>7</v>
      </c>
      <c r="E4763" s="22">
        <v>44744</v>
      </c>
      <c r="F4763" s="19">
        <v>6</v>
      </c>
      <c r="G4763" s="18">
        <v>0.06</v>
      </c>
      <c r="H4763">
        <f>F4763*VLOOKUP(B4763,產品!$A$2:$H$61,7,FALSE)*(1-銷售總表!G4763)</f>
        <v>124080</v>
      </c>
      <c r="I4763" s="35">
        <f>H4763-F4763*VLOOKUP(銷售總表!B4763,產品!$A$2:$H$61,8,FALSE)</f>
        <v>31680.000000000015</v>
      </c>
      <c r="J4763" s="20">
        <f t="shared" si="74"/>
        <v>0.2553191489361703</v>
      </c>
    </row>
    <row r="4764" spans="1:10" x14ac:dyDescent="0.3">
      <c r="A4764" s="33">
        <v>4763</v>
      </c>
      <c r="B4764" s="4">
        <v>47</v>
      </c>
      <c r="C4764" s="15">
        <v>8</v>
      </c>
      <c r="D4764" s="16">
        <v>7</v>
      </c>
      <c r="E4764" s="22">
        <v>44744</v>
      </c>
      <c r="F4764" s="19">
        <v>10</v>
      </c>
      <c r="G4764" s="18">
        <v>7.0000000000000007E-2</v>
      </c>
      <c r="H4764">
        <f>F4764*VLOOKUP(B4764,產品!$A$2:$H$61,7,FALSE)*(1-銷售總表!G4764)</f>
        <v>186000</v>
      </c>
      <c r="I4764" s="35">
        <f>H4764-F4764*VLOOKUP(銷售總表!B4764,產品!$A$2:$H$61,8,FALSE)</f>
        <v>56000</v>
      </c>
      <c r="J4764" s="20">
        <f t="shared" si="74"/>
        <v>0.30107526881720431</v>
      </c>
    </row>
    <row r="4765" spans="1:10" x14ac:dyDescent="0.3">
      <c r="A4765" s="33">
        <v>4764</v>
      </c>
      <c r="B4765" s="4">
        <v>56</v>
      </c>
      <c r="C4765" s="15">
        <v>286</v>
      </c>
      <c r="D4765" s="16">
        <v>5</v>
      </c>
      <c r="E4765" s="22">
        <v>44744</v>
      </c>
      <c r="F4765" s="19">
        <v>12</v>
      </c>
      <c r="G4765" s="18">
        <v>7.0000000000000007E-2</v>
      </c>
      <c r="H4765">
        <f>F4765*VLOOKUP(B4765,產品!$A$2:$H$61,7,FALSE)*(1-銷售總表!G4765)</f>
        <v>245519.99999999997</v>
      </c>
      <c r="I4765" s="35">
        <f>H4765-F4765*VLOOKUP(銷售總表!B4765,產品!$A$2:$H$61,8,FALSE)</f>
        <v>60720</v>
      </c>
      <c r="J4765" s="20">
        <f t="shared" si="74"/>
        <v>0.24731182795698928</v>
      </c>
    </row>
    <row r="4766" spans="1:10" x14ac:dyDescent="0.3">
      <c r="A4766" s="33">
        <v>4765</v>
      </c>
      <c r="B4766" s="4">
        <v>13</v>
      </c>
      <c r="C4766" s="15">
        <v>140</v>
      </c>
      <c r="D4766" s="16">
        <v>7</v>
      </c>
      <c r="E4766" s="23">
        <v>44744</v>
      </c>
      <c r="F4766">
        <v>14</v>
      </c>
      <c r="G4766" s="20">
        <v>7.0000000000000007E-2</v>
      </c>
      <c r="H4766">
        <f>F4766*VLOOKUP(B4766,產品!$A$2:$H$61,7,FALSE)*(1-銷售總表!G4766)</f>
        <v>23436</v>
      </c>
      <c r="I4766" s="35">
        <f>H4766-F4766*VLOOKUP(銷售總表!B4766,產品!$A$2:$H$61,8,FALSE)</f>
        <v>13356</v>
      </c>
      <c r="J4766" s="20">
        <f t="shared" si="74"/>
        <v>0.56989247311827962</v>
      </c>
    </row>
    <row r="4767" spans="1:10" x14ac:dyDescent="0.3">
      <c r="A4767" s="33">
        <v>4766</v>
      </c>
      <c r="B4767" s="4">
        <v>4</v>
      </c>
      <c r="C4767" s="15">
        <v>263</v>
      </c>
      <c r="D4767" s="16">
        <v>3</v>
      </c>
      <c r="E4767" s="22">
        <v>44744</v>
      </c>
      <c r="F4767" s="19">
        <v>250</v>
      </c>
      <c r="G4767" s="18">
        <v>0.19</v>
      </c>
      <c r="H4767">
        <f>F4767*VLOOKUP(B4767,產品!$A$2:$H$61,7,FALSE)*(1-銷售總表!G4767)</f>
        <v>202500</v>
      </c>
      <c r="I4767" s="35">
        <f>H4767-F4767*VLOOKUP(銷售總表!B4767,產品!$A$2:$H$61,8,FALSE)</f>
        <v>102500</v>
      </c>
      <c r="J4767" s="20">
        <f t="shared" si="74"/>
        <v>0.50617283950617287</v>
      </c>
    </row>
    <row r="4768" spans="1:10" x14ac:dyDescent="0.3">
      <c r="A4768" s="33">
        <v>4767</v>
      </c>
      <c r="B4768" s="4">
        <v>58</v>
      </c>
      <c r="C4768" s="15">
        <v>291</v>
      </c>
      <c r="D4768" s="16">
        <v>8</v>
      </c>
      <c r="E4768" s="22">
        <v>44745</v>
      </c>
      <c r="F4768" s="19">
        <v>6</v>
      </c>
      <c r="G4768" s="18">
        <v>0.15</v>
      </c>
      <c r="H4768">
        <f>F4768*VLOOKUP(B4768,產品!$A$2:$H$61,7,FALSE)*(1-銷售總表!G4768)</f>
        <v>107100</v>
      </c>
      <c r="I4768" s="35">
        <f>H4768-F4768*VLOOKUP(銷售總表!B4768,產品!$A$2:$H$61,8,FALSE)</f>
        <v>18900.000000000015</v>
      </c>
      <c r="J4768" s="20">
        <f t="shared" si="74"/>
        <v>0.17647058823529424</v>
      </c>
    </row>
    <row r="4769" spans="1:10" x14ac:dyDescent="0.3">
      <c r="A4769" s="33">
        <v>4768</v>
      </c>
      <c r="B4769" s="4">
        <v>15</v>
      </c>
      <c r="C4769" s="15">
        <v>292</v>
      </c>
      <c r="D4769" s="16">
        <v>5</v>
      </c>
      <c r="E4769" s="22">
        <v>44745</v>
      </c>
      <c r="F4769" s="19">
        <v>10</v>
      </c>
      <c r="G4769" s="18">
        <v>7.0000000000000007E-2</v>
      </c>
      <c r="H4769">
        <f>F4769*VLOOKUP(B4769,產品!$A$2:$H$61,7,FALSE)*(1-銷售總表!G4769)</f>
        <v>16740</v>
      </c>
      <c r="I4769" s="35">
        <f>H4769-F4769*VLOOKUP(銷售總表!B4769,產品!$A$2:$H$61,8,FALSE)</f>
        <v>9540</v>
      </c>
      <c r="J4769" s="20">
        <f t="shared" si="74"/>
        <v>0.56989247311827962</v>
      </c>
    </row>
    <row r="4770" spans="1:10" x14ac:dyDescent="0.3">
      <c r="A4770" s="33">
        <v>4769</v>
      </c>
      <c r="B4770" s="4">
        <v>51</v>
      </c>
      <c r="C4770" s="15">
        <v>287</v>
      </c>
      <c r="D4770" s="16">
        <v>4</v>
      </c>
      <c r="E4770" s="22">
        <v>44745</v>
      </c>
      <c r="F4770" s="19">
        <v>14</v>
      </c>
      <c r="G4770" s="18">
        <v>0.14000000000000001</v>
      </c>
      <c r="H4770">
        <f>F4770*VLOOKUP(B4770,產品!$A$2:$H$61,7,FALSE)*(1-銷售總表!G4770)</f>
        <v>240800</v>
      </c>
      <c r="I4770" s="35">
        <f>H4770-F4770*VLOOKUP(銷售總表!B4770,產品!$A$2:$H$61,8,FALSE)</f>
        <v>44800</v>
      </c>
      <c r="J4770" s="20">
        <f t="shared" si="74"/>
        <v>0.18604651162790697</v>
      </c>
    </row>
    <row r="4771" spans="1:10" x14ac:dyDescent="0.3">
      <c r="A4771" s="33">
        <v>4770</v>
      </c>
      <c r="B4771" s="4">
        <v>42</v>
      </c>
      <c r="C4771" s="15">
        <v>138</v>
      </c>
      <c r="D4771" s="16">
        <v>6</v>
      </c>
      <c r="E4771" s="22">
        <v>44745</v>
      </c>
      <c r="F4771" s="19">
        <v>15</v>
      </c>
      <c r="G4771" s="18">
        <v>0.1</v>
      </c>
      <c r="H4771">
        <f>F4771*VLOOKUP(B4771,產品!$A$2:$H$61,7,FALSE)*(1-銷售總表!G4771)</f>
        <v>202500</v>
      </c>
      <c r="I4771" s="35">
        <f>H4771-F4771*VLOOKUP(銷售總表!B4771,產品!$A$2:$H$61,8,FALSE)</f>
        <v>56250</v>
      </c>
      <c r="J4771" s="20">
        <f t="shared" si="74"/>
        <v>0.27777777777777779</v>
      </c>
    </row>
    <row r="4772" spans="1:10" x14ac:dyDescent="0.3">
      <c r="A4772" s="33">
        <v>4771</v>
      </c>
      <c r="B4772" s="4">
        <v>4</v>
      </c>
      <c r="C4772" s="15">
        <v>9</v>
      </c>
      <c r="D4772" s="16">
        <v>7</v>
      </c>
      <c r="E4772" s="22">
        <v>44745</v>
      </c>
      <c r="F4772" s="19">
        <v>21</v>
      </c>
      <c r="G4772" s="18">
        <v>0.18</v>
      </c>
      <c r="H4772">
        <f>F4772*VLOOKUP(B4772,產品!$A$2:$H$61,7,FALSE)*(1-銷售總表!G4772)</f>
        <v>17220</v>
      </c>
      <c r="I4772" s="35">
        <f>H4772-F4772*VLOOKUP(銷售總表!B4772,產品!$A$2:$H$61,8,FALSE)</f>
        <v>8820</v>
      </c>
      <c r="J4772" s="20">
        <f t="shared" si="74"/>
        <v>0.51219512195121952</v>
      </c>
    </row>
    <row r="4773" spans="1:10" x14ac:dyDescent="0.3">
      <c r="A4773" s="33">
        <v>4772</v>
      </c>
      <c r="B4773" s="4">
        <v>29</v>
      </c>
      <c r="C4773" s="15">
        <v>258</v>
      </c>
      <c r="D4773" s="16">
        <v>1</v>
      </c>
      <c r="E4773" s="23">
        <v>44745</v>
      </c>
      <c r="F4773">
        <v>40</v>
      </c>
      <c r="G4773" s="20">
        <v>0.05</v>
      </c>
      <c r="H4773">
        <f>F4773*VLOOKUP(B4773,產品!$A$2:$H$61,7,FALSE)*(1-銷售總表!G4773)</f>
        <v>228000</v>
      </c>
      <c r="I4773" s="35">
        <f>H4773-F4773*VLOOKUP(銷售總表!B4773,產品!$A$2:$H$61,8,FALSE)</f>
        <v>84000</v>
      </c>
      <c r="J4773" s="20">
        <f t="shared" si="74"/>
        <v>0.36842105263157893</v>
      </c>
    </row>
    <row r="4774" spans="1:10" x14ac:dyDescent="0.3">
      <c r="A4774" s="33">
        <v>4773</v>
      </c>
      <c r="B4774" s="4">
        <v>59</v>
      </c>
      <c r="C4774" s="15">
        <v>273</v>
      </c>
      <c r="D4774" s="16">
        <v>2</v>
      </c>
      <c r="E4774" s="22">
        <v>44746</v>
      </c>
      <c r="F4774" s="19">
        <v>9</v>
      </c>
      <c r="G4774" s="18">
        <v>0.19</v>
      </c>
      <c r="H4774">
        <f>F4774*VLOOKUP(B4774,產品!$A$2:$H$61,7,FALSE)*(1-銷售總表!G4774)</f>
        <v>174960</v>
      </c>
      <c r="I4774" s="35">
        <f>H4774-F4774*VLOOKUP(銷售總表!B4774,產品!$A$2:$H$61,8,FALSE)</f>
        <v>23760</v>
      </c>
      <c r="J4774" s="20">
        <f t="shared" si="74"/>
        <v>0.13580246913580246</v>
      </c>
    </row>
    <row r="4775" spans="1:10" x14ac:dyDescent="0.3">
      <c r="A4775" s="33">
        <v>4774</v>
      </c>
      <c r="B4775" s="4">
        <v>48</v>
      </c>
      <c r="C4775" s="15">
        <v>1</v>
      </c>
      <c r="D4775" s="16">
        <v>3</v>
      </c>
      <c r="E4775" s="23">
        <v>44746</v>
      </c>
      <c r="F4775">
        <v>10</v>
      </c>
      <c r="G4775" s="20">
        <v>0.15</v>
      </c>
      <c r="H4775">
        <f>F4775*VLOOKUP(B4775,產品!$A$2:$H$61,7,FALSE)*(1-銷售總表!G4775)</f>
        <v>187000</v>
      </c>
      <c r="I4775" s="35">
        <f>H4775-F4775*VLOOKUP(銷售總表!B4775,產品!$A$2:$H$61,8,FALSE)</f>
        <v>44000</v>
      </c>
      <c r="J4775" s="20">
        <f t="shared" si="74"/>
        <v>0.23529411764705882</v>
      </c>
    </row>
    <row r="4776" spans="1:10" x14ac:dyDescent="0.3">
      <c r="A4776" s="33">
        <v>4775</v>
      </c>
      <c r="B4776" s="4">
        <v>1</v>
      </c>
      <c r="C4776" s="15">
        <v>272</v>
      </c>
      <c r="D4776" s="16">
        <v>4</v>
      </c>
      <c r="E4776" s="22">
        <v>44746</v>
      </c>
      <c r="F4776" s="19">
        <v>15</v>
      </c>
      <c r="G4776" s="18">
        <v>0.15</v>
      </c>
      <c r="H4776">
        <f>F4776*VLOOKUP(B4776,產品!$A$2:$H$61,7,FALSE)*(1-銷售總表!G4776)</f>
        <v>12750</v>
      </c>
      <c r="I4776" s="35">
        <f>H4776-F4776*VLOOKUP(銷售總表!B4776,產品!$A$2:$H$61,8,FALSE)</f>
        <v>6750</v>
      </c>
      <c r="J4776" s="20">
        <f t="shared" si="74"/>
        <v>0.52941176470588236</v>
      </c>
    </row>
    <row r="4777" spans="1:10" x14ac:dyDescent="0.3">
      <c r="A4777" s="33">
        <v>4776</v>
      </c>
      <c r="B4777" s="4">
        <v>15</v>
      </c>
      <c r="C4777" s="15">
        <v>9</v>
      </c>
      <c r="D4777" s="16">
        <v>3</v>
      </c>
      <c r="E4777" s="22">
        <v>44746</v>
      </c>
      <c r="F4777" s="19">
        <v>100</v>
      </c>
      <c r="G4777" s="18">
        <v>0.15</v>
      </c>
      <c r="H4777">
        <f>F4777*VLOOKUP(B4777,產品!$A$2:$H$61,7,FALSE)*(1-銷售總表!G4777)</f>
        <v>153000</v>
      </c>
      <c r="I4777" s="35">
        <f>H4777-F4777*VLOOKUP(銷售總表!B4777,產品!$A$2:$H$61,8,FALSE)</f>
        <v>81000</v>
      </c>
      <c r="J4777" s="20">
        <f t="shared" si="74"/>
        <v>0.52941176470588236</v>
      </c>
    </row>
    <row r="4778" spans="1:10" x14ac:dyDescent="0.3">
      <c r="A4778" s="33">
        <v>4777</v>
      </c>
      <c r="B4778" s="4">
        <v>41</v>
      </c>
      <c r="C4778" s="15">
        <v>139</v>
      </c>
      <c r="D4778" s="16">
        <v>9</v>
      </c>
      <c r="E4778" s="22">
        <v>44747</v>
      </c>
      <c r="F4778" s="19">
        <v>4</v>
      </c>
      <c r="G4778" s="18">
        <v>0.06</v>
      </c>
      <c r="H4778">
        <f>F4778*VLOOKUP(B4778,產品!$A$2:$H$61,7,FALSE)*(1-銷售總表!G4778)</f>
        <v>45120</v>
      </c>
      <c r="I4778" s="35">
        <f>H4778-F4778*VLOOKUP(銷售總表!B4778,產品!$A$2:$H$61,8,FALSE)</f>
        <v>13920</v>
      </c>
      <c r="J4778" s="20">
        <f t="shared" si="74"/>
        <v>0.30851063829787234</v>
      </c>
    </row>
    <row r="4779" spans="1:10" x14ac:dyDescent="0.3">
      <c r="A4779" s="33">
        <v>4778</v>
      </c>
      <c r="B4779" s="4">
        <v>40</v>
      </c>
      <c r="C4779" s="15">
        <v>277</v>
      </c>
      <c r="D4779" s="16">
        <v>5</v>
      </c>
      <c r="E4779" s="22">
        <v>44747</v>
      </c>
      <c r="F4779" s="19">
        <v>5</v>
      </c>
      <c r="G4779" s="18">
        <v>0.15</v>
      </c>
      <c r="H4779">
        <f>F4779*VLOOKUP(B4779,產品!$A$2:$H$61,7,FALSE)*(1-銷售總表!G4779)</f>
        <v>85000</v>
      </c>
      <c r="I4779" s="35">
        <f>H4779-F4779*VLOOKUP(銷售總表!B4779,產品!$A$2:$H$61,8,FALSE)</f>
        <v>20000</v>
      </c>
      <c r="J4779" s="20">
        <f t="shared" si="74"/>
        <v>0.23529411764705882</v>
      </c>
    </row>
    <row r="4780" spans="1:10" x14ac:dyDescent="0.3">
      <c r="A4780" s="33">
        <v>4779</v>
      </c>
      <c r="B4780" s="4">
        <v>42</v>
      </c>
      <c r="C4780" s="15">
        <v>289</v>
      </c>
      <c r="D4780" s="16">
        <v>4</v>
      </c>
      <c r="E4780" s="22">
        <v>44747</v>
      </c>
      <c r="F4780" s="19">
        <v>6</v>
      </c>
      <c r="G4780" s="18">
        <v>0.08</v>
      </c>
      <c r="H4780">
        <f>F4780*VLOOKUP(B4780,產品!$A$2:$H$61,7,FALSE)*(1-銷售總表!G4780)</f>
        <v>82800</v>
      </c>
      <c r="I4780" s="35">
        <f>H4780-F4780*VLOOKUP(銷售總表!B4780,產品!$A$2:$H$61,8,FALSE)</f>
        <v>24300</v>
      </c>
      <c r="J4780" s="20">
        <f t="shared" si="74"/>
        <v>0.29347826086956524</v>
      </c>
    </row>
    <row r="4781" spans="1:10" x14ac:dyDescent="0.3">
      <c r="A4781" s="33">
        <v>4780</v>
      </c>
      <c r="B4781" s="4">
        <v>16</v>
      </c>
      <c r="C4781" s="15">
        <v>137</v>
      </c>
      <c r="D4781" s="16">
        <v>4</v>
      </c>
      <c r="E4781" s="22">
        <v>44747</v>
      </c>
      <c r="F4781" s="19">
        <v>10</v>
      </c>
      <c r="G4781" s="18">
        <v>0.19</v>
      </c>
      <c r="H4781">
        <f>F4781*VLOOKUP(B4781,產品!$A$2:$H$61,7,FALSE)*(1-銷售總表!G4781)</f>
        <v>14580.000000000002</v>
      </c>
      <c r="I4781" s="35">
        <f>H4781-F4781*VLOOKUP(銷售總表!B4781,產品!$A$2:$H$61,8,FALSE)</f>
        <v>7380.0000000000018</v>
      </c>
      <c r="J4781" s="20">
        <f t="shared" si="74"/>
        <v>0.50617283950617287</v>
      </c>
    </row>
    <row r="4782" spans="1:10" x14ac:dyDescent="0.3">
      <c r="A4782" s="33">
        <v>4781</v>
      </c>
      <c r="B4782" s="4">
        <v>6</v>
      </c>
      <c r="C4782" s="15">
        <v>268</v>
      </c>
      <c r="D4782" s="16">
        <v>2</v>
      </c>
      <c r="E4782" s="22">
        <v>44747</v>
      </c>
      <c r="F4782" s="19">
        <v>50</v>
      </c>
      <c r="G4782" s="18">
        <v>0.08</v>
      </c>
      <c r="H4782">
        <f>F4782*VLOOKUP(B4782,產品!$A$2:$H$61,7,FALSE)*(1-銷售總表!G4782)</f>
        <v>46000</v>
      </c>
      <c r="I4782" s="35">
        <f>H4782-F4782*VLOOKUP(銷售總表!B4782,產品!$A$2:$H$61,8,FALSE)</f>
        <v>26000</v>
      </c>
      <c r="J4782" s="20">
        <f t="shared" si="74"/>
        <v>0.56521739130434778</v>
      </c>
    </row>
    <row r="4783" spans="1:10" x14ac:dyDescent="0.3">
      <c r="A4783" s="33">
        <v>4782</v>
      </c>
      <c r="B4783" s="4">
        <v>2</v>
      </c>
      <c r="C4783" s="15">
        <v>12</v>
      </c>
      <c r="D4783" s="16">
        <v>2</v>
      </c>
      <c r="E4783" s="23">
        <v>44747</v>
      </c>
      <c r="F4783">
        <v>200</v>
      </c>
      <c r="G4783" s="20">
        <v>0.09</v>
      </c>
      <c r="H4783">
        <f>F4783*VLOOKUP(B4783,產品!$A$2:$H$61,7,FALSE)*(1-銷售總表!G4783)</f>
        <v>182000</v>
      </c>
      <c r="I4783" s="35">
        <f>H4783-F4783*VLOOKUP(銷售總表!B4783,產品!$A$2:$H$61,8,FALSE)</f>
        <v>102000</v>
      </c>
      <c r="J4783" s="20">
        <f t="shared" si="74"/>
        <v>0.56043956043956045</v>
      </c>
    </row>
    <row r="4784" spans="1:10" x14ac:dyDescent="0.3">
      <c r="A4784" s="33">
        <v>4783</v>
      </c>
      <c r="B4784" s="4">
        <v>58</v>
      </c>
      <c r="C4784" s="15">
        <v>285</v>
      </c>
      <c r="D4784" s="16">
        <v>7</v>
      </c>
      <c r="E4784" s="22">
        <v>44748</v>
      </c>
      <c r="F4784" s="19">
        <v>1</v>
      </c>
      <c r="G4784" s="18">
        <v>0.17</v>
      </c>
      <c r="H4784">
        <f>F4784*VLOOKUP(B4784,產品!$A$2:$H$61,7,FALSE)*(1-銷售總表!G4784)</f>
        <v>17430</v>
      </c>
      <c r="I4784" s="35">
        <f>H4784-F4784*VLOOKUP(銷售總表!B4784,產品!$A$2:$H$61,8,FALSE)</f>
        <v>2730.0000000000018</v>
      </c>
      <c r="J4784" s="20">
        <f t="shared" si="74"/>
        <v>0.1566265060240965</v>
      </c>
    </row>
    <row r="4785" spans="1:10" x14ac:dyDescent="0.3">
      <c r="A4785" s="33">
        <v>4784</v>
      </c>
      <c r="B4785" s="4">
        <v>16</v>
      </c>
      <c r="C4785" s="15">
        <v>271</v>
      </c>
      <c r="D4785" s="16">
        <v>4</v>
      </c>
      <c r="E4785" s="22">
        <v>44748</v>
      </c>
      <c r="F4785" s="19">
        <v>8</v>
      </c>
      <c r="G4785" s="18">
        <v>7.0000000000000007E-2</v>
      </c>
      <c r="H4785">
        <f>F4785*VLOOKUP(B4785,產品!$A$2:$H$61,7,FALSE)*(1-銷售總表!G4785)</f>
        <v>13392</v>
      </c>
      <c r="I4785" s="35">
        <f>H4785-F4785*VLOOKUP(銷售總表!B4785,產品!$A$2:$H$61,8,FALSE)</f>
        <v>7632</v>
      </c>
      <c r="J4785" s="20">
        <f t="shared" si="74"/>
        <v>0.56989247311827962</v>
      </c>
    </row>
    <row r="4786" spans="1:10" x14ac:dyDescent="0.3">
      <c r="A4786" s="33">
        <v>4785</v>
      </c>
      <c r="B4786" s="4">
        <v>32</v>
      </c>
      <c r="C4786" s="15">
        <v>121</v>
      </c>
      <c r="D4786" s="16">
        <v>4</v>
      </c>
      <c r="E4786" s="22">
        <v>44748</v>
      </c>
      <c r="F4786" s="19">
        <v>12</v>
      </c>
      <c r="G4786" s="18">
        <v>0.13</v>
      </c>
      <c r="H4786">
        <f>F4786*VLOOKUP(B4786,產品!$A$2:$H$61,7,FALSE)*(1-銷售總表!G4786)</f>
        <v>78300</v>
      </c>
      <c r="I4786" s="35">
        <f>H4786-F4786*VLOOKUP(銷售總表!B4786,產品!$A$2:$H$61,8,FALSE)</f>
        <v>24300</v>
      </c>
      <c r="J4786" s="20">
        <f t="shared" si="74"/>
        <v>0.31034482758620691</v>
      </c>
    </row>
    <row r="4787" spans="1:10" x14ac:dyDescent="0.3">
      <c r="A4787" s="33">
        <v>4786</v>
      </c>
      <c r="B4787" s="4">
        <v>38</v>
      </c>
      <c r="C4787" s="15">
        <v>138</v>
      </c>
      <c r="D4787" s="16">
        <v>1</v>
      </c>
      <c r="E4787" s="22">
        <v>44748</v>
      </c>
      <c r="F4787" s="19">
        <v>13</v>
      </c>
      <c r="G4787" s="18">
        <v>0.08</v>
      </c>
      <c r="H4787">
        <f>F4787*VLOOKUP(B4787,產品!$A$2:$H$61,7,FALSE)*(1-銷售總表!G4787)</f>
        <v>179400</v>
      </c>
      <c r="I4787" s="35">
        <f>H4787-F4787*VLOOKUP(銷售總表!B4787,產品!$A$2:$H$61,8,FALSE)</f>
        <v>52650</v>
      </c>
      <c r="J4787" s="20">
        <f t="shared" si="74"/>
        <v>0.29347826086956524</v>
      </c>
    </row>
    <row r="4788" spans="1:10" x14ac:dyDescent="0.3">
      <c r="A4788" s="33">
        <v>4787</v>
      </c>
      <c r="B4788" s="4">
        <v>15</v>
      </c>
      <c r="C4788" s="15">
        <v>2</v>
      </c>
      <c r="D4788" s="16">
        <v>8</v>
      </c>
      <c r="E4788" s="22">
        <v>44748</v>
      </c>
      <c r="F4788" s="19">
        <v>20</v>
      </c>
      <c r="G4788" s="18">
        <v>0.05</v>
      </c>
      <c r="H4788">
        <f>F4788*VLOOKUP(B4788,產品!$A$2:$H$61,7,FALSE)*(1-銷售總表!G4788)</f>
        <v>34200</v>
      </c>
      <c r="I4788" s="35">
        <f>H4788-F4788*VLOOKUP(銷售總表!B4788,產品!$A$2:$H$61,8,FALSE)</f>
        <v>19800</v>
      </c>
      <c r="J4788" s="20">
        <f t="shared" si="74"/>
        <v>0.57894736842105265</v>
      </c>
    </row>
    <row r="4789" spans="1:10" x14ac:dyDescent="0.3">
      <c r="A4789" s="33">
        <v>4788</v>
      </c>
      <c r="B4789" s="4">
        <v>14</v>
      </c>
      <c r="C4789" s="15">
        <v>118</v>
      </c>
      <c r="D4789" s="16">
        <v>7</v>
      </c>
      <c r="E4789" s="22">
        <v>44748</v>
      </c>
      <c r="F4789" s="19">
        <v>40</v>
      </c>
      <c r="G4789" s="18">
        <v>0.14000000000000001</v>
      </c>
      <c r="H4789">
        <f>F4789*VLOOKUP(B4789,產品!$A$2:$H$61,7,FALSE)*(1-銷售總表!G4789)</f>
        <v>61920</v>
      </c>
      <c r="I4789" s="35">
        <f>H4789-F4789*VLOOKUP(銷售總表!B4789,產品!$A$2:$H$61,8,FALSE)</f>
        <v>33120</v>
      </c>
      <c r="J4789" s="20">
        <f t="shared" si="74"/>
        <v>0.53488372093023251</v>
      </c>
    </row>
    <row r="4790" spans="1:10" x14ac:dyDescent="0.3">
      <c r="A4790" s="33">
        <v>4789</v>
      </c>
      <c r="B4790" s="4">
        <v>2</v>
      </c>
      <c r="C4790" s="15">
        <v>283</v>
      </c>
      <c r="D4790" s="16">
        <v>1</v>
      </c>
      <c r="E4790" s="22">
        <v>44748</v>
      </c>
      <c r="F4790" s="19">
        <v>105</v>
      </c>
      <c r="G4790" s="18">
        <v>0.08</v>
      </c>
      <c r="H4790">
        <f>F4790*VLOOKUP(B4790,產品!$A$2:$H$61,7,FALSE)*(1-銷售總表!G4790)</f>
        <v>96600</v>
      </c>
      <c r="I4790" s="35">
        <f>H4790-F4790*VLOOKUP(銷售總表!B4790,產品!$A$2:$H$61,8,FALSE)</f>
        <v>54600</v>
      </c>
      <c r="J4790" s="20">
        <f t="shared" si="74"/>
        <v>0.56521739130434778</v>
      </c>
    </row>
    <row r="4791" spans="1:10" x14ac:dyDescent="0.3">
      <c r="A4791" s="33">
        <v>4790</v>
      </c>
      <c r="B4791" s="4">
        <v>35</v>
      </c>
      <c r="C4791" s="15">
        <v>289</v>
      </c>
      <c r="D4791" s="16">
        <v>2</v>
      </c>
      <c r="E4791" s="22">
        <v>44749</v>
      </c>
      <c r="F4791" s="19">
        <v>4</v>
      </c>
      <c r="G4791" s="18">
        <v>7.0000000000000007E-2</v>
      </c>
      <c r="H4791">
        <f>F4791*VLOOKUP(B4791,產品!$A$2:$H$61,7,FALSE)*(1-銷售總表!G4791)</f>
        <v>31619.999999999996</v>
      </c>
      <c r="I4791" s="35">
        <f>H4791-F4791*VLOOKUP(銷售總表!B4791,產品!$A$2:$H$61,8,FALSE)</f>
        <v>11219.999999999996</v>
      </c>
      <c r="J4791" s="20">
        <f t="shared" si="74"/>
        <v>0.35483870967741926</v>
      </c>
    </row>
    <row r="4792" spans="1:10" x14ac:dyDescent="0.3">
      <c r="A4792" s="33">
        <v>4791</v>
      </c>
      <c r="B4792" s="4">
        <v>26</v>
      </c>
      <c r="C4792" s="15">
        <v>283</v>
      </c>
      <c r="D4792" s="16">
        <v>1</v>
      </c>
      <c r="E4792" s="22">
        <v>44749</v>
      </c>
      <c r="F4792" s="19">
        <v>4</v>
      </c>
      <c r="G4792" s="18">
        <v>7.0000000000000007E-2</v>
      </c>
      <c r="H4792">
        <f>F4792*VLOOKUP(B4792,產品!$A$2:$H$61,7,FALSE)*(1-銷售總表!G4792)</f>
        <v>24180</v>
      </c>
      <c r="I4792" s="35">
        <f>H4792-F4792*VLOOKUP(銷售總表!B4792,產品!$A$2:$H$61,8,FALSE)</f>
        <v>8580</v>
      </c>
      <c r="J4792" s="20">
        <f t="shared" si="74"/>
        <v>0.35483870967741937</v>
      </c>
    </row>
    <row r="4793" spans="1:10" x14ac:dyDescent="0.3">
      <c r="A4793" s="33">
        <v>4792</v>
      </c>
      <c r="B4793" s="4">
        <v>53</v>
      </c>
      <c r="C4793" s="15">
        <v>260</v>
      </c>
      <c r="D4793" s="16">
        <v>10</v>
      </c>
      <c r="E4793" s="22">
        <v>44749</v>
      </c>
      <c r="F4793" s="19">
        <v>5</v>
      </c>
      <c r="G4793" s="18">
        <v>7.0000000000000007E-2</v>
      </c>
      <c r="H4793">
        <f>F4793*VLOOKUP(B4793,產品!$A$2:$H$61,7,FALSE)*(1-銷售總表!G4793)</f>
        <v>69750</v>
      </c>
      <c r="I4793" s="35">
        <f>H4793-F4793*VLOOKUP(銷售總表!B4793,產品!$A$2:$H$61,8,FALSE)</f>
        <v>17250</v>
      </c>
      <c r="J4793" s="20">
        <f t="shared" si="74"/>
        <v>0.24731182795698925</v>
      </c>
    </row>
    <row r="4794" spans="1:10" x14ac:dyDescent="0.3">
      <c r="A4794" s="33">
        <v>4793</v>
      </c>
      <c r="B4794" s="4">
        <v>50</v>
      </c>
      <c r="C4794" s="15">
        <v>1</v>
      </c>
      <c r="D4794" s="16">
        <v>3</v>
      </c>
      <c r="E4794" s="22">
        <v>44749</v>
      </c>
      <c r="F4794" s="19">
        <v>8</v>
      </c>
      <c r="G4794" s="18">
        <v>0.05</v>
      </c>
      <c r="H4794">
        <f>F4794*VLOOKUP(B4794,產品!$A$2:$H$61,7,FALSE)*(1-銷售總表!G4794)</f>
        <v>136800</v>
      </c>
      <c r="I4794" s="35">
        <f>H4794-F4794*VLOOKUP(銷售總表!B4794,產品!$A$2:$H$61,8,FALSE)</f>
        <v>36000</v>
      </c>
      <c r="J4794" s="20">
        <f t="shared" si="74"/>
        <v>0.26315789473684209</v>
      </c>
    </row>
    <row r="4795" spans="1:10" x14ac:dyDescent="0.3">
      <c r="A4795" s="33">
        <v>4794</v>
      </c>
      <c r="B4795" s="4">
        <v>55</v>
      </c>
      <c r="C4795" s="15">
        <v>264</v>
      </c>
      <c r="D4795" s="16">
        <v>8</v>
      </c>
      <c r="E4795" s="23">
        <v>44749</v>
      </c>
      <c r="F4795">
        <v>13</v>
      </c>
      <c r="G4795" s="20">
        <v>0.1</v>
      </c>
      <c r="H4795">
        <f>F4795*VLOOKUP(B4795,產品!$A$2:$H$61,7,FALSE)*(1-銷售總表!G4795)</f>
        <v>234000</v>
      </c>
      <c r="I4795" s="35">
        <f>H4795-F4795*VLOOKUP(銷售總表!B4795,產品!$A$2:$H$61,8,FALSE)</f>
        <v>52000</v>
      </c>
      <c r="J4795" s="20">
        <f t="shared" si="74"/>
        <v>0.22222222222222221</v>
      </c>
    </row>
    <row r="4796" spans="1:10" x14ac:dyDescent="0.3">
      <c r="A4796" s="33">
        <v>4795</v>
      </c>
      <c r="B4796" s="4">
        <v>20</v>
      </c>
      <c r="C4796" s="15">
        <v>8</v>
      </c>
      <c r="D4796" s="16">
        <v>3</v>
      </c>
      <c r="E4796" s="22">
        <v>44749</v>
      </c>
      <c r="F4796" s="19">
        <v>20</v>
      </c>
      <c r="G4796" s="18">
        <v>0.08</v>
      </c>
      <c r="H4796">
        <f>F4796*VLOOKUP(B4796,產品!$A$2:$H$61,7,FALSE)*(1-銷售總表!G4796)</f>
        <v>33120</v>
      </c>
      <c r="I4796" s="35">
        <f>H4796-F4796*VLOOKUP(銷售總表!B4796,產品!$A$2:$H$61,8,FALSE)</f>
        <v>18720</v>
      </c>
      <c r="J4796" s="20">
        <f t="shared" si="74"/>
        <v>0.56521739130434778</v>
      </c>
    </row>
    <row r="4797" spans="1:10" x14ac:dyDescent="0.3">
      <c r="A4797" s="33">
        <v>4796</v>
      </c>
      <c r="B4797" s="4">
        <v>14</v>
      </c>
      <c r="C4797" s="15">
        <v>287</v>
      </c>
      <c r="D4797" s="16">
        <v>10</v>
      </c>
      <c r="E4797" s="22">
        <v>44749</v>
      </c>
      <c r="F4797" s="19">
        <v>20</v>
      </c>
      <c r="G4797" s="18">
        <v>0.12</v>
      </c>
      <c r="H4797">
        <f>F4797*VLOOKUP(B4797,產品!$A$2:$H$61,7,FALSE)*(1-銷售總表!G4797)</f>
        <v>31680</v>
      </c>
      <c r="I4797" s="35">
        <f>H4797-F4797*VLOOKUP(銷售總表!B4797,產品!$A$2:$H$61,8,FALSE)</f>
        <v>17280</v>
      </c>
      <c r="J4797" s="20">
        <f t="shared" si="74"/>
        <v>0.54545454545454541</v>
      </c>
    </row>
    <row r="4798" spans="1:10" x14ac:dyDescent="0.3">
      <c r="A4798" s="33">
        <v>4797</v>
      </c>
      <c r="B4798" s="4">
        <v>24</v>
      </c>
      <c r="C4798" s="15">
        <v>122</v>
      </c>
      <c r="D4798" s="16">
        <v>7</v>
      </c>
      <c r="E4798" s="22">
        <v>44749</v>
      </c>
      <c r="F4798" s="19">
        <v>90</v>
      </c>
      <c r="G4798" s="18">
        <v>0.18</v>
      </c>
      <c r="H4798">
        <f>F4798*VLOOKUP(B4798,產品!$A$2:$H$61,7,FALSE)*(1-銷售總表!G4798)</f>
        <v>132840</v>
      </c>
      <c r="I4798" s="35">
        <f>H4798-F4798*VLOOKUP(銷售總表!B4798,產品!$A$2:$H$61,8,FALSE)</f>
        <v>68040</v>
      </c>
      <c r="J4798" s="20">
        <f t="shared" si="74"/>
        <v>0.51219512195121952</v>
      </c>
    </row>
    <row r="4799" spans="1:10" x14ac:dyDescent="0.3">
      <c r="A4799" s="33">
        <v>4798</v>
      </c>
      <c r="B4799" s="4">
        <v>47</v>
      </c>
      <c r="C4799" s="15">
        <v>121</v>
      </c>
      <c r="D4799" s="16">
        <v>8</v>
      </c>
      <c r="E4799" s="22">
        <v>44750</v>
      </c>
      <c r="F4799" s="19">
        <v>3</v>
      </c>
      <c r="G4799" s="18">
        <v>0.1</v>
      </c>
      <c r="H4799">
        <f>F4799*VLOOKUP(B4799,產品!$A$2:$H$61,7,FALSE)*(1-銷售總表!G4799)</f>
        <v>54000</v>
      </c>
      <c r="I4799" s="35">
        <f>H4799-F4799*VLOOKUP(銷售總表!B4799,產品!$A$2:$H$61,8,FALSE)</f>
        <v>15000</v>
      </c>
      <c r="J4799" s="20">
        <f t="shared" si="74"/>
        <v>0.27777777777777779</v>
      </c>
    </row>
    <row r="4800" spans="1:10" x14ac:dyDescent="0.3">
      <c r="A4800" s="33">
        <v>4799</v>
      </c>
      <c r="B4800" s="4">
        <v>47</v>
      </c>
      <c r="C4800" s="15">
        <v>120</v>
      </c>
      <c r="D4800" s="16">
        <v>2</v>
      </c>
      <c r="E4800" s="22">
        <v>44750</v>
      </c>
      <c r="F4800" s="19">
        <v>4</v>
      </c>
      <c r="G4800" s="18">
        <v>0.12</v>
      </c>
      <c r="H4800">
        <f>F4800*VLOOKUP(B4800,產品!$A$2:$H$61,7,FALSE)*(1-銷售總表!G4800)</f>
        <v>70400</v>
      </c>
      <c r="I4800" s="35">
        <f>H4800-F4800*VLOOKUP(銷售總表!B4800,產品!$A$2:$H$61,8,FALSE)</f>
        <v>18400</v>
      </c>
      <c r="J4800" s="20">
        <f t="shared" si="74"/>
        <v>0.26136363636363635</v>
      </c>
    </row>
    <row r="4801" spans="1:10" x14ac:dyDescent="0.3">
      <c r="A4801" s="33">
        <v>4800</v>
      </c>
      <c r="B4801" s="4">
        <v>26</v>
      </c>
      <c r="C4801" s="15">
        <v>272</v>
      </c>
      <c r="D4801" s="16">
        <v>5</v>
      </c>
      <c r="E4801" s="22">
        <v>44750</v>
      </c>
      <c r="F4801" s="19">
        <v>4</v>
      </c>
      <c r="G4801" s="18">
        <v>0.12</v>
      </c>
      <c r="H4801">
        <f>F4801*VLOOKUP(B4801,產品!$A$2:$H$61,7,FALSE)*(1-銷售總表!G4801)</f>
        <v>22880</v>
      </c>
      <c r="I4801" s="35">
        <f>H4801-F4801*VLOOKUP(銷售總表!B4801,產品!$A$2:$H$61,8,FALSE)</f>
        <v>7280</v>
      </c>
      <c r="J4801" s="20">
        <f t="shared" si="74"/>
        <v>0.31818181818181818</v>
      </c>
    </row>
    <row r="4802" spans="1:10" x14ac:dyDescent="0.3">
      <c r="A4802" s="33">
        <v>4801</v>
      </c>
      <c r="B4802" s="4">
        <v>38</v>
      </c>
      <c r="C4802" s="15">
        <v>138</v>
      </c>
      <c r="D4802" s="16">
        <v>5</v>
      </c>
      <c r="E4802" s="22">
        <v>44750</v>
      </c>
      <c r="F4802" s="19">
        <v>5</v>
      </c>
      <c r="G4802" s="18">
        <v>0.11</v>
      </c>
      <c r="H4802">
        <f>F4802*VLOOKUP(B4802,產品!$A$2:$H$61,7,FALSE)*(1-銷售總表!G4802)</f>
        <v>66750</v>
      </c>
      <c r="I4802" s="35">
        <f>H4802-F4802*VLOOKUP(銷售總表!B4802,產品!$A$2:$H$61,8,FALSE)</f>
        <v>18000</v>
      </c>
      <c r="J4802" s="20">
        <f t="shared" si="74"/>
        <v>0.2696629213483146</v>
      </c>
    </row>
    <row r="4803" spans="1:10" x14ac:dyDescent="0.3">
      <c r="A4803" s="33">
        <v>4802</v>
      </c>
      <c r="B4803" s="4">
        <v>55</v>
      </c>
      <c r="C4803" s="15">
        <v>113</v>
      </c>
      <c r="D4803" s="16">
        <v>7</v>
      </c>
      <c r="E4803" s="22">
        <v>44750</v>
      </c>
      <c r="F4803" s="19">
        <v>6</v>
      </c>
      <c r="G4803" s="18">
        <v>0.09</v>
      </c>
      <c r="H4803">
        <f>F4803*VLOOKUP(B4803,產品!$A$2:$H$61,7,FALSE)*(1-銷售總表!G4803)</f>
        <v>109200</v>
      </c>
      <c r="I4803" s="35">
        <f>H4803-F4803*VLOOKUP(銷售總表!B4803,產品!$A$2:$H$61,8,FALSE)</f>
        <v>25200</v>
      </c>
      <c r="J4803" s="20">
        <f t="shared" ref="J4803:J4866" si="75">I4803/H4803</f>
        <v>0.23076923076923078</v>
      </c>
    </row>
    <row r="4804" spans="1:10" x14ac:dyDescent="0.3">
      <c r="A4804" s="33">
        <v>4803</v>
      </c>
      <c r="B4804" s="4">
        <v>28</v>
      </c>
      <c r="C4804" s="15">
        <v>283</v>
      </c>
      <c r="D4804" s="16">
        <v>9</v>
      </c>
      <c r="E4804" s="22">
        <v>44750</v>
      </c>
      <c r="F4804" s="19">
        <v>10</v>
      </c>
      <c r="G4804" s="18">
        <v>0.05</v>
      </c>
      <c r="H4804">
        <f>F4804*VLOOKUP(B4804,產品!$A$2:$H$61,7,FALSE)*(1-銷售總表!G4804)</f>
        <v>71250</v>
      </c>
      <c r="I4804" s="35">
        <f>H4804-F4804*VLOOKUP(銷售總表!B4804,產品!$A$2:$H$61,8,FALSE)</f>
        <v>26250</v>
      </c>
      <c r="J4804" s="20">
        <f t="shared" si="75"/>
        <v>0.36842105263157893</v>
      </c>
    </row>
    <row r="4805" spans="1:10" x14ac:dyDescent="0.3">
      <c r="A4805" s="33">
        <v>4804</v>
      </c>
      <c r="B4805" s="4">
        <v>14</v>
      </c>
      <c r="C4805" s="15">
        <v>7</v>
      </c>
      <c r="D4805" s="16">
        <v>3</v>
      </c>
      <c r="E4805" s="22">
        <v>44750</v>
      </c>
      <c r="F4805" s="19">
        <v>30</v>
      </c>
      <c r="G4805" s="18">
        <v>0.17</v>
      </c>
      <c r="H4805">
        <f>F4805*VLOOKUP(B4805,產品!$A$2:$H$61,7,FALSE)*(1-銷售總表!G4805)</f>
        <v>44820</v>
      </c>
      <c r="I4805" s="35">
        <f>H4805-F4805*VLOOKUP(銷售總表!B4805,產品!$A$2:$H$61,8,FALSE)</f>
        <v>23220</v>
      </c>
      <c r="J4805" s="20">
        <f t="shared" si="75"/>
        <v>0.51807228915662651</v>
      </c>
    </row>
    <row r="4806" spans="1:10" x14ac:dyDescent="0.3">
      <c r="A4806" s="33">
        <v>4805</v>
      </c>
      <c r="B4806" s="4">
        <v>22</v>
      </c>
      <c r="C4806" s="15">
        <v>138</v>
      </c>
      <c r="D4806" s="16">
        <v>7</v>
      </c>
      <c r="E4806" s="22">
        <v>44750</v>
      </c>
      <c r="F4806" s="19">
        <v>50</v>
      </c>
      <c r="G4806" s="18">
        <v>0.06</v>
      </c>
      <c r="H4806">
        <f>F4806*VLOOKUP(B4806,產品!$A$2:$H$61,7,FALSE)*(1-銷售總表!G4806)</f>
        <v>84600</v>
      </c>
      <c r="I4806" s="35">
        <f>H4806-F4806*VLOOKUP(銷售總表!B4806,產品!$A$2:$H$61,8,FALSE)</f>
        <v>48600</v>
      </c>
      <c r="J4806" s="20">
        <f t="shared" si="75"/>
        <v>0.57446808510638303</v>
      </c>
    </row>
    <row r="4807" spans="1:10" x14ac:dyDescent="0.3">
      <c r="A4807" s="33">
        <v>4806</v>
      </c>
      <c r="B4807" s="4">
        <v>23</v>
      </c>
      <c r="C4807" s="15">
        <v>120</v>
      </c>
      <c r="D4807" s="16">
        <v>6</v>
      </c>
      <c r="E4807" s="22">
        <v>44750</v>
      </c>
      <c r="F4807" s="19">
        <v>60</v>
      </c>
      <c r="G4807" s="18">
        <v>0.2</v>
      </c>
      <c r="H4807">
        <f>F4807*VLOOKUP(B4807,產品!$A$2:$H$61,7,FALSE)*(1-銷售總表!G4807)</f>
        <v>86400</v>
      </c>
      <c r="I4807" s="35">
        <f>H4807-F4807*VLOOKUP(銷售總表!B4807,產品!$A$2:$H$61,8,FALSE)</f>
        <v>43200</v>
      </c>
      <c r="J4807" s="20">
        <f t="shared" si="75"/>
        <v>0.5</v>
      </c>
    </row>
    <row r="4808" spans="1:10" x14ac:dyDescent="0.3">
      <c r="A4808" s="33">
        <v>4807</v>
      </c>
      <c r="B4808" s="4">
        <v>39</v>
      </c>
      <c r="C4808" s="15">
        <v>138</v>
      </c>
      <c r="D4808" s="16">
        <v>3</v>
      </c>
      <c r="E4808" s="22">
        <v>44751</v>
      </c>
      <c r="F4808" s="19">
        <v>2</v>
      </c>
      <c r="G4808" s="18">
        <v>0.1</v>
      </c>
      <c r="H4808">
        <f>F4808*VLOOKUP(B4808,產品!$A$2:$H$61,7,FALSE)*(1-銷售總表!G4808)</f>
        <v>32400</v>
      </c>
      <c r="I4808" s="35">
        <f>H4808-F4808*VLOOKUP(銷售總表!B4808,產品!$A$2:$H$61,8,FALSE)</f>
        <v>9000</v>
      </c>
      <c r="J4808" s="20">
        <f t="shared" si="75"/>
        <v>0.27777777777777779</v>
      </c>
    </row>
    <row r="4809" spans="1:10" x14ac:dyDescent="0.3">
      <c r="A4809" s="33">
        <v>4808</v>
      </c>
      <c r="B4809" s="4">
        <v>21</v>
      </c>
      <c r="C4809" s="15">
        <v>10</v>
      </c>
      <c r="D4809" s="16">
        <v>8</v>
      </c>
      <c r="E4809" s="22">
        <v>44751</v>
      </c>
      <c r="F4809" s="19">
        <v>16</v>
      </c>
      <c r="G4809" s="18">
        <v>0.15</v>
      </c>
      <c r="H4809">
        <f>F4809*VLOOKUP(B4809,產品!$A$2:$H$61,7,FALSE)*(1-銷售總表!G4809)</f>
        <v>24480</v>
      </c>
      <c r="I4809" s="35">
        <f>H4809-F4809*VLOOKUP(銷售總表!B4809,產品!$A$2:$H$61,8,FALSE)</f>
        <v>12960</v>
      </c>
      <c r="J4809" s="20">
        <f t="shared" si="75"/>
        <v>0.52941176470588236</v>
      </c>
    </row>
    <row r="4810" spans="1:10" x14ac:dyDescent="0.3">
      <c r="A4810" s="33">
        <v>4809</v>
      </c>
      <c r="B4810" s="4">
        <v>21</v>
      </c>
      <c r="C4810" s="15">
        <v>116</v>
      </c>
      <c r="D4810" s="16">
        <v>10</v>
      </c>
      <c r="E4810" s="22">
        <v>44751</v>
      </c>
      <c r="F4810" s="19">
        <v>40</v>
      </c>
      <c r="G4810" s="18">
        <v>0.14000000000000001</v>
      </c>
      <c r="H4810">
        <f>F4810*VLOOKUP(B4810,產品!$A$2:$H$61,7,FALSE)*(1-銷售總表!G4810)</f>
        <v>61920</v>
      </c>
      <c r="I4810" s="35">
        <f>H4810-F4810*VLOOKUP(銷售總表!B4810,產品!$A$2:$H$61,8,FALSE)</f>
        <v>33120</v>
      </c>
      <c r="J4810" s="20">
        <f t="shared" si="75"/>
        <v>0.53488372093023251</v>
      </c>
    </row>
    <row r="4811" spans="1:10" x14ac:dyDescent="0.3">
      <c r="A4811" s="33">
        <v>4810</v>
      </c>
      <c r="B4811" s="4">
        <v>7</v>
      </c>
      <c r="C4811" s="15">
        <v>264</v>
      </c>
      <c r="D4811" s="16">
        <v>5</v>
      </c>
      <c r="E4811" s="22">
        <v>44751</v>
      </c>
      <c r="F4811" s="19">
        <v>75</v>
      </c>
      <c r="G4811" s="18">
        <v>0.17</v>
      </c>
      <c r="H4811">
        <f>F4811*VLOOKUP(B4811,產品!$A$2:$H$61,7,FALSE)*(1-銷售總表!G4811)</f>
        <v>62250</v>
      </c>
      <c r="I4811" s="35">
        <f>H4811-F4811*VLOOKUP(銷售總表!B4811,產品!$A$2:$H$61,8,FALSE)</f>
        <v>32250</v>
      </c>
      <c r="J4811" s="20">
        <f t="shared" si="75"/>
        <v>0.51807228915662651</v>
      </c>
    </row>
    <row r="4812" spans="1:10" x14ac:dyDescent="0.3">
      <c r="A4812" s="33">
        <v>4811</v>
      </c>
      <c r="B4812" s="4">
        <v>12</v>
      </c>
      <c r="C4812" s="15">
        <v>114</v>
      </c>
      <c r="D4812" s="16">
        <v>4</v>
      </c>
      <c r="E4812" s="23">
        <v>44751</v>
      </c>
      <c r="F4812">
        <v>175</v>
      </c>
      <c r="G4812" s="20">
        <v>0.13</v>
      </c>
      <c r="H4812">
        <f>F4812*VLOOKUP(B4812,產品!$A$2:$H$61,7,FALSE)*(1-銷售總表!G4812)</f>
        <v>152250</v>
      </c>
      <c r="I4812" s="35">
        <f>H4812-F4812*VLOOKUP(銷售總表!B4812,產品!$A$2:$H$61,8,FALSE)</f>
        <v>82250</v>
      </c>
      <c r="J4812" s="20">
        <f t="shared" si="75"/>
        <v>0.54022988505747127</v>
      </c>
    </row>
    <row r="4813" spans="1:10" x14ac:dyDescent="0.3">
      <c r="A4813" s="33">
        <v>4812</v>
      </c>
      <c r="B4813" s="4">
        <v>53</v>
      </c>
      <c r="C4813" s="15">
        <v>140</v>
      </c>
      <c r="D4813" s="16">
        <v>7</v>
      </c>
      <c r="E4813" s="22">
        <v>44752</v>
      </c>
      <c r="F4813" s="19">
        <v>6</v>
      </c>
      <c r="G4813" s="18">
        <v>0.08</v>
      </c>
      <c r="H4813">
        <f>F4813*VLOOKUP(B4813,產品!$A$2:$H$61,7,FALSE)*(1-銷售總表!G4813)</f>
        <v>82800</v>
      </c>
      <c r="I4813" s="35">
        <f>H4813-F4813*VLOOKUP(銷售總表!B4813,產品!$A$2:$H$61,8,FALSE)</f>
        <v>19800</v>
      </c>
      <c r="J4813" s="20">
        <f t="shared" si="75"/>
        <v>0.2391304347826087</v>
      </c>
    </row>
    <row r="4814" spans="1:10" x14ac:dyDescent="0.3">
      <c r="A4814" s="33">
        <v>4813</v>
      </c>
      <c r="B4814" s="4">
        <v>47</v>
      </c>
      <c r="C4814" s="15">
        <v>114</v>
      </c>
      <c r="D4814" s="16">
        <v>9</v>
      </c>
      <c r="E4814" s="23">
        <v>44752</v>
      </c>
      <c r="F4814">
        <v>6</v>
      </c>
      <c r="G4814" s="20">
        <v>0.2</v>
      </c>
      <c r="H4814">
        <f>F4814*VLOOKUP(B4814,產品!$A$2:$H$61,7,FALSE)*(1-銷售總表!G4814)</f>
        <v>96000</v>
      </c>
      <c r="I4814" s="35">
        <f>H4814-F4814*VLOOKUP(銷售總表!B4814,產品!$A$2:$H$61,8,FALSE)</f>
        <v>18000</v>
      </c>
      <c r="J4814" s="20">
        <f t="shared" si="75"/>
        <v>0.1875</v>
      </c>
    </row>
    <row r="4815" spans="1:10" x14ac:dyDescent="0.3">
      <c r="A4815" s="33">
        <v>4814</v>
      </c>
      <c r="B4815" s="4">
        <v>20</v>
      </c>
      <c r="C4815" s="15">
        <v>118</v>
      </c>
      <c r="D4815" s="16">
        <v>2</v>
      </c>
      <c r="E4815" s="22">
        <v>44752</v>
      </c>
      <c r="F4815" s="19">
        <v>10</v>
      </c>
      <c r="G4815" s="18">
        <v>0.11</v>
      </c>
      <c r="H4815">
        <f>F4815*VLOOKUP(B4815,產品!$A$2:$H$61,7,FALSE)*(1-銷售總表!G4815)</f>
        <v>16020</v>
      </c>
      <c r="I4815" s="35">
        <f>H4815-F4815*VLOOKUP(銷售總表!B4815,產品!$A$2:$H$61,8,FALSE)</f>
        <v>8820</v>
      </c>
      <c r="J4815" s="20">
        <f t="shared" si="75"/>
        <v>0.550561797752809</v>
      </c>
    </row>
    <row r="4816" spans="1:10" x14ac:dyDescent="0.3">
      <c r="A4816" s="33">
        <v>4815</v>
      </c>
      <c r="B4816" s="4">
        <v>33</v>
      </c>
      <c r="C4816" s="15">
        <v>10</v>
      </c>
      <c r="D4816" s="16">
        <v>5</v>
      </c>
      <c r="E4816" s="22">
        <v>44752</v>
      </c>
      <c r="F4816" s="19">
        <v>35</v>
      </c>
      <c r="G4816" s="18">
        <v>0.08</v>
      </c>
      <c r="H4816">
        <f>F4816*VLOOKUP(B4816,產品!$A$2:$H$61,7,FALSE)*(1-銷售總表!G4816)</f>
        <v>241500</v>
      </c>
      <c r="I4816" s="35">
        <f>H4816-F4816*VLOOKUP(銷售總表!B4816,產品!$A$2:$H$61,8,FALSE)</f>
        <v>84000</v>
      </c>
      <c r="J4816" s="20">
        <f t="shared" si="75"/>
        <v>0.34782608695652173</v>
      </c>
    </row>
    <row r="4817" spans="1:10" x14ac:dyDescent="0.3">
      <c r="A4817" s="33">
        <v>4816</v>
      </c>
      <c r="B4817" s="4">
        <v>25</v>
      </c>
      <c r="C4817" s="15">
        <v>7</v>
      </c>
      <c r="D4817" s="16">
        <v>3</v>
      </c>
      <c r="E4817" s="22">
        <v>44752</v>
      </c>
      <c r="F4817" s="19">
        <v>35</v>
      </c>
      <c r="G4817" s="18">
        <v>0.17</v>
      </c>
      <c r="H4817">
        <f>F4817*VLOOKUP(B4817,產品!$A$2:$H$61,7,FALSE)*(1-銷售總表!G4817)</f>
        <v>174300</v>
      </c>
      <c r="I4817" s="35">
        <f>H4817-F4817*VLOOKUP(銷售總表!B4817,產品!$A$2:$H$61,8,FALSE)</f>
        <v>48300</v>
      </c>
      <c r="J4817" s="20">
        <f t="shared" si="75"/>
        <v>0.27710843373493976</v>
      </c>
    </row>
    <row r="4818" spans="1:10" x14ac:dyDescent="0.3">
      <c r="A4818" s="33">
        <v>4817</v>
      </c>
      <c r="B4818" s="4">
        <v>17</v>
      </c>
      <c r="C4818" s="15">
        <v>5</v>
      </c>
      <c r="D4818" s="16">
        <v>4</v>
      </c>
      <c r="E4818" s="22">
        <v>44752</v>
      </c>
      <c r="F4818" s="19">
        <v>60</v>
      </c>
      <c r="G4818" s="18">
        <v>0.14000000000000001</v>
      </c>
      <c r="H4818">
        <f>F4818*VLOOKUP(B4818,產品!$A$2:$H$61,7,FALSE)*(1-銷售總表!G4818)</f>
        <v>92880</v>
      </c>
      <c r="I4818" s="35">
        <f>H4818-F4818*VLOOKUP(銷售總表!B4818,產品!$A$2:$H$61,8,FALSE)</f>
        <v>49680</v>
      </c>
      <c r="J4818" s="20">
        <f t="shared" si="75"/>
        <v>0.53488372093023251</v>
      </c>
    </row>
    <row r="4819" spans="1:10" x14ac:dyDescent="0.3">
      <c r="A4819" s="33">
        <v>4818</v>
      </c>
      <c r="B4819" s="4">
        <v>16</v>
      </c>
      <c r="C4819" s="15">
        <v>119</v>
      </c>
      <c r="D4819" s="16">
        <v>9</v>
      </c>
      <c r="E4819" s="22">
        <v>44752</v>
      </c>
      <c r="F4819" s="19">
        <v>100</v>
      </c>
      <c r="G4819" s="18">
        <v>0.19</v>
      </c>
      <c r="H4819">
        <f>F4819*VLOOKUP(B4819,產品!$A$2:$H$61,7,FALSE)*(1-銷售總表!G4819)</f>
        <v>145800</v>
      </c>
      <c r="I4819" s="35">
        <f>H4819-F4819*VLOOKUP(銷售總表!B4819,產品!$A$2:$H$61,8,FALSE)</f>
        <v>73800</v>
      </c>
      <c r="J4819" s="20">
        <f t="shared" si="75"/>
        <v>0.50617283950617287</v>
      </c>
    </row>
    <row r="4820" spans="1:10" x14ac:dyDescent="0.3">
      <c r="A4820" s="33">
        <v>4819</v>
      </c>
      <c r="B4820" s="4">
        <v>42</v>
      </c>
      <c r="C4820" s="15">
        <v>12</v>
      </c>
      <c r="D4820" s="16">
        <v>10</v>
      </c>
      <c r="E4820" s="22">
        <v>44753</v>
      </c>
      <c r="F4820" s="19">
        <v>4</v>
      </c>
      <c r="G4820" s="18">
        <v>0.05</v>
      </c>
      <c r="H4820">
        <f>F4820*VLOOKUP(B4820,產品!$A$2:$H$61,7,FALSE)*(1-銷售總表!G4820)</f>
        <v>57000</v>
      </c>
      <c r="I4820" s="35">
        <f>H4820-F4820*VLOOKUP(銷售總表!B4820,產品!$A$2:$H$61,8,FALSE)</f>
        <v>18000</v>
      </c>
      <c r="J4820" s="20">
        <f t="shared" si="75"/>
        <v>0.31578947368421051</v>
      </c>
    </row>
    <row r="4821" spans="1:10" x14ac:dyDescent="0.3">
      <c r="A4821" s="33">
        <v>4820</v>
      </c>
      <c r="B4821" s="4">
        <v>34</v>
      </c>
      <c r="C4821" s="15">
        <v>1</v>
      </c>
      <c r="D4821" s="16">
        <v>4</v>
      </c>
      <c r="E4821" s="22">
        <v>44753</v>
      </c>
      <c r="F4821" s="19">
        <v>7</v>
      </c>
      <c r="G4821" s="18">
        <v>0.05</v>
      </c>
      <c r="H4821">
        <f>F4821*VLOOKUP(B4821,產品!$A$2:$H$61,7,FALSE)*(1-銷售總表!G4821)</f>
        <v>53200</v>
      </c>
      <c r="I4821" s="35">
        <f>H4821-F4821*VLOOKUP(銷售總表!B4821,產品!$A$2:$H$61,8,FALSE)</f>
        <v>19600</v>
      </c>
      <c r="J4821" s="20">
        <f t="shared" si="75"/>
        <v>0.36842105263157893</v>
      </c>
    </row>
    <row r="4822" spans="1:10" x14ac:dyDescent="0.3">
      <c r="A4822" s="33">
        <v>4821</v>
      </c>
      <c r="B4822" s="4">
        <v>6</v>
      </c>
      <c r="C4822" s="15">
        <v>7</v>
      </c>
      <c r="D4822" s="16">
        <v>4</v>
      </c>
      <c r="E4822" s="23">
        <v>44753</v>
      </c>
      <c r="F4822">
        <v>12</v>
      </c>
      <c r="G4822" s="20">
        <v>0.1</v>
      </c>
      <c r="H4822">
        <f>F4822*VLOOKUP(B4822,產品!$A$2:$H$61,7,FALSE)*(1-銷售總表!G4822)</f>
        <v>10800</v>
      </c>
      <c r="I4822" s="35">
        <f>H4822-F4822*VLOOKUP(銷售總表!B4822,產品!$A$2:$H$61,8,FALSE)</f>
        <v>6000</v>
      </c>
      <c r="J4822" s="20">
        <f t="shared" si="75"/>
        <v>0.55555555555555558</v>
      </c>
    </row>
    <row r="4823" spans="1:10" x14ac:dyDescent="0.3">
      <c r="A4823" s="33">
        <v>4822</v>
      </c>
      <c r="B4823" s="4">
        <v>43</v>
      </c>
      <c r="C4823" s="15">
        <v>284</v>
      </c>
      <c r="D4823" s="16">
        <v>4</v>
      </c>
      <c r="E4823" s="22">
        <v>44753</v>
      </c>
      <c r="F4823" s="19">
        <v>13</v>
      </c>
      <c r="G4823" s="18">
        <v>0.2</v>
      </c>
      <c r="H4823">
        <f>F4823*VLOOKUP(B4823,產品!$A$2:$H$61,7,FALSE)*(1-銷售總表!G4823)</f>
        <v>187200</v>
      </c>
      <c r="I4823" s="35">
        <f>H4823-F4823*VLOOKUP(銷售總表!B4823,產品!$A$2:$H$61,8,FALSE)</f>
        <v>35100</v>
      </c>
      <c r="J4823" s="20">
        <f t="shared" si="75"/>
        <v>0.1875</v>
      </c>
    </row>
    <row r="4824" spans="1:10" x14ac:dyDescent="0.3">
      <c r="A4824" s="33">
        <v>4823</v>
      </c>
      <c r="B4824" s="4">
        <v>20</v>
      </c>
      <c r="C4824" s="15">
        <v>7</v>
      </c>
      <c r="D4824" s="16">
        <v>8</v>
      </c>
      <c r="E4824" s="22">
        <v>44753</v>
      </c>
      <c r="F4824" s="19">
        <v>40</v>
      </c>
      <c r="G4824" s="18">
        <v>0.2</v>
      </c>
      <c r="H4824">
        <f>F4824*VLOOKUP(B4824,產品!$A$2:$H$61,7,FALSE)*(1-銷售總表!G4824)</f>
        <v>57600</v>
      </c>
      <c r="I4824" s="35">
        <f>H4824-F4824*VLOOKUP(銷售總表!B4824,產品!$A$2:$H$61,8,FALSE)</f>
        <v>28800</v>
      </c>
      <c r="J4824" s="20">
        <f t="shared" si="75"/>
        <v>0.5</v>
      </c>
    </row>
    <row r="4825" spans="1:10" x14ac:dyDescent="0.3">
      <c r="A4825" s="33">
        <v>4824</v>
      </c>
      <c r="B4825" s="4">
        <v>20</v>
      </c>
      <c r="C4825" s="15">
        <v>12</v>
      </c>
      <c r="D4825" s="16">
        <v>1</v>
      </c>
      <c r="E4825" s="22">
        <v>44753</v>
      </c>
      <c r="F4825" s="19">
        <v>105</v>
      </c>
      <c r="G4825" s="18">
        <v>0.19</v>
      </c>
      <c r="H4825">
        <f>F4825*VLOOKUP(B4825,產品!$A$2:$H$61,7,FALSE)*(1-銷售總表!G4825)</f>
        <v>153090</v>
      </c>
      <c r="I4825" s="35">
        <f>H4825-F4825*VLOOKUP(銷售總表!B4825,產品!$A$2:$H$61,8,FALSE)</f>
        <v>77490</v>
      </c>
      <c r="J4825" s="20">
        <f t="shared" si="75"/>
        <v>0.50617283950617287</v>
      </c>
    </row>
    <row r="4826" spans="1:10" x14ac:dyDescent="0.3">
      <c r="A4826" s="33">
        <v>4825</v>
      </c>
      <c r="B4826" s="4">
        <v>8</v>
      </c>
      <c r="C4826" s="15">
        <v>2</v>
      </c>
      <c r="D4826" s="16">
        <v>4</v>
      </c>
      <c r="E4826" s="22">
        <v>44753</v>
      </c>
      <c r="F4826" s="19">
        <v>200</v>
      </c>
      <c r="G4826" s="18">
        <v>0.1</v>
      </c>
      <c r="H4826">
        <f>F4826*VLOOKUP(B4826,產品!$A$2:$H$61,7,FALSE)*(1-銷售總表!G4826)</f>
        <v>180000</v>
      </c>
      <c r="I4826" s="35">
        <f>H4826-F4826*VLOOKUP(銷售總表!B4826,產品!$A$2:$H$61,8,FALSE)</f>
        <v>100000</v>
      </c>
      <c r="J4826" s="20">
        <f t="shared" si="75"/>
        <v>0.55555555555555558</v>
      </c>
    </row>
    <row r="4827" spans="1:10" x14ac:dyDescent="0.3">
      <c r="A4827" s="33">
        <v>4826</v>
      </c>
      <c r="B4827" s="4">
        <v>59</v>
      </c>
      <c r="C4827" s="15">
        <v>257</v>
      </c>
      <c r="D4827" s="16">
        <v>9</v>
      </c>
      <c r="E4827" s="23">
        <v>44754</v>
      </c>
      <c r="F4827">
        <v>2</v>
      </c>
      <c r="G4827" s="20">
        <v>0.18</v>
      </c>
      <c r="H4827">
        <f>F4827*VLOOKUP(B4827,產品!$A$2:$H$61,7,FALSE)*(1-銷售總表!G4827)</f>
        <v>39360</v>
      </c>
      <c r="I4827" s="35">
        <f>H4827-F4827*VLOOKUP(銷售總表!B4827,產品!$A$2:$H$61,8,FALSE)</f>
        <v>5760</v>
      </c>
      <c r="J4827" s="20">
        <f t="shared" si="75"/>
        <v>0.14634146341463414</v>
      </c>
    </row>
    <row r="4828" spans="1:10" x14ac:dyDescent="0.3">
      <c r="A4828" s="33">
        <v>4827</v>
      </c>
      <c r="B4828" s="4">
        <v>52</v>
      </c>
      <c r="C4828" s="15">
        <v>125</v>
      </c>
      <c r="D4828" s="16">
        <v>3</v>
      </c>
      <c r="E4828" s="22">
        <v>44754</v>
      </c>
      <c r="F4828" s="19">
        <v>7</v>
      </c>
      <c r="G4828" s="18">
        <v>0.1</v>
      </c>
      <c r="H4828">
        <f>F4828*VLOOKUP(B4828,產品!$A$2:$H$61,7,FALSE)*(1-銷售總表!G4828)</f>
        <v>138600</v>
      </c>
      <c r="I4828" s="35">
        <f>H4828-F4828*VLOOKUP(銷售總表!B4828,產品!$A$2:$H$61,8,FALSE)</f>
        <v>30800.000000000015</v>
      </c>
      <c r="J4828" s="20">
        <f t="shared" si="75"/>
        <v>0.22222222222222232</v>
      </c>
    </row>
    <row r="4829" spans="1:10" x14ac:dyDescent="0.3">
      <c r="A4829" s="33">
        <v>4828</v>
      </c>
      <c r="B4829" s="4">
        <v>20</v>
      </c>
      <c r="C4829" s="15">
        <v>3</v>
      </c>
      <c r="D4829" s="16">
        <v>3</v>
      </c>
      <c r="E4829" s="22">
        <v>44754</v>
      </c>
      <c r="F4829" s="19">
        <v>10</v>
      </c>
      <c r="G4829" s="18">
        <v>0.14000000000000001</v>
      </c>
      <c r="H4829">
        <f>F4829*VLOOKUP(B4829,產品!$A$2:$H$61,7,FALSE)*(1-銷售總表!G4829)</f>
        <v>15480</v>
      </c>
      <c r="I4829" s="35">
        <f>H4829-F4829*VLOOKUP(銷售總表!B4829,產品!$A$2:$H$61,8,FALSE)</f>
        <v>8280</v>
      </c>
      <c r="J4829" s="20">
        <f t="shared" si="75"/>
        <v>0.53488372093023251</v>
      </c>
    </row>
    <row r="4830" spans="1:10" x14ac:dyDescent="0.3">
      <c r="A4830" s="33">
        <v>4829</v>
      </c>
      <c r="B4830" s="4">
        <v>3</v>
      </c>
      <c r="C4830" s="15">
        <v>257</v>
      </c>
      <c r="D4830" s="16">
        <v>5</v>
      </c>
      <c r="E4830" s="23">
        <v>44754</v>
      </c>
      <c r="F4830">
        <v>10</v>
      </c>
      <c r="G4830" s="20">
        <v>0.12</v>
      </c>
      <c r="H4830">
        <f>F4830*VLOOKUP(B4830,產品!$A$2:$H$61,7,FALSE)*(1-銷售總表!G4830)</f>
        <v>8800</v>
      </c>
      <c r="I4830" s="35">
        <f>H4830-F4830*VLOOKUP(銷售總表!B4830,產品!$A$2:$H$61,8,FALSE)</f>
        <v>4800</v>
      </c>
      <c r="J4830" s="20">
        <f t="shared" si="75"/>
        <v>0.54545454545454541</v>
      </c>
    </row>
    <row r="4831" spans="1:10" x14ac:dyDescent="0.3">
      <c r="A4831" s="33">
        <v>4830</v>
      </c>
      <c r="B4831" s="4">
        <v>45</v>
      </c>
      <c r="C4831" s="15">
        <v>136</v>
      </c>
      <c r="D4831" s="16">
        <v>1</v>
      </c>
      <c r="E4831" s="22">
        <v>44754</v>
      </c>
      <c r="F4831" s="19">
        <v>11</v>
      </c>
      <c r="G4831" s="18">
        <v>0.16</v>
      </c>
      <c r="H4831">
        <f>F4831*VLOOKUP(B4831,產品!$A$2:$H$61,7,FALSE)*(1-銷售總表!G4831)</f>
        <v>129360</v>
      </c>
      <c r="I4831" s="35">
        <f>H4831-F4831*VLOOKUP(銷售總表!B4831,產品!$A$2:$H$61,8,FALSE)</f>
        <v>29260</v>
      </c>
      <c r="J4831" s="20">
        <f t="shared" si="75"/>
        <v>0.22619047619047619</v>
      </c>
    </row>
    <row r="4832" spans="1:10" x14ac:dyDescent="0.3">
      <c r="A4832" s="33">
        <v>4831</v>
      </c>
      <c r="B4832" s="4">
        <v>16</v>
      </c>
      <c r="C4832" s="15">
        <v>286</v>
      </c>
      <c r="D4832" s="16">
        <v>6</v>
      </c>
      <c r="E4832" s="22">
        <v>44754</v>
      </c>
      <c r="F4832" s="19">
        <v>70</v>
      </c>
      <c r="G4832" s="18">
        <v>0.12</v>
      </c>
      <c r="H4832">
        <f>F4832*VLOOKUP(B4832,產品!$A$2:$H$61,7,FALSE)*(1-銷售總表!G4832)</f>
        <v>110880</v>
      </c>
      <c r="I4832" s="35">
        <f>H4832-F4832*VLOOKUP(銷售總表!B4832,產品!$A$2:$H$61,8,FALSE)</f>
        <v>60480</v>
      </c>
      <c r="J4832" s="20">
        <f t="shared" si="75"/>
        <v>0.54545454545454541</v>
      </c>
    </row>
    <row r="4833" spans="1:10" x14ac:dyDescent="0.3">
      <c r="A4833" s="33">
        <v>4832</v>
      </c>
      <c r="B4833" s="4">
        <v>51</v>
      </c>
      <c r="C4833" s="15">
        <v>3</v>
      </c>
      <c r="D4833" s="16">
        <v>1</v>
      </c>
      <c r="E4833" s="22">
        <v>44755</v>
      </c>
      <c r="F4833" s="19">
        <v>2</v>
      </c>
      <c r="G4833" s="18">
        <v>7.0000000000000007E-2</v>
      </c>
      <c r="H4833">
        <f>F4833*VLOOKUP(B4833,產品!$A$2:$H$61,7,FALSE)*(1-銷售總表!G4833)</f>
        <v>37200</v>
      </c>
      <c r="I4833" s="35">
        <f>H4833-F4833*VLOOKUP(銷售總表!B4833,產品!$A$2:$H$61,8,FALSE)</f>
        <v>9200</v>
      </c>
      <c r="J4833" s="20">
        <f t="shared" si="75"/>
        <v>0.24731182795698925</v>
      </c>
    </row>
    <row r="4834" spans="1:10" x14ac:dyDescent="0.3">
      <c r="A4834" s="33">
        <v>4833</v>
      </c>
      <c r="B4834" s="4">
        <v>48</v>
      </c>
      <c r="C4834" s="15">
        <v>8</v>
      </c>
      <c r="D4834" s="16">
        <v>8</v>
      </c>
      <c r="E4834" s="22">
        <v>44755</v>
      </c>
      <c r="F4834" s="19">
        <v>3</v>
      </c>
      <c r="G4834" s="18">
        <v>0.2</v>
      </c>
      <c r="H4834">
        <f>F4834*VLOOKUP(B4834,產品!$A$2:$H$61,7,FALSE)*(1-銷售總表!G4834)</f>
        <v>52800</v>
      </c>
      <c r="I4834" s="35">
        <f>H4834-F4834*VLOOKUP(銷售總表!B4834,產品!$A$2:$H$61,8,FALSE)</f>
        <v>9900</v>
      </c>
      <c r="J4834" s="20">
        <f t="shared" si="75"/>
        <v>0.1875</v>
      </c>
    </row>
    <row r="4835" spans="1:10" x14ac:dyDescent="0.3">
      <c r="A4835" s="33">
        <v>4834</v>
      </c>
      <c r="B4835" s="4">
        <v>44</v>
      </c>
      <c r="C4835" s="15">
        <v>274</v>
      </c>
      <c r="D4835" s="16">
        <v>5</v>
      </c>
      <c r="E4835" s="22">
        <v>44755</v>
      </c>
      <c r="F4835" s="19">
        <v>5</v>
      </c>
      <c r="G4835" s="18">
        <v>0.13</v>
      </c>
      <c r="H4835">
        <f>F4835*VLOOKUP(B4835,產品!$A$2:$H$61,7,FALSE)*(1-銷售總表!G4835)</f>
        <v>87000</v>
      </c>
      <c r="I4835" s="35">
        <f>H4835-F4835*VLOOKUP(銷售總表!B4835,產品!$A$2:$H$61,8,FALSE)</f>
        <v>22000</v>
      </c>
      <c r="J4835" s="20">
        <f t="shared" si="75"/>
        <v>0.25287356321839083</v>
      </c>
    </row>
    <row r="4836" spans="1:10" x14ac:dyDescent="0.3">
      <c r="A4836" s="33">
        <v>4835</v>
      </c>
      <c r="B4836" s="4">
        <v>23</v>
      </c>
      <c r="C4836" s="15">
        <v>284</v>
      </c>
      <c r="D4836" s="16">
        <v>7</v>
      </c>
      <c r="E4836" s="22">
        <v>44755</v>
      </c>
      <c r="F4836" s="19">
        <v>11</v>
      </c>
      <c r="G4836" s="18">
        <v>0.09</v>
      </c>
      <c r="H4836">
        <f>F4836*VLOOKUP(B4836,產品!$A$2:$H$61,7,FALSE)*(1-銷售總表!G4836)</f>
        <v>18018</v>
      </c>
      <c r="I4836" s="35">
        <f>H4836-F4836*VLOOKUP(銷售總表!B4836,產品!$A$2:$H$61,8,FALSE)</f>
        <v>10098</v>
      </c>
      <c r="J4836" s="20">
        <f t="shared" si="75"/>
        <v>0.56043956043956045</v>
      </c>
    </row>
    <row r="4837" spans="1:10" x14ac:dyDescent="0.3">
      <c r="A4837" s="33">
        <v>4836</v>
      </c>
      <c r="B4837" s="4">
        <v>4</v>
      </c>
      <c r="C4837" s="15">
        <v>286</v>
      </c>
      <c r="D4837" s="16">
        <v>5</v>
      </c>
      <c r="E4837" s="22">
        <v>44755</v>
      </c>
      <c r="F4837" s="19">
        <v>16</v>
      </c>
      <c r="G4837" s="18">
        <v>0.06</v>
      </c>
      <c r="H4837">
        <f>F4837*VLOOKUP(B4837,產品!$A$2:$H$61,7,FALSE)*(1-銷售總表!G4837)</f>
        <v>15040</v>
      </c>
      <c r="I4837" s="35">
        <f>H4837-F4837*VLOOKUP(銷售總表!B4837,產品!$A$2:$H$61,8,FALSE)</f>
        <v>8640</v>
      </c>
      <c r="J4837" s="20">
        <f t="shared" si="75"/>
        <v>0.57446808510638303</v>
      </c>
    </row>
    <row r="4838" spans="1:10" x14ac:dyDescent="0.3">
      <c r="A4838" s="33">
        <v>4837</v>
      </c>
      <c r="B4838" s="4">
        <v>15</v>
      </c>
      <c r="C4838" s="15">
        <v>135</v>
      </c>
      <c r="D4838" s="16">
        <v>9</v>
      </c>
      <c r="E4838" s="22">
        <v>44755</v>
      </c>
      <c r="F4838" s="19">
        <v>45</v>
      </c>
      <c r="G4838" s="18">
        <v>0.13</v>
      </c>
      <c r="H4838">
        <f>F4838*VLOOKUP(B4838,產品!$A$2:$H$61,7,FALSE)*(1-銷售總表!G4838)</f>
        <v>70470</v>
      </c>
      <c r="I4838" s="35">
        <f>H4838-F4838*VLOOKUP(銷售總表!B4838,產品!$A$2:$H$61,8,FALSE)</f>
        <v>38070</v>
      </c>
      <c r="J4838" s="20">
        <f t="shared" si="75"/>
        <v>0.54022988505747127</v>
      </c>
    </row>
    <row r="4839" spans="1:10" x14ac:dyDescent="0.3">
      <c r="A4839" s="33">
        <v>4838</v>
      </c>
      <c r="B4839" s="4">
        <v>52</v>
      </c>
      <c r="C4839" s="15">
        <v>259</v>
      </c>
      <c r="D4839" s="16">
        <v>2</v>
      </c>
      <c r="E4839" s="22">
        <v>44756</v>
      </c>
      <c r="F4839" s="19">
        <v>3</v>
      </c>
      <c r="G4839" s="18">
        <v>0.18</v>
      </c>
      <c r="H4839">
        <f>F4839*VLOOKUP(B4839,產品!$A$2:$H$61,7,FALSE)*(1-銷售總表!G4839)</f>
        <v>54120.000000000007</v>
      </c>
      <c r="I4839" s="35">
        <f>H4839-F4839*VLOOKUP(銷售總表!B4839,產品!$A$2:$H$61,8,FALSE)</f>
        <v>7920.0000000000146</v>
      </c>
      <c r="J4839" s="20">
        <f t="shared" si="75"/>
        <v>0.14634146341463439</v>
      </c>
    </row>
    <row r="4840" spans="1:10" x14ac:dyDescent="0.3">
      <c r="A4840" s="33">
        <v>4839</v>
      </c>
      <c r="B4840" s="4">
        <v>54</v>
      </c>
      <c r="C4840" s="15">
        <v>113</v>
      </c>
      <c r="D4840" s="16">
        <v>9</v>
      </c>
      <c r="E4840" s="22">
        <v>44756</v>
      </c>
      <c r="F4840" s="19">
        <v>6</v>
      </c>
      <c r="G4840" s="18">
        <v>0.12</v>
      </c>
      <c r="H4840">
        <f>F4840*VLOOKUP(B4840,產品!$A$2:$H$61,7,FALSE)*(1-銷售總表!G4840)</f>
        <v>95040</v>
      </c>
      <c r="I4840" s="35">
        <f>H4840-F4840*VLOOKUP(銷售總表!B4840,產品!$A$2:$H$61,8,FALSE)</f>
        <v>19440</v>
      </c>
      <c r="J4840" s="20">
        <f t="shared" si="75"/>
        <v>0.20454545454545456</v>
      </c>
    </row>
    <row r="4841" spans="1:10" x14ac:dyDescent="0.3">
      <c r="A4841" s="33">
        <v>4840</v>
      </c>
      <c r="B4841" s="4">
        <v>45</v>
      </c>
      <c r="C4841" s="15">
        <v>291</v>
      </c>
      <c r="D4841" s="16">
        <v>8</v>
      </c>
      <c r="E4841" s="22">
        <v>44756</v>
      </c>
      <c r="F4841" s="19">
        <v>9</v>
      </c>
      <c r="G4841" s="18">
        <v>0.13</v>
      </c>
      <c r="H4841">
        <f>F4841*VLOOKUP(B4841,產品!$A$2:$H$61,7,FALSE)*(1-銷售總表!G4841)</f>
        <v>109620</v>
      </c>
      <c r="I4841" s="35">
        <f>H4841-F4841*VLOOKUP(銷售總表!B4841,產品!$A$2:$H$61,8,FALSE)</f>
        <v>27720</v>
      </c>
      <c r="J4841" s="20">
        <f t="shared" si="75"/>
        <v>0.25287356321839083</v>
      </c>
    </row>
    <row r="4842" spans="1:10" x14ac:dyDescent="0.3">
      <c r="A4842" s="33">
        <v>4841</v>
      </c>
      <c r="B4842" s="4">
        <v>6</v>
      </c>
      <c r="C4842" s="15">
        <v>274</v>
      </c>
      <c r="D4842" s="16">
        <v>3</v>
      </c>
      <c r="E4842" s="22">
        <v>44756</v>
      </c>
      <c r="F4842" s="19">
        <v>24</v>
      </c>
      <c r="G4842" s="18">
        <v>0.1</v>
      </c>
      <c r="H4842">
        <f>F4842*VLOOKUP(B4842,產品!$A$2:$H$61,7,FALSE)*(1-銷售總表!G4842)</f>
        <v>21600</v>
      </c>
      <c r="I4842" s="35">
        <f>H4842-F4842*VLOOKUP(銷售總表!B4842,產品!$A$2:$H$61,8,FALSE)</f>
        <v>12000</v>
      </c>
      <c r="J4842" s="20">
        <f t="shared" si="75"/>
        <v>0.55555555555555558</v>
      </c>
    </row>
    <row r="4843" spans="1:10" x14ac:dyDescent="0.3">
      <c r="A4843" s="33">
        <v>4842</v>
      </c>
      <c r="B4843" s="4">
        <v>5</v>
      </c>
      <c r="C4843" s="15">
        <v>275</v>
      </c>
      <c r="D4843" s="16">
        <v>3</v>
      </c>
      <c r="E4843" s="22">
        <v>44756</v>
      </c>
      <c r="F4843" s="19">
        <v>30</v>
      </c>
      <c r="G4843" s="18">
        <v>0.16</v>
      </c>
      <c r="H4843">
        <f>F4843*VLOOKUP(B4843,產品!$A$2:$H$61,7,FALSE)*(1-銷售總表!G4843)</f>
        <v>25200</v>
      </c>
      <c r="I4843" s="35">
        <f>H4843-F4843*VLOOKUP(銷售總表!B4843,產品!$A$2:$H$61,8,FALSE)</f>
        <v>13200</v>
      </c>
      <c r="J4843" s="20">
        <f t="shared" si="75"/>
        <v>0.52380952380952384</v>
      </c>
    </row>
    <row r="4844" spans="1:10" x14ac:dyDescent="0.3">
      <c r="A4844" s="33">
        <v>4843</v>
      </c>
      <c r="B4844" s="4">
        <v>2</v>
      </c>
      <c r="C4844" s="15">
        <v>3</v>
      </c>
      <c r="D4844" s="16">
        <v>9</v>
      </c>
      <c r="E4844" s="22">
        <v>44756</v>
      </c>
      <c r="F4844" s="19">
        <v>50</v>
      </c>
      <c r="G4844" s="18">
        <v>0.2</v>
      </c>
      <c r="H4844">
        <f>F4844*VLOOKUP(B4844,產品!$A$2:$H$61,7,FALSE)*(1-銷售總表!G4844)</f>
        <v>40000</v>
      </c>
      <c r="I4844" s="35">
        <f>H4844-F4844*VLOOKUP(銷售總表!B4844,產品!$A$2:$H$61,8,FALSE)</f>
        <v>20000</v>
      </c>
      <c r="J4844" s="20">
        <f t="shared" si="75"/>
        <v>0.5</v>
      </c>
    </row>
    <row r="4845" spans="1:10" x14ac:dyDescent="0.3">
      <c r="A4845" s="33">
        <v>4844</v>
      </c>
      <c r="B4845" s="4">
        <v>11</v>
      </c>
      <c r="C4845" s="15">
        <v>120</v>
      </c>
      <c r="D4845" s="16">
        <v>9</v>
      </c>
      <c r="E4845" s="22">
        <v>44756</v>
      </c>
      <c r="F4845" s="19">
        <v>60</v>
      </c>
      <c r="G4845" s="18">
        <v>0.08</v>
      </c>
      <c r="H4845">
        <f>F4845*VLOOKUP(B4845,產品!$A$2:$H$61,7,FALSE)*(1-銷售總表!G4845)</f>
        <v>55200</v>
      </c>
      <c r="I4845" s="35">
        <f>H4845-F4845*VLOOKUP(銷售總表!B4845,產品!$A$2:$H$61,8,FALSE)</f>
        <v>31200</v>
      </c>
      <c r="J4845" s="20">
        <f t="shared" si="75"/>
        <v>0.56521739130434778</v>
      </c>
    </row>
    <row r="4846" spans="1:10" x14ac:dyDescent="0.3">
      <c r="A4846" s="33">
        <v>4845</v>
      </c>
      <c r="B4846" s="4">
        <v>19</v>
      </c>
      <c r="C4846" s="15">
        <v>270</v>
      </c>
      <c r="D4846" s="16">
        <v>5</v>
      </c>
      <c r="E4846" s="22">
        <v>44756</v>
      </c>
      <c r="F4846" s="19">
        <v>70</v>
      </c>
      <c r="G4846" s="18">
        <v>7.0000000000000007E-2</v>
      </c>
      <c r="H4846">
        <f>F4846*VLOOKUP(B4846,產品!$A$2:$H$61,7,FALSE)*(1-銷售總表!G4846)</f>
        <v>117179.99999999999</v>
      </c>
      <c r="I4846" s="35">
        <f>H4846-F4846*VLOOKUP(銷售總表!B4846,產品!$A$2:$H$61,8,FALSE)</f>
        <v>66779.999999999985</v>
      </c>
      <c r="J4846" s="20">
        <f t="shared" si="75"/>
        <v>0.56989247311827951</v>
      </c>
    </row>
    <row r="4847" spans="1:10" x14ac:dyDescent="0.3">
      <c r="A4847" s="33">
        <v>4846</v>
      </c>
      <c r="B4847" s="4">
        <v>58</v>
      </c>
      <c r="C4847" s="15">
        <v>12</v>
      </c>
      <c r="D4847" s="16">
        <v>5</v>
      </c>
      <c r="E4847" s="22">
        <v>44757</v>
      </c>
      <c r="F4847" s="19">
        <v>4</v>
      </c>
      <c r="G4847" s="18">
        <v>0.18</v>
      </c>
      <c r="H4847">
        <f>F4847*VLOOKUP(B4847,產品!$A$2:$H$61,7,FALSE)*(1-銷售總表!G4847)</f>
        <v>68880</v>
      </c>
      <c r="I4847" s="35">
        <f>H4847-F4847*VLOOKUP(銷售總表!B4847,產品!$A$2:$H$61,8,FALSE)</f>
        <v>10080.000000000007</v>
      </c>
      <c r="J4847" s="20">
        <f t="shared" si="75"/>
        <v>0.14634146341463425</v>
      </c>
    </row>
    <row r="4848" spans="1:10" x14ac:dyDescent="0.3">
      <c r="A4848" s="33">
        <v>4847</v>
      </c>
      <c r="B4848" s="4">
        <v>25</v>
      </c>
      <c r="C4848" s="15">
        <v>268</v>
      </c>
      <c r="D4848" s="16">
        <v>4</v>
      </c>
      <c r="E4848" s="22">
        <v>44757</v>
      </c>
      <c r="F4848" s="19">
        <v>4</v>
      </c>
      <c r="G4848" s="18">
        <v>0.16</v>
      </c>
      <c r="H4848">
        <f>F4848*VLOOKUP(B4848,產品!$A$2:$H$61,7,FALSE)*(1-銷售總表!G4848)</f>
        <v>20160</v>
      </c>
      <c r="I4848" s="35">
        <f>H4848-F4848*VLOOKUP(銷售總表!B4848,產品!$A$2:$H$61,8,FALSE)</f>
        <v>5760</v>
      </c>
      <c r="J4848" s="20">
        <f t="shared" si="75"/>
        <v>0.2857142857142857</v>
      </c>
    </row>
    <row r="4849" spans="1:10" x14ac:dyDescent="0.3">
      <c r="A4849" s="33">
        <v>4848</v>
      </c>
      <c r="B4849" s="4">
        <v>26</v>
      </c>
      <c r="C4849" s="15">
        <v>5</v>
      </c>
      <c r="D4849" s="16">
        <v>8</v>
      </c>
      <c r="E4849" s="22">
        <v>44757</v>
      </c>
      <c r="F4849" s="19">
        <v>6</v>
      </c>
      <c r="G4849" s="18">
        <v>0.09</v>
      </c>
      <c r="H4849">
        <f>F4849*VLOOKUP(B4849,產品!$A$2:$H$61,7,FALSE)*(1-銷售總表!G4849)</f>
        <v>35490</v>
      </c>
      <c r="I4849" s="35">
        <f>H4849-F4849*VLOOKUP(銷售總表!B4849,產品!$A$2:$H$61,8,FALSE)</f>
        <v>12090</v>
      </c>
      <c r="J4849" s="20">
        <f t="shared" si="75"/>
        <v>0.34065934065934067</v>
      </c>
    </row>
    <row r="4850" spans="1:10" x14ac:dyDescent="0.3">
      <c r="A4850" s="33">
        <v>4849</v>
      </c>
      <c r="B4850" s="4">
        <v>1</v>
      </c>
      <c r="C4850" s="15">
        <v>287</v>
      </c>
      <c r="D4850" s="16">
        <v>4</v>
      </c>
      <c r="E4850" s="22">
        <v>44757</v>
      </c>
      <c r="F4850" s="19">
        <v>90</v>
      </c>
      <c r="G4850" s="18">
        <v>7.0000000000000007E-2</v>
      </c>
      <c r="H4850">
        <f>F4850*VLOOKUP(B4850,產品!$A$2:$H$61,7,FALSE)*(1-銷售總表!G4850)</f>
        <v>83700</v>
      </c>
      <c r="I4850" s="35">
        <f>H4850-F4850*VLOOKUP(銷售總表!B4850,產品!$A$2:$H$61,8,FALSE)</f>
        <v>47700</v>
      </c>
      <c r="J4850" s="20">
        <f t="shared" si="75"/>
        <v>0.56989247311827962</v>
      </c>
    </row>
    <row r="4851" spans="1:10" x14ac:dyDescent="0.3">
      <c r="A4851" s="33">
        <v>4850</v>
      </c>
      <c r="B4851" s="4">
        <v>41</v>
      </c>
      <c r="C4851" s="15">
        <v>283</v>
      </c>
      <c r="D4851" s="16">
        <v>3</v>
      </c>
      <c r="E4851" s="22">
        <v>44758</v>
      </c>
      <c r="F4851" s="19">
        <v>5</v>
      </c>
      <c r="G4851" s="18">
        <v>0.09</v>
      </c>
      <c r="H4851">
        <f>F4851*VLOOKUP(B4851,產品!$A$2:$H$61,7,FALSE)*(1-銷售總表!G4851)</f>
        <v>54600</v>
      </c>
      <c r="I4851" s="35">
        <f>H4851-F4851*VLOOKUP(銷售總表!B4851,產品!$A$2:$H$61,8,FALSE)</f>
        <v>15600</v>
      </c>
      <c r="J4851" s="20">
        <f t="shared" si="75"/>
        <v>0.2857142857142857</v>
      </c>
    </row>
    <row r="4852" spans="1:10" x14ac:dyDescent="0.3">
      <c r="A4852" s="33">
        <v>4851</v>
      </c>
      <c r="B4852" s="4">
        <v>51</v>
      </c>
      <c r="C4852" s="15">
        <v>264</v>
      </c>
      <c r="D4852" s="16">
        <v>8</v>
      </c>
      <c r="E4852" s="23">
        <v>44758</v>
      </c>
      <c r="F4852">
        <v>5</v>
      </c>
      <c r="G4852" s="20">
        <v>0.16</v>
      </c>
      <c r="H4852">
        <f>F4852*VLOOKUP(B4852,產品!$A$2:$H$61,7,FALSE)*(1-銷售總表!G4852)</f>
        <v>84000</v>
      </c>
      <c r="I4852" s="35">
        <f>H4852-F4852*VLOOKUP(銷售總表!B4852,產品!$A$2:$H$61,8,FALSE)</f>
        <v>14000</v>
      </c>
      <c r="J4852" s="20">
        <f t="shared" si="75"/>
        <v>0.16666666666666666</v>
      </c>
    </row>
    <row r="4853" spans="1:10" x14ac:dyDescent="0.3">
      <c r="A4853" s="33">
        <v>4852</v>
      </c>
      <c r="B4853" s="4">
        <v>37</v>
      </c>
      <c r="C4853" s="15">
        <v>265</v>
      </c>
      <c r="D4853" s="16">
        <v>8</v>
      </c>
      <c r="E4853" s="22">
        <v>44758</v>
      </c>
      <c r="F4853" s="19">
        <v>6</v>
      </c>
      <c r="G4853" s="18">
        <v>0.09</v>
      </c>
      <c r="H4853">
        <f>F4853*VLOOKUP(B4853,產品!$A$2:$H$61,7,FALSE)*(1-銷售總表!G4853)</f>
        <v>65520</v>
      </c>
      <c r="I4853" s="35">
        <f>H4853-F4853*VLOOKUP(銷售總表!B4853,產品!$A$2:$H$61,8,FALSE)</f>
        <v>18720</v>
      </c>
      <c r="J4853" s="20">
        <f t="shared" si="75"/>
        <v>0.2857142857142857</v>
      </c>
    </row>
    <row r="4854" spans="1:10" x14ac:dyDescent="0.3">
      <c r="A4854" s="33">
        <v>4853</v>
      </c>
      <c r="B4854" s="4">
        <v>42</v>
      </c>
      <c r="C4854" s="15">
        <v>124</v>
      </c>
      <c r="D4854" s="16">
        <v>2</v>
      </c>
      <c r="E4854" s="22">
        <v>44758</v>
      </c>
      <c r="F4854" s="19">
        <v>14</v>
      </c>
      <c r="G4854" s="18">
        <v>0.09</v>
      </c>
      <c r="H4854">
        <f>F4854*VLOOKUP(B4854,產品!$A$2:$H$61,7,FALSE)*(1-銷售總表!G4854)</f>
        <v>191100</v>
      </c>
      <c r="I4854" s="35">
        <f>H4854-F4854*VLOOKUP(銷售總表!B4854,產品!$A$2:$H$61,8,FALSE)</f>
        <v>54600</v>
      </c>
      <c r="J4854" s="20">
        <f t="shared" si="75"/>
        <v>0.2857142857142857</v>
      </c>
    </row>
    <row r="4855" spans="1:10" x14ac:dyDescent="0.3">
      <c r="A4855" s="33">
        <v>4854</v>
      </c>
      <c r="B4855" s="4">
        <v>9</v>
      </c>
      <c r="C4855" s="15">
        <v>140</v>
      </c>
      <c r="D4855" s="16">
        <v>2</v>
      </c>
      <c r="E4855" s="22">
        <v>44758</v>
      </c>
      <c r="F4855" s="19">
        <v>16</v>
      </c>
      <c r="G4855" s="18">
        <v>0.09</v>
      </c>
      <c r="H4855">
        <f>F4855*VLOOKUP(B4855,產品!$A$2:$H$61,7,FALSE)*(1-銷售總表!G4855)</f>
        <v>14560</v>
      </c>
      <c r="I4855" s="35">
        <f>H4855-F4855*VLOOKUP(銷售總表!B4855,產品!$A$2:$H$61,8,FALSE)</f>
        <v>8160</v>
      </c>
      <c r="J4855" s="20">
        <f t="shared" si="75"/>
        <v>0.56043956043956045</v>
      </c>
    </row>
    <row r="4856" spans="1:10" x14ac:dyDescent="0.3">
      <c r="A4856" s="33">
        <v>4855</v>
      </c>
      <c r="B4856" s="4">
        <v>15</v>
      </c>
      <c r="C4856" s="15">
        <v>9</v>
      </c>
      <c r="D4856" s="16">
        <v>1</v>
      </c>
      <c r="E4856" s="22">
        <v>44758</v>
      </c>
      <c r="F4856" s="19">
        <v>50</v>
      </c>
      <c r="G4856" s="18">
        <v>0.11</v>
      </c>
      <c r="H4856">
        <f>F4856*VLOOKUP(B4856,產品!$A$2:$H$61,7,FALSE)*(1-銷售總表!G4856)</f>
        <v>80100</v>
      </c>
      <c r="I4856" s="35">
        <f>H4856-F4856*VLOOKUP(銷售總表!B4856,產品!$A$2:$H$61,8,FALSE)</f>
        <v>44100</v>
      </c>
      <c r="J4856" s="20">
        <f t="shared" si="75"/>
        <v>0.550561797752809</v>
      </c>
    </row>
    <row r="4857" spans="1:10" x14ac:dyDescent="0.3">
      <c r="A4857" s="33">
        <v>4856</v>
      </c>
      <c r="B4857" s="4">
        <v>29</v>
      </c>
      <c r="C4857" s="15">
        <v>6</v>
      </c>
      <c r="D4857" s="16">
        <v>9</v>
      </c>
      <c r="E4857" s="22">
        <v>44759</v>
      </c>
      <c r="F4857" s="19">
        <v>1</v>
      </c>
      <c r="G4857" s="18">
        <v>0.08</v>
      </c>
      <c r="H4857">
        <f>F4857*VLOOKUP(B4857,產品!$A$2:$H$61,7,FALSE)*(1-銷售總表!G4857)</f>
        <v>5520</v>
      </c>
      <c r="I4857" s="35">
        <f>H4857-F4857*VLOOKUP(銷售總表!B4857,產品!$A$2:$H$61,8,FALSE)</f>
        <v>1920</v>
      </c>
      <c r="J4857" s="20">
        <f t="shared" si="75"/>
        <v>0.34782608695652173</v>
      </c>
    </row>
    <row r="4858" spans="1:10" x14ac:dyDescent="0.3">
      <c r="A4858" s="33">
        <v>4857</v>
      </c>
      <c r="B4858" s="4">
        <v>43</v>
      </c>
      <c r="C4858" s="15">
        <v>116</v>
      </c>
      <c r="D4858" s="16">
        <v>6</v>
      </c>
      <c r="E4858" s="22">
        <v>44759</v>
      </c>
      <c r="F4858" s="19">
        <v>4</v>
      </c>
      <c r="G4858" s="18">
        <v>0.19</v>
      </c>
      <c r="H4858">
        <f>F4858*VLOOKUP(B4858,產品!$A$2:$H$61,7,FALSE)*(1-銷售總表!G4858)</f>
        <v>58320.000000000007</v>
      </c>
      <c r="I4858" s="35">
        <f>H4858-F4858*VLOOKUP(銷售總表!B4858,產品!$A$2:$H$61,8,FALSE)</f>
        <v>11520.000000000007</v>
      </c>
      <c r="J4858" s="20">
        <f t="shared" si="75"/>
        <v>0.19753086419753096</v>
      </c>
    </row>
    <row r="4859" spans="1:10" x14ac:dyDescent="0.3">
      <c r="A4859" s="33">
        <v>4858</v>
      </c>
      <c r="B4859" s="4">
        <v>59</v>
      </c>
      <c r="C4859" s="15">
        <v>5</v>
      </c>
      <c r="D4859" s="16">
        <v>10</v>
      </c>
      <c r="E4859" s="22">
        <v>44759</v>
      </c>
      <c r="F4859" s="19">
        <v>5</v>
      </c>
      <c r="G4859" s="18">
        <v>7.0000000000000007E-2</v>
      </c>
      <c r="H4859">
        <f>F4859*VLOOKUP(B4859,產品!$A$2:$H$61,7,FALSE)*(1-銷售總表!G4859)</f>
        <v>111599.99999999999</v>
      </c>
      <c r="I4859" s="35">
        <f>H4859-F4859*VLOOKUP(銷售總表!B4859,產品!$A$2:$H$61,8,FALSE)</f>
        <v>27599.999999999985</v>
      </c>
      <c r="J4859" s="20">
        <f t="shared" si="75"/>
        <v>0.24731182795698914</v>
      </c>
    </row>
    <row r="4860" spans="1:10" x14ac:dyDescent="0.3">
      <c r="A4860" s="33">
        <v>4859</v>
      </c>
      <c r="B4860" s="4">
        <v>55</v>
      </c>
      <c r="C4860" s="15">
        <v>118</v>
      </c>
      <c r="D4860" s="16">
        <v>4</v>
      </c>
      <c r="E4860" s="22">
        <v>44759</v>
      </c>
      <c r="F4860" s="19">
        <v>5</v>
      </c>
      <c r="G4860" s="18">
        <v>0.13</v>
      </c>
      <c r="H4860">
        <f>F4860*VLOOKUP(B4860,產品!$A$2:$H$61,7,FALSE)*(1-銷售總表!G4860)</f>
        <v>87000</v>
      </c>
      <c r="I4860" s="35">
        <f>H4860-F4860*VLOOKUP(銷售總表!B4860,產品!$A$2:$H$61,8,FALSE)</f>
        <v>17000</v>
      </c>
      <c r="J4860" s="20">
        <f t="shared" si="75"/>
        <v>0.19540229885057472</v>
      </c>
    </row>
    <row r="4861" spans="1:10" x14ac:dyDescent="0.3">
      <c r="A4861" s="33">
        <v>4860</v>
      </c>
      <c r="B4861" s="4">
        <v>45</v>
      </c>
      <c r="C4861" s="15">
        <v>140</v>
      </c>
      <c r="D4861" s="16">
        <v>10</v>
      </c>
      <c r="E4861" s="22">
        <v>44759</v>
      </c>
      <c r="F4861" s="19">
        <v>6</v>
      </c>
      <c r="G4861" s="18">
        <v>0.12</v>
      </c>
      <c r="H4861">
        <f>F4861*VLOOKUP(B4861,產品!$A$2:$H$61,7,FALSE)*(1-銷售總表!G4861)</f>
        <v>73920</v>
      </c>
      <c r="I4861" s="35">
        <f>H4861-F4861*VLOOKUP(銷售總表!B4861,產品!$A$2:$H$61,8,FALSE)</f>
        <v>19320</v>
      </c>
      <c r="J4861" s="20">
        <f t="shared" si="75"/>
        <v>0.26136363636363635</v>
      </c>
    </row>
    <row r="4862" spans="1:10" x14ac:dyDescent="0.3">
      <c r="A4862" s="33">
        <v>4861</v>
      </c>
      <c r="B4862" s="4">
        <v>5</v>
      </c>
      <c r="C4862" s="15">
        <v>115</v>
      </c>
      <c r="D4862" s="16">
        <v>2</v>
      </c>
      <c r="E4862" s="22">
        <v>44759</v>
      </c>
      <c r="F4862" s="19">
        <v>10</v>
      </c>
      <c r="G4862" s="18">
        <v>0.08</v>
      </c>
      <c r="H4862">
        <f>F4862*VLOOKUP(B4862,產品!$A$2:$H$61,7,FALSE)*(1-銷售總表!G4862)</f>
        <v>9200</v>
      </c>
      <c r="I4862" s="35">
        <f>H4862-F4862*VLOOKUP(銷售總表!B4862,產品!$A$2:$H$61,8,FALSE)</f>
        <v>5200</v>
      </c>
      <c r="J4862" s="20">
        <f t="shared" si="75"/>
        <v>0.56521739130434778</v>
      </c>
    </row>
    <row r="4863" spans="1:10" x14ac:dyDescent="0.3">
      <c r="A4863" s="33">
        <v>4862</v>
      </c>
      <c r="B4863" s="4">
        <v>3</v>
      </c>
      <c r="C4863" s="15">
        <v>115</v>
      </c>
      <c r="D4863" s="16">
        <v>6</v>
      </c>
      <c r="E4863" s="23">
        <v>44759</v>
      </c>
      <c r="F4863">
        <v>12</v>
      </c>
      <c r="G4863" s="20">
        <v>7.0000000000000007E-2</v>
      </c>
      <c r="H4863">
        <f>F4863*VLOOKUP(B4863,產品!$A$2:$H$61,7,FALSE)*(1-銷售總表!G4863)</f>
        <v>11160</v>
      </c>
      <c r="I4863" s="35">
        <f>H4863-F4863*VLOOKUP(銷售總表!B4863,產品!$A$2:$H$61,8,FALSE)</f>
        <v>6360</v>
      </c>
      <c r="J4863" s="20">
        <f t="shared" si="75"/>
        <v>0.56989247311827962</v>
      </c>
    </row>
    <row r="4864" spans="1:10" x14ac:dyDescent="0.3">
      <c r="A4864" s="33">
        <v>4863</v>
      </c>
      <c r="B4864" s="4">
        <v>2</v>
      </c>
      <c r="C4864" s="15">
        <v>282</v>
      </c>
      <c r="D4864" s="16">
        <v>2</v>
      </c>
      <c r="E4864" s="22">
        <v>44759</v>
      </c>
      <c r="F4864" s="19">
        <v>20</v>
      </c>
      <c r="G4864" s="18">
        <v>0.09</v>
      </c>
      <c r="H4864">
        <f>F4864*VLOOKUP(B4864,產品!$A$2:$H$61,7,FALSE)*(1-銷售總表!G4864)</f>
        <v>18200</v>
      </c>
      <c r="I4864" s="35">
        <f>H4864-F4864*VLOOKUP(銷售總表!B4864,產品!$A$2:$H$61,8,FALSE)</f>
        <v>10200</v>
      </c>
      <c r="J4864" s="20">
        <f t="shared" si="75"/>
        <v>0.56043956043956045</v>
      </c>
    </row>
    <row r="4865" spans="1:10" x14ac:dyDescent="0.3">
      <c r="A4865" s="33">
        <v>4864</v>
      </c>
      <c r="B4865" s="4">
        <v>20</v>
      </c>
      <c r="C4865" s="15">
        <v>261</v>
      </c>
      <c r="D4865" s="16">
        <v>5</v>
      </c>
      <c r="E4865" s="22">
        <v>44759</v>
      </c>
      <c r="F4865" s="19">
        <v>40</v>
      </c>
      <c r="G4865" s="18">
        <v>0.06</v>
      </c>
      <c r="H4865">
        <f>F4865*VLOOKUP(B4865,產品!$A$2:$H$61,7,FALSE)*(1-銷售總表!G4865)</f>
        <v>67680</v>
      </c>
      <c r="I4865" s="35">
        <f>H4865-F4865*VLOOKUP(銷售總表!B4865,產品!$A$2:$H$61,8,FALSE)</f>
        <v>38880</v>
      </c>
      <c r="J4865" s="20">
        <f t="shared" si="75"/>
        <v>0.57446808510638303</v>
      </c>
    </row>
    <row r="4866" spans="1:10" x14ac:dyDescent="0.3">
      <c r="A4866" s="33">
        <v>4865</v>
      </c>
      <c r="B4866" s="4">
        <v>5</v>
      </c>
      <c r="C4866" s="15">
        <v>138</v>
      </c>
      <c r="D4866" s="16">
        <v>6</v>
      </c>
      <c r="E4866" s="22">
        <v>44759</v>
      </c>
      <c r="F4866" s="19">
        <v>50</v>
      </c>
      <c r="G4866" s="18">
        <v>0.19</v>
      </c>
      <c r="H4866">
        <f>F4866*VLOOKUP(B4866,產品!$A$2:$H$61,7,FALSE)*(1-銷售總表!G4866)</f>
        <v>40500</v>
      </c>
      <c r="I4866" s="35">
        <f>H4866-F4866*VLOOKUP(銷售總表!B4866,產品!$A$2:$H$61,8,FALSE)</f>
        <v>20500</v>
      </c>
      <c r="J4866" s="20">
        <f t="shared" si="75"/>
        <v>0.50617283950617287</v>
      </c>
    </row>
    <row r="4867" spans="1:10" x14ac:dyDescent="0.3">
      <c r="A4867" s="33">
        <v>4866</v>
      </c>
      <c r="B4867" s="4">
        <v>19</v>
      </c>
      <c r="C4867" s="15">
        <v>125</v>
      </c>
      <c r="D4867" s="16">
        <v>10</v>
      </c>
      <c r="E4867" s="22">
        <v>44759</v>
      </c>
      <c r="F4867" s="19">
        <v>105</v>
      </c>
      <c r="G4867" s="18">
        <v>0.08</v>
      </c>
      <c r="H4867">
        <f>F4867*VLOOKUP(B4867,產品!$A$2:$H$61,7,FALSE)*(1-銷售總表!G4867)</f>
        <v>173880</v>
      </c>
      <c r="I4867" s="35">
        <f>H4867-F4867*VLOOKUP(銷售總表!B4867,產品!$A$2:$H$61,8,FALSE)</f>
        <v>98280</v>
      </c>
      <c r="J4867" s="20">
        <f t="shared" ref="J4867:J4930" si="76">I4867/H4867</f>
        <v>0.56521739130434778</v>
      </c>
    </row>
    <row r="4868" spans="1:10" x14ac:dyDescent="0.3">
      <c r="A4868" s="33">
        <v>4867</v>
      </c>
      <c r="B4868" s="4">
        <v>15</v>
      </c>
      <c r="C4868" s="15">
        <v>9</v>
      </c>
      <c r="D4868" s="16">
        <v>2</v>
      </c>
      <c r="E4868" s="22">
        <v>44759</v>
      </c>
      <c r="F4868" s="19">
        <v>150</v>
      </c>
      <c r="G4868" s="18">
        <v>0.19</v>
      </c>
      <c r="H4868">
        <f>F4868*VLOOKUP(B4868,產品!$A$2:$H$61,7,FALSE)*(1-銷售總表!G4868)</f>
        <v>218700</v>
      </c>
      <c r="I4868" s="35">
        <f>H4868-F4868*VLOOKUP(銷售總表!B4868,產品!$A$2:$H$61,8,FALSE)</f>
        <v>110700</v>
      </c>
      <c r="J4868" s="20">
        <f t="shared" si="76"/>
        <v>0.50617283950617287</v>
      </c>
    </row>
    <row r="4869" spans="1:10" x14ac:dyDescent="0.3">
      <c r="A4869" s="33">
        <v>4868</v>
      </c>
      <c r="B4869" s="4">
        <v>7</v>
      </c>
      <c r="C4869" s="15">
        <v>123</v>
      </c>
      <c r="D4869" s="16">
        <v>6</v>
      </c>
      <c r="E4869" s="23">
        <v>44759</v>
      </c>
      <c r="F4869">
        <v>250</v>
      </c>
      <c r="G4869" s="20">
        <v>0.16</v>
      </c>
      <c r="H4869">
        <f>F4869*VLOOKUP(B4869,產品!$A$2:$H$61,7,FALSE)*(1-銷售總表!G4869)</f>
        <v>210000</v>
      </c>
      <c r="I4869" s="35">
        <f>H4869-F4869*VLOOKUP(銷售總表!B4869,產品!$A$2:$H$61,8,FALSE)</f>
        <v>110000</v>
      </c>
      <c r="J4869" s="20">
        <f t="shared" si="76"/>
        <v>0.52380952380952384</v>
      </c>
    </row>
    <row r="4870" spans="1:10" x14ac:dyDescent="0.3">
      <c r="A4870" s="33">
        <v>4869</v>
      </c>
      <c r="B4870" s="4">
        <v>25</v>
      </c>
      <c r="C4870" s="15">
        <v>112</v>
      </c>
      <c r="D4870" s="16">
        <v>1</v>
      </c>
      <c r="E4870" s="22">
        <v>44760</v>
      </c>
      <c r="F4870" s="19">
        <v>7</v>
      </c>
      <c r="G4870" s="18">
        <v>0.08</v>
      </c>
      <c r="H4870">
        <f>F4870*VLOOKUP(B4870,產品!$A$2:$H$61,7,FALSE)*(1-銷售總表!G4870)</f>
        <v>38640</v>
      </c>
      <c r="I4870" s="35">
        <f>H4870-F4870*VLOOKUP(銷售總表!B4870,產品!$A$2:$H$61,8,FALSE)</f>
        <v>13440</v>
      </c>
      <c r="J4870" s="20">
        <f t="shared" si="76"/>
        <v>0.34782608695652173</v>
      </c>
    </row>
    <row r="4871" spans="1:10" x14ac:dyDescent="0.3">
      <c r="A4871" s="33">
        <v>4870</v>
      </c>
      <c r="B4871" s="4">
        <v>11</v>
      </c>
      <c r="C4871" s="15">
        <v>2</v>
      </c>
      <c r="D4871" s="16">
        <v>1</v>
      </c>
      <c r="E4871" s="22">
        <v>44760</v>
      </c>
      <c r="F4871" s="19">
        <v>17</v>
      </c>
      <c r="G4871" s="18">
        <v>0.13</v>
      </c>
      <c r="H4871">
        <f>F4871*VLOOKUP(B4871,產品!$A$2:$H$61,7,FALSE)*(1-銷售總表!G4871)</f>
        <v>14790</v>
      </c>
      <c r="I4871" s="35">
        <f>H4871-F4871*VLOOKUP(銷售總表!B4871,產品!$A$2:$H$61,8,FALSE)</f>
        <v>7990</v>
      </c>
      <c r="J4871" s="20">
        <f t="shared" si="76"/>
        <v>0.54022988505747127</v>
      </c>
    </row>
    <row r="4872" spans="1:10" x14ac:dyDescent="0.3">
      <c r="A4872" s="33">
        <v>4871</v>
      </c>
      <c r="B4872" s="4">
        <v>43</v>
      </c>
      <c r="C4872" s="15">
        <v>7</v>
      </c>
      <c r="D4872" s="16">
        <v>7</v>
      </c>
      <c r="E4872" s="22">
        <v>44761</v>
      </c>
      <c r="F4872" s="19">
        <v>2</v>
      </c>
      <c r="G4872" s="18">
        <v>0.17</v>
      </c>
      <c r="H4872">
        <f>F4872*VLOOKUP(B4872,產品!$A$2:$H$61,7,FALSE)*(1-銷售總表!G4872)</f>
        <v>29880</v>
      </c>
      <c r="I4872" s="35">
        <f>H4872-F4872*VLOOKUP(銷售總表!B4872,產品!$A$2:$H$61,8,FALSE)</f>
        <v>6480</v>
      </c>
      <c r="J4872" s="20">
        <f t="shared" si="76"/>
        <v>0.21686746987951808</v>
      </c>
    </row>
    <row r="4873" spans="1:10" x14ac:dyDescent="0.3">
      <c r="A4873" s="33">
        <v>4872</v>
      </c>
      <c r="B4873" s="4">
        <v>33</v>
      </c>
      <c r="C4873" s="15">
        <v>10</v>
      </c>
      <c r="D4873" s="16">
        <v>10</v>
      </c>
      <c r="E4873" s="22">
        <v>44761</v>
      </c>
      <c r="F4873" s="19">
        <v>5</v>
      </c>
      <c r="G4873" s="18">
        <v>0.14000000000000001</v>
      </c>
      <c r="H4873">
        <f>F4873*VLOOKUP(B4873,產品!$A$2:$H$61,7,FALSE)*(1-銷售總表!G4873)</f>
        <v>32250</v>
      </c>
      <c r="I4873" s="35">
        <f>H4873-F4873*VLOOKUP(銷售總表!B4873,產品!$A$2:$H$61,8,FALSE)</f>
        <v>9750</v>
      </c>
      <c r="J4873" s="20">
        <f t="shared" si="76"/>
        <v>0.30232558139534882</v>
      </c>
    </row>
    <row r="4874" spans="1:10" x14ac:dyDescent="0.3">
      <c r="A4874" s="33">
        <v>4873</v>
      </c>
      <c r="B4874" s="4">
        <v>60</v>
      </c>
      <c r="C4874" s="15">
        <v>292</v>
      </c>
      <c r="D4874" s="16">
        <v>5</v>
      </c>
      <c r="E4874" s="22">
        <v>44761</v>
      </c>
      <c r="F4874" s="19">
        <v>8</v>
      </c>
      <c r="G4874" s="18">
        <v>0.1</v>
      </c>
      <c r="H4874">
        <f>F4874*VLOOKUP(B4874,產品!$A$2:$H$61,7,FALSE)*(1-銷售總表!G4874)</f>
        <v>180000</v>
      </c>
      <c r="I4874" s="35">
        <f>H4874-F4874*VLOOKUP(銷售總表!B4874,產品!$A$2:$H$61,8,FALSE)</f>
        <v>40000</v>
      </c>
      <c r="J4874" s="20">
        <f t="shared" si="76"/>
        <v>0.22222222222222221</v>
      </c>
    </row>
    <row r="4875" spans="1:10" x14ac:dyDescent="0.3">
      <c r="A4875" s="33">
        <v>4874</v>
      </c>
      <c r="B4875" s="4">
        <v>29</v>
      </c>
      <c r="C4875" s="15">
        <v>7</v>
      </c>
      <c r="D4875" s="16">
        <v>4</v>
      </c>
      <c r="E4875" s="22">
        <v>44761</v>
      </c>
      <c r="F4875" s="19">
        <v>10</v>
      </c>
      <c r="G4875" s="18">
        <v>0.16</v>
      </c>
      <c r="H4875">
        <f>F4875*VLOOKUP(B4875,產品!$A$2:$H$61,7,FALSE)*(1-銷售總表!G4875)</f>
        <v>50400</v>
      </c>
      <c r="I4875" s="35">
        <f>H4875-F4875*VLOOKUP(銷售總表!B4875,產品!$A$2:$H$61,8,FALSE)</f>
        <v>14400</v>
      </c>
      <c r="J4875" s="20">
        <f t="shared" si="76"/>
        <v>0.2857142857142857</v>
      </c>
    </row>
    <row r="4876" spans="1:10" x14ac:dyDescent="0.3">
      <c r="A4876" s="33">
        <v>4875</v>
      </c>
      <c r="B4876" s="4">
        <v>36</v>
      </c>
      <c r="C4876" s="15">
        <v>289</v>
      </c>
      <c r="D4876" s="16">
        <v>2</v>
      </c>
      <c r="E4876" s="22">
        <v>44761</v>
      </c>
      <c r="F4876" s="19">
        <v>11</v>
      </c>
      <c r="G4876" s="18">
        <v>0.15</v>
      </c>
      <c r="H4876">
        <f>F4876*VLOOKUP(B4876,產品!$A$2:$H$61,7,FALSE)*(1-銷售總表!G4876)</f>
        <v>84150</v>
      </c>
      <c r="I4876" s="35">
        <f>H4876-F4876*VLOOKUP(銷售總表!B4876,產品!$A$2:$H$61,8,FALSE)</f>
        <v>24750</v>
      </c>
      <c r="J4876" s="20">
        <f t="shared" si="76"/>
        <v>0.29411764705882354</v>
      </c>
    </row>
    <row r="4877" spans="1:10" x14ac:dyDescent="0.3">
      <c r="A4877" s="33">
        <v>4876</v>
      </c>
      <c r="B4877" s="4">
        <v>38</v>
      </c>
      <c r="C4877" s="15">
        <v>260</v>
      </c>
      <c r="D4877" s="16">
        <v>9</v>
      </c>
      <c r="E4877" s="22">
        <v>44761</v>
      </c>
      <c r="F4877" s="19">
        <v>15</v>
      </c>
      <c r="G4877" s="18">
        <v>0.06</v>
      </c>
      <c r="H4877">
        <f>F4877*VLOOKUP(B4877,產品!$A$2:$H$61,7,FALSE)*(1-銷售總表!G4877)</f>
        <v>211500</v>
      </c>
      <c r="I4877" s="35">
        <f>H4877-F4877*VLOOKUP(銷售總表!B4877,產品!$A$2:$H$61,8,FALSE)</f>
        <v>65250</v>
      </c>
      <c r="J4877" s="20">
        <f t="shared" si="76"/>
        <v>0.30851063829787234</v>
      </c>
    </row>
    <row r="4878" spans="1:10" x14ac:dyDescent="0.3">
      <c r="A4878" s="33">
        <v>4877</v>
      </c>
      <c r="B4878" s="4">
        <v>44</v>
      </c>
      <c r="C4878" s="15">
        <v>290</v>
      </c>
      <c r="D4878" s="16">
        <v>5</v>
      </c>
      <c r="E4878" s="22">
        <v>44761</v>
      </c>
      <c r="F4878" s="19">
        <v>15</v>
      </c>
      <c r="G4878" s="18">
        <v>0.18</v>
      </c>
      <c r="H4878">
        <f>F4878*VLOOKUP(B4878,產品!$A$2:$H$61,7,FALSE)*(1-銷售總表!G4878)</f>
        <v>246000.00000000003</v>
      </c>
      <c r="I4878" s="35">
        <f>H4878-F4878*VLOOKUP(銷售總表!B4878,產品!$A$2:$H$61,8,FALSE)</f>
        <v>51000.000000000029</v>
      </c>
      <c r="J4878" s="20">
        <f t="shared" si="76"/>
        <v>0.20731707317073181</v>
      </c>
    </row>
    <row r="4879" spans="1:10" x14ac:dyDescent="0.3">
      <c r="A4879" s="33">
        <v>4878</v>
      </c>
      <c r="B4879" s="4">
        <v>16</v>
      </c>
      <c r="C4879" s="15">
        <v>284</v>
      </c>
      <c r="D4879" s="16">
        <v>10</v>
      </c>
      <c r="E4879" s="22">
        <v>44761</v>
      </c>
      <c r="F4879" s="19">
        <v>80</v>
      </c>
      <c r="G4879" s="18">
        <v>0.12</v>
      </c>
      <c r="H4879">
        <f>F4879*VLOOKUP(B4879,產品!$A$2:$H$61,7,FALSE)*(1-銷售總表!G4879)</f>
        <v>126720</v>
      </c>
      <c r="I4879" s="35">
        <f>H4879-F4879*VLOOKUP(銷售總表!B4879,產品!$A$2:$H$61,8,FALSE)</f>
        <v>69120</v>
      </c>
      <c r="J4879" s="20">
        <f t="shared" si="76"/>
        <v>0.54545454545454541</v>
      </c>
    </row>
    <row r="4880" spans="1:10" x14ac:dyDescent="0.3">
      <c r="A4880" s="33">
        <v>4879</v>
      </c>
      <c r="B4880" s="4">
        <v>38</v>
      </c>
      <c r="C4880" s="15">
        <v>291</v>
      </c>
      <c r="D4880" s="16">
        <v>1</v>
      </c>
      <c r="E4880" s="22">
        <v>44762</v>
      </c>
      <c r="F4880" s="19">
        <v>5</v>
      </c>
      <c r="G4880" s="18">
        <v>0.06</v>
      </c>
      <c r="H4880">
        <f>F4880*VLOOKUP(B4880,產品!$A$2:$H$61,7,FALSE)*(1-銷售總表!G4880)</f>
        <v>70500</v>
      </c>
      <c r="I4880" s="35">
        <f>H4880-F4880*VLOOKUP(銷售總表!B4880,產品!$A$2:$H$61,8,FALSE)</f>
        <v>21750</v>
      </c>
      <c r="J4880" s="20">
        <f t="shared" si="76"/>
        <v>0.30851063829787234</v>
      </c>
    </row>
    <row r="4881" spans="1:10" x14ac:dyDescent="0.3">
      <c r="A4881" s="33">
        <v>4880</v>
      </c>
      <c r="B4881" s="4">
        <v>38</v>
      </c>
      <c r="C4881" s="15">
        <v>263</v>
      </c>
      <c r="D4881" s="16">
        <v>6</v>
      </c>
      <c r="E4881" s="22">
        <v>44762</v>
      </c>
      <c r="F4881" s="19">
        <v>5</v>
      </c>
      <c r="G4881" s="18">
        <v>0.16</v>
      </c>
      <c r="H4881">
        <f>F4881*VLOOKUP(B4881,產品!$A$2:$H$61,7,FALSE)*(1-銷售總表!G4881)</f>
        <v>63000</v>
      </c>
      <c r="I4881" s="35">
        <f>H4881-F4881*VLOOKUP(銷售總表!B4881,產品!$A$2:$H$61,8,FALSE)</f>
        <v>14250</v>
      </c>
      <c r="J4881" s="20">
        <f t="shared" si="76"/>
        <v>0.22619047619047619</v>
      </c>
    </row>
    <row r="4882" spans="1:10" x14ac:dyDescent="0.3">
      <c r="A4882" s="33">
        <v>4881</v>
      </c>
      <c r="B4882" s="4">
        <v>34</v>
      </c>
      <c r="C4882" s="15">
        <v>267</v>
      </c>
      <c r="D4882" s="16">
        <v>3</v>
      </c>
      <c r="E4882" s="22">
        <v>44762</v>
      </c>
      <c r="F4882" s="19">
        <v>7</v>
      </c>
      <c r="G4882" s="18">
        <v>0.06</v>
      </c>
      <c r="H4882">
        <f>F4882*VLOOKUP(B4882,產品!$A$2:$H$61,7,FALSE)*(1-銷售總表!G4882)</f>
        <v>52640</v>
      </c>
      <c r="I4882" s="35">
        <f>H4882-F4882*VLOOKUP(銷售總表!B4882,產品!$A$2:$H$61,8,FALSE)</f>
        <v>19040</v>
      </c>
      <c r="J4882" s="20">
        <f t="shared" si="76"/>
        <v>0.36170212765957449</v>
      </c>
    </row>
    <row r="4883" spans="1:10" x14ac:dyDescent="0.3">
      <c r="A4883" s="33">
        <v>4882</v>
      </c>
      <c r="B4883" s="4">
        <v>52</v>
      </c>
      <c r="C4883" s="15">
        <v>263</v>
      </c>
      <c r="D4883" s="16">
        <v>1</v>
      </c>
      <c r="E4883" s="22">
        <v>44762</v>
      </c>
      <c r="F4883" s="19">
        <v>8</v>
      </c>
      <c r="G4883" s="18">
        <v>0.12</v>
      </c>
      <c r="H4883">
        <f>F4883*VLOOKUP(B4883,產品!$A$2:$H$61,7,FALSE)*(1-銷售總表!G4883)</f>
        <v>154880</v>
      </c>
      <c r="I4883" s="35">
        <f>H4883-F4883*VLOOKUP(銷售總表!B4883,產品!$A$2:$H$61,8,FALSE)</f>
        <v>31680.000000000015</v>
      </c>
      <c r="J4883" s="20">
        <f t="shared" si="76"/>
        <v>0.20454545454545464</v>
      </c>
    </row>
    <row r="4884" spans="1:10" x14ac:dyDescent="0.3">
      <c r="A4884" s="33">
        <v>4883</v>
      </c>
      <c r="B4884" s="4">
        <v>54</v>
      </c>
      <c r="C4884" s="15">
        <v>112</v>
      </c>
      <c r="D4884" s="16">
        <v>8</v>
      </c>
      <c r="E4884" s="22">
        <v>44762</v>
      </c>
      <c r="F4884" s="19">
        <v>8</v>
      </c>
      <c r="G4884" s="18">
        <v>0.1</v>
      </c>
      <c r="H4884">
        <f>F4884*VLOOKUP(B4884,產品!$A$2:$H$61,7,FALSE)*(1-銷售總表!G4884)</f>
        <v>129600</v>
      </c>
      <c r="I4884" s="35">
        <f>H4884-F4884*VLOOKUP(銷售總表!B4884,產品!$A$2:$H$61,8,FALSE)</f>
        <v>28800</v>
      </c>
      <c r="J4884" s="20">
        <f t="shared" si="76"/>
        <v>0.22222222222222221</v>
      </c>
    </row>
    <row r="4885" spans="1:10" x14ac:dyDescent="0.3">
      <c r="A4885" s="33">
        <v>4884</v>
      </c>
      <c r="B4885" s="4">
        <v>26</v>
      </c>
      <c r="C4885" s="15">
        <v>7</v>
      </c>
      <c r="D4885" s="16">
        <v>4</v>
      </c>
      <c r="E4885" s="22">
        <v>44762</v>
      </c>
      <c r="F4885" s="19">
        <v>9</v>
      </c>
      <c r="G4885" s="18">
        <v>0.11</v>
      </c>
      <c r="H4885">
        <f>F4885*VLOOKUP(B4885,產品!$A$2:$H$61,7,FALSE)*(1-銷售總表!G4885)</f>
        <v>52065</v>
      </c>
      <c r="I4885" s="35">
        <f>H4885-F4885*VLOOKUP(銷售總表!B4885,產品!$A$2:$H$61,8,FALSE)</f>
        <v>16965</v>
      </c>
      <c r="J4885" s="20">
        <f t="shared" si="76"/>
        <v>0.3258426966292135</v>
      </c>
    </row>
    <row r="4886" spans="1:10" x14ac:dyDescent="0.3">
      <c r="A4886" s="33">
        <v>4885</v>
      </c>
      <c r="B4886" s="4">
        <v>44</v>
      </c>
      <c r="C4886" s="15">
        <v>9</v>
      </c>
      <c r="D4886" s="16">
        <v>10</v>
      </c>
      <c r="E4886" s="22">
        <v>44762</v>
      </c>
      <c r="F4886" s="19">
        <v>10</v>
      </c>
      <c r="G4886" s="18">
        <v>0.11</v>
      </c>
      <c r="H4886">
        <f>F4886*VLOOKUP(B4886,產品!$A$2:$H$61,7,FALSE)*(1-銷售總表!G4886)</f>
        <v>178000</v>
      </c>
      <c r="I4886" s="35">
        <f>H4886-F4886*VLOOKUP(銷售總表!B4886,產品!$A$2:$H$61,8,FALSE)</f>
        <v>48000</v>
      </c>
      <c r="J4886" s="20">
        <f t="shared" si="76"/>
        <v>0.2696629213483146</v>
      </c>
    </row>
    <row r="4887" spans="1:10" x14ac:dyDescent="0.3">
      <c r="A4887" s="33">
        <v>4886</v>
      </c>
      <c r="B4887" s="4">
        <v>58</v>
      </c>
      <c r="C4887" s="15">
        <v>286</v>
      </c>
      <c r="D4887" s="16">
        <v>9</v>
      </c>
      <c r="E4887" s="23">
        <v>44762</v>
      </c>
      <c r="F4887">
        <v>12</v>
      </c>
      <c r="G4887" s="20">
        <v>0.09</v>
      </c>
      <c r="H4887">
        <f>F4887*VLOOKUP(B4887,產品!$A$2:$H$61,7,FALSE)*(1-銷售總表!G4887)</f>
        <v>229320</v>
      </c>
      <c r="I4887" s="35">
        <f>H4887-F4887*VLOOKUP(銷售總表!B4887,產品!$A$2:$H$61,8,FALSE)</f>
        <v>52920.000000000029</v>
      </c>
      <c r="J4887" s="20">
        <f t="shared" si="76"/>
        <v>0.23076923076923089</v>
      </c>
    </row>
    <row r="4888" spans="1:10" x14ac:dyDescent="0.3">
      <c r="A4888" s="33">
        <v>4887</v>
      </c>
      <c r="B4888" s="4">
        <v>52</v>
      </c>
      <c r="C4888" s="15">
        <v>5</v>
      </c>
      <c r="D4888" s="16">
        <v>7</v>
      </c>
      <c r="E4888" s="22">
        <v>44762</v>
      </c>
      <c r="F4888" s="19">
        <v>12</v>
      </c>
      <c r="G4888" s="18">
        <v>0.13</v>
      </c>
      <c r="H4888">
        <f>F4888*VLOOKUP(B4888,產品!$A$2:$H$61,7,FALSE)*(1-銷售總表!G4888)</f>
        <v>229680</v>
      </c>
      <c r="I4888" s="35">
        <f>H4888-F4888*VLOOKUP(銷售總表!B4888,產品!$A$2:$H$61,8,FALSE)</f>
        <v>44880.000000000029</v>
      </c>
      <c r="J4888" s="20">
        <f t="shared" si="76"/>
        <v>0.19540229885057483</v>
      </c>
    </row>
    <row r="4889" spans="1:10" x14ac:dyDescent="0.3">
      <c r="A4889" s="33">
        <v>4888</v>
      </c>
      <c r="B4889" s="4">
        <v>19</v>
      </c>
      <c r="C4889" s="15">
        <v>258</v>
      </c>
      <c r="D4889" s="16">
        <v>4</v>
      </c>
      <c r="E4889" s="22">
        <v>44762</v>
      </c>
      <c r="F4889" s="19">
        <v>100</v>
      </c>
      <c r="G4889" s="18">
        <v>0.18</v>
      </c>
      <c r="H4889">
        <f>F4889*VLOOKUP(B4889,產品!$A$2:$H$61,7,FALSE)*(1-銷售總表!G4889)</f>
        <v>147600</v>
      </c>
      <c r="I4889" s="35">
        <f>H4889-F4889*VLOOKUP(銷售總表!B4889,產品!$A$2:$H$61,8,FALSE)</f>
        <v>75600</v>
      </c>
      <c r="J4889" s="20">
        <f t="shared" si="76"/>
        <v>0.51219512195121952</v>
      </c>
    </row>
    <row r="4890" spans="1:10" x14ac:dyDescent="0.3">
      <c r="A4890" s="33">
        <v>4889</v>
      </c>
      <c r="B4890" s="4">
        <v>49</v>
      </c>
      <c r="C4890" s="15">
        <v>119</v>
      </c>
      <c r="D4890" s="16">
        <v>10</v>
      </c>
      <c r="E4890" s="22">
        <v>44763</v>
      </c>
      <c r="F4890" s="19">
        <v>6</v>
      </c>
      <c r="G4890" s="18">
        <v>0.19</v>
      </c>
      <c r="H4890">
        <f>F4890*VLOOKUP(B4890,產品!$A$2:$H$61,7,FALSE)*(1-銷售總表!G4890)</f>
        <v>72900</v>
      </c>
      <c r="I4890" s="35">
        <f>H4890-F4890*VLOOKUP(銷售總表!B4890,產品!$A$2:$H$61,8,FALSE)</f>
        <v>9900</v>
      </c>
      <c r="J4890" s="20">
        <f t="shared" si="76"/>
        <v>0.13580246913580246</v>
      </c>
    </row>
    <row r="4891" spans="1:10" x14ac:dyDescent="0.3">
      <c r="A4891" s="33">
        <v>4890</v>
      </c>
      <c r="B4891" s="4">
        <v>39</v>
      </c>
      <c r="C4891" s="15">
        <v>261</v>
      </c>
      <c r="D4891" s="16">
        <v>4</v>
      </c>
      <c r="E4891" s="22">
        <v>44763</v>
      </c>
      <c r="F4891" s="19">
        <v>8</v>
      </c>
      <c r="G4891" s="18">
        <v>0.08</v>
      </c>
      <c r="H4891">
        <f>F4891*VLOOKUP(B4891,產品!$A$2:$H$61,7,FALSE)*(1-銷售總表!G4891)</f>
        <v>132480</v>
      </c>
      <c r="I4891" s="35">
        <f>H4891-F4891*VLOOKUP(銷售總表!B4891,產品!$A$2:$H$61,8,FALSE)</f>
        <v>38880</v>
      </c>
      <c r="J4891" s="20">
        <f t="shared" si="76"/>
        <v>0.29347826086956524</v>
      </c>
    </row>
    <row r="4892" spans="1:10" x14ac:dyDescent="0.3">
      <c r="A4892" s="33">
        <v>4891</v>
      </c>
      <c r="B4892" s="4">
        <v>5</v>
      </c>
      <c r="C4892" s="15">
        <v>9</v>
      </c>
      <c r="D4892" s="16">
        <v>9</v>
      </c>
      <c r="E4892" s="22">
        <v>44763</v>
      </c>
      <c r="F4892" s="19">
        <v>60</v>
      </c>
      <c r="G4892" s="18">
        <v>0.18</v>
      </c>
      <c r="H4892">
        <f>F4892*VLOOKUP(B4892,產品!$A$2:$H$61,7,FALSE)*(1-銷售總表!G4892)</f>
        <v>49200.000000000007</v>
      </c>
      <c r="I4892" s="35">
        <f>H4892-F4892*VLOOKUP(銷售總表!B4892,產品!$A$2:$H$61,8,FALSE)</f>
        <v>25200.000000000007</v>
      </c>
      <c r="J4892" s="20">
        <f t="shared" si="76"/>
        <v>0.51219512195121963</v>
      </c>
    </row>
    <row r="4893" spans="1:10" x14ac:dyDescent="0.3">
      <c r="A4893" s="33">
        <v>4892</v>
      </c>
      <c r="B4893" s="4">
        <v>4</v>
      </c>
      <c r="C4893" s="15">
        <v>261</v>
      </c>
      <c r="D4893" s="16">
        <v>6</v>
      </c>
      <c r="E4893" s="22">
        <v>44763</v>
      </c>
      <c r="F4893" s="19">
        <v>80</v>
      </c>
      <c r="G4893" s="18">
        <v>0.12</v>
      </c>
      <c r="H4893">
        <f>F4893*VLOOKUP(B4893,產品!$A$2:$H$61,7,FALSE)*(1-銷售總表!G4893)</f>
        <v>70400</v>
      </c>
      <c r="I4893" s="35">
        <f>H4893-F4893*VLOOKUP(銷售總表!B4893,產品!$A$2:$H$61,8,FALSE)</f>
        <v>38400</v>
      </c>
      <c r="J4893" s="20">
        <f t="shared" si="76"/>
        <v>0.54545454545454541</v>
      </c>
    </row>
    <row r="4894" spans="1:10" x14ac:dyDescent="0.3">
      <c r="A4894" s="33">
        <v>4893</v>
      </c>
      <c r="B4894" s="4">
        <v>36</v>
      </c>
      <c r="C4894" s="15">
        <v>4</v>
      </c>
      <c r="D4894" s="16">
        <v>2</v>
      </c>
      <c r="E4894" s="22">
        <v>44764</v>
      </c>
      <c r="F4894" s="19">
        <v>3</v>
      </c>
      <c r="G4894" s="18">
        <v>0.19</v>
      </c>
      <c r="H4894">
        <f>F4894*VLOOKUP(B4894,產品!$A$2:$H$61,7,FALSE)*(1-銷售總表!G4894)</f>
        <v>21870</v>
      </c>
      <c r="I4894" s="35">
        <f>H4894-F4894*VLOOKUP(銷售總表!B4894,產品!$A$2:$H$61,8,FALSE)</f>
        <v>5670</v>
      </c>
      <c r="J4894" s="20">
        <f t="shared" si="76"/>
        <v>0.25925925925925924</v>
      </c>
    </row>
    <row r="4895" spans="1:10" x14ac:dyDescent="0.3">
      <c r="A4895" s="33">
        <v>4894</v>
      </c>
      <c r="B4895" s="4">
        <v>19</v>
      </c>
      <c r="C4895" s="15">
        <v>275</v>
      </c>
      <c r="D4895" s="16">
        <v>5</v>
      </c>
      <c r="E4895" s="22">
        <v>44764</v>
      </c>
      <c r="F4895" s="19">
        <v>10</v>
      </c>
      <c r="G4895" s="18">
        <v>0.15</v>
      </c>
      <c r="H4895">
        <f>F4895*VLOOKUP(B4895,產品!$A$2:$H$61,7,FALSE)*(1-銷售總表!G4895)</f>
        <v>15300</v>
      </c>
      <c r="I4895" s="35">
        <f>H4895-F4895*VLOOKUP(銷售總表!B4895,產品!$A$2:$H$61,8,FALSE)</f>
        <v>8100</v>
      </c>
      <c r="J4895" s="20">
        <f t="shared" si="76"/>
        <v>0.52941176470588236</v>
      </c>
    </row>
    <row r="4896" spans="1:10" x14ac:dyDescent="0.3">
      <c r="A4896" s="33">
        <v>4895</v>
      </c>
      <c r="B4896" s="4">
        <v>39</v>
      </c>
      <c r="C4896" s="15">
        <v>122</v>
      </c>
      <c r="D4896" s="16">
        <v>5</v>
      </c>
      <c r="E4896" s="23">
        <v>44764</v>
      </c>
      <c r="F4896">
        <v>10</v>
      </c>
      <c r="G4896" s="20">
        <v>0.06</v>
      </c>
      <c r="H4896">
        <f>F4896*VLOOKUP(B4896,產品!$A$2:$H$61,7,FALSE)*(1-銷售總表!G4896)</f>
        <v>169200</v>
      </c>
      <c r="I4896" s="35">
        <f>H4896-F4896*VLOOKUP(銷售總表!B4896,產品!$A$2:$H$61,8,FALSE)</f>
        <v>52200</v>
      </c>
      <c r="J4896" s="20">
        <f t="shared" si="76"/>
        <v>0.30851063829787234</v>
      </c>
    </row>
    <row r="4897" spans="1:10" x14ac:dyDescent="0.3">
      <c r="A4897" s="33">
        <v>4896</v>
      </c>
      <c r="B4897" s="4">
        <v>9</v>
      </c>
      <c r="C4897" s="15">
        <v>11</v>
      </c>
      <c r="D4897" s="16">
        <v>4</v>
      </c>
      <c r="E4897" s="22">
        <v>44764</v>
      </c>
      <c r="F4897" s="19">
        <v>20</v>
      </c>
      <c r="G4897" s="18">
        <v>0.18</v>
      </c>
      <c r="H4897">
        <f>F4897*VLOOKUP(B4897,產品!$A$2:$H$61,7,FALSE)*(1-銷售總表!G4897)</f>
        <v>16400</v>
      </c>
      <c r="I4897" s="35">
        <f>H4897-F4897*VLOOKUP(銷售總表!B4897,產品!$A$2:$H$61,8,FALSE)</f>
        <v>8400</v>
      </c>
      <c r="J4897" s="20">
        <f t="shared" si="76"/>
        <v>0.51219512195121952</v>
      </c>
    </row>
    <row r="4898" spans="1:10" x14ac:dyDescent="0.3">
      <c r="A4898" s="33">
        <v>4897</v>
      </c>
      <c r="B4898" s="4">
        <v>35</v>
      </c>
      <c r="C4898" s="15">
        <v>11</v>
      </c>
      <c r="D4898" s="16">
        <v>3</v>
      </c>
      <c r="E4898" s="22">
        <v>44764</v>
      </c>
      <c r="F4898" s="19">
        <v>35</v>
      </c>
      <c r="G4898" s="18">
        <v>0.15</v>
      </c>
      <c r="H4898">
        <f>F4898*VLOOKUP(B4898,產品!$A$2:$H$61,7,FALSE)*(1-銷售總表!G4898)</f>
        <v>252875</v>
      </c>
      <c r="I4898" s="35">
        <f>H4898-F4898*VLOOKUP(銷售總表!B4898,產品!$A$2:$H$61,8,FALSE)</f>
        <v>74375</v>
      </c>
      <c r="J4898" s="20">
        <f t="shared" si="76"/>
        <v>0.29411764705882354</v>
      </c>
    </row>
    <row r="4899" spans="1:10" x14ac:dyDescent="0.3">
      <c r="A4899" s="33">
        <v>4898</v>
      </c>
      <c r="B4899" s="4">
        <v>48</v>
      </c>
      <c r="C4899" s="15">
        <v>122</v>
      </c>
      <c r="D4899" s="16">
        <v>8</v>
      </c>
      <c r="E4899" s="22">
        <v>44765</v>
      </c>
      <c r="F4899" s="19">
        <v>6</v>
      </c>
      <c r="G4899" s="18">
        <v>0.16</v>
      </c>
      <c r="H4899">
        <f>F4899*VLOOKUP(B4899,產品!$A$2:$H$61,7,FALSE)*(1-銷售總表!G4899)</f>
        <v>110880</v>
      </c>
      <c r="I4899" s="35">
        <f>H4899-F4899*VLOOKUP(銷售總表!B4899,產品!$A$2:$H$61,8,FALSE)</f>
        <v>25080</v>
      </c>
      <c r="J4899" s="20">
        <f t="shared" si="76"/>
        <v>0.22619047619047619</v>
      </c>
    </row>
    <row r="4900" spans="1:10" x14ac:dyDescent="0.3">
      <c r="A4900" s="33">
        <v>4899</v>
      </c>
      <c r="B4900" s="4">
        <v>43</v>
      </c>
      <c r="C4900" s="15">
        <v>113</v>
      </c>
      <c r="D4900" s="16">
        <v>5</v>
      </c>
      <c r="E4900" s="23">
        <v>44765</v>
      </c>
      <c r="F4900">
        <v>6</v>
      </c>
      <c r="G4900" s="20">
        <v>0.18</v>
      </c>
      <c r="H4900">
        <f>F4900*VLOOKUP(B4900,產品!$A$2:$H$61,7,FALSE)*(1-銷售總表!G4900)</f>
        <v>88560</v>
      </c>
      <c r="I4900" s="35">
        <f>H4900-F4900*VLOOKUP(銷售總表!B4900,產品!$A$2:$H$61,8,FALSE)</f>
        <v>18360</v>
      </c>
      <c r="J4900" s="20">
        <f t="shared" si="76"/>
        <v>0.2073170731707317</v>
      </c>
    </row>
    <row r="4901" spans="1:10" x14ac:dyDescent="0.3">
      <c r="A4901" s="33">
        <v>4900</v>
      </c>
      <c r="B4901" s="4">
        <v>34</v>
      </c>
      <c r="C4901" s="15">
        <v>11</v>
      </c>
      <c r="D4901" s="16">
        <v>3</v>
      </c>
      <c r="E4901" s="22">
        <v>44765</v>
      </c>
      <c r="F4901" s="19">
        <v>15</v>
      </c>
      <c r="G4901" s="18">
        <v>0.05</v>
      </c>
      <c r="H4901">
        <f>F4901*VLOOKUP(B4901,產品!$A$2:$H$61,7,FALSE)*(1-銷售總表!G4901)</f>
        <v>114000</v>
      </c>
      <c r="I4901" s="35">
        <f>H4901-F4901*VLOOKUP(銷售總表!B4901,產品!$A$2:$H$61,8,FALSE)</f>
        <v>42000</v>
      </c>
      <c r="J4901" s="20">
        <f t="shared" si="76"/>
        <v>0.36842105263157893</v>
      </c>
    </row>
    <row r="4902" spans="1:10" x14ac:dyDescent="0.3">
      <c r="A4902" s="33">
        <v>4901</v>
      </c>
      <c r="B4902" s="4">
        <v>6</v>
      </c>
      <c r="C4902" s="15">
        <v>258</v>
      </c>
      <c r="D4902" s="16">
        <v>1</v>
      </c>
      <c r="E4902" s="22">
        <v>44765</v>
      </c>
      <c r="F4902" s="19">
        <v>20</v>
      </c>
      <c r="G4902" s="18">
        <v>0.17</v>
      </c>
      <c r="H4902">
        <f>F4902*VLOOKUP(B4902,產品!$A$2:$H$61,7,FALSE)*(1-銷售總表!G4902)</f>
        <v>16600</v>
      </c>
      <c r="I4902" s="35">
        <f>H4902-F4902*VLOOKUP(銷售總表!B4902,產品!$A$2:$H$61,8,FALSE)</f>
        <v>8600</v>
      </c>
      <c r="J4902" s="20">
        <f t="shared" si="76"/>
        <v>0.51807228915662651</v>
      </c>
    </row>
    <row r="4903" spans="1:10" x14ac:dyDescent="0.3">
      <c r="A4903" s="33">
        <v>4902</v>
      </c>
      <c r="B4903" s="4">
        <v>19</v>
      </c>
      <c r="C4903" s="15">
        <v>285</v>
      </c>
      <c r="D4903" s="16">
        <v>10</v>
      </c>
      <c r="E4903" s="22">
        <v>44765</v>
      </c>
      <c r="F4903" s="19">
        <v>30</v>
      </c>
      <c r="G4903" s="18">
        <v>0.14000000000000001</v>
      </c>
      <c r="H4903">
        <f>F4903*VLOOKUP(B4903,產品!$A$2:$H$61,7,FALSE)*(1-銷售總表!G4903)</f>
        <v>46440</v>
      </c>
      <c r="I4903" s="35">
        <f>H4903-F4903*VLOOKUP(銷售總表!B4903,產品!$A$2:$H$61,8,FALSE)</f>
        <v>24840</v>
      </c>
      <c r="J4903" s="20">
        <f t="shared" si="76"/>
        <v>0.53488372093023251</v>
      </c>
    </row>
    <row r="4904" spans="1:10" x14ac:dyDescent="0.3">
      <c r="A4904" s="33">
        <v>4903</v>
      </c>
      <c r="B4904" s="4">
        <v>4</v>
      </c>
      <c r="C4904" s="15">
        <v>12</v>
      </c>
      <c r="D4904" s="16">
        <v>7</v>
      </c>
      <c r="E4904" s="22">
        <v>44765</v>
      </c>
      <c r="F4904" s="19">
        <v>200</v>
      </c>
      <c r="G4904" s="18">
        <v>0.13</v>
      </c>
      <c r="H4904">
        <f>F4904*VLOOKUP(B4904,產品!$A$2:$H$61,7,FALSE)*(1-銷售總表!G4904)</f>
        <v>174000</v>
      </c>
      <c r="I4904" s="35">
        <f>H4904-F4904*VLOOKUP(銷售總表!B4904,產品!$A$2:$H$61,8,FALSE)</f>
        <v>94000</v>
      </c>
      <c r="J4904" s="20">
        <f t="shared" si="76"/>
        <v>0.54022988505747127</v>
      </c>
    </row>
    <row r="4905" spans="1:10" x14ac:dyDescent="0.3">
      <c r="A4905" s="33">
        <v>4904</v>
      </c>
      <c r="B4905" s="4">
        <v>58</v>
      </c>
      <c r="C4905" s="15">
        <v>278</v>
      </c>
      <c r="D4905" s="16">
        <v>9</v>
      </c>
      <c r="E4905" s="22">
        <v>44766</v>
      </c>
      <c r="F4905" s="19">
        <v>4</v>
      </c>
      <c r="G4905" s="18">
        <v>0.06</v>
      </c>
      <c r="H4905">
        <f>F4905*VLOOKUP(B4905,產品!$A$2:$H$61,7,FALSE)*(1-銷售總表!G4905)</f>
        <v>78960</v>
      </c>
      <c r="I4905" s="35">
        <f>H4905-F4905*VLOOKUP(銷售總表!B4905,產品!$A$2:$H$61,8,FALSE)</f>
        <v>20160.000000000007</v>
      </c>
      <c r="J4905" s="20">
        <f t="shared" si="76"/>
        <v>0.2553191489361703</v>
      </c>
    </row>
    <row r="4906" spans="1:10" x14ac:dyDescent="0.3">
      <c r="A4906" s="33">
        <v>4905</v>
      </c>
      <c r="B4906" s="4">
        <v>31</v>
      </c>
      <c r="C4906" s="15">
        <v>258</v>
      </c>
      <c r="D4906" s="16">
        <v>10</v>
      </c>
      <c r="E4906" s="22">
        <v>44766</v>
      </c>
      <c r="F4906" s="19">
        <v>4</v>
      </c>
      <c r="G4906" s="18">
        <v>0.08</v>
      </c>
      <c r="H4906">
        <f>F4906*VLOOKUP(B4906,產品!$A$2:$H$61,7,FALSE)*(1-銷售總表!G4906)</f>
        <v>25760</v>
      </c>
      <c r="I4906" s="35">
        <f>H4906-F4906*VLOOKUP(銷售總表!B4906,產品!$A$2:$H$61,8,FALSE)</f>
        <v>8960</v>
      </c>
      <c r="J4906" s="20">
        <f t="shared" si="76"/>
        <v>0.34782608695652173</v>
      </c>
    </row>
    <row r="4907" spans="1:10" x14ac:dyDescent="0.3">
      <c r="A4907" s="33">
        <v>4906</v>
      </c>
      <c r="B4907" s="4">
        <v>45</v>
      </c>
      <c r="C4907" s="15">
        <v>283</v>
      </c>
      <c r="D4907" s="16">
        <v>7</v>
      </c>
      <c r="E4907" s="22">
        <v>44766</v>
      </c>
      <c r="F4907" s="19">
        <v>8</v>
      </c>
      <c r="G4907" s="18">
        <v>0.15</v>
      </c>
      <c r="H4907">
        <f>F4907*VLOOKUP(B4907,產品!$A$2:$H$61,7,FALSE)*(1-銷售總表!G4907)</f>
        <v>95200</v>
      </c>
      <c r="I4907" s="35">
        <f>H4907-F4907*VLOOKUP(銷售總表!B4907,產品!$A$2:$H$61,8,FALSE)</f>
        <v>22400</v>
      </c>
      <c r="J4907" s="20">
        <f t="shared" si="76"/>
        <v>0.23529411764705882</v>
      </c>
    </row>
    <row r="4908" spans="1:10" x14ac:dyDescent="0.3">
      <c r="A4908" s="33">
        <v>4907</v>
      </c>
      <c r="B4908" s="4">
        <v>22</v>
      </c>
      <c r="C4908" s="15">
        <v>6</v>
      </c>
      <c r="D4908" s="16">
        <v>7</v>
      </c>
      <c r="E4908" s="22">
        <v>44766</v>
      </c>
      <c r="F4908" s="19">
        <v>10</v>
      </c>
      <c r="G4908" s="18">
        <v>0.18</v>
      </c>
      <c r="H4908">
        <f>F4908*VLOOKUP(B4908,產品!$A$2:$H$61,7,FALSE)*(1-銷售總表!G4908)</f>
        <v>14760.000000000002</v>
      </c>
      <c r="I4908" s="35">
        <f>H4908-F4908*VLOOKUP(銷售總表!B4908,產品!$A$2:$H$61,8,FALSE)</f>
        <v>7560.0000000000018</v>
      </c>
      <c r="J4908" s="20">
        <f t="shared" si="76"/>
        <v>0.51219512195121952</v>
      </c>
    </row>
    <row r="4909" spans="1:10" x14ac:dyDescent="0.3">
      <c r="A4909" s="33">
        <v>4908</v>
      </c>
      <c r="B4909" s="4">
        <v>39</v>
      </c>
      <c r="C4909" s="15">
        <v>10</v>
      </c>
      <c r="D4909" s="16">
        <v>9</v>
      </c>
      <c r="E4909" s="22">
        <v>44766</v>
      </c>
      <c r="F4909" s="19">
        <v>13</v>
      </c>
      <c r="G4909" s="18">
        <v>0.13</v>
      </c>
      <c r="H4909">
        <f>F4909*VLOOKUP(B4909,產品!$A$2:$H$61,7,FALSE)*(1-銷售總表!G4909)</f>
        <v>203580</v>
      </c>
      <c r="I4909" s="35">
        <f>H4909-F4909*VLOOKUP(銷售總表!B4909,產品!$A$2:$H$61,8,FALSE)</f>
        <v>51480</v>
      </c>
      <c r="J4909" s="20">
        <f t="shared" si="76"/>
        <v>0.25287356321839083</v>
      </c>
    </row>
    <row r="4910" spans="1:10" x14ac:dyDescent="0.3">
      <c r="A4910" s="33">
        <v>4909</v>
      </c>
      <c r="B4910" s="4">
        <v>16</v>
      </c>
      <c r="C4910" s="15">
        <v>264</v>
      </c>
      <c r="D4910" s="16">
        <v>6</v>
      </c>
      <c r="E4910" s="22">
        <v>44766</v>
      </c>
      <c r="F4910" s="19">
        <v>60</v>
      </c>
      <c r="G4910" s="18">
        <v>0.14000000000000001</v>
      </c>
      <c r="H4910">
        <f>F4910*VLOOKUP(B4910,產品!$A$2:$H$61,7,FALSE)*(1-銷售總表!G4910)</f>
        <v>92880</v>
      </c>
      <c r="I4910" s="35">
        <f>H4910-F4910*VLOOKUP(銷售總表!B4910,產品!$A$2:$H$61,8,FALSE)</f>
        <v>49680</v>
      </c>
      <c r="J4910" s="20">
        <f t="shared" si="76"/>
        <v>0.53488372093023251</v>
      </c>
    </row>
    <row r="4911" spans="1:10" x14ac:dyDescent="0.3">
      <c r="A4911" s="33">
        <v>4910</v>
      </c>
      <c r="B4911" s="4">
        <v>7</v>
      </c>
      <c r="C4911" s="15">
        <v>275</v>
      </c>
      <c r="D4911" s="16">
        <v>8</v>
      </c>
      <c r="E4911" s="22">
        <v>44766</v>
      </c>
      <c r="F4911" s="19">
        <v>60</v>
      </c>
      <c r="G4911" s="18">
        <v>0.17</v>
      </c>
      <c r="H4911">
        <f>F4911*VLOOKUP(B4911,產品!$A$2:$H$61,7,FALSE)*(1-銷售總表!G4911)</f>
        <v>49800</v>
      </c>
      <c r="I4911" s="35">
        <f>H4911-F4911*VLOOKUP(銷售總表!B4911,產品!$A$2:$H$61,8,FALSE)</f>
        <v>25800</v>
      </c>
      <c r="J4911" s="20">
        <f t="shared" si="76"/>
        <v>0.51807228915662651</v>
      </c>
    </row>
    <row r="4912" spans="1:10" x14ac:dyDescent="0.3">
      <c r="A4912" s="33">
        <v>4911</v>
      </c>
      <c r="B4912" s="4">
        <v>44</v>
      </c>
      <c r="C4912" s="15">
        <v>271</v>
      </c>
      <c r="D4912" s="16">
        <v>6</v>
      </c>
      <c r="E4912" s="22">
        <v>44767</v>
      </c>
      <c r="F4912" s="19">
        <v>2</v>
      </c>
      <c r="G4912" s="18">
        <v>7.0000000000000007E-2</v>
      </c>
      <c r="H4912">
        <f>F4912*VLOOKUP(B4912,產品!$A$2:$H$61,7,FALSE)*(1-銷售總表!G4912)</f>
        <v>37200</v>
      </c>
      <c r="I4912" s="35">
        <f>H4912-F4912*VLOOKUP(銷售總表!B4912,產品!$A$2:$H$61,8,FALSE)</f>
        <v>11200</v>
      </c>
      <c r="J4912" s="20">
        <f t="shared" si="76"/>
        <v>0.30107526881720431</v>
      </c>
    </row>
    <row r="4913" spans="1:10" x14ac:dyDescent="0.3">
      <c r="A4913" s="33">
        <v>4912</v>
      </c>
      <c r="B4913" s="4">
        <v>32</v>
      </c>
      <c r="C4913" s="15">
        <v>122</v>
      </c>
      <c r="D4913" s="16">
        <v>9</v>
      </c>
      <c r="E4913" s="22">
        <v>44767</v>
      </c>
      <c r="F4913" s="19">
        <v>4</v>
      </c>
      <c r="G4913" s="18">
        <v>0.16</v>
      </c>
      <c r="H4913">
        <f>F4913*VLOOKUP(B4913,產品!$A$2:$H$61,7,FALSE)*(1-銷售總表!G4913)</f>
        <v>25200</v>
      </c>
      <c r="I4913" s="35">
        <f>H4913-F4913*VLOOKUP(銷售總表!B4913,產品!$A$2:$H$61,8,FALSE)</f>
        <v>7200</v>
      </c>
      <c r="J4913" s="20">
        <f t="shared" si="76"/>
        <v>0.2857142857142857</v>
      </c>
    </row>
    <row r="4914" spans="1:10" x14ac:dyDescent="0.3">
      <c r="A4914" s="33">
        <v>4913</v>
      </c>
      <c r="B4914" s="4">
        <v>41</v>
      </c>
      <c r="C4914" s="15">
        <v>265</v>
      </c>
      <c r="D4914" s="16">
        <v>5</v>
      </c>
      <c r="E4914" s="22">
        <v>44767</v>
      </c>
      <c r="F4914" s="19">
        <v>6</v>
      </c>
      <c r="G4914" s="18">
        <v>0.19</v>
      </c>
      <c r="H4914">
        <f>F4914*VLOOKUP(B4914,產品!$A$2:$H$61,7,FALSE)*(1-銷售總表!G4914)</f>
        <v>58320.000000000007</v>
      </c>
      <c r="I4914" s="35">
        <f>H4914-F4914*VLOOKUP(銷售總表!B4914,產品!$A$2:$H$61,8,FALSE)</f>
        <v>11520.000000000007</v>
      </c>
      <c r="J4914" s="20">
        <f t="shared" si="76"/>
        <v>0.19753086419753096</v>
      </c>
    </row>
    <row r="4915" spans="1:10" x14ac:dyDescent="0.3">
      <c r="A4915" s="33">
        <v>4914</v>
      </c>
      <c r="B4915" s="4">
        <v>46</v>
      </c>
      <c r="C4915" s="15">
        <v>273</v>
      </c>
      <c r="D4915" s="16">
        <v>5</v>
      </c>
      <c r="E4915" s="22">
        <v>44767</v>
      </c>
      <c r="F4915" s="19">
        <v>7</v>
      </c>
      <c r="G4915" s="18">
        <v>0.15</v>
      </c>
      <c r="H4915">
        <f>F4915*VLOOKUP(B4915,產品!$A$2:$H$61,7,FALSE)*(1-銷售總表!G4915)</f>
        <v>101150</v>
      </c>
      <c r="I4915" s="35">
        <f>H4915-F4915*VLOOKUP(銷售總表!B4915,產品!$A$2:$H$61,8,FALSE)</f>
        <v>23800</v>
      </c>
      <c r="J4915" s="20">
        <f t="shared" si="76"/>
        <v>0.23529411764705882</v>
      </c>
    </row>
    <row r="4916" spans="1:10" x14ac:dyDescent="0.3">
      <c r="A4916" s="33">
        <v>4915</v>
      </c>
      <c r="B4916" s="4">
        <v>22</v>
      </c>
      <c r="C4916" s="15">
        <v>2</v>
      </c>
      <c r="D4916" s="16">
        <v>4</v>
      </c>
      <c r="E4916" s="22">
        <v>44767</v>
      </c>
      <c r="F4916" s="19">
        <v>105</v>
      </c>
      <c r="G4916" s="18">
        <v>0.18</v>
      </c>
      <c r="H4916">
        <f>F4916*VLOOKUP(B4916,產品!$A$2:$H$61,7,FALSE)*(1-銷售總表!G4916)</f>
        <v>154980</v>
      </c>
      <c r="I4916" s="35">
        <f>H4916-F4916*VLOOKUP(銷售總表!B4916,產品!$A$2:$H$61,8,FALSE)</f>
        <v>79380</v>
      </c>
      <c r="J4916" s="20">
        <f t="shared" si="76"/>
        <v>0.51219512195121952</v>
      </c>
    </row>
    <row r="4917" spans="1:10" x14ac:dyDescent="0.3">
      <c r="A4917" s="33">
        <v>4916</v>
      </c>
      <c r="B4917" s="4">
        <v>31</v>
      </c>
      <c r="C4917" s="15">
        <v>285</v>
      </c>
      <c r="D4917" s="16">
        <v>6</v>
      </c>
      <c r="E4917" s="22">
        <v>44768</v>
      </c>
      <c r="F4917" s="19">
        <v>5</v>
      </c>
      <c r="G4917" s="18">
        <v>0.14000000000000001</v>
      </c>
      <c r="H4917">
        <f>F4917*VLOOKUP(B4917,產品!$A$2:$H$61,7,FALSE)*(1-銷售總表!G4917)</f>
        <v>30100</v>
      </c>
      <c r="I4917" s="35">
        <f>H4917-F4917*VLOOKUP(銷售總表!B4917,產品!$A$2:$H$61,8,FALSE)</f>
        <v>9100</v>
      </c>
      <c r="J4917" s="20">
        <f t="shared" si="76"/>
        <v>0.30232558139534882</v>
      </c>
    </row>
    <row r="4918" spans="1:10" x14ac:dyDescent="0.3">
      <c r="A4918" s="33">
        <v>4917</v>
      </c>
      <c r="B4918" s="4">
        <v>13</v>
      </c>
      <c r="C4918" s="15">
        <v>7</v>
      </c>
      <c r="D4918" s="16">
        <v>10</v>
      </c>
      <c r="E4918" s="22">
        <v>44768</v>
      </c>
      <c r="F4918" s="19">
        <v>5</v>
      </c>
      <c r="G4918" s="18">
        <v>0.08</v>
      </c>
      <c r="H4918">
        <f>F4918*VLOOKUP(B4918,產品!$A$2:$H$61,7,FALSE)*(1-銷售總表!G4918)</f>
        <v>8280</v>
      </c>
      <c r="I4918" s="35">
        <f>H4918-F4918*VLOOKUP(銷售總表!B4918,產品!$A$2:$H$61,8,FALSE)</f>
        <v>4680</v>
      </c>
      <c r="J4918" s="20">
        <f t="shared" si="76"/>
        <v>0.56521739130434778</v>
      </c>
    </row>
    <row r="4919" spans="1:10" x14ac:dyDescent="0.3">
      <c r="A4919" s="33">
        <v>4918</v>
      </c>
      <c r="B4919" s="4">
        <v>51</v>
      </c>
      <c r="C4919" s="15">
        <v>276</v>
      </c>
      <c r="D4919" s="16">
        <v>5</v>
      </c>
      <c r="E4919" s="23">
        <v>44768</v>
      </c>
      <c r="F4919">
        <v>7</v>
      </c>
      <c r="G4919" s="20">
        <v>0.14000000000000001</v>
      </c>
      <c r="H4919">
        <f>F4919*VLOOKUP(B4919,產品!$A$2:$H$61,7,FALSE)*(1-銷售總表!G4919)</f>
        <v>120400</v>
      </c>
      <c r="I4919" s="35">
        <f>H4919-F4919*VLOOKUP(銷售總表!B4919,產品!$A$2:$H$61,8,FALSE)</f>
        <v>22400</v>
      </c>
      <c r="J4919" s="20">
        <f t="shared" si="76"/>
        <v>0.18604651162790697</v>
      </c>
    </row>
    <row r="4920" spans="1:10" x14ac:dyDescent="0.3">
      <c r="A4920" s="33">
        <v>4919</v>
      </c>
      <c r="B4920" s="4">
        <v>7</v>
      </c>
      <c r="C4920" s="15">
        <v>267</v>
      </c>
      <c r="D4920" s="16">
        <v>2</v>
      </c>
      <c r="E4920" s="22">
        <v>44768</v>
      </c>
      <c r="F4920" s="19">
        <v>10</v>
      </c>
      <c r="G4920" s="18">
        <v>0.12</v>
      </c>
      <c r="H4920">
        <f>F4920*VLOOKUP(B4920,產品!$A$2:$H$61,7,FALSE)*(1-銷售總表!G4920)</f>
        <v>8800</v>
      </c>
      <c r="I4920" s="35">
        <f>H4920-F4920*VLOOKUP(銷售總表!B4920,產品!$A$2:$H$61,8,FALSE)</f>
        <v>4800</v>
      </c>
      <c r="J4920" s="20">
        <f t="shared" si="76"/>
        <v>0.54545454545454541</v>
      </c>
    </row>
    <row r="4921" spans="1:10" x14ac:dyDescent="0.3">
      <c r="A4921" s="33">
        <v>4920</v>
      </c>
      <c r="B4921" s="4">
        <v>51</v>
      </c>
      <c r="C4921" s="15">
        <v>276</v>
      </c>
      <c r="D4921" s="16">
        <v>5</v>
      </c>
      <c r="E4921" s="22">
        <v>44768</v>
      </c>
      <c r="F4921" s="19">
        <v>11</v>
      </c>
      <c r="G4921" s="18">
        <v>0.2</v>
      </c>
      <c r="H4921">
        <f>F4921*VLOOKUP(B4921,產品!$A$2:$H$61,7,FALSE)*(1-銷售總表!G4921)</f>
        <v>176000</v>
      </c>
      <c r="I4921" s="35">
        <f>H4921-F4921*VLOOKUP(銷售總表!B4921,產品!$A$2:$H$61,8,FALSE)</f>
        <v>22000</v>
      </c>
      <c r="J4921" s="20">
        <f t="shared" si="76"/>
        <v>0.125</v>
      </c>
    </row>
    <row r="4922" spans="1:10" x14ac:dyDescent="0.3">
      <c r="A4922" s="33">
        <v>4921</v>
      </c>
      <c r="B4922" s="4">
        <v>55</v>
      </c>
      <c r="C4922" s="15">
        <v>263</v>
      </c>
      <c r="D4922" s="16">
        <v>2</v>
      </c>
      <c r="E4922" s="22">
        <v>44768</v>
      </c>
      <c r="F4922" s="19">
        <v>15</v>
      </c>
      <c r="G4922" s="18">
        <v>7.0000000000000007E-2</v>
      </c>
      <c r="H4922">
        <f>F4922*VLOOKUP(B4922,產品!$A$2:$H$61,7,FALSE)*(1-銷售總表!G4922)</f>
        <v>279000</v>
      </c>
      <c r="I4922" s="35">
        <f>H4922-F4922*VLOOKUP(銷售總表!B4922,產品!$A$2:$H$61,8,FALSE)</f>
        <v>69000</v>
      </c>
      <c r="J4922" s="20">
        <f t="shared" si="76"/>
        <v>0.24731182795698925</v>
      </c>
    </row>
    <row r="4923" spans="1:10" x14ac:dyDescent="0.3">
      <c r="A4923" s="33">
        <v>4922</v>
      </c>
      <c r="B4923" s="4">
        <v>7</v>
      </c>
      <c r="C4923" s="15">
        <v>3</v>
      </c>
      <c r="D4923" s="16">
        <v>2</v>
      </c>
      <c r="E4923" s="22">
        <v>44768</v>
      </c>
      <c r="F4923" s="19">
        <v>20</v>
      </c>
      <c r="G4923" s="18">
        <v>0.11</v>
      </c>
      <c r="H4923">
        <f>F4923*VLOOKUP(B4923,產品!$A$2:$H$61,7,FALSE)*(1-銷售總表!G4923)</f>
        <v>17800</v>
      </c>
      <c r="I4923" s="35">
        <f>H4923-F4923*VLOOKUP(銷售總表!B4923,產品!$A$2:$H$61,8,FALSE)</f>
        <v>9800</v>
      </c>
      <c r="J4923" s="20">
        <f t="shared" si="76"/>
        <v>0.550561797752809</v>
      </c>
    </row>
    <row r="4924" spans="1:10" x14ac:dyDescent="0.3">
      <c r="A4924" s="33">
        <v>4923</v>
      </c>
      <c r="B4924" s="4">
        <v>21</v>
      </c>
      <c r="C4924" s="15">
        <v>10</v>
      </c>
      <c r="D4924" s="16">
        <v>9</v>
      </c>
      <c r="E4924" s="22">
        <v>44768</v>
      </c>
      <c r="F4924" s="19">
        <v>100</v>
      </c>
      <c r="G4924" s="18">
        <v>0.05</v>
      </c>
      <c r="H4924">
        <f>F4924*VLOOKUP(B4924,產品!$A$2:$H$61,7,FALSE)*(1-銷售總表!G4924)</f>
        <v>171000</v>
      </c>
      <c r="I4924" s="35">
        <f>H4924-F4924*VLOOKUP(銷售總表!B4924,產品!$A$2:$H$61,8,FALSE)</f>
        <v>99000</v>
      </c>
      <c r="J4924" s="20">
        <f t="shared" si="76"/>
        <v>0.57894736842105265</v>
      </c>
    </row>
    <row r="4925" spans="1:10" x14ac:dyDescent="0.3">
      <c r="A4925" s="33">
        <v>4924</v>
      </c>
      <c r="B4925" s="4">
        <v>48</v>
      </c>
      <c r="C4925" s="15">
        <v>11</v>
      </c>
      <c r="D4925" s="16">
        <v>4</v>
      </c>
      <c r="E4925" s="22">
        <v>44769</v>
      </c>
      <c r="F4925" s="19">
        <v>3</v>
      </c>
      <c r="G4925" s="18">
        <v>0.11</v>
      </c>
      <c r="H4925">
        <f>F4925*VLOOKUP(B4925,產品!$A$2:$H$61,7,FALSE)*(1-銷售總表!G4925)</f>
        <v>58740</v>
      </c>
      <c r="I4925" s="35">
        <f>H4925-F4925*VLOOKUP(銷售總表!B4925,產品!$A$2:$H$61,8,FALSE)</f>
        <v>15840</v>
      </c>
      <c r="J4925" s="20">
        <f t="shared" si="76"/>
        <v>0.2696629213483146</v>
      </c>
    </row>
    <row r="4926" spans="1:10" x14ac:dyDescent="0.3">
      <c r="A4926" s="33">
        <v>4925</v>
      </c>
      <c r="B4926" s="4">
        <v>33</v>
      </c>
      <c r="C4926" s="15">
        <v>6</v>
      </c>
      <c r="D4926" s="16">
        <v>3</v>
      </c>
      <c r="E4926" s="22">
        <v>44769</v>
      </c>
      <c r="F4926" s="19">
        <v>3</v>
      </c>
      <c r="G4926" s="18">
        <v>0.2</v>
      </c>
      <c r="H4926">
        <f>F4926*VLOOKUP(B4926,產品!$A$2:$H$61,7,FALSE)*(1-銷售總表!G4926)</f>
        <v>18000</v>
      </c>
      <c r="I4926" s="35">
        <f>H4926-F4926*VLOOKUP(銷售總表!B4926,產品!$A$2:$H$61,8,FALSE)</f>
        <v>4500</v>
      </c>
      <c r="J4926" s="20">
        <f t="shared" si="76"/>
        <v>0.25</v>
      </c>
    </row>
    <row r="4927" spans="1:10" x14ac:dyDescent="0.3">
      <c r="A4927" s="33">
        <v>4926</v>
      </c>
      <c r="B4927" s="4">
        <v>35</v>
      </c>
      <c r="C4927" s="15">
        <v>5</v>
      </c>
      <c r="D4927" s="16">
        <v>10</v>
      </c>
      <c r="E4927" s="23">
        <v>44769</v>
      </c>
      <c r="F4927">
        <v>6</v>
      </c>
      <c r="G4927" s="20">
        <v>0.13</v>
      </c>
      <c r="H4927">
        <f>F4927*VLOOKUP(B4927,產品!$A$2:$H$61,7,FALSE)*(1-銷售總表!G4927)</f>
        <v>44370</v>
      </c>
      <c r="I4927" s="35">
        <f>H4927-F4927*VLOOKUP(銷售總表!B4927,產品!$A$2:$H$61,8,FALSE)</f>
        <v>13770</v>
      </c>
      <c r="J4927" s="20">
        <f t="shared" si="76"/>
        <v>0.31034482758620691</v>
      </c>
    </row>
    <row r="4928" spans="1:10" x14ac:dyDescent="0.3">
      <c r="A4928" s="33">
        <v>4927</v>
      </c>
      <c r="B4928" s="4">
        <v>49</v>
      </c>
      <c r="C4928" s="15">
        <v>138</v>
      </c>
      <c r="D4928" s="16">
        <v>2</v>
      </c>
      <c r="E4928" s="23">
        <v>44769</v>
      </c>
      <c r="F4928">
        <v>13</v>
      </c>
      <c r="G4928" s="20">
        <v>0.1</v>
      </c>
      <c r="H4928">
        <f>F4928*VLOOKUP(B4928,產品!$A$2:$H$61,7,FALSE)*(1-銷售總表!G4928)</f>
        <v>175500</v>
      </c>
      <c r="I4928" s="35">
        <f>H4928-F4928*VLOOKUP(銷售總表!B4928,產品!$A$2:$H$61,8,FALSE)</f>
        <v>39000</v>
      </c>
      <c r="J4928" s="20">
        <f t="shared" si="76"/>
        <v>0.22222222222222221</v>
      </c>
    </row>
    <row r="4929" spans="1:10" x14ac:dyDescent="0.3">
      <c r="A4929" s="33">
        <v>4928</v>
      </c>
      <c r="B4929" s="4">
        <v>18</v>
      </c>
      <c r="C4929" s="15">
        <v>139</v>
      </c>
      <c r="D4929" s="16">
        <v>10</v>
      </c>
      <c r="E4929" s="22">
        <v>44769</v>
      </c>
      <c r="F4929" s="19">
        <v>30</v>
      </c>
      <c r="G4929" s="18">
        <v>0.12</v>
      </c>
      <c r="H4929">
        <f>F4929*VLOOKUP(B4929,產品!$A$2:$H$61,7,FALSE)*(1-銷售總表!G4929)</f>
        <v>47520</v>
      </c>
      <c r="I4929" s="35">
        <f>H4929-F4929*VLOOKUP(銷售總表!B4929,產品!$A$2:$H$61,8,FALSE)</f>
        <v>25920</v>
      </c>
      <c r="J4929" s="20">
        <f t="shared" si="76"/>
        <v>0.54545454545454541</v>
      </c>
    </row>
    <row r="4930" spans="1:10" x14ac:dyDescent="0.3">
      <c r="A4930" s="33">
        <v>4929</v>
      </c>
      <c r="B4930" s="4">
        <v>2</v>
      </c>
      <c r="C4930" s="15">
        <v>11</v>
      </c>
      <c r="D4930" s="16">
        <v>3</v>
      </c>
      <c r="E4930" s="22">
        <v>44769</v>
      </c>
      <c r="F4930" s="19">
        <v>70</v>
      </c>
      <c r="G4930" s="18">
        <v>0.16</v>
      </c>
      <c r="H4930">
        <f>F4930*VLOOKUP(B4930,產品!$A$2:$H$61,7,FALSE)*(1-銷售總表!G4930)</f>
        <v>58800</v>
      </c>
      <c r="I4930" s="35">
        <f>H4930-F4930*VLOOKUP(銷售總表!B4930,產品!$A$2:$H$61,8,FALSE)</f>
        <v>30800</v>
      </c>
      <c r="J4930" s="20">
        <f t="shared" si="76"/>
        <v>0.52380952380952384</v>
      </c>
    </row>
    <row r="4931" spans="1:10" x14ac:dyDescent="0.3">
      <c r="A4931" s="33">
        <v>4930</v>
      </c>
      <c r="B4931" s="4">
        <v>8</v>
      </c>
      <c r="C4931" s="15">
        <v>9</v>
      </c>
      <c r="D4931" s="16">
        <v>9</v>
      </c>
      <c r="E4931" s="22">
        <v>44769</v>
      </c>
      <c r="F4931" s="19">
        <v>70</v>
      </c>
      <c r="G4931" s="18">
        <v>0.2</v>
      </c>
      <c r="H4931">
        <f>F4931*VLOOKUP(B4931,產品!$A$2:$H$61,7,FALSE)*(1-銷售總表!G4931)</f>
        <v>56000</v>
      </c>
      <c r="I4931" s="35">
        <f>H4931-F4931*VLOOKUP(銷售總表!B4931,產品!$A$2:$H$61,8,FALSE)</f>
        <v>28000</v>
      </c>
      <c r="J4931" s="20">
        <f t="shared" ref="J4931:J4994" si="77">I4931/H4931</f>
        <v>0.5</v>
      </c>
    </row>
    <row r="4932" spans="1:10" x14ac:dyDescent="0.3">
      <c r="A4932" s="33">
        <v>4931</v>
      </c>
      <c r="B4932" s="4">
        <v>51</v>
      </c>
      <c r="C4932" s="15">
        <v>268</v>
      </c>
      <c r="D4932" s="16">
        <v>4</v>
      </c>
      <c r="E4932" s="22">
        <v>44770</v>
      </c>
      <c r="F4932" s="19">
        <v>4</v>
      </c>
      <c r="G4932" s="18">
        <v>7.0000000000000007E-2</v>
      </c>
      <c r="H4932">
        <f>F4932*VLOOKUP(B4932,產品!$A$2:$H$61,7,FALSE)*(1-銷售總表!G4932)</f>
        <v>74400</v>
      </c>
      <c r="I4932" s="35">
        <f>H4932-F4932*VLOOKUP(銷售總表!B4932,產品!$A$2:$H$61,8,FALSE)</f>
        <v>18400</v>
      </c>
      <c r="J4932" s="20">
        <f t="shared" si="77"/>
        <v>0.24731182795698925</v>
      </c>
    </row>
    <row r="4933" spans="1:10" x14ac:dyDescent="0.3">
      <c r="A4933" s="33">
        <v>4932</v>
      </c>
      <c r="B4933" s="4">
        <v>25</v>
      </c>
      <c r="C4933" s="15">
        <v>12</v>
      </c>
      <c r="D4933" s="16">
        <v>5</v>
      </c>
      <c r="E4933" s="23">
        <v>44770</v>
      </c>
      <c r="F4933">
        <v>10</v>
      </c>
      <c r="G4933" s="20">
        <v>0.15</v>
      </c>
      <c r="H4933">
        <f>F4933*VLOOKUP(B4933,產品!$A$2:$H$61,7,FALSE)*(1-銷售總表!G4933)</f>
        <v>51000</v>
      </c>
      <c r="I4933" s="35">
        <f>H4933-F4933*VLOOKUP(銷售總表!B4933,產品!$A$2:$H$61,8,FALSE)</f>
        <v>15000</v>
      </c>
      <c r="J4933" s="20">
        <f t="shared" si="77"/>
        <v>0.29411764705882354</v>
      </c>
    </row>
    <row r="4934" spans="1:10" x14ac:dyDescent="0.3">
      <c r="A4934" s="33">
        <v>4933</v>
      </c>
      <c r="B4934" s="4">
        <v>1</v>
      </c>
      <c r="C4934" s="15">
        <v>268</v>
      </c>
      <c r="D4934" s="16">
        <v>6</v>
      </c>
      <c r="E4934" s="22">
        <v>44770</v>
      </c>
      <c r="F4934" s="19">
        <v>60</v>
      </c>
      <c r="G4934" s="18">
        <v>0.17</v>
      </c>
      <c r="H4934">
        <f>F4934*VLOOKUP(B4934,產品!$A$2:$H$61,7,FALSE)*(1-銷售總表!G4934)</f>
        <v>49800</v>
      </c>
      <c r="I4934" s="35">
        <f>H4934-F4934*VLOOKUP(銷售總表!B4934,產品!$A$2:$H$61,8,FALSE)</f>
        <v>25800</v>
      </c>
      <c r="J4934" s="20">
        <f t="shared" si="77"/>
        <v>0.51807228915662651</v>
      </c>
    </row>
    <row r="4935" spans="1:10" x14ac:dyDescent="0.3">
      <c r="A4935" s="33">
        <v>4934</v>
      </c>
      <c r="B4935" s="4">
        <v>21</v>
      </c>
      <c r="C4935" s="15">
        <v>116</v>
      </c>
      <c r="D4935" s="16">
        <v>10</v>
      </c>
      <c r="E4935" s="22">
        <v>44770</v>
      </c>
      <c r="F4935" s="19">
        <v>70</v>
      </c>
      <c r="G4935" s="18">
        <v>0.13</v>
      </c>
      <c r="H4935">
        <f>F4935*VLOOKUP(B4935,產品!$A$2:$H$61,7,FALSE)*(1-銷售總表!G4935)</f>
        <v>109620</v>
      </c>
      <c r="I4935" s="35">
        <f>H4935-F4935*VLOOKUP(銷售總表!B4935,產品!$A$2:$H$61,8,FALSE)</f>
        <v>59220</v>
      </c>
      <c r="J4935" s="20">
        <f t="shared" si="77"/>
        <v>0.54022988505747127</v>
      </c>
    </row>
    <row r="4936" spans="1:10" x14ac:dyDescent="0.3">
      <c r="A4936" s="33">
        <v>4935</v>
      </c>
      <c r="B4936" s="4">
        <v>9</v>
      </c>
      <c r="C4936" s="15">
        <v>257</v>
      </c>
      <c r="D4936" s="16">
        <v>2</v>
      </c>
      <c r="E4936" s="23">
        <v>44770</v>
      </c>
      <c r="F4936">
        <v>100</v>
      </c>
      <c r="G4936" s="20">
        <v>0.19</v>
      </c>
      <c r="H4936">
        <f>F4936*VLOOKUP(B4936,產品!$A$2:$H$61,7,FALSE)*(1-銷售總表!G4936)</f>
        <v>81000</v>
      </c>
      <c r="I4936" s="35">
        <f>H4936-F4936*VLOOKUP(銷售總表!B4936,產品!$A$2:$H$61,8,FALSE)</f>
        <v>41000</v>
      </c>
      <c r="J4936" s="20">
        <f t="shared" si="77"/>
        <v>0.50617283950617287</v>
      </c>
    </row>
    <row r="4937" spans="1:10" x14ac:dyDescent="0.3">
      <c r="A4937" s="33">
        <v>4936</v>
      </c>
      <c r="B4937" s="4">
        <v>3</v>
      </c>
      <c r="C4937" s="15">
        <v>5</v>
      </c>
      <c r="D4937" s="16">
        <v>4</v>
      </c>
      <c r="E4937" s="22">
        <v>44770</v>
      </c>
      <c r="F4937" s="19">
        <v>200</v>
      </c>
      <c r="G4937" s="18">
        <v>0.15</v>
      </c>
      <c r="H4937">
        <f>F4937*VLOOKUP(B4937,產品!$A$2:$H$61,7,FALSE)*(1-銷售總表!G4937)</f>
        <v>170000</v>
      </c>
      <c r="I4937" s="35">
        <f>H4937-F4937*VLOOKUP(銷售總表!B4937,產品!$A$2:$H$61,8,FALSE)</f>
        <v>90000</v>
      </c>
      <c r="J4937" s="20">
        <f t="shared" si="77"/>
        <v>0.52941176470588236</v>
      </c>
    </row>
    <row r="4938" spans="1:10" x14ac:dyDescent="0.3">
      <c r="A4938" s="33">
        <v>4937</v>
      </c>
      <c r="B4938" s="4">
        <v>45</v>
      </c>
      <c r="C4938" s="15">
        <v>4</v>
      </c>
      <c r="D4938" s="16">
        <v>1</v>
      </c>
      <c r="E4938" s="22">
        <v>44771</v>
      </c>
      <c r="F4938" s="19">
        <v>2</v>
      </c>
      <c r="G4938" s="18">
        <v>7.0000000000000007E-2</v>
      </c>
      <c r="H4938">
        <f>F4938*VLOOKUP(B4938,產品!$A$2:$H$61,7,FALSE)*(1-銷售總表!G4938)</f>
        <v>26040</v>
      </c>
      <c r="I4938" s="35">
        <f>H4938-F4938*VLOOKUP(銷售總表!B4938,產品!$A$2:$H$61,8,FALSE)</f>
        <v>7840</v>
      </c>
      <c r="J4938" s="20">
        <f t="shared" si="77"/>
        <v>0.30107526881720431</v>
      </c>
    </row>
    <row r="4939" spans="1:10" x14ac:dyDescent="0.3">
      <c r="A4939" s="33">
        <v>4938</v>
      </c>
      <c r="B4939" s="4">
        <v>46</v>
      </c>
      <c r="C4939" s="15">
        <v>12</v>
      </c>
      <c r="D4939" s="16">
        <v>3</v>
      </c>
      <c r="E4939" s="22">
        <v>44771</v>
      </c>
      <c r="F4939" s="19">
        <v>3</v>
      </c>
      <c r="G4939" s="18">
        <v>0.1</v>
      </c>
      <c r="H4939">
        <f>F4939*VLOOKUP(B4939,產品!$A$2:$H$61,7,FALSE)*(1-銷售總表!G4939)</f>
        <v>45900</v>
      </c>
      <c r="I4939" s="35">
        <f>H4939-F4939*VLOOKUP(銷售總表!B4939,產品!$A$2:$H$61,8,FALSE)</f>
        <v>12750</v>
      </c>
      <c r="J4939" s="20">
        <f t="shared" si="77"/>
        <v>0.27777777777777779</v>
      </c>
    </row>
    <row r="4940" spans="1:10" x14ac:dyDescent="0.3">
      <c r="A4940" s="33">
        <v>4939</v>
      </c>
      <c r="B4940" s="4">
        <v>25</v>
      </c>
      <c r="C4940" s="15">
        <v>115</v>
      </c>
      <c r="D4940" s="16">
        <v>9</v>
      </c>
      <c r="E4940" s="22">
        <v>44771</v>
      </c>
      <c r="F4940" s="19">
        <v>7</v>
      </c>
      <c r="G4940" s="18">
        <v>0.17</v>
      </c>
      <c r="H4940">
        <f>F4940*VLOOKUP(B4940,產品!$A$2:$H$61,7,FALSE)*(1-銷售總表!G4940)</f>
        <v>34860</v>
      </c>
      <c r="I4940" s="35">
        <f>H4940-F4940*VLOOKUP(銷售總表!B4940,產品!$A$2:$H$61,8,FALSE)</f>
        <v>9660</v>
      </c>
      <c r="J4940" s="20">
        <f t="shared" si="77"/>
        <v>0.27710843373493976</v>
      </c>
    </row>
    <row r="4941" spans="1:10" x14ac:dyDescent="0.3">
      <c r="A4941" s="33">
        <v>4940</v>
      </c>
      <c r="B4941" s="4">
        <v>54</v>
      </c>
      <c r="C4941" s="15">
        <v>285</v>
      </c>
      <c r="D4941" s="16">
        <v>3</v>
      </c>
      <c r="E4941" s="22">
        <v>44771</v>
      </c>
      <c r="F4941" s="19">
        <v>13</v>
      </c>
      <c r="G4941" s="18">
        <v>0.14000000000000001</v>
      </c>
      <c r="H4941">
        <f>F4941*VLOOKUP(B4941,產品!$A$2:$H$61,7,FALSE)*(1-銷售總表!G4941)</f>
        <v>201240</v>
      </c>
      <c r="I4941" s="35">
        <f>H4941-F4941*VLOOKUP(銷售總表!B4941,產品!$A$2:$H$61,8,FALSE)</f>
        <v>37440</v>
      </c>
      <c r="J4941" s="20">
        <f t="shared" si="77"/>
        <v>0.18604651162790697</v>
      </c>
    </row>
    <row r="4942" spans="1:10" x14ac:dyDescent="0.3">
      <c r="A4942" s="33">
        <v>4941</v>
      </c>
      <c r="B4942" s="4">
        <v>12</v>
      </c>
      <c r="C4942" s="15">
        <v>118</v>
      </c>
      <c r="D4942" s="16">
        <v>4</v>
      </c>
      <c r="E4942" s="22">
        <v>44771</v>
      </c>
      <c r="F4942" s="19">
        <v>60</v>
      </c>
      <c r="G4942" s="18">
        <v>0.09</v>
      </c>
      <c r="H4942">
        <f>F4942*VLOOKUP(B4942,產品!$A$2:$H$61,7,FALSE)*(1-銷售總表!G4942)</f>
        <v>54600</v>
      </c>
      <c r="I4942" s="35">
        <f>H4942-F4942*VLOOKUP(銷售總表!B4942,產品!$A$2:$H$61,8,FALSE)</f>
        <v>30600</v>
      </c>
      <c r="J4942" s="20">
        <f t="shared" si="77"/>
        <v>0.56043956043956045</v>
      </c>
    </row>
    <row r="4943" spans="1:10" x14ac:dyDescent="0.3">
      <c r="A4943" s="33">
        <v>4942</v>
      </c>
      <c r="B4943" s="4">
        <v>2</v>
      </c>
      <c r="C4943" s="15">
        <v>136</v>
      </c>
      <c r="D4943" s="16">
        <v>7</v>
      </c>
      <c r="E4943" s="23">
        <v>44771</v>
      </c>
      <c r="F4943">
        <v>90</v>
      </c>
      <c r="G4943" s="20">
        <v>0.15</v>
      </c>
      <c r="H4943">
        <f>F4943*VLOOKUP(B4943,產品!$A$2:$H$61,7,FALSE)*(1-銷售總表!G4943)</f>
        <v>76500</v>
      </c>
      <c r="I4943" s="35">
        <f>H4943-F4943*VLOOKUP(銷售總表!B4943,產品!$A$2:$H$61,8,FALSE)</f>
        <v>40500</v>
      </c>
      <c r="J4943" s="20">
        <f t="shared" si="77"/>
        <v>0.52941176470588236</v>
      </c>
    </row>
    <row r="4944" spans="1:10" x14ac:dyDescent="0.3">
      <c r="A4944" s="33">
        <v>4943</v>
      </c>
      <c r="B4944" s="4">
        <v>58</v>
      </c>
      <c r="C4944" s="15">
        <v>286</v>
      </c>
      <c r="D4944" s="16">
        <v>1</v>
      </c>
      <c r="E4944" s="22">
        <v>44772</v>
      </c>
      <c r="F4944" s="19">
        <v>3</v>
      </c>
      <c r="G4944" s="18">
        <v>7.0000000000000007E-2</v>
      </c>
      <c r="H4944">
        <f>F4944*VLOOKUP(B4944,產品!$A$2:$H$61,7,FALSE)*(1-銷售總表!G4944)</f>
        <v>58589.999999999993</v>
      </c>
      <c r="I4944" s="35">
        <f>H4944-F4944*VLOOKUP(銷售總表!B4944,產品!$A$2:$H$61,8,FALSE)</f>
        <v>14490</v>
      </c>
      <c r="J4944" s="20">
        <f t="shared" si="77"/>
        <v>0.24731182795698928</v>
      </c>
    </row>
    <row r="4945" spans="1:10" x14ac:dyDescent="0.3">
      <c r="A4945" s="33">
        <v>4944</v>
      </c>
      <c r="B4945" s="4">
        <v>59</v>
      </c>
      <c r="C4945" s="15">
        <v>126</v>
      </c>
      <c r="D4945" s="16">
        <v>2</v>
      </c>
      <c r="E4945" s="22">
        <v>44772</v>
      </c>
      <c r="F4945" s="19">
        <v>4</v>
      </c>
      <c r="G4945" s="18">
        <v>0.15</v>
      </c>
      <c r="H4945">
        <f>F4945*VLOOKUP(B4945,產品!$A$2:$H$61,7,FALSE)*(1-銷售總表!G4945)</f>
        <v>81600</v>
      </c>
      <c r="I4945" s="35">
        <f>H4945-F4945*VLOOKUP(銷售總表!B4945,產品!$A$2:$H$61,8,FALSE)</f>
        <v>14400</v>
      </c>
      <c r="J4945" s="20">
        <f t="shared" si="77"/>
        <v>0.17647058823529413</v>
      </c>
    </row>
    <row r="4946" spans="1:10" x14ac:dyDescent="0.3">
      <c r="A4946" s="33">
        <v>4945</v>
      </c>
      <c r="B4946" s="4">
        <v>31</v>
      </c>
      <c r="C4946" s="15">
        <v>268</v>
      </c>
      <c r="D4946" s="16">
        <v>6</v>
      </c>
      <c r="E4946" s="22">
        <v>44772</v>
      </c>
      <c r="F4946" s="19">
        <v>6</v>
      </c>
      <c r="G4946" s="18">
        <v>7.0000000000000007E-2</v>
      </c>
      <c r="H4946">
        <f>F4946*VLOOKUP(B4946,產品!$A$2:$H$61,7,FALSE)*(1-銷售總表!G4946)</f>
        <v>39060</v>
      </c>
      <c r="I4946" s="35">
        <f>H4946-F4946*VLOOKUP(銷售總表!B4946,產品!$A$2:$H$61,8,FALSE)</f>
        <v>13860</v>
      </c>
      <c r="J4946" s="20">
        <f t="shared" si="77"/>
        <v>0.35483870967741937</v>
      </c>
    </row>
    <row r="4947" spans="1:10" x14ac:dyDescent="0.3">
      <c r="A4947" s="33">
        <v>4946</v>
      </c>
      <c r="B4947" s="4">
        <v>25</v>
      </c>
      <c r="C4947" s="15">
        <v>274</v>
      </c>
      <c r="D4947" s="16">
        <v>9</v>
      </c>
      <c r="E4947" s="22">
        <v>44772</v>
      </c>
      <c r="F4947" s="19">
        <v>7</v>
      </c>
      <c r="G4947" s="18">
        <v>0.09</v>
      </c>
      <c r="H4947">
        <f>F4947*VLOOKUP(B4947,產品!$A$2:$H$61,7,FALSE)*(1-銷售總表!G4947)</f>
        <v>38220</v>
      </c>
      <c r="I4947" s="35">
        <f>H4947-F4947*VLOOKUP(銷售總表!B4947,產品!$A$2:$H$61,8,FALSE)</f>
        <v>13020</v>
      </c>
      <c r="J4947" s="20">
        <f t="shared" si="77"/>
        <v>0.34065934065934067</v>
      </c>
    </row>
    <row r="4948" spans="1:10" x14ac:dyDescent="0.3">
      <c r="A4948" s="33">
        <v>4947</v>
      </c>
      <c r="B4948" s="4">
        <v>46</v>
      </c>
      <c r="C4948" s="15">
        <v>9</v>
      </c>
      <c r="D4948" s="16">
        <v>1</v>
      </c>
      <c r="E4948" s="22">
        <v>44772</v>
      </c>
      <c r="F4948" s="19">
        <v>10</v>
      </c>
      <c r="G4948" s="18">
        <v>0.1</v>
      </c>
      <c r="H4948">
        <f>F4948*VLOOKUP(B4948,產品!$A$2:$H$61,7,FALSE)*(1-銷售總表!G4948)</f>
        <v>153000</v>
      </c>
      <c r="I4948" s="35">
        <f>H4948-F4948*VLOOKUP(銷售總表!B4948,產品!$A$2:$H$61,8,FALSE)</f>
        <v>42500</v>
      </c>
      <c r="J4948" s="20">
        <f t="shared" si="77"/>
        <v>0.27777777777777779</v>
      </c>
    </row>
    <row r="4949" spans="1:10" x14ac:dyDescent="0.3">
      <c r="A4949" s="33">
        <v>4948</v>
      </c>
      <c r="B4949" s="4">
        <v>49</v>
      </c>
      <c r="C4949" s="15">
        <v>115</v>
      </c>
      <c r="D4949" s="16">
        <v>1</v>
      </c>
      <c r="E4949" s="22">
        <v>44772</v>
      </c>
      <c r="F4949" s="19">
        <v>13</v>
      </c>
      <c r="G4949" s="18">
        <v>0.06</v>
      </c>
      <c r="H4949">
        <f>F4949*VLOOKUP(B4949,產品!$A$2:$H$61,7,FALSE)*(1-銷售總表!G4949)</f>
        <v>183300</v>
      </c>
      <c r="I4949" s="35">
        <f>H4949-F4949*VLOOKUP(銷售總表!B4949,產品!$A$2:$H$61,8,FALSE)</f>
        <v>46800</v>
      </c>
      <c r="J4949" s="20">
        <f t="shared" si="77"/>
        <v>0.25531914893617019</v>
      </c>
    </row>
    <row r="4950" spans="1:10" x14ac:dyDescent="0.3">
      <c r="A4950" s="33">
        <v>4949</v>
      </c>
      <c r="B4950" s="4">
        <v>11</v>
      </c>
      <c r="C4950" s="15">
        <v>8</v>
      </c>
      <c r="D4950" s="16">
        <v>10</v>
      </c>
      <c r="E4950" s="22">
        <v>44772</v>
      </c>
      <c r="F4950" s="19">
        <v>19</v>
      </c>
      <c r="G4950" s="18">
        <v>0.15</v>
      </c>
      <c r="H4950">
        <f>F4950*VLOOKUP(B4950,產品!$A$2:$H$61,7,FALSE)*(1-銷售總表!G4950)</f>
        <v>16150</v>
      </c>
      <c r="I4950" s="35">
        <f>H4950-F4950*VLOOKUP(銷售總表!B4950,產品!$A$2:$H$61,8,FALSE)</f>
        <v>8550</v>
      </c>
      <c r="J4950" s="20">
        <f t="shared" si="77"/>
        <v>0.52941176470588236</v>
      </c>
    </row>
    <row r="4951" spans="1:10" x14ac:dyDescent="0.3">
      <c r="A4951" s="33">
        <v>4950</v>
      </c>
      <c r="B4951" s="4">
        <v>22</v>
      </c>
      <c r="C4951" s="15">
        <v>139</v>
      </c>
      <c r="D4951" s="16">
        <v>1</v>
      </c>
      <c r="E4951" s="22">
        <v>44772</v>
      </c>
      <c r="F4951" s="19">
        <v>60</v>
      </c>
      <c r="G4951" s="18">
        <v>0.17</v>
      </c>
      <c r="H4951">
        <f>F4951*VLOOKUP(B4951,產品!$A$2:$H$61,7,FALSE)*(1-銷售總表!G4951)</f>
        <v>89640</v>
      </c>
      <c r="I4951" s="35">
        <f>H4951-F4951*VLOOKUP(銷售總表!B4951,產品!$A$2:$H$61,8,FALSE)</f>
        <v>46440</v>
      </c>
      <c r="J4951" s="20">
        <f t="shared" si="77"/>
        <v>0.51807228915662651</v>
      </c>
    </row>
    <row r="4952" spans="1:10" x14ac:dyDescent="0.3">
      <c r="A4952" s="33">
        <v>4951</v>
      </c>
      <c r="B4952" s="4">
        <v>23</v>
      </c>
      <c r="C4952" s="15">
        <v>285</v>
      </c>
      <c r="D4952" s="16">
        <v>8</v>
      </c>
      <c r="E4952" s="23">
        <v>44772</v>
      </c>
      <c r="F4952">
        <v>70</v>
      </c>
      <c r="G4952" s="20">
        <v>0.12</v>
      </c>
      <c r="H4952">
        <f>F4952*VLOOKUP(B4952,產品!$A$2:$H$61,7,FALSE)*(1-銷售總表!G4952)</f>
        <v>110880</v>
      </c>
      <c r="I4952" s="35">
        <f>H4952-F4952*VLOOKUP(銷售總表!B4952,產品!$A$2:$H$61,8,FALSE)</f>
        <v>60480</v>
      </c>
      <c r="J4952" s="20">
        <f t="shared" si="77"/>
        <v>0.54545454545454541</v>
      </c>
    </row>
    <row r="4953" spans="1:10" x14ac:dyDescent="0.3">
      <c r="A4953" s="33">
        <v>4952</v>
      </c>
      <c r="B4953" s="4">
        <v>13</v>
      </c>
      <c r="C4953" s="15">
        <v>274</v>
      </c>
      <c r="D4953" s="16">
        <v>1</v>
      </c>
      <c r="E4953" s="22">
        <v>44772</v>
      </c>
      <c r="F4953" s="19">
        <v>75</v>
      </c>
      <c r="G4953" s="18">
        <v>0.19</v>
      </c>
      <c r="H4953">
        <f>F4953*VLOOKUP(B4953,產品!$A$2:$H$61,7,FALSE)*(1-銷售總表!G4953)</f>
        <v>109350</v>
      </c>
      <c r="I4953" s="35">
        <f>H4953-F4953*VLOOKUP(銷售總表!B4953,產品!$A$2:$H$61,8,FALSE)</f>
        <v>55350</v>
      </c>
      <c r="J4953" s="20">
        <f t="shared" si="77"/>
        <v>0.50617283950617287</v>
      </c>
    </row>
    <row r="4954" spans="1:10" x14ac:dyDescent="0.3">
      <c r="A4954" s="33">
        <v>4953</v>
      </c>
      <c r="B4954" s="4">
        <v>41</v>
      </c>
      <c r="C4954" s="15">
        <v>114</v>
      </c>
      <c r="D4954" s="16">
        <v>7</v>
      </c>
      <c r="E4954" s="22">
        <v>44773</v>
      </c>
      <c r="F4954" s="19">
        <v>6</v>
      </c>
      <c r="G4954" s="18">
        <v>0.12</v>
      </c>
      <c r="H4954">
        <f>F4954*VLOOKUP(B4954,產品!$A$2:$H$61,7,FALSE)*(1-銷售總表!G4954)</f>
        <v>63360</v>
      </c>
      <c r="I4954" s="35">
        <f>H4954-F4954*VLOOKUP(銷售總表!B4954,產品!$A$2:$H$61,8,FALSE)</f>
        <v>16560</v>
      </c>
      <c r="J4954" s="20">
        <f t="shared" si="77"/>
        <v>0.26136363636363635</v>
      </c>
    </row>
    <row r="4955" spans="1:10" x14ac:dyDescent="0.3">
      <c r="A4955" s="33">
        <v>4954</v>
      </c>
      <c r="B4955" s="4">
        <v>40</v>
      </c>
      <c r="C4955" s="15">
        <v>275</v>
      </c>
      <c r="D4955" s="16">
        <v>4</v>
      </c>
      <c r="E4955" s="23">
        <v>44773</v>
      </c>
      <c r="F4955">
        <v>9</v>
      </c>
      <c r="G4955" s="20">
        <v>0.18</v>
      </c>
      <c r="H4955">
        <f>F4955*VLOOKUP(B4955,產品!$A$2:$H$61,7,FALSE)*(1-銷售總表!G4955)</f>
        <v>147600</v>
      </c>
      <c r="I4955" s="35">
        <f>H4955-F4955*VLOOKUP(銷售總表!B4955,產品!$A$2:$H$61,8,FALSE)</f>
        <v>30600</v>
      </c>
      <c r="J4955" s="20">
        <f t="shared" si="77"/>
        <v>0.2073170731707317</v>
      </c>
    </row>
    <row r="4956" spans="1:10" x14ac:dyDescent="0.3">
      <c r="A4956" s="33">
        <v>4955</v>
      </c>
      <c r="B4956" s="4">
        <v>26</v>
      </c>
      <c r="C4956" s="15">
        <v>5</v>
      </c>
      <c r="D4956" s="16">
        <v>4</v>
      </c>
      <c r="E4956" s="22">
        <v>44773</v>
      </c>
      <c r="F4956" s="19">
        <v>9</v>
      </c>
      <c r="G4956" s="18">
        <v>0.08</v>
      </c>
      <c r="H4956">
        <f>F4956*VLOOKUP(B4956,產品!$A$2:$H$61,7,FALSE)*(1-銷售總表!G4956)</f>
        <v>53820</v>
      </c>
      <c r="I4956" s="35">
        <f>H4956-F4956*VLOOKUP(銷售總表!B4956,產品!$A$2:$H$61,8,FALSE)</f>
        <v>18720</v>
      </c>
      <c r="J4956" s="20">
        <f t="shared" si="77"/>
        <v>0.34782608695652173</v>
      </c>
    </row>
    <row r="4957" spans="1:10" x14ac:dyDescent="0.3">
      <c r="A4957" s="33">
        <v>4956</v>
      </c>
      <c r="B4957" s="4">
        <v>15</v>
      </c>
      <c r="C4957" s="15">
        <v>258</v>
      </c>
      <c r="D4957" s="16">
        <v>2</v>
      </c>
      <c r="E4957" s="23">
        <v>44773</v>
      </c>
      <c r="F4957">
        <v>10</v>
      </c>
      <c r="G4957" s="20">
        <v>0.2</v>
      </c>
      <c r="H4957">
        <f>F4957*VLOOKUP(B4957,產品!$A$2:$H$61,7,FALSE)*(1-銷售總表!G4957)</f>
        <v>14400</v>
      </c>
      <c r="I4957" s="35">
        <f>H4957-F4957*VLOOKUP(銷售總表!B4957,產品!$A$2:$H$61,8,FALSE)</f>
        <v>7200</v>
      </c>
      <c r="J4957" s="20">
        <f t="shared" si="77"/>
        <v>0.5</v>
      </c>
    </row>
    <row r="4958" spans="1:10" x14ac:dyDescent="0.3">
      <c r="A4958" s="33">
        <v>4957</v>
      </c>
      <c r="B4958" s="4">
        <v>7</v>
      </c>
      <c r="C4958" s="15">
        <v>285</v>
      </c>
      <c r="D4958" s="16">
        <v>3</v>
      </c>
      <c r="E4958" s="23">
        <v>44773</v>
      </c>
      <c r="F4958">
        <v>15</v>
      </c>
      <c r="G4958" s="20">
        <v>7.0000000000000007E-2</v>
      </c>
      <c r="H4958">
        <f>F4958*VLOOKUP(B4958,產品!$A$2:$H$61,7,FALSE)*(1-銷售總表!G4958)</f>
        <v>13949.999999999998</v>
      </c>
      <c r="I4958" s="35">
        <f>H4958-F4958*VLOOKUP(銷售總表!B4958,產品!$A$2:$H$61,8,FALSE)</f>
        <v>7949.9999999999982</v>
      </c>
      <c r="J4958" s="20">
        <f t="shared" si="77"/>
        <v>0.56989247311827951</v>
      </c>
    </row>
    <row r="4959" spans="1:10" x14ac:dyDescent="0.3">
      <c r="A4959" s="33">
        <v>4958</v>
      </c>
      <c r="B4959" s="4">
        <v>21</v>
      </c>
      <c r="C4959" s="15">
        <v>11</v>
      </c>
      <c r="D4959" s="16">
        <v>9</v>
      </c>
      <c r="E4959" s="22">
        <v>44773</v>
      </c>
      <c r="F4959" s="19">
        <v>20</v>
      </c>
      <c r="G4959" s="18">
        <v>0.1</v>
      </c>
      <c r="H4959">
        <f>F4959*VLOOKUP(B4959,產品!$A$2:$H$61,7,FALSE)*(1-銷售總表!G4959)</f>
        <v>32400</v>
      </c>
      <c r="I4959" s="35">
        <f>H4959-F4959*VLOOKUP(銷售總表!B4959,產品!$A$2:$H$61,8,FALSE)</f>
        <v>18000</v>
      </c>
      <c r="J4959" s="20">
        <f t="shared" si="77"/>
        <v>0.55555555555555558</v>
      </c>
    </row>
    <row r="4960" spans="1:10" x14ac:dyDescent="0.3">
      <c r="A4960" s="33">
        <v>4959</v>
      </c>
      <c r="B4960" s="4">
        <v>19</v>
      </c>
      <c r="C4960" s="15">
        <v>275</v>
      </c>
      <c r="D4960" s="16">
        <v>4</v>
      </c>
      <c r="E4960" s="22">
        <v>44773</v>
      </c>
      <c r="F4960" s="19">
        <v>60</v>
      </c>
      <c r="G4960" s="18">
        <v>7.0000000000000007E-2</v>
      </c>
      <c r="H4960">
        <f>F4960*VLOOKUP(B4960,產品!$A$2:$H$61,7,FALSE)*(1-銷售總表!G4960)</f>
        <v>100440</v>
      </c>
      <c r="I4960" s="35">
        <f>H4960-F4960*VLOOKUP(銷售總表!B4960,產品!$A$2:$H$61,8,FALSE)</f>
        <v>57240</v>
      </c>
      <c r="J4960" s="20">
        <f t="shared" si="77"/>
        <v>0.56989247311827962</v>
      </c>
    </row>
    <row r="4961" spans="1:10" x14ac:dyDescent="0.3">
      <c r="A4961" s="33">
        <v>4960</v>
      </c>
      <c r="B4961" s="4">
        <v>7</v>
      </c>
      <c r="C4961" s="15">
        <v>264</v>
      </c>
      <c r="D4961" s="16">
        <v>2</v>
      </c>
      <c r="E4961" s="22">
        <v>44773</v>
      </c>
      <c r="F4961" s="19">
        <v>60</v>
      </c>
      <c r="G4961" s="18">
        <v>0.08</v>
      </c>
      <c r="H4961">
        <f>F4961*VLOOKUP(B4961,產品!$A$2:$H$61,7,FALSE)*(1-銷售總表!G4961)</f>
        <v>55200</v>
      </c>
      <c r="I4961" s="35">
        <f>H4961-F4961*VLOOKUP(銷售總表!B4961,產品!$A$2:$H$61,8,FALSE)</f>
        <v>31200</v>
      </c>
      <c r="J4961" s="20">
        <f t="shared" si="77"/>
        <v>0.56521739130434778</v>
      </c>
    </row>
    <row r="4962" spans="1:10" x14ac:dyDescent="0.3">
      <c r="A4962" s="33">
        <v>4961</v>
      </c>
      <c r="B4962" s="4">
        <v>14</v>
      </c>
      <c r="C4962" s="15">
        <v>7</v>
      </c>
      <c r="D4962" s="16">
        <v>6</v>
      </c>
      <c r="E4962" s="22">
        <v>44773</v>
      </c>
      <c r="F4962" s="19">
        <v>80</v>
      </c>
      <c r="G4962" s="18">
        <v>0.15</v>
      </c>
      <c r="H4962">
        <f>F4962*VLOOKUP(B4962,產品!$A$2:$H$61,7,FALSE)*(1-銷售總表!G4962)</f>
        <v>122400</v>
      </c>
      <c r="I4962" s="35">
        <f>H4962-F4962*VLOOKUP(銷售總表!B4962,產品!$A$2:$H$61,8,FALSE)</f>
        <v>64800</v>
      </c>
      <c r="J4962" s="20">
        <f t="shared" si="77"/>
        <v>0.52941176470588236</v>
      </c>
    </row>
    <row r="4963" spans="1:10" x14ac:dyDescent="0.3">
      <c r="A4963" s="33">
        <v>4962</v>
      </c>
      <c r="B4963" s="4">
        <v>7</v>
      </c>
      <c r="C4963" s="15">
        <v>293</v>
      </c>
      <c r="D4963" s="16">
        <v>4</v>
      </c>
      <c r="E4963" s="22">
        <v>44773</v>
      </c>
      <c r="F4963" s="19">
        <v>80</v>
      </c>
      <c r="G4963" s="18">
        <v>0.14000000000000001</v>
      </c>
      <c r="H4963">
        <f>F4963*VLOOKUP(B4963,產品!$A$2:$H$61,7,FALSE)*(1-銷售總表!G4963)</f>
        <v>68800</v>
      </c>
      <c r="I4963" s="35">
        <f>H4963-F4963*VLOOKUP(銷售總表!B4963,產品!$A$2:$H$61,8,FALSE)</f>
        <v>36800</v>
      </c>
      <c r="J4963" s="20">
        <f t="shared" si="77"/>
        <v>0.53488372093023251</v>
      </c>
    </row>
    <row r="4964" spans="1:10" x14ac:dyDescent="0.3">
      <c r="A4964" s="33">
        <v>4963</v>
      </c>
      <c r="B4964" s="4">
        <v>41</v>
      </c>
      <c r="C4964" s="15">
        <v>291</v>
      </c>
      <c r="D4964" s="16">
        <v>4</v>
      </c>
      <c r="E4964" s="23">
        <v>44774</v>
      </c>
      <c r="F4964">
        <v>4</v>
      </c>
      <c r="G4964" s="20">
        <v>0.14000000000000001</v>
      </c>
      <c r="H4964">
        <f>F4964*VLOOKUP(B4964,產品!$A$2:$H$61,7,FALSE)*(1-銷售總表!G4964)</f>
        <v>41280</v>
      </c>
      <c r="I4964" s="35">
        <f>H4964-F4964*VLOOKUP(銷售總表!B4964,產品!$A$2:$H$61,8,FALSE)</f>
        <v>10080</v>
      </c>
      <c r="J4964" s="20">
        <f t="shared" si="77"/>
        <v>0.2441860465116279</v>
      </c>
    </row>
    <row r="4965" spans="1:10" x14ac:dyDescent="0.3">
      <c r="A4965" s="33">
        <v>4964</v>
      </c>
      <c r="B4965" s="4">
        <v>32</v>
      </c>
      <c r="C4965" s="15">
        <v>121</v>
      </c>
      <c r="D4965" s="16">
        <v>4</v>
      </c>
      <c r="E4965" s="22">
        <v>44774</v>
      </c>
      <c r="F4965" s="19">
        <v>12</v>
      </c>
      <c r="G4965" s="18">
        <v>0.13</v>
      </c>
      <c r="H4965">
        <f>F4965*VLOOKUP(B4965,產品!$A$2:$H$61,7,FALSE)*(1-銷售總表!G4965)</f>
        <v>78300</v>
      </c>
      <c r="I4965" s="35">
        <f>H4965-F4965*VLOOKUP(銷售總表!B4965,產品!$A$2:$H$61,8,FALSE)</f>
        <v>24300</v>
      </c>
      <c r="J4965" s="20">
        <f t="shared" si="77"/>
        <v>0.31034482758620691</v>
      </c>
    </row>
    <row r="4966" spans="1:10" x14ac:dyDescent="0.3">
      <c r="A4966" s="33">
        <v>4965</v>
      </c>
      <c r="B4966" s="4">
        <v>23</v>
      </c>
      <c r="C4966" s="15">
        <v>118</v>
      </c>
      <c r="D4966" s="16">
        <v>4</v>
      </c>
      <c r="E4966" s="22">
        <v>44774</v>
      </c>
      <c r="F4966" s="19">
        <v>20</v>
      </c>
      <c r="G4966" s="18">
        <v>0.18</v>
      </c>
      <c r="H4966">
        <f>F4966*VLOOKUP(B4966,產品!$A$2:$H$61,7,FALSE)*(1-銷售總表!G4966)</f>
        <v>29520.000000000004</v>
      </c>
      <c r="I4966" s="35">
        <f>H4966-F4966*VLOOKUP(銷售總表!B4966,產品!$A$2:$H$61,8,FALSE)</f>
        <v>15120.000000000004</v>
      </c>
      <c r="J4966" s="20">
        <f t="shared" si="77"/>
        <v>0.51219512195121952</v>
      </c>
    </row>
    <row r="4967" spans="1:10" x14ac:dyDescent="0.3">
      <c r="A4967" s="33">
        <v>4966</v>
      </c>
      <c r="B4967" s="4">
        <v>10</v>
      </c>
      <c r="C4967" s="15">
        <v>1</v>
      </c>
      <c r="D4967" s="16">
        <v>1</v>
      </c>
      <c r="E4967" s="22">
        <v>44774</v>
      </c>
      <c r="F4967" s="19">
        <v>40</v>
      </c>
      <c r="G4967" s="18">
        <v>0.11</v>
      </c>
      <c r="H4967">
        <f>F4967*VLOOKUP(B4967,產品!$A$2:$H$61,7,FALSE)*(1-銷售總表!G4967)</f>
        <v>35600</v>
      </c>
      <c r="I4967" s="35">
        <f>H4967-F4967*VLOOKUP(銷售總表!B4967,產品!$A$2:$H$61,8,FALSE)</f>
        <v>19600</v>
      </c>
      <c r="J4967" s="20">
        <f t="shared" si="77"/>
        <v>0.550561797752809</v>
      </c>
    </row>
    <row r="4968" spans="1:10" x14ac:dyDescent="0.3">
      <c r="A4968" s="33">
        <v>4967</v>
      </c>
      <c r="B4968" s="4">
        <v>24</v>
      </c>
      <c r="C4968" s="15">
        <v>290</v>
      </c>
      <c r="D4968" s="16">
        <v>2</v>
      </c>
      <c r="E4968" s="22">
        <v>44774</v>
      </c>
      <c r="F4968" s="19">
        <v>60</v>
      </c>
      <c r="G4968" s="18">
        <v>0.09</v>
      </c>
      <c r="H4968">
        <f>F4968*VLOOKUP(B4968,產品!$A$2:$H$61,7,FALSE)*(1-銷售總表!G4968)</f>
        <v>98280</v>
      </c>
      <c r="I4968" s="35">
        <f>H4968-F4968*VLOOKUP(銷售總表!B4968,產品!$A$2:$H$61,8,FALSE)</f>
        <v>55080</v>
      </c>
      <c r="J4968" s="20">
        <f t="shared" si="77"/>
        <v>0.56043956043956045</v>
      </c>
    </row>
    <row r="4969" spans="1:10" x14ac:dyDescent="0.3">
      <c r="A4969" s="33">
        <v>4968</v>
      </c>
      <c r="B4969" s="4">
        <v>11</v>
      </c>
      <c r="C4969" s="15">
        <v>267</v>
      </c>
      <c r="D4969" s="16">
        <v>3</v>
      </c>
      <c r="E4969" s="22">
        <v>44774</v>
      </c>
      <c r="F4969" s="19">
        <v>70</v>
      </c>
      <c r="G4969" s="18">
        <v>0.15</v>
      </c>
      <c r="H4969">
        <f>F4969*VLOOKUP(B4969,產品!$A$2:$H$61,7,FALSE)*(1-銷售總表!G4969)</f>
        <v>59500</v>
      </c>
      <c r="I4969" s="35">
        <f>H4969-F4969*VLOOKUP(銷售總表!B4969,產品!$A$2:$H$61,8,FALSE)</f>
        <v>31500</v>
      </c>
      <c r="J4969" s="20">
        <f t="shared" si="77"/>
        <v>0.52941176470588236</v>
      </c>
    </row>
    <row r="4970" spans="1:10" x14ac:dyDescent="0.3">
      <c r="A4970" s="33">
        <v>4969</v>
      </c>
      <c r="B4970" s="4">
        <v>50</v>
      </c>
      <c r="C4970" s="15">
        <v>5</v>
      </c>
      <c r="D4970" s="16">
        <v>4</v>
      </c>
      <c r="E4970" s="22">
        <v>44775</v>
      </c>
      <c r="F4970" s="19">
        <v>8</v>
      </c>
      <c r="G4970" s="18">
        <v>0.14000000000000001</v>
      </c>
      <c r="H4970">
        <f>F4970*VLOOKUP(B4970,產品!$A$2:$H$61,7,FALSE)*(1-銷售總表!G4970)</f>
        <v>123840</v>
      </c>
      <c r="I4970" s="35">
        <f>H4970-F4970*VLOOKUP(銷售總表!B4970,產品!$A$2:$H$61,8,FALSE)</f>
        <v>23040</v>
      </c>
      <c r="J4970" s="20">
        <f t="shared" si="77"/>
        <v>0.18604651162790697</v>
      </c>
    </row>
    <row r="4971" spans="1:10" x14ac:dyDescent="0.3">
      <c r="A4971" s="33">
        <v>4970</v>
      </c>
      <c r="B4971" s="4">
        <v>60</v>
      </c>
      <c r="C4971" s="15">
        <v>119</v>
      </c>
      <c r="D4971" s="16">
        <v>9</v>
      </c>
      <c r="E4971" s="22">
        <v>44776</v>
      </c>
      <c r="F4971" s="19">
        <v>4</v>
      </c>
      <c r="G4971" s="18">
        <v>0.08</v>
      </c>
      <c r="H4971">
        <f>F4971*VLOOKUP(B4971,產品!$A$2:$H$61,7,FALSE)*(1-銷售總表!G4971)</f>
        <v>92000</v>
      </c>
      <c r="I4971" s="35">
        <f>H4971-F4971*VLOOKUP(銷售總表!B4971,產品!$A$2:$H$61,8,FALSE)</f>
        <v>22000</v>
      </c>
      <c r="J4971" s="20">
        <f t="shared" si="77"/>
        <v>0.2391304347826087</v>
      </c>
    </row>
    <row r="4972" spans="1:10" x14ac:dyDescent="0.3">
      <c r="A4972" s="33">
        <v>4971</v>
      </c>
      <c r="B4972" s="4">
        <v>25</v>
      </c>
      <c r="C4972" s="15">
        <v>9</v>
      </c>
      <c r="D4972" s="16">
        <v>2</v>
      </c>
      <c r="E4972" s="22">
        <v>44776</v>
      </c>
      <c r="F4972" s="19">
        <v>6</v>
      </c>
      <c r="G4972" s="18">
        <v>0.17</v>
      </c>
      <c r="H4972">
        <f>F4972*VLOOKUP(B4972,產品!$A$2:$H$61,7,FALSE)*(1-銷售總表!G4972)</f>
        <v>29880</v>
      </c>
      <c r="I4972" s="35">
        <f>H4972-F4972*VLOOKUP(銷售總表!B4972,產品!$A$2:$H$61,8,FALSE)</f>
        <v>8280</v>
      </c>
      <c r="J4972" s="20">
        <f t="shared" si="77"/>
        <v>0.27710843373493976</v>
      </c>
    </row>
    <row r="4973" spans="1:10" x14ac:dyDescent="0.3">
      <c r="A4973" s="33">
        <v>4972</v>
      </c>
      <c r="B4973" s="4">
        <v>57</v>
      </c>
      <c r="C4973" s="15">
        <v>272</v>
      </c>
      <c r="D4973" s="16">
        <v>6</v>
      </c>
      <c r="E4973" s="22">
        <v>44776</v>
      </c>
      <c r="F4973" s="19">
        <v>9</v>
      </c>
      <c r="G4973" s="18">
        <v>7.0000000000000007E-2</v>
      </c>
      <c r="H4973">
        <f>F4973*VLOOKUP(B4973,產品!$A$2:$H$61,7,FALSE)*(1-銷售總表!G4973)</f>
        <v>150660</v>
      </c>
      <c r="I4973" s="35">
        <f>H4973-F4973*VLOOKUP(銷售總表!B4973,產品!$A$2:$H$61,8,FALSE)</f>
        <v>37260</v>
      </c>
      <c r="J4973" s="20">
        <f t="shared" si="77"/>
        <v>0.24731182795698925</v>
      </c>
    </row>
    <row r="4974" spans="1:10" x14ac:dyDescent="0.3">
      <c r="A4974" s="33">
        <v>4973</v>
      </c>
      <c r="B4974" s="4">
        <v>50</v>
      </c>
      <c r="C4974" s="15">
        <v>12</v>
      </c>
      <c r="D4974" s="16">
        <v>5</v>
      </c>
      <c r="E4974" s="22">
        <v>44776</v>
      </c>
      <c r="F4974" s="19">
        <v>15</v>
      </c>
      <c r="G4974" s="18">
        <v>0.11</v>
      </c>
      <c r="H4974">
        <f>F4974*VLOOKUP(B4974,產品!$A$2:$H$61,7,FALSE)*(1-銷售總表!G4974)</f>
        <v>240300</v>
      </c>
      <c r="I4974" s="35">
        <f>H4974-F4974*VLOOKUP(銷售總表!B4974,產品!$A$2:$H$61,8,FALSE)</f>
        <v>51300</v>
      </c>
      <c r="J4974" s="20">
        <f t="shared" si="77"/>
        <v>0.21348314606741572</v>
      </c>
    </row>
    <row r="4975" spans="1:10" x14ac:dyDescent="0.3">
      <c r="A4975" s="33">
        <v>4974</v>
      </c>
      <c r="B4975" s="4">
        <v>22</v>
      </c>
      <c r="C4975" s="15">
        <v>283</v>
      </c>
      <c r="D4975" s="16">
        <v>4</v>
      </c>
      <c r="E4975" s="22">
        <v>44776</v>
      </c>
      <c r="F4975" s="19">
        <v>30</v>
      </c>
      <c r="G4975" s="18">
        <v>0.16</v>
      </c>
      <c r="H4975">
        <f>F4975*VLOOKUP(B4975,產品!$A$2:$H$61,7,FALSE)*(1-銷售總表!G4975)</f>
        <v>45360</v>
      </c>
      <c r="I4975" s="35">
        <f>H4975-F4975*VLOOKUP(銷售總表!B4975,產品!$A$2:$H$61,8,FALSE)</f>
        <v>23760</v>
      </c>
      <c r="J4975" s="20">
        <f t="shared" si="77"/>
        <v>0.52380952380952384</v>
      </c>
    </row>
    <row r="4976" spans="1:10" x14ac:dyDescent="0.3">
      <c r="A4976" s="33">
        <v>4975</v>
      </c>
      <c r="B4976" s="4">
        <v>2</v>
      </c>
      <c r="C4976" s="15">
        <v>125</v>
      </c>
      <c r="D4976" s="16">
        <v>9</v>
      </c>
      <c r="E4976" s="22">
        <v>44776</v>
      </c>
      <c r="F4976" s="19">
        <v>200</v>
      </c>
      <c r="G4976" s="18">
        <v>0.09</v>
      </c>
      <c r="H4976">
        <f>F4976*VLOOKUP(B4976,產品!$A$2:$H$61,7,FALSE)*(1-銷售總表!G4976)</f>
        <v>182000</v>
      </c>
      <c r="I4976" s="35">
        <f>H4976-F4976*VLOOKUP(銷售總表!B4976,產品!$A$2:$H$61,8,FALSE)</f>
        <v>102000</v>
      </c>
      <c r="J4976" s="20">
        <f t="shared" si="77"/>
        <v>0.56043956043956045</v>
      </c>
    </row>
    <row r="4977" spans="1:10" x14ac:dyDescent="0.3">
      <c r="A4977" s="33">
        <v>4976</v>
      </c>
      <c r="B4977" s="4">
        <v>26</v>
      </c>
      <c r="C4977" s="15">
        <v>286</v>
      </c>
      <c r="D4977" s="16">
        <v>8</v>
      </c>
      <c r="E4977" s="22">
        <v>44777</v>
      </c>
      <c r="F4977" s="19">
        <v>14</v>
      </c>
      <c r="G4977" s="18">
        <v>0.05</v>
      </c>
      <c r="H4977">
        <f>F4977*VLOOKUP(B4977,產品!$A$2:$H$61,7,FALSE)*(1-銷售總表!G4977)</f>
        <v>86450</v>
      </c>
      <c r="I4977" s="35">
        <f>H4977-F4977*VLOOKUP(銷售總表!B4977,產品!$A$2:$H$61,8,FALSE)</f>
        <v>31850</v>
      </c>
      <c r="J4977" s="20">
        <f t="shared" si="77"/>
        <v>0.36842105263157893</v>
      </c>
    </row>
    <row r="4978" spans="1:10" x14ac:dyDescent="0.3">
      <c r="A4978" s="33">
        <v>4977</v>
      </c>
      <c r="B4978" s="4">
        <v>54</v>
      </c>
      <c r="C4978" s="15">
        <v>265</v>
      </c>
      <c r="D4978" s="16">
        <v>3</v>
      </c>
      <c r="E4978" s="22">
        <v>44777</v>
      </c>
      <c r="F4978" s="19">
        <v>15</v>
      </c>
      <c r="G4978" s="18">
        <v>0.19</v>
      </c>
      <c r="H4978">
        <f>F4978*VLOOKUP(B4978,產品!$A$2:$H$61,7,FALSE)*(1-銷售總表!G4978)</f>
        <v>218700</v>
      </c>
      <c r="I4978" s="35">
        <f>H4978-F4978*VLOOKUP(銷售總表!B4978,產品!$A$2:$H$61,8,FALSE)</f>
        <v>29700</v>
      </c>
      <c r="J4978" s="20">
        <f t="shared" si="77"/>
        <v>0.13580246913580246</v>
      </c>
    </row>
    <row r="4979" spans="1:10" x14ac:dyDescent="0.3">
      <c r="A4979" s="33">
        <v>4978</v>
      </c>
      <c r="B4979" s="4">
        <v>23</v>
      </c>
      <c r="C4979" s="15">
        <v>8</v>
      </c>
      <c r="D4979" s="16">
        <v>5</v>
      </c>
      <c r="E4979" s="22">
        <v>44777</v>
      </c>
      <c r="F4979" s="19">
        <v>45</v>
      </c>
      <c r="G4979" s="18">
        <v>0.18</v>
      </c>
      <c r="H4979">
        <f>F4979*VLOOKUP(B4979,產品!$A$2:$H$61,7,FALSE)*(1-銷售總表!G4979)</f>
        <v>66420</v>
      </c>
      <c r="I4979" s="35">
        <f>H4979-F4979*VLOOKUP(銷售總表!B4979,產品!$A$2:$H$61,8,FALSE)</f>
        <v>34020</v>
      </c>
      <c r="J4979" s="20">
        <f t="shared" si="77"/>
        <v>0.51219512195121952</v>
      </c>
    </row>
    <row r="4980" spans="1:10" x14ac:dyDescent="0.3">
      <c r="A4980" s="33">
        <v>4979</v>
      </c>
      <c r="B4980" s="4">
        <v>11</v>
      </c>
      <c r="C4980" s="15">
        <v>112</v>
      </c>
      <c r="D4980" s="16">
        <v>5</v>
      </c>
      <c r="E4980" s="22">
        <v>44777</v>
      </c>
      <c r="F4980" s="19">
        <v>45</v>
      </c>
      <c r="G4980" s="18">
        <v>0.1</v>
      </c>
      <c r="H4980">
        <f>F4980*VLOOKUP(B4980,產品!$A$2:$H$61,7,FALSE)*(1-銷售總表!G4980)</f>
        <v>40500</v>
      </c>
      <c r="I4980" s="35">
        <f>H4980-F4980*VLOOKUP(銷售總表!B4980,產品!$A$2:$H$61,8,FALSE)</f>
        <v>22500</v>
      </c>
      <c r="J4980" s="20">
        <f t="shared" si="77"/>
        <v>0.55555555555555558</v>
      </c>
    </row>
    <row r="4981" spans="1:10" x14ac:dyDescent="0.3">
      <c r="A4981" s="33">
        <v>4980</v>
      </c>
      <c r="B4981" s="4">
        <v>4</v>
      </c>
      <c r="C4981" s="15">
        <v>272</v>
      </c>
      <c r="D4981" s="16">
        <v>1</v>
      </c>
      <c r="E4981" s="22">
        <v>44777</v>
      </c>
      <c r="F4981" s="19">
        <v>60</v>
      </c>
      <c r="G4981" s="18">
        <v>0.2</v>
      </c>
      <c r="H4981">
        <f>F4981*VLOOKUP(B4981,產品!$A$2:$H$61,7,FALSE)*(1-銷售總表!G4981)</f>
        <v>48000</v>
      </c>
      <c r="I4981" s="35">
        <f>H4981-F4981*VLOOKUP(銷售總表!B4981,產品!$A$2:$H$61,8,FALSE)</f>
        <v>24000</v>
      </c>
      <c r="J4981" s="20">
        <f t="shared" si="77"/>
        <v>0.5</v>
      </c>
    </row>
    <row r="4982" spans="1:10" x14ac:dyDescent="0.3">
      <c r="A4982" s="33">
        <v>4981</v>
      </c>
      <c r="B4982" s="4">
        <v>21</v>
      </c>
      <c r="C4982" s="15">
        <v>273</v>
      </c>
      <c r="D4982" s="16">
        <v>2</v>
      </c>
      <c r="E4982" s="22">
        <v>44777</v>
      </c>
      <c r="F4982" s="19">
        <v>90</v>
      </c>
      <c r="G4982" s="18">
        <v>0.08</v>
      </c>
      <c r="H4982">
        <f>F4982*VLOOKUP(B4982,產品!$A$2:$H$61,7,FALSE)*(1-銷售總表!G4982)</f>
        <v>149040</v>
      </c>
      <c r="I4982" s="35">
        <f>H4982-F4982*VLOOKUP(銷售總表!B4982,產品!$A$2:$H$61,8,FALSE)</f>
        <v>84240</v>
      </c>
      <c r="J4982" s="20">
        <f t="shared" si="77"/>
        <v>0.56521739130434778</v>
      </c>
    </row>
    <row r="4983" spans="1:10" x14ac:dyDescent="0.3">
      <c r="A4983" s="33">
        <v>4982</v>
      </c>
      <c r="B4983" s="4">
        <v>34</v>
      </c>
      <c r="C4983" s="15">
        <v>265</v>
      </c>
      <c r="D4983" s="16">
        <v>8</v>
      </c>
      <c r="E4983" s="23">
        <v>44778</v>
      </c>
      <c r="F4983">
        <v>6</v>
      </c>
      <c r="G4983" s="20">
        <v>0.09</v>
      </c>
      <c r="H4983">
        <f>F4983*VLOOKUP(B4983,產品!$A$2:$H$61,7,FALSE)*(1-銷售總表!G4983)</f>
        <v>43680</v>
      </c>
      <c r="I4983" s="35">
        <f>H4983-F4983*VLOOKUP(銷售總表!B4983,產品!$A$2:$H$61,8,FALSE)</f>
        <v>14880</v>
      </c>
      <c r="J4983" s="20">
        <f t="shared" si="77"/>
        <v>0.34065934065934067</v>
      </c>
    </row>
    <row r="4984" spans="1:10" x14ac:dyDescent="0.3">
      <c r="A4984" s="33">
        <v>4983</v>
      </c>
      <c r="B4984" s="4">
        <v>59</v>
      </c>
      <c r="C4984" s="15">
        <v>7</v>
      </c>
      <c r="D4984" s="16">
        <v>5</v>
      </c>
      <c r="E4984" s="22">
        <v>44778</v>
      </c>
      <c r="F4984" s="19">
        <v>7</v>
      </c>
      <c r="G4984" s="18">
        <v>0.05</v>
      </c>
      <c r="H4984">
        <f>F4984*VLOOKUP(B4984,產品!$A$2:$H$61,7,FALSE)*(1-銷售總表!G4984)</f>
        <v>159600</v>
      </c>
      <c r="I4984" s="35">
        <f>H4984-F4984*VLOOKUP(銷售總表!B4984,產品!$A$2:$H$61,8,FALSE)</f>
        <v>42000</v>
      </c>
      <c r="J4984" s="20">
        <f t="shared" si="77"/>
        <v>0.26315789473684209</v>
      </c>
    </row>
    <row r="4985" spans="1:10" x14ac:dyDescent="0.3">
      <c r="A4985" s="33">
        <v>4984</v>
      </c>
      <c r="B4985" s="4">
        <v>55</v>
      </c>
      <c r="C4985" s="15">
        <v>1</v>
      </c>
      <c r="D4985" s="16">
        <v>4</v>
      </c>
      <c r="E4985" s="22">
        <v>44778</v>
      </c>
      <c r="F4985" s="19">
        <v>10</v>
      </c>
      <c r="G4985" s="18">
        <v>0.2</v>
      </c>
      <c r="H4985">
        <f>F4985*VLOOKUP(B4985,產品!$A$2:$H$61,7,FALSE)*(1-銷售總表!G4985)</f>
        <v>160000</v>
      </c>
      <c r="I4985" s="35">
        <f>H4985-F4985*VLOOKUP(銷售總表!B4985,產品!$A$2:$H$61,8,FALSE)</f>
        <v>20000</v>
      </c>
      <c r="J4985" s="20">
        <f t="shared" si="77"/>
        <v>0.125</v>
      </c>
    </row>
    <row r="4986" spans="1:10" x14ac:dyDescent="0.3">
      <c r="A4986" s="33">
        <v>4985</v>
      </c>
      <c r="B4986" s="4">
        <v>27</v>
      </c>
      <c r="C4986" s="15">
        <v>12</v>
      </c>
      <c r="D4986" s="16">
        <v>1</v>
      </c>
      <c r="E4986" s="22">
        <v>44778</v>
      </c>
      <c r="F4986" s="19">
        <v>12</v>
      </c>
      <c r="G4986" s="18">
        <v>0.08</v>
      </c>
      <c r="H4986">
        <f>F4986*VLOOKUP(B4986,產品!$A$2:$H$61,7,FALSE)*(1-銷售總表!G4986)</f>
        <v>77280</v>
      </c>
      <c r="I4986" s="35">
        <f>H4986-F4986*VLOOKUP(銷售總表!B4986,產品!$A$2:$H$61,8,FALSE)</f>
        <v>26880</v>
      </c>
      <c r="J4986" s="20">
        <f t="shared" si="77"/>
        <v>0.34782608695652173</v>
      </c>
    </row>
    <row r="4987" spans="1:10" x14ac:dyDescent="0.3">
      <c r="A4987" s="33">
        <v>4986</v>
      </c>
      <c r="B4987" s="4">
        <v>24</v>
      </c>
      <c r="C4987" s="15">
        <v>12</v>
      </c>
      <c r="D4987" s="16">
        <v>6</v>
      </c>
      <c r="E4987" s="23">
        <v>44778</v>
      </c>
      <c r="F4987">
        <v>70</v>
      </c>
      <c r="G4987" s="20">
        <v>0.08</v>
      </c>
      <c r="H4987">
        <f>F4987*VLOOKUP(B4987,產品!$A$2:$H$61,7,FALSE)*(1-銷售總表!G4987)</f>
        <v>115920</v>
      </c>
      <c r="I4987" s="35">
        <f>H4987-F4987*VLOOKUP(銷售總表!B4987,產品!$A$2:$H$61,8,FALSE)</f>
        <v>65520</v>
      </c>
      <c r="J4987" s="20">
        <f t="shared" si="77"/>
        <v>0.56521739130434778</v>
      </c>
    </row>
    <row r="4988" spans="1:10" x14ac:dyDescent="0.3">
      <c r="A4988" s="33">
        <v>4987</v>
      </c>
      <c r="B4988" s="4">
        <v>29</v>
      </c>
      <c r="C4988" s="15">
        <v>274</v>
      </c>
      <c r="D4988" s="16">
        <v>3</v>
      </c>
      <c r="E4988" s="22">
        <v>44779</v>
      </c>
      <c r="F4988" s="19">
        <v>3</v>
      </c>
      <c r="G4988" s="18">
        <v>0.06</v>
      </c>
      <c r="H4988">
        <f>F4988*VLOOKUP(B4988,產品!$A$2:$H$61,7,FALSE)*(1-銷售總表!G4988)</f>
        <v>16920</v>
      </c>
      <c r="I4988" s="35">
        <f>H4988-F4988*VLOOKUP(銷售總表!B4988,產品!$A$2:$H$61,8,FALSE)</f>
        <v>6120</v>
      </c>
      <c r="J4988" s="20">
        <f t="shared" si="77"/>
        <v>0.36170212765957449</v>
      </c>
    </row>
    <row r="4989" spans="1:10" x14ac:dyDescent="0.3">
      <c r="A4989" s="33">
        <v>4988</v>
      </c>
      <c r="B4989" s="4">
        <v>1</v>
      </c>
      <c r="C4989" s="15">
        <v>289</v>
      </c>
      <c r="D4989" s="16">
        <v>8</v>
      </c>
      <c r="E4989" s="22">
        <v>44779</v>
      </c>
      <c r="F4989" s="19">
        <v>20</v>
      </c>
      <c r="G4989" s="18">
        <v>0.14000000000000001</v>
      </c>
      <c r="H4989">
        <f>F4989*VLOOKUP(B4989,產品!$A$2:$H$61,7,FALSE)*(1-銷售總表!G4989)</f>
        <v>17200</v>
      </c>
      <c r="I4989" s="35">
        <f>H4989-F4989*VLOOKUP(銷售總表!B4989,產品!$A$2:$H$61,8,FALSE)</f>
        <v>9200</v>
      </c>
      <c r="J4989" s="20">
        <f t="shared" si="77"/>
        <v>0.53488372093023251</v>
      </c>
    </row>
    <row r="4990" spans="1:10" x14ac:dyDescent="0.3">
      <c r="A4990" s="33">
        <v>4989</v>
      </c>
      <c r="B4990" s="4">
        <v>29</v>
      </c>
      <c r="C4990" s="15">
        <v>120</v>
      </c>
      <c r="D4990" s="16">
        <v>9</v>
      </c>
      <c r="E4990" s="22">
        <v>44779</v>
      </c>
      <c r="F4990" s="19">
        <v>35</v>
      </c>
      <c r="G4990" s="18">
        <v>0.2</v>
      </c>
      <c r="H4990">
        <f>F4990*VLOOKUP(B4990,產品!$A$2:$H$61,7,FALSE)*(1-銷售總表!G4990)</f>
        <v>168000</v>
      </c>
      <c r="I4990" s="35">
        <f>H4990-F4990*VLOOKUP(銷售總表!B4990,產品!$A$2:$H$61,8,FALSE)</f>
        <v>42000</v>
      </c>
      <c r="J4990" s="20">
        <f t="shared" si="77"/>
        <v>0.25</v>
      </c>
    </row>
    <row r="4991" spans="1:10" x14ac:dyDescent="0.3">
      <c r="A4991" s="33">
        <v>4990</v>
      </c>
      <c r="B4991" s="4">
        <v>14</v>
      </c>
      <c r="C4991" s="15">
        <v>290</v>
      </c>
      <c r="D4991" s="16">
        <v>3</v>
      </c>
      <c r="E4991" s="22">
        <v>44779</v>
      </c>
      <c r="F4991" s="19">
        <v>40</v>
      </c>
      <c r="G4991" s="18">
        <v>0.08</v>
      </c>
      <c r="H4991">
        <f>F4991*VLOOKUP(B4991,產品!$A$2:$H$61,7,FALSE)*(1-銷售總表!G4991)</f>
        <v>66240</v>
      </c>
      <c r="I4991" s="35">
        <f>H4991-F4991*VLOOKUP(銷售總表!B4991,產品!$A$2:$H$61,8,FALSE)</f>
        <v>37440</v>
      </c>
      <c r="J4991" s="20">
        <f t="shared" si="77"/>
        <v>0.56521739130434778</v>
      </c>
    </row>
    <row r="4992" spans="1:10" x14ac:dyDescent="0.3">
      <c r="A4992" s="33">
        <v>4991</v>
      </c>
      <c r="B4992" s="4">
        <v>20</v>
      </c>
      <c r="C4992" s="15">
        <v>280</v>
      </c>
      <c r="D4992" s="16">
        <v>7</v>
      </c>
      <c r="E4992" s="22">
        <v>44779</v>
      </c>
      <c r="F4992" s="19">
        <v>40</v>
      </c>
      <c r="G4992" s="18">
        <v>0.09</v>
      </c>
      <c r="H4992">
        <f>F4992*VLOOKUP(B4992,產品!$A$2:$H$61,7,FALSE)*(1-銷售總表!G4992)</f>
        <v>65520</v>
      </c>
      <c r="I4992" s="35">
        <f>H4992-F4992*VLOOKUP(銷售總表!B4992,產品!$A$2:$H$61,8,FALSE)</f>
        <v>36720</v>
      </c>
      <c r="J4992" s="20">
        <f t="shared" si="77"/>
        <v>0.56043956043956045</v>
      </c>
    </row>
    <row r="4993" spans="1:10" x14ac:dyDescent="0.3">
      <c r="A4993" s="33">
        <v>4992</v>
      </c>
      <c r="B4993" s="4">
        <v>45</v>
      </c>
      <c r="C4993" s="15">
        <v>112</v>
      </c>
      <c r="D4993" s="16">
        <v>9</v>
      </c>
      <c r="E4993" s="22">
        <v>44780</v>
      </c>
      <c r="F4993" s="19">
        <v>5</v>
      </c>
      <c r="G4993" s="18">
        <v>0.05</v>
      </c>
      <c r="H4993">
        <f>F4993*VLOOKUP(B4993,產品!$A$2:$H$61,7,FALSE)*(1-銷售總表!G4993)</f>
        <v>66500</v>
      </c>
      <c r="I4993" s="35">
        <f>H4993-F4993*VLOOKUP(銷售總表!B4993,產品!$A$2:$H$61,8,FALSE)</f>
        <v>21000</v>
      </c>
      <c r="J4993" s="20">
        <f t="shared" si="77"/>
        <v>0.31578947368421051</v>
      </c>
    </row>
    <row r="4994" spans="1:10" x14ac:dyDescent="0.3">
      <c r="A4994" s="33">
        <v>4993</v>
      </c>
      <c r="B4994" s="4">
        <v>41</v>
      </c>
      <c r="C4994" s="15">
        <v>2</v>
      </c>
      <c r="D4994" s="16">
        <v>3</v>
      </c>
      <c r="E4994" s="22">
        <v>44780</v>
      </c>
      <c r="F4994" s="19">
        <v>10</v>
      </c>
      <c r="G4994" s="18">
        <v>0.08</v>
      </c>
      <c r="H4994">
        <f>F4994*VLOOKUP(B4994,產品!$A$2:$H$61,7,FALSE)*(1-銷售總表!G4994)</f>
        <v>110400</v>
      </c>
      <c r="I4994" s="35">
        <f>H4994-F4994*VLOOKUP(銷售總表!B4994,產品!$A$2:$H$61,8,FALSE)</f>
        <v>32400</v>
      </c>
      <c r="J4994" s="20">
        <f t="shared" si="77"/>
        <v>0.29347826086956524</v>
      </c>
    </row>
    <row r="4995" spans="1:10" x14ac:dyDescent="0.3">
      <c r="A4995" s="33">
        <v>4994</v>
      </c>
      <c r="B4995" s="4">
        <v>25</v>
      </c>
      <c r="C4995" s="15">
        <v>3</v>
      </c>
      <c r="D4995" s="16">
        <v>7</v>
      </c>
      <c r="E4995" s="22">
        <v>44780</v>
      </c>
      <c r="F4995" s="19">
        <v>25</v>
      </c>
      <c r="G4995" s="18">
        <v>0.18</v>
      </c>
      <c r="H4995">
        <f>F4995*VLOOKUP(B4995,產品!$A$2:$H$61,7,FALSE)*(1-銷售總表!G4995)</f>
        <v>123000.00000000001</v>
      </c>
      <c r="I4995" s="35">
        <f>H4995-F4995*VLOOKUP(銷售總表!B4995,產品!$A$2:$H$61,8,FALSE)</f>
        <v>33000.000000000015</v>
      </c>
      <c r="J4995" s="20">
        <f t="shared" ref="J4995:J5058" si="78">I4995/H4995</f>
        <v>0.26829268292682934</v>
      </c>
    </row>
    <row r="4996" spans="1:10" x14ac:dyDescent="0.3">
      <c r="A4996" s="33">
        <v>4995</v>
      </c>
      <c r="B4996" s="4">
        <v>6</v>
      </c>
      <c r="C4996" s="15">
        <v>259</v>
      </c>
      <c r="D4996" s="16">
        <v>9</v>
      </c>
      <c r="E4996" s="22">
        <v>44780</v>
      </c>
      <c r="F4996" s="19">
        <v>30</v>
      </c>
      <c r="G4996" s="18">
        <v>0.05</v>
      </c>
      <c r="H4996">
        <f>F4996*VLOOKUP(B4996,產品!$A$2:$H$61,7,FALSE)*(1-銷售總表!G4996)</f>
        <v>28500</v>
      </c>
      <c r="I4996" s="35">
        <f>H4996-F4996*VLOOKUP(銷售總表!B4996,產品!$A$2:$H$61,8,FALSE)</f>
        <v>16500</v>
      </c>
      <c r="J4996" s="20">
        <f t="shared" si="78"/>
        <v>0.57894736842105265</v>
      </c>
    </row>
    <row r="4997" spans="1:10" x14ac:dyDescent="0.3">
      <c r="A4997" s="33">
        <v>4996</v>
      </c>
      <c r="B4997" s="4">
        <v>9</v>
      </c>
      <c r="C4997" s="15">
        <v>138</v>
      </c>
      <c r="D4997" s="16">
        <v>1</v>
      </c>
      <c r="E4997" s="22">
        <v>44780</v>
      </c>
      <c r="F4997" s="19">
        <v>90</v>
      </c>
      <c r="G4997" s="18">
        <v>0.14000000000000001</v>
      </c>
      <c r="H4997">
        <f>F4997*VLOOKUP(B4997,產品!$A$2:$H$61,7,FALSE)*(1-銷售總表!G4997)</f>
        <v>77400</v>
      </c>
      <c r="I4997" s="35">
        <f>H4997-F4997*VLOOKUP(銷售總表!B4997,產品!$A$2:$H$61,8,FALSE)</f>
        <v>41400</v>
      </c>
      <c r="J4997" s="20">
        <f t="shared" si="78"/>
        <v>0.53488372093023251</v>
      </c>
    </row>
    <row r="4998" spans="1:10" x14ac:dyDescent="0.3">
      <c r="A4998" s="33">
        <v>4997</v>
      </c>
      <c r="B4998" s="4">
        <v>7</v>
      </c>
      <c r="C4998" s="15">
        <v>116</v>
      </c>
      <c r="D4998" s="16">
        <v>4</v>
      </c>
      <c r="E4998" s="22">
        <v>44780</v>
      </c>
      <c r="F4998" s="19">
        <v>250</v>
      </c>
      <c r="G4998" s="18">
        <v>0.15</v>
      </c>
      <c r="H4998">
        <f>F4998*VLOOKUP(B4998,產品!$A$2:$H$61,7,FALSE)*(1-銷售總表!G4998)</f>
        <v>212500</v>
      </c>
      <c r="I4998" s="35">
        <f>H4998-F4998*VLOOKUP(銷售總表!B4998,產品!$A$2:$H$61,8,FALSE)</f>
        <v>112500</v>
      </c>
      <c r="J4998" s="20">
        <f t="shared" si="78"/>
        <v>0.52941176470588236</v>
      </c>
    </row>
    <row r="4999" spans="1:10" x14ac:dyDescent="0.3">
      <c r="A4999" s="33">
        <v>4998</v>
      </c>
      <c r="B4999" s="4">
        <v>40</v>
      </c>
      <c r="C4999" s="15">
        <v>5</v>
      </c>
      <c r="D4999" s="16">
        <v>3</v>
      </c>
      <c r="E4999" s="22">
        <v>44781</v>
      </c>
      <c r="F4999" s="19">
        <v>1</v>
      </c>
      <c r="G4999" s="18">
        <v>0.1</v>
      </c>
      <c r="H4999">
        <f>F4999*VLOOKUP(B4999,產品!$A$2:$H$61,7,FALSE)*(1-銷售總表!G4999)</f>
        <v>18000</v>
      </c>
      <c r="I4999" s="35">
        <f>H4999-F4999*VLOOKUP(銷售總表!B4999,產品!$A$2:$H$61,8,FALSE)</f>
        <v>5000</v>
      </c>
      <c r="J4999" s="20">
        <f t="shared" si="78"/>
        <v>0.27777777777777779</v>
      </c>
    </row>
    <row r="5000" spans="1:10" x14ac:dyDescent="0.3">
      <c r="A5000" s="33">
        <v>4999</v>
      </c>
      <c r="B5000" s="4">
        <v>28</v>
      </c>
      <c r="C5000" s="15">
        <v>137</v>
      </c>
      <c r="D5000" s="16">
        <v>9</v>
      </c>
      <c r="E5000" s="22">
        <v>44781</v>
      </c>
      <c r="F5000" s="19">
        <v>2</v>
      </c>
      <c r="G5000" s="18">
        <v>0.14000000000000001</v>
      </c>
      <c r="H5000">
        <f>F5000*VLOOKUP(B5000,產品!$A$2:$H$61,7,FALSE)*(1-銷售總表!G5000)</f>
        <v>12900</v>
      </c>
      <c r="I5000" s="35">
        <f>H5000-F5000*VLOOKUP(銷售總表!B5000,產品!$A$2:$H$61,8,FALSE)</f>
        <v>3900</v>
      </c>
      <c r="J5000" s="20">
        <f t="shared" si="78"/>
        <v>0.30232558139534882</v>
      </c>
    </row>
    <row r="5001" spans="1:10" x14ac:dyDescent="0.3">
      <c r="A5001" s="33">
        <v>5000</v>
      </c>
      <c r="B5001" s="4">
        <v>57</v>
      </c>
      <c r="C5001" s="15">
        <v>289</v>
      </c>
      <c r="D5001" s="16">
        <v>6</v>
      </c>
      <c r="E5001" s="22">
        <v>44781</v>
      </c>
      <c r="F5001" s="19">
        <v>3</v>
      </c>
      <c r="G5001" s="18">
        <v>0.06</v>
      </c>
      <c r="H5001">
        <f>F5001*VLOOKUP(B5001,產品!$A$2:$H$61,7,FALSE)*(1-銷售總表!G5001)</f>
        <v>50760</v>
      </c>
      <c r="I5001" s="35">
        <f>H5001-F5001*VLOOKUP(銷售總表!B5001,產品!$A$2:$H$61,8,FALSE)</f>
        <v>12960</v>
      </c>
      <c r="J5001" s="20">
        <f t="shared" si="78"/>
        <v>0.25531914893617019</v>
      </c>
    </row>
    <row r="5002" spans="1:10" x14ac:dyDescent="0.3">
      <c r="A5002" s="33">
        <v>5001</v>
      </c>
      <c r="B5002" s="4">
        <v>52</v>
      </c>
      <c r="C5002" s="15">
        <v>121</v>
      </c>
      <c r="D5002" s="16">
        <v>2</v>
      </c>
      <c r="E5002" s="22">
        <v>44781</v>
      </c>
      <c r="F5002" s="19">
        <v>4</v>
      </c>
      <c r="G5002" s="18">
        <v>0.2</v>
      </c>
      <c r="H5002">
        <f>F5002*VLOOKUP(B5002,產品!$A$2:$H$61,7,FALSE)*(1-銷售總表!G5002)</f>
        <v>70400</v>
      </c>
      <c r="I5002" s="35">
        <f>H5002-F5002*VLOOKUP(銷售總表!B5002,產品!$A$2:$H$61,8,FALSE)</f>
        <v>8800.0000000000073</v>
      </c>
      <c r="J5002" s="20">
        <f t="shared" si="78"/>
        <v>0.12500000000000011</v>
      </c>
    </row>
    <row r="5003" spans="1:10" x14ac:dyDescent="0.3">
      <c r="A5003" s="33">
        <v>5002</v>
      </c>
      <c r="B5003" s="4">
        <v>7</v>
      </c>
      <c r="C5003" s="15">
        <v>116</v>
      </c>
      <c r="D5003" s="16">
        <v>3</v>
      </c>
      <c r="E5003" s="22">
        <v>44781</v>
      </c>
      <c r="F5003" s="19">
        <v>17</v>
      </c>
      <c r="G5003" s="18">
        <v>0.15</v>
      </c>
      <c r="H5003">
        <f>F5003*VLOOKUP(B5003,產品!$A$2:$H$61,7,FALSE)*(1-銷售總表!G5003)</f>
        <v>14450</v>
      </c>
      <c r="I5003" s="35">
        <f>H5003-F5003*VLOOKUP(銷售總表!B5003,產品!$A$2:$H$61,8,FALSE)</f>
        <v>7650</v>
      </c>
      <c r="J5003" s="20">
        <f t="shared" si="78"/>
        <v>0.52941176470588236</v>
      </c>
    </row>
    <row r="5004" spans="1:10" x14ac:dyDescent="0.3">
      <c r="A5004" s="33">
        <v>5003</v>
      </c>
      <c r="B5004" s="4">
        <v>25</v>
      </c>
      <c r="C5004" s="15">
        <v>286</v>
      </c>
      <c r="D5004" s="16">
        <v>2</v>
      </c>
      <c r="E5004" s="23">
        <v>44781</v>
      </c>
      <c r="F5004">
        <v>30</v>
      </c>
      <c r="G5004" s="20">
        <v>0.09</v>
      </c>
      <c r="H5004">
        <f>F5004*VLOOKUP(B5004,產品!$A$2:$H$61,7,FALSE)*(1-銷售總表!G5004)</f>
        <v>163800</v>
      </c>
      <c r="I5004" s="35">
        <f>H5004-F5004*VLOOKUP(銷售總表!B5004,產品!$A$2:$H$61,8,FALSE)</f>
        <v>55800</v>
      </c>
      <c r="J5004" s="20">
        <f t="shared" si="78"/>
        <v>0.34065934065934067</v>
      </c>
    </row>
    <row r="5005" spans="1:10" x14ac:dyDescent="0.3">
      <c r="A5005" s="33">
        <v>5004</v>
      </c>
      <c r="B5005" s="4">
        <v>45</v>
      </c>
      <c r="C5005" s="15">
        <v>11</v>
      </c>
      <c r="D5005" s="16">
        <v>5</v>
      </c>
      <c r="E5005" s="22">
        <v>44782</v>
      </c>
      <c r="F5005" s="19">
        <v>2</v>
      </c>
      <c r="G5005" s="18">
        <v>7.0000000000000007E-2</v>
      </c>
      <c r="H5005">
        <f>F5005*VLOOKUP(B5005,產品!$A$2:$H$61,7,FALSE)*(1-銷售總表!G5005)</f>
        <v>26040</v>
      </c>
      <c r="I5005" s="35">
        <f>H5005-F5005*VLOOKUP(銷售總表!B5005,產品!$A$2:$H$61,8,FALSE)</f>
        <v>7840</v>
      </c>
      <c r="J5005" s="20">
        <f t="shared" si="78"/>
        <v>0.30107526881720431</v>
      </c>
    </row>
    <row r="5006" spans="1:10" x14ac:dyDescent="0.3">
      <c r="A5006" s="33">
        <v>5005</v>
      </c>
      <c r="B5006" s="4">
        <v>53</v>
      </c>
      <c r="C5006" s="15">
        <v>136</v>
      </c>
      <c r="D5006" s="16">
        <v>8</v>
      </c>
      <c r="E5006" s="22">
        <v>44782</v>
      </c>
      <c r="F5006" s="19">
        <v>6</v>
      </c>
      <c r="G5006" s="18">
        <v>0.05</v>
      </c>
      <c r="H5006">
        <f>F5006*VLOOKUP(B5006,產品!$A$2:$H$61,7,FALSE)*(1-銷售總表!G5006)</f>
        <v>85500</v>
      </c>
      <c r="I5006" s="35">
        <f>H5006-F5006*VLOOKUP(銷售總表!B5006,產品!$A$2:$H$61,8,FALSE)</f>
        <v>22500</v>
      </c>
      <c r="J5006" s="20">
        <f t="shared" si="78"/>
        <v>0.26315789473684209</v>
      </c>
    </row>
    <row r="5007" spans="1:10" x14ac:dyDescent="0.3">
      <c r="A5007" s="33">
        <v>5006</v>
      </c>
      <c r="B5007" s="4">
        <v>28</v>
      </c>
      <c r="C5007" s="15">
        <v>9</v>
      </c>
      <c r="D5007" s="16">
        <v>1</v>
      </c>
      <c r="E5007" s="22">
        <v>44782</v>
      </c>
      <c r="F5007" s="19">
        <v>8</v>
      </c>
      <c r="G5007" s="18">
        <v>7.0000000000000007E-2</v>
      </c>
      <c r="H5007">
        <f>F5007*VLOOKUP(B5007,產品!$A$2:$H$61,7,FALSE)*(1-銷售總表!G5007)</f>
        <v>55799.999999999993</v>
      </c>
      <c r="I5007" s="35">
        <f>H5007-F5007*VLOOKUP(銷售總表!B5007,產品!$A$2:$H$61,8,FALSE)</f>
        <v>19799.999999999993</v>
      </c>
      <c r="J5007" s="20">
        <f t="shared" si="78"/>
        <v>0.35483870967741926</v>
      </c>
    </row>
    <row r="5008" spans="1:10" x14ac:dyDescent="0.3">
      <c r="A5008" s="33">
        <v>5007</v>
      </c>
      <c r="B5008" s="4">
        <v>42</v>
      </c>
      <c r="C5008" s="15">
        <v>118</v>
      </c>
      <c r="D5008" s="16">
        <v>8</v>
      </c>
      <c r="E5008" s="22">
        <v>44782</v>
      </c>
      <c r="F5008" s="19">
        <v>15</v>
      </c>
      <c r="G5008" s="18">
        <v>0.1</v>
      </c>
      <c r="H5008">
        <f>F5008*VLOOKUP(B5008,產品!$A$2:$H$61,7,FALSE)*(1-銷售總表!G5008)</f>
        <v>202500</v>
      </c>
      <c r="I5008" s="35">
        <f>H5008-F5008*VLOOKUP(銷售總表!B5008,產品!$A$2:$H$61,8,FALSE)</f>
        <v>56250</v>
      </c>
      <c r="J5008" s="20">
        <f t="shared" si="78"/>
        <v>0.27777777777777779</v>
      </c>
    </row>
    <row r="5009" spans="1:10" x14ac:dyDescent="0.3">
      <c r="A5009" s="33">
        <v>5008</v>
      </c>
      <c r="B5009" s="4">
        <v>19</v>
      </c>
      <c r="C5009" s="15">
        <v>135</v>
      </c>
      <c r="D5009" s="16">
        <v>1</v>
      </c>
      <c r="E5009" s="22">
        <v>44782</v>
      </c>
      <c r="F5009" s="19">
        <v>30</v>
      </c>
      <c r="G5009" s="18">
        <v>0.2</v>
      </c>
      <c r="H5009">
        <f>F5009*VLOOKUP(B5009,產品!$A$2:$H$61,7,FALSE)*(1-銷售總表!G5009)</f>
        <v>43200</v>
      </c>
      <c r="I5009" s="35">
        <f>H5009-F5009*VLOOKUP(銷售總表!B5009,產品!$A$2:$H$61,8,FALSE)</f>
        <v>21600</v>
      </c>
      <c r="J5009" s="20">
        <f t="shared" si="78"/>
        <v>0.5</v>
      </c>
    </row>
    <row r="5010" spans="1:10" x14ac:dyDescent="0.3">
      <c r="A5010" s="33">
        <v>5009</v>
      </c>
      <c r="B5010" s="4">
        <v>16</v>
      </c>
      <c r="C5010" s="15">
        <v>258</v>
      </c>
      <c r="D5010" s="16">
        <v>10</v>
      </c>
      <c r="E5010" s="22">
        <v>44782</v>
      </c>
      <c r="F5010" s="19">
        <v>70</v>
      </c>
      <c r="G5010" s="18">
        <v>0.16</v>
      </c>
      <c r="H5010">
        <f>F5010*VLOOKUP(B5010,產品!$A$2:$H$61,7,FALSE)*(1-銷售總表!G5010)</f>
        <v>105840</v>
      </c>
      <c r="I5010" s="35">
        <f>H5010-F5010*VLOOKUP(銷售總表!B5010,產品!$A$2:$H$61,8,FALSE)</f>
        <v>55440</v>
      </c>
      <c r="J5010" s="20">
        <f t="shared" si="78"/>
        <v>0.52380952380952384</v>
      </c>
    </row>
    <row r="5011" spans="1:10" x14ac:dyDescent="0.3">
      <c r="A5011" s="33">
        <v>5010</v>
      </c>
      <c r="B5011" s="4">
        <v>44</v>
      </c>
      <c r="C5011" s="15">
        <v>6</v>
      </c>
      <c r="D5011" s="16">
        <v>6</v>
      </c>
      <c r="E5011" s="22">
        <v>44783</v>
      </c>
      <c r="F5011" s="19">
        <v>6</v>
      </c>
      <c r="G5011" s="18">
        <v>0.13</v>
      </c>
      <c r="H5011">
        <f>F5011*VLOOKUP(B5011,產品!$A$2:$H$61,7,FALSE)*(1-銷售總表!G5011)</f>
        <v>104400</v>
      </c>
      <c r="I5011" s="35">
        <f>H5011-F5011*VLOOKUP(銷售總表!B5011,產品!$A$2:$H$61,8,FALSE)</f>
        <v>26400</v>
      </c>
      <c r="J5011" s="20">
        <f t="shared" si="78"/>
        <v>0.25287356321839083</v>
      </c>
    </row>
    <row r="5012" spans="1:10" x14ac:dyDescent="0.3">
      <c r="A5012" s="33">
        <v>5011</v>
      </c>
      <c r="B5012" s="4">
        <v>37</v>
      </c>
      <c r="C5012" s="15">
        <v>10</v>
      </c>
      <c r="D5012" s="16">
        <v>2</v>
      </c>
      <c r="E5012" s="22">
        <v>44783</v>
      </c>
      <c r="F5012" s="19">
        <v>7</v>
      </c>
      <c r="G5012" s="18">
        <v>0.06</v>
      </c>
      <c r="H5012">
        <f>F5012*VLOOKUP(B5012,產品!$A$2:$H$61,7,FALSE)*(1-銷售總表!G5012)</f>
        <v>78960</v>
      </c>
      <c r="I5012" s="35">
        <f>H5012-F5012*VLOOKUP(銷售總表!B5012,產品!$A$2:$H$61,8,FALSE)</f>
        <v>24360</v>
      </c>
      <c r="J5012" s="20">
        <f t="shared" si="78"/>
        <v>0.30851063829787234</v>
      </c>
    </row>
    <row r="5013" spans="1:10" x14ac:dyDescent="0.3">
      <c r="A5013" s="33">
        <v>5012</v>
      </c>
      <c r="B5013" s="4">
        <v>35</v>
      </c>
      <c r="C5013" s="15">
        <v>6</v>
      </c>
      <c r="D5013" s="16">
        <v>6</v>
      </c>
      <c r="E5013" s="22">
        <v>44783</v>
      </c>
      <c r="F5013" s="19">
        <v>8</v>
      </c>
      <c r="G5013" s="18">
        <v>0.2</v>
      </c>
      <c r="H5013">
        <f>F5013*VLOOKUP(B5013,產品!$A$2:$H$61,7,FALSE)*(1-銷售總表!G5013)</f>
        <v>54400</v>
      </c>
      <c r="I5013" s="35">
        <f>H5013-F5013*VLOOKUP(銷售總表!B5013,產品!$A$2:$H$61,8,FALSE)</f>
        <v>13600</v>
      </c>
      <c r="J5013" s="20">
        <f t="shared" si="78"/>
        <v>0.25</v>
      </c>
    </row>
    <row r="5014" spans="1:10" x14ac:dyDescent="0.3">
      <c r="A5014" s="33">
        <v>5013</v>
      </c>
      <c r="B5014" s="4">
        <v>56</v>
      </c>
      <c r="C5014" s="15">
        <v>263</v>
      </c>
      <c r="D5014" s="16">
        <v>8</v>
      </c>
      <c r="E5014" s="23">
        <v>44783</v>
      </c>
      <c r="F5014">
        <v>10</v>
      </c>
      <c r="G5014" s="20">
        <v>0.15</v>
      </c>
      <c r="H5014">
        <f>F5014*VLOOKUP(B5014,產品!$A$2:$H$61,7,FALSE)*(1-銷售總表!G5014)</f>
        <v>187000</v>
      </c>
      <c r="I5014" s="35">
        <f>H5014-F5014*VLOOKUP(銷售總表!B5014,產品!$A$2:$H$61,8,FALSE)</f>
        <v>33000.000000000029</v>
      </c>
      <c r="J5014" s="20">
        <f t="shared" si="78"/>
        <v>0.17647058823529427</v>
      </c>
    </row>
    <row r="5015" spans="1:10" x14ac:dyDescent="0.3">
      <c r="A5015" s="33">
        <v>5014</v>
      </c>
      <c r="B5015" s="4">
        <v>30</v>
      </c>
      <c r="C5015" s="15">
        <v>123</v>
      </c>
      <c r="D5015" s="16">
        <v>10</v>
      </c>
      <c r="E5015" s="23">
        <v>44783</v>
      </c>
      <c r="F5015">
        <v>35</v>
      </c>
      <c r="G5015" s="20">
        <v>0.17</v>
      </c>
      <c r="H5015">
        <f>F5015*VLOOKUP(B5015,產品!$A$2:$H$61,7,FALSE)*(1-銷售總表!G5015)</f>
        <v>188825</v>
      </c>
      <c r="I5015" s="35">
        <f>H5015-F5015*VLOOKUP(銷售總表!B5015,產品!$A$2:$H$61,8,FALSE)</f>
        <v>52325</v>
      </c>
      <c r="J5015" s="20">
        <f t="shared" si="78"/>
        <v>0.27710843373493976</v>
      </c>
    </row>
    <row r="5016" spans="1:10" x14ac:dyDescent="0.3">
      <c r="A5016" s="33">
        <v>5015</v>
      </c>
      <c r="B5016" s="4">
        <v>1</v>
      </c>
      <c r="C5016" s="15">
        <v>268</v>
      </c>
      <c r="D5016" s="16">
        <v>9</v>
      </c>
      <c r="E5016" s="22">
        <v>44783</v>
      </c>
      <c r="F5016" s="19">
        <v>40</v>
      </c>
      <c r="G5016" s="18">
        <v>0.12</v>
      </c>
      <c r="H5016">
        <f>F5016*VLOOKUP(B5016,產品!$A$2:$H$61,7,FALSE)*(1-銷售總表!G5016)</f>
        <v>35200</v>
      </c>
      <c r="I5016" s="35">
        <f>H5016-F5016*VLOOKUP(銷售總表!B5016,產品!$A$2:$H$61,8,FALSE)</f>
        <v>19200</v>
      </c>
      <c r="J5016" s="20">
        <f t="shared" si="78"/>
        <v>0.54545454545454541</v>
      </c>
    </row>
    <row r="5017" spans="1:10" x14ac:dyDescent="0.3">
      <c r="A5017" s="33">
        <v>5016</v>
      </c>
      <c r="B5017" s="4">
        <v>22</v>
      </c>
      <c r="C5017" s="15">
        <v>264</v>
      </c>
      <c r="D5017" s="16">
        <v>3</v>
      </c>
      <c r="E5017" s="22">
        <v>44783</v>
      </c>
      <c r="F5017" s="19">
        <v>125</v>
      </c>
      <c r="G5017" s="18">
        <v>0.15</v>
      </c>
      <c r="H5017">
        <f>F5017*VLOOKUP(B5017,產品!$A$2:$H$61,7,FALSE)*(1-銷售總表!G5017)</f>
        <v>191250</v>
      </c>
      <c r="I5017" s="35">
        <f>H5017-F5017*VLOOKUP(銷售總表!B5017,產品!$A$2:$H$61,8,FALSE)</f>
        <v>101250</v>
      </c>
      <c r="J5017" s="20">
        <f t="shared" si="78"/>
        <v>0.52941176470588236</v>
      </c>
    </row>
    <row r="5018" spans="1:10" x14ac:dyDescent="0.3">
      <c r="A5018" s="33">
        <v>5017</v>
      </c>
      <c r="B5018" s="4">
        <v>37</v>
      </c>
      <c r="C5018" s="15">
        <v>267</v>
      </c>
      <c r="D5018" s="16">
        <v>6</v>
      </c>
      <c r="E5018" s="22">
        <v>44784</v>
      </c>
      <c r="F5018" s="19">
        <v>10</v>
      </c>
      <c r="G5018" s="18">
        <v>0.06</v>
      </c>
      <c r="H5018">
        <f>F5018*VLOOKUP(B5018,產品!$A$2:$H$61,7,FALSE)*(1-銷售總表!G5018)</f>
        <v>112800</v>
      </c>
      <c r="I5018" s="35">
        <f>H5018-F5018*VLOOKUP(銷售總表!B5018,產品!$A$2:$H$61,8,FALSE)</f>
        <v>34800</v>
      </c>
      <c r="J5018" s="20">
        <f t="shared" si="78"/>
        <v>0.30851063829787234</v>
      </c>
    </row>
    <row r="5019" spans="1:10" x14ac:dyDescent="0.3">
      <c r="A5019" s="33">
        <v>5018</v>
      </c>
      <c r="B5019" s="4">
        <v>48</v>
      </c>
      <c r="C5019" s="15">
        <v>12</v>
      </c>
      <c r="D5019" s="16">
        <v>5</v>
      </c>
      <c r="E5019" s="22">
        <v>44785</v>
      </c>
      <c r="F5019" s="19">
        <v>3</v>
      </c>
      <c r="G5019" s="18">
        <v>0.1</v>
      </c>
      <c r="H5019">
        <f>F5019*VLOOKUP(B5019,產品!$A$2:$H$61,7,FALSE)*(1-銷售總表!G5019)</f>
        <v>59400</v>
      </c>
      <c r="I5019" s="35">
        <f>H5019-F5019*VLOOKUP(銷售總表!B5019,產品!$A$2:$H$61,8,FALSE)</f>
        <v>16500</v>
      </c>
      <c r="J5019" s="20">
        <f t="shared" si="78"/>
        <v>0.27777777777777779</v>
      </c>
    </row>
    <row r="5020" spans="1:10" x14ac:dyDescent="0.3">
      <c r="A5020" s="33">
        <v>5019</v>
      </c>
      <c r="B5020" s="4">
        <v>60</v>
      </c>
      <c r="C5020" s="15">
        <v>278</v>
      </c>
      <c r="D5020" s="16">
        <v>8</v>
      </c>
      <c r="E5020" s="22">
        <v>44785</v>
      </c>
      <c r="F5020" s="19">
        <v>4</v>
      </c>
      <c r="G5020" s="18">
        <v>0.18</v>
      </c>
      <c r="H5020">
        <f>F5020*VLOOKUP(B5020,產品!$A$2:$H$61,7,FALSE)*(1-銷售總表!G5020)</f>
        <v>82000</v>
      </c>
      <c r="I5020" s="35">
        <f>H5020-F5020*VLOOKUP(銷售總表!B5020,產品!$A$2:$H$61,8,FALSE)</f>
        <v>12000</v>
      </c>
      <c r="J5020" s="20">
        <f t="shared" si="78"/>
        <v>0.14634146341463414</v>
      </c>
    </row>
    <row r="5021" spans="1:10" x14ac:dyDescent="0.3">
      <c r="A5021" s="33">
        <v>5020</v>
      </c>
      <c r="B5021" s="4">
        <v>25</v>
      </c>
      <c r="C5021" s="15">
        <v>1</v>
      </c>
      <c r="D5021" s="16">
        <v>3</v>
      </c>
      <c r="E5021" s="23">
        <v>44785</v>
      </c>
      <c r="F5021">
        <v>5</v>
      </c>
      <c r="G5021" s="20">
        <v>0.14000000000000001</v>
      </c>
      <c r="H5021">
        <f>F5021*VLOOKUP(B5021,產品!$A$2:$H$61,7,FALSE)*(1-銷售總表!G5021)</f>
        <v>25800</v>
      </c>
      <c r="I5021" s="35">
        <f>H5021-F5021*VLOOKUP(銷售總表!B5021,產品!$A$2:$H$61,8,FALSE)</f>
        <v>7800</v>
      </c>
      <c r="J5021" s="20">
        <f t="shared" si="78"/>
        <v>0.30232558139534882</v>
      </c>
    </row>
    <row r="5022" spans="1:10" x14ac:dyDescent="0.3">
      <c r="A5022" s="33">
        <v>5021</v>
      </c>
      <c r="B5022" s="4">
        <v>51</v>
      </c>
      <c r="C5022" s="15">
        <v>113</v>
      </c>
      <c r="D5022" s="16">
        <v>3</v>
      </c>
      <c r="E5022" s="23">
        <v>44785</v>
      </c>
      <c r="F5022">
        <v>10</v>
      </c>
      <c r="G5022" s="20">
        <v>0.08</v>
      </c>
      <c r="H5022">
        <f>F5022*VLOOKUP(B5022,產品!$A$2:$H$61,7,FALSE)*(1-銷售總表!G5022)</f>
        <v>184000</v>
      </c>
      <c r="I5022" s="35">
        <f>H5022-F5022*VLOOKUP(銷售總表!B5022,產品!$A$2:$H$61,8,FALSE)</f>
        <v>44000</v>
      </c>
      <c r="J5022" s="20">
        <f t="shared" si="78"/>
        <v>0.2391304347826087</v>
      </c>
    </row>
    <row r="5023" spans="1:10" x14ac:dyDescent="0.3">
      <c r="A5023" s="33">
        <v>5022</v>
      </c>
      <c r="B5023" s="4">
        <v>55</v>
      </c>
      <c r="C5023" s="15">
        <v>2</v>
      </c>
      <c r="D5023" s="16">
        <v>3</v>
      </c>
      <c r="E5023" s="22">
        <v>44785</v>
      </c>
      <c r="F5023" s="19">
        <v>13</v>
      </c>
      <c r="G5023" s="18">
        <v>0.09</v>
      </c>
      <c r="H5023">
        <f>F5023*VLOOKUP(B5023,產品!$A$2:$H$61,7,FALSE)*(1-銷售總表!G5023)</f>
        <v>236600</v>
      </c>
      <c r="I5023" s="35">
        <f>H5023-F5023*VLOOKUP(銷售總表!B5023,產品!$A$2:$H$61,8,FALSE)</f>
        <v>54600</v>
      </c>
      <c r="J5023" s="20">
        <f t="shared" si="78"/>
        <v>0.23076923076923078</v>
      </c>
    </row>
    <row r="5024" spans="1:10" x14ac:dyDescent="0.3">
      <c r="A5024" s="33">
        <v>5023</v>
      </c>
      <c r="B5024" s="4">
        <v>55</v>
      </c>
      <c r="C5024" s="15">
        <v>116</v>
      </c>
      <c r="D5024" s="16">
        <v>8</v>
      </c>
      <c r="E5024" s="22">
        <v>44785</v>
      </c>
      <c r="F5024" s="19">
        <v>16</v>
      </c>
      <c r="G5024" s="18">
        <v>0.14000000000000001</v>
      </c>
      <c r="H5024">
        <f>F5024*VLOOKUP(B5024,產品!$A$2:$H$61,7,FALSE)*(1-銷售總表!G5024)</f>
        <v>275200</v>
      </c>
      <c r="I5024" s="35">
        <f>H5024-F5024*VLOOKUP(銷售總表!B5024,產品!$A$2:$H$61,8,FALSE)</f>
        <v>51200</v>
      </c>
      <c r="J5024" s="20">
        <f t="shared" si="78"/>
        <v>0.18604651162790697</v>
      </c>
    </row>
    <row r="5025" spans="1:10" x14ac:dyDescent="0.3">
      <c r="A5025" s="33">
        <v>5024</v>
      </c>
      <c r="B5025" s="4">
        <v>34</v>
      </c>
      <c r="C5025" s="15">
        <v>281</v>
      </c>
      <c r="D5025" s="16">
        <v>2</v>
      </c>
      <c r="E5025" s="22">
        <v>44785</v>
      </c>
      <c r="F5025" s="19">
        <v>20</v>
      </c>
      <c r="G5025" s="18">
        <v>0.19</v>
      </c>
      <c r="H5025">
        <f>F5025*VLOOKUP(B5025,產品!$A$2:$H$61,7,FALSE)*(1-銷售總表!G5025)</f>
        <v>129600.00000000001</v>
      </c>
      <c r="I5025" s="35">
        <f>H5025-F5025*VLOOKUP(銷售總表!B5025,產品!$A$2:$H$61,8,FALSE)</f>
        <v>33600.000000000015</v>
      </c>
      <c r="J5025" s="20">
        <f t="shared" si="78"/>
        <v>0.25925925925925936</v>
      </c>
    </row>
    <row r="5026" spans="1:10" x14ac:dyDescent="0.3">
      <c r="A5026" s="33">
        <v>5025</v>
      </c>
      <c r="B5026" s="4">
        <v>23</v>
      </c>
      <c r="C5026" s="15">
        <v>262</v>
      </c>
      <c r="D5026" s="16">
        <v>9</v>
      </c>
      <c r="E5026" s="22">
        <v>44785</v>
      </c>
      <c r="F5026" s="19">
        <v>20</v>
      </c>
      <c r="G5026" s="18">
        <v>0.16</v>
      </c>
      <c r="H5026">
        <f>F5026*VLOOKUP(B5026,產品!$A$2:$H$61,7,FALSE)*(1-銷售總表!G5026)</f>
        <v>30240</v>
      </c>
      <c r="I5026" s="35">
        <f>H5026-F5026*VLOOKUP(銷售總表!B5026,產品!$A$2:$H$61,8,FALSE)</f>
        <v>15840</v>
      </c>
      <c r="J5026" s="20">
        <f t="shared" si="78"/>
        <v>0.52380952380952384</v>
      </c>
    </row>
    <row r="5027" spans="1:10" x14ac:dyDescent="0.3">
      <c r="A5027" s="33">
        <v>5026</v>
      </c>
      <c r="B5027" s="4">
        <v>23</v>
      </c>
      <c r="C5027" s="15">
        <v>258</v>
      </c>
      <c r="D5027" s="16">
        <v>8</v>
      </c>
      <c r="E5027" s="22">
        <v>44785</v>
      </c>
      <c r="F5027" s="19">
        <v>21</v>
      </c>
      <c r="G5027" s="18">
        <v>0.14000000000000001</v>
      </c>
      <c r="H5027">
        <f>F5027*VLOOKUP(B5027,產品!$A$2:$H$61,7,FALSE)*(1-銷售總表!G5027)</f>
        <v>32508</v>
      </c>
      <c r="I5027" s="35">
        <f>H5027-F5027*VLOOKUP(銷售總表!B5027,產品!$A$2:$H$61,8,FALSE)</f>
        <v>17388</v>
      </c>
      <c r="J5027" s="20">
        <f t="shared" si="78"/>
        <v>0.53488372093023251</v>
      </c>
    </row>
    <row r="5028" spans="1:10" x14ac:dyDescent="0.3">
      <c r="A5028" s="33">
        <v>5027</v>
      </c>
      <c r="B5028" s="4">
        <v>14</v>
      </c>
      <c r="C5028" s="15">
        <v>124</v>
      </c>
      <c r="D5028" s="16">
        <v>5</v>
      </c>
      <c r="E5028" s="22">
        <v>44785</v>
      </c>
      <c r="F5028" s="19">
        <v>60</v>
      </c>
      <c r="G5028" s="18">
        <v>0.2</v>
      </c>
      <c r="H5028">
        <f>F5028*VLOOKUP(B5028,產品!$A$2:$H$61,7,FALSE)*(1-銷售總表!G5028)</f>
        <v>86400</v>
      </c>
      <c r="I5028" s="35">
        <f>H5028-F5028*VLOOKUP(銷售總表!B5028,產品!$A$2:$H$61,8,FALSE)</f>
        <v>43200</v>
      </c>
      <c r="J5028" s="20">
        <f t="shared" si="78"/>
        <v>0.5</v>
      </c>
    </row>
    <row r="5029" spans="1:10" x14ac:dyDescent="0.3">
      <c r="A5029" s="33">
        <v>5028</v>
      </c>
      <c r="B5029" s="4">
        <v>55</v>
      </c>
      <c r="C5029" s="15">
        <v>285</v>
      </c>
      <c r="D5029" s="16">
        <v>8</v>
      </c>
      <c r="E5029" s="22">
        <v>44786</v>
      </c>
      <c r="F5029" s="19">
        <v>2</v>
      </c>
      <c r="G5029" s="18">
        <v>0.15</v>
      </c>
      <c r="H5029">
        <f>F5029*VLOOKUP(B5029,產品!$A$2:$H$61,7,FALSE)*(1-銷售總表!G5029)</f>
        <v>34000</v>
      </c>
      <c r="I5029" s="35">
        <f>H5029-F5029*VLOOKUP(銷售總表!B5029,產品!$A$2:$H$61,8,FALSE)</f>
        <v>6000</v>
      </c>
      <c r="J5029" s="20">
        <f t="shared" si="78"/>
        <v>0.17647058823529413</v>
      </c>
    </row>
    <row r="5030" spans="1:10" x14ac:dyDescent="0.3">
      <c r="A5030" s="33">
        <v>5029</v>
      </c>
      <c r="B5030" s="4">
        <v>39</v>
      </c>
      <c r="C5030" s="15">
        <v>286</v>
      </c>
      <c r="D5030" s="16">
        <v>6</v>
      </c>
      <c r="E5030" s="22">
        <v>44786</v>
      </c>
      <c r="F5030" s="19">
        <v>4</v>
      </c>
      <c r="G5030" s="18">
        <v>0.12</v>
      </c>
      <c r="H5030">
        <f>F5030*VLOOKUP(B5030,產品!$A$2:$H$61,7,FALSE)*(1-銷售總表!G5030)</f>
        <v>63360</v>
      </c>
      <c r="I5030" s="35">
        <f>H5030-F5030*VLOOKUP(銷售總表!B5030,產品!$A$2:$H$61,8,FALSE)</f>
        <v>16560</v>
      </c>
      <c r="J5030" s="20">
        <f t="shared" si="78"/>
        <v>0.26136363636363635</v>
      </c>
    </row>
    <row r="5031" spans="1:10" x14ac:dyDescent="0.3">
      <c r="A5031" s="33">
        <v>5030</v>
      </c>
      <c r="B5031" s="4">
        <v>41</v>
      </c>
      <c r="C5031" s="15">
        <v>121</v>
      </c>
      <c r="D5031" s="16">
        <v>7</v>
      </c>
      <c r="E5031" s="22">
        <v>44786</v>
      </c>
      <c r="F5031" s="19">
        <v>9</v>
      </c>
      <c r="G5031" s="18">
        <v>0.19</v>
      </c>
      <c r="H5031">
        <f>F5031*VLOOKUP(B5031,產品!$A$2:$H$61,7,FALSE)*(1-銷售總表!G5031)</f>
        <v>87480</v>
      </c>
      <c r="I5031" s="35">
        <f>H5031-F5031*VLOOKUP(銷售總表!B5031,產品!$A$2:$H$61,8,FALSE)</f>
        <v>17280</v>
      </c>
      <c r="J5031" s="20">
        <f t="shared" si="78"/>
        <v>0.19753086419753085</v>
      </c>
    </row>
    <row r="5032" spans="1:10" x14ac:dyDescent="0.3">
      <c r="A5032" s="33">
        <v>5031</v>
      </c>
      <c r="B5032" s="4">
        <v>2</v>
      </c>
      <c r="C5032" s="15">
        <v>262</v>
      </c>
      <c r="D5032" s="16">
        <v>1</v>
      </c>
      <c r="E5032" s="23">
        <v>44786</v>
      </c>
      <c r="F5032">
        <v>50</v>
      </c>
      <c r="G5032" s="20">
        <v>0.05</v>
      </c>
      <c r="H5032">
        <f>F5032*VLOOKUP(B5032,產品!$A$2:$H$61,7,FALSE)*(1-銷售總表!G5032)</f>
        <v>47500</v>
      </c>
      <c r="I5032" s="35">
        <f>H5032-F5032*VLOOKUP(銷售總表!B5032,產品!$A$2:$H$61,8,FALSE)</f>
        <v>27500</v>
      </c>
      <c r="J5032" s="20">
        <f t="shared" si="78"/>
        <v>0.57894736842105265</v>
      </c>
    </row>
    <row r="5033" spans="1:10" x14ac:dyDescent="0.3">
      <c r="A5033" s="33">
        <v>5032</v>
      </c>
      <c r="B5033" s="4">
        <v>2</v>
      </c>
      <c r="C5033" s="15">
        <v>124</v>
      </c>
      <c r="D5033" s="16">
        <v>10</v>
      </c>
      <c r="E5033" s="22">
        <v>44786</v>
      </c>
      <c r="F5033" s="19">
        <v>50</v>
      </c>
      <c r="G5033" s="18">
        <v>0.19</v>
      </c>
      <c r="H5033">
        <f>F5033*VLOOKUP(B5033,產品!$A$2:$H$61,7,FALSE)*(1-銷售總表!G5033)</f>
        <v>40500</v>
      </c>
      <c r="I5033" s="35">
        <f>H5033-F5033*VLOOKUP(銷售總表!B5033,產品!$A$2:$H$61,8,FALSE)</f>
        <v>20500</v>
      </c>
      <c r="J5033" s="20">
        <f t="shared" si="78"/>
        <v>0.50617283950617287</v>
      </c>
    </row>
    <row r="5034" spans="1:10" x14ac:dyDescent="0.3">
      <c r="A5034" s="33">
        <v>5033</v>
      </c>
      <c r="B5034" s="4">
        <v>18</v>
      </c>
      <c r="C5034" s="15">
        <v>2</v>
      </c>
      <c r="D5034" s="16">
        <v>10</v>
      </c>
      <c r="E5034" s="22">
        <v>44786</v>
      </c>
      <c r="F5034" s="19">
        <v>60</v>
      </c>
      <c r="G5034" s="18">
        <v>0.11</v>
      </c>
      <c r="H5034">
        <f>F5034*VLOOKUP(B5034,產品!$A$2:$H$61,7,FALSE)*(1-銷售總表!G5034)</f>
        <v>96120</v>
      </c>
      <c r="I5034" s="35">
        <f>H5034-F5034*VLOOKUP(銷售總表!B5034,產品!$A$2:$H$61,8,FALSE)</f>
        <v>52920</v>
      </c>
      <c r="J5034" s="20">
        <f t="shared" si="78"/>
        <v>0.550561797752809</v>
      </c>
    </row>
    <row r="5035" spans="1:10" x14ac:dyDescent="0.3">
      <c r="A5035" s="33">
        <v>5034</v>
      </c>
      <c r="B5035" s="4">
        <v>4</v>
      </c>
      <c r="C5035" s="15">
        <v>126</v>
      </c>
      <c r="D5035" s="16">
        <v>3</v>
      </c>
      <c r="E5035" s="22">
        <v>44786</v>
      </c>
      <c r="F5035" s="19">
        <v>200</v>
      </c>
      <c r="G5035" s="18">
        <v>0.06</v>
      </c>
      <c r="H5035">
        <f>F5035*VLOOKUP(B5035,產品!$A$2:$H$61,7,FALSE)*(1-銷售總表!G5035)</f>
        <v>188000</v>
      </c>
      <c r="I5035" s="35">
        <f>H5035-F5035*VLOOKUP(銷售總表!B5035,產品!$A$2:$H$61,8,FALSE)</f>
        <v>108000</v>
      </c>
      <c r="J5035" s="20">
        <f t="shared" si="78"/>
        <v>0.57446808510638303</v>
      </c>
    </row>
    <row r="5036" spans="1:10" x14ac:dyDescent="0.3">
      <c r="A5036" s="33">
        <v>5035</v>
      </c>
      <c r="B5036" s="4">
        <v>54</v>
      </c>
      <c r="C5036" s="15">
        <v>8</v>
      </c>
      <c r="D5036" s="16">
        <v>3</v>
      </c>
      <c r="E5036" s="22">
        <v>44787</v>
      </c>
      <c r="F5036" s="19">
        <v>1</v>
      </c>
      <c r="G5036" s="18">
        <v>0.17</v>
      </c>
      <c r="H5036">
        <f>F5036*VLOOKUP(B5036,產品!$A$2:$H$61,7,FALSE)*(1-銷售總表!G5036)</f>
        <v>14940</v>
      </c>
      <c r="I5036" s="35">
        <f>H5036-F5036*VLOOKUP(銷售總表!B5036,產品!$A$2:$H$61,8,FALSE)</f>
        <v>2340</v>
      </c>
      <c r="J5036" s="20">
        <f t="shared" si="78"/>
        <v>0.15662650602409639</v>
      </c>
    </row>
    <row r="5037" spans="1:10" x14ac:dyDescent="0.3">
      <c r="A5037" s="33">
        <v>5036</v>
      </c>
      <c r="B5037" s="4">
        <v>27</v>
      </c>
      <c r="C5037" s="15">
        <v>134</v>
      </c>
      <c r="D5037" s="16">
        <v>8</v>
      </c>
      <c r="E5037" s="22">
        <v>44787</v>
      </c>
      <c r="F5037" s="19">
        <v>3</v>
      </c>
      <c r="G5037" s="18">
        <v>0.16</v>
      </c>
      <c r="H5037">
        <f>F5037*VLOOKUP(B5037,產品!$A$2:$H$61,7,FALSE)*(1-銷售總表!G5037)</f>
        <v>17640</v>
      </c>
      <c r="I5037" s="35">
        <f>H5037-F5037*VLOOKUP(銷售總表!B5037,產品!$A$2:$H$61,8,FALSE)</f>
        <v>5040</v>
      </c>
      <c r="J5037" s="20">
        <f t="shared" si="78"/>
        <v>0.2857142857142857</v>
      </c>
    </row>
    <row r="5038" spans="1:10" x14ac:dyDescent="0.3">
      <c r="A5038" s="33">
        <v>5037</v>
      </c>
      <c r="B5038" s="4">
        <v>30</v>
      </c>
      <c r="C5038" s="15">
        <v>122</v>
      </c>
      <c r="D5038" s="16">
        <v>5</v>
      </c>
      <c r="E5038" s="23">
        <v>44787</v>
      </c>
      <c r="F5038">
        <v>4</v>
      </c>
      <c r="G5038" s="20">
        <v>0.2</v>
      </c>
      <c r="H5038">
        <f>F5038*VLOOKUP(B5038,產品!$A$2:$H$61,7,FALSE)*(1-銷售總表!G5038)</f>
        <v>20800</v>
      </c>
      <c r="I5038" s="35">
        <f>H5038-F5038*VLOOKUP(銷售總表!B5038,產品!$A$2:$H$61,8,FALSE)</f>
        <v>5200</v>
      </c>
      <c r="J5038" s="20">
        <f t="shared" si="78"/>
        <v>0.25</v>
      </c>
    </row>
    <row r="5039" spans="1:10" x14ac:dyDescent="0.3">
      <c r="A5039" s="33">
        <v>5038</v>
      </c>
      <c r="B5039" s="4">
        <v>37</v>
      </c>
      <c r="C5039" s="15">
        <v>271</v>
      </c>
      <c r="D5039" s="16">
        <v>9</v>
      </c>
      <c r="E5039" s="22">
        <v>44787</v>
      </c>
      <c r="F5039" s="19">
        <v>5</v>
      </c>
      <c r="G5039" s="18">
        <v>0.12</v>
      </c>
      <c r="H5039">
        <f>F5039*VLOOKUP(B5039,產品!$A$2:$H$61,7,FALSE)*(1-銷售總表!G5039)</f>
        <v>52800</v>
      </c>
      <c r="I5039" s="35">
        <f>H5039-F5039*VLOOKUP(銷售總表!B5039,產品!$A$2:$H$61,8,FALSE)</f>
        <v>13800</v>
      </c>
      <c r="J5039" s="20">
        <f t="shared" si="78"/>
        <v>0.26136363636363635</v>
      </c>
    </row>
    <row r="5040" spans="1:10" x14ac:dyDescent="0.3">
      <c r="A5040" s="33">
        <v>5039</v>
      </c>
      <c r="B5040" s="4">
        <v>39</v>
      </c>
      <c r="C5040" s="15">
        <v>140</v>
      </c>
      <c r="D5040" s="16">
        <v>2</v>
      </c>
      <c r="E5040" s="22">
        <v>44787</v>
      </c>
      <c r="F5040" s="19">
        <v>6</v>
      </c>
      <c r="G5040" s="18">
        <v>7.0000000000000007E-2</v>
      </c>
      <c r="H5040">
        <f>F5040*VLOOKUP(B5040,產品!$A$2:$H$61,7,FALSE)*(1-銷售總表!G5040)</f>
        <v>100440</v>
      </c>
      <c r="I5040" s="35">
        <f>H5040-F5040*VLOOKUP(銷售總表!B5040,產品!$A$2:$H$61,8,FALSE)</f>
        <v>30240</v>
      </c>
      <c r="J5040" s="20">
        <f t="shared" si="78"/>
        <v>0.30107526881720431</v>
      </c>
    </row>
    <row r="5041" spans="1:10" x14ac:dyDescent="0.3">
      <c r="A5041" s="33">
        <v>5040</v>
      </c>
      <c r="B5041" s="4">
        <v>56</v>
      </c>
      <c r="C5041" s="15">
        <v>9</v>
      </c>
      <c r="D5041" s="16">
        <v>10</v>
      </c>
      <c r="E5041" s="22">
        <v>44787</v>
      </c>
      <c r="F5041" s="19">
        <v>9</v>
      </c>
      <c r="G5041" s="18">
        <v>0.1</v>
      </c>
      <c r="H5041">
        <f>F5041*VLOOKUP(B5041,產品!$A$2:$H$61,7,FALSE)*(1-銷售總表!G5041)</f>
        <v>178200</v>
      </c>
      <c r="I5041" s="35">
        <f>H5041-F5041*VLOOKUP(銷售總表!B5041,產品!$A$2:$H$61,8,FALSE)</f>
        <v>39600.000000000029</v>
      </c>
      <c r="J5041" s="20">
        <f t="shared" si="78"/>
        <v>0.22222222222222238</v>
      </c>
    </row>
    <row r="5042" spans="1:10" x14ac:dyDescent="0.3">
      <c r="A5042" s="33">
        <v>5041</v>
      </c>
      <c r="B5042" s="4">
        <v>39</v>
      </c>
      <c r="C5042" s="15">
        <v>5</v>
      </c>
      <c r="D5042" s="16">
        <v>7</v>
      </c>
      <c r="E5042" s="22">
        <v>44787</v>
      </c>
      <c r="F5042" s="19">
        <v>11</v>
      </c>
      <c r="G5042" s="18">
        <v>0.05</v>
      </c>
      <c r="H5042">
        <f>F5042*VLOOKUP(B5042,產品!$A$2:$H$61,7,FALSE)*(1-銷售總表!G5042)</f>
        <v>188100</v>
      </c>
      <c r="I5042" s="35">
        <f>H5042-F5042*VLOOKUP(銷售總表!B5042,產品!$A$2:$H$61,8,FALSE)</f>
        <v>59400</v>
      </c>
      <c r="J5042" s="20">
        <f t="shared" si="78"/>
        <v>0.31578947368421051</v>
      </c>
    </row>
    <row r="5043" spans="1:10" x14ac:dyDescent="0.3">
      <c r="A5043" s="33">
        <v>5042</v>
      </c>
      <c r="B5043" s="4">
        <v>21</v>
      </c>
      <c r="C5043" s="15">
        <v>7</v>
      </c>
      <c r="D5043" s="16">
        <v>1</v>
      </c>
      <c r="E5043" s="22">
        <v>44787</v>
      </c>
      <c r="F5043" s="19">
        <v>20</v>
      </c>
      <c r="G5043" s="18">
        <v>0.11</v>
      </c>
      <c r="H5043">
        <f>F5043*VLOOKUP(B5043,產品!$A$2:$H$61,7,FALSE)*(1-銷售總表!G5043)</f>
        <v>32040</v>
      </c>
      <c r="I5043" s="35">
        <f>H5043-F5043*VLOOKUP(銷售總表!B5043,產品!$A$2:$H$61,8,FALSE)</f>
        <v>17640</v>
      </c>
      <c r="J5043" s="20">
        <f t="shared" si="78"/>
        <v>0.550561797752809</v>
      </c>
    </row>
    <row r="5044" spans="1:10" x14ac:dyDescent="0.3">
      <c r="A5044" s="33">
        <v>5043</v>
      </c>
      <c r="B5044" s="4">
        <v>4</v>
      </c>
      <c r="C5044" s="15">
        <v>260</v>
      </c>
      <c r="D5044" s="16">
        <v>2</v>
      </c>
      <c r="E5044" s="22">
        <v>44787</v>
      </c>
      <c r="F5044" s="19">
        <v>20</v>
      </c>
      <c r="G5044" s="18">
        <v>0.16</v>
      </c>
      <c r="H5044">
        <f>F5044*VLOOKUP(B5044,產品!$A$2:$H$61,7,FALSE)*(1-銷售總表!G5044)</f>
        <v>16800</v>
      </c>
      <c r="I5044" s="35">
        <f>H5044-F5044*VLOOKUP(銷售總表!B5044,產品!$A$2:$H$61,8,FALSE)</f>
        <v>8800</v>
      </c>
      <c r="J5044" s="20">
        <f t="shared" si="78"/>
        <v>0.52380952380952384</v>
      </c>
    </row>
    <row r="5045" spans="1:10" x14ac:dyDescent="0.3">
      <c r="A5045" s="33">
        <v>5044</v>
      </c>
      <c r="B5045" s="4">
        <v>28</v>
      </c>
      <c r="C5045" s="15">
        <v>281</v>
      </c>
      <c r="D5045" s="16">
        <v>6</v>
      </c>
      <c r="E5045" s="22">
        <v>44788</v>
      </c>
      <c r="F5045" s="19">
        <v>4</v>
      </c>
      <c r="G5045" s="18">
        <v>0.09</v>
      </c>
      <c r="H5045">
        <f>F5045*VLOOKUP(B5045,產品!$A$2:$H$61,7,FALSE)*(1-銷售總表!G5045)</f>
        <v>27300</v>
      </c>
      <c r="I5045" s="35">
        <f>H5045-F5045*VLOOKUP(銷售總表!B5045,產品!$A$2:$H$61,8,FALSE)</f>
        <v>9300</v>
      </c>
      <c r="J5045" s="20">
        <f t="shared" si="78"/>
        <v>0.34065934065934067</v>
      </c>
    </row>
    <row r="5046" spans="1:10" x14ac:dyDescent="0.3">
      <c r="A5046" s="33">
        <v>5045</v>
      </c>
      <c r="B5046" s="4">
        <v>43</v>
      </c>
      <c r="C5046" s="15">
        <v>118</v>
      </c>
      <c r="D5046" s="16">
        <v>2</v>
      </c>
      <c r="E5046" s="22">
        <v>44788</v>
      </c>
      <c r="F5046" s="19">
        <v>7</v>
      </c>
      <c r="G5046" s="18">
        <v>0.16</v>
      </c>
      <c r="H5046">
        <f>F5046*VLOOKUP(B5046,產品!$A$2:$H$61,7,FALSE)*(1-銷售總表!G5046)</f>
        <v>105840</v>
      </c>
      <c r="I5046" s="35">
        <f>H5046-F5046*VLOOKUP(銷售總表!B5046,產品!$A$2:$H$61,8,FALSE)</f>
        <v>23940</v>
      </c>
      <c r="J5046" s="20">
        <f t="shared" si="78"/>
        <v>0.22619047619047619</v>
      </c>
    </row>
    <row r="5047" spans="1:10" x14ac:dyDescent="0.3">
      <c r="A5047" s="33">
        <v>5046</v>
      </c>
      <c r="B5047" s="4">
        <v>29</v>
      </c>
      <c r="C5047" s="15">
        <v>291</v>
      </c>
      <c r="D5047" s="16">
        <v>7</v>
      </c>
      <c r="E5047" s="22">
        <v>44788</v>
      </c>
      <c r="F5047" s="19">
        <v>10</v>
      </c>
      <c r="G5047" s="18">
        <v>0.15</v>
      </c>
      <c r="H5047">
        <f>F5047*VLOOKUP(B5047,產品!$A$2:$H$61,7,FALSE)*(1-銷售總表!G5047)</f>
        <v>51000</v>
      </c>
      <c r="I5047" s="35">
        <f>H5047-F5047*VLOOKUP(銷售總表!B5047,產品!$A$2:$H$61,8,FALSE)</f>
        <v>15000</v>
      </c>
      <c r="J5047" s="20">
        <f t="shared" si="78"/>
        <v>0.29411764705882354</v>
      </c>
    </row>
    <row r="5048" spans="1:10" x14ac:dyDescent="0.3">
      <c r="A5048" s="33">
        <v>5047</v>
      </c>
      <c r="B5048" s="4">
        <v>24</v>
      </c>
      <c r="C5048" s="15">
        <v>4</v>
      </c>
      <c r="D5048" s="16">
        <v>8</v>
      </c>
      <c r="E5048" s="22">
        <v>44788</v>
      </c>
      <c r="F5048" s="19">
        <v>20</v>
      </c>
      <c r="G5048" s="18">
        <v>0.18</v>
      </c>
      <c r="H5048">
        <f>F5048*VLOOKUP(B5048,產品!$A$2:$H$61,7,FALSE)*(1-銷售總表!G5048)</f>
        <v>29520.000000000004</v>
      </c>
      <c r="I5048" s="35">
        <f>H5048-F5048*VLOOKUP(銷售總表!B5048,產品!$A$2:$H$61,8,FALSE)</f>
        <v>15120.000000000004</v>
      </c>
      <c r="J5048" s="20">
        <f t="shared" si="78"/>
        <v>0.51219512195121952</v>
      </c>
    </row>
    <row r="5049" spans="1:10" x14ac:dyDescent="0.3">
      <c r="A5049" s="33">
        <v>5048</v>
      </c>
      <c r="B5049" s="4">
        <v>4</v>
      </c>
      <c r="C5049" s="15">
        <v>116</v>
      </c>
      <c r="D5049" s="16">
        <v>9</v>
      </c>
      <c r="E5049" s="22">
        <v>44788</v>
      </c>
      <c r="F5049" s="19">
        <v>50</v>
      </c>
      <c r="G5049" s="18">
        <v>0.2</v>
      </c>
      <c r="H5049">
        <f>F5049*VLOOKUP(B5049,產品!$A$2:$H$61,7,FALSE)*(1-銷售總表!G5049)</f>
        <v>40000</v>
      </c>
      <c r="I5049" s="35">
        <f>H5049-F5049*VLOOKUP(銷售總表!B5049,產品!$A$2:$H$61,8,FALSE)</f>
        <v>20000</v>
      </c>
      <c r="J5049" s="20">
        <f t="shared" si="78"/>
        <v>0.5</v>
      </c>
    </row>
    <row r="5050" spans="1:10" x14ac:dyDescent="0.3">
      <c r="A5050" s="33">
        <v>5049</v>
      </c>
      <c r="B5050" s="4">
        <v>9</v>
      </c>
      <c r="C5050" s="15">
        <v>11</v>
      </c>
      <c r="D5050" s="16">
        <v>9</v>
      </c>
      <c r="E5050" s="22">
        <v>44788</v>
      </c>
      <c r="F5050" s="19">
        <v>70</v>
      </c>
      <c r="G5050" s="18">
        <v>0.18</v>
      </c>
      <c r="H5050">
        <f>F5050*VLOOKUP(B5050,產品!$A$2:$H$61,7,FALSE)*(1-銷售總表!G5050)</f>
        <v>57400.000000000007</v>
      </c>
      <c r="I5050" s="35">
        <f>H5050-F5050*VLOOKUP(銷售總表!B5050,產品!$A$2:$H$61,8,FALSE)</f>
        <v>29400.000000000007</v>
      </c>
      <c r="J5050" s="20">
        <f t="shared" si="78"/>
        <v>0.51219512195121952</v>
      </c>
    </row>
    <row r="5051" spans="1:10" x14ac:dyDescent="0.3">
      <c r="A5051" s="33">
        <v>5050</v>
      </c>
      <c r="B5051" s="4">
        <v>54</v>
      </c>
      <c r="C5051" s="15">
        <v>272</v>
      </c>
      <c r="D5051" s="16">
        <v>8</v>
      </c>
      <c r="E5051" s="22">
        <v>44789</v>
      </c>
      <c r="F5051" s="19">
        <v>3</v>
      </c>
      <c r="G5051" s="18">
        <v>0.09</v>
      </c>
      <c r="H5051">
        <f>F5051*VLOOKUP(B5051,產品!$A$2:$H$61,7,FALSE)*(1-銷售總表!G5051)</f>
        <v>49140</v>
      </c>
      <c r="I5051" s="35">
        <f>H5051-F5051*VLOOKUP(銷售總表!B5051,產品!$A$2:$H$61,8,FALSE)</f>
        <v>11340</v>
      </c>
      <c r="J5051" s="20">
        <f t="shared" si="78"/>
        <v>0.23076923076923078</v>
      </c>
    </row>
    <row r="5052" spans="1:10" x14ac:dyDescent="0.3">
      <c r="A5052" s="33">
        <v>5051</v>
      </c>
      <c r="B5052" s="4">
        <v>35</v>
      </c>
      <c r="C5052" s="15">
        <v>274</v>
      </c>
      <c r="D5052" s="16">
        <v>1</v>
      </c>
      <c r="E5052" s="23">
        <v>44789</v>
      </c>
      <c r="F5052">
        <v>5</v>
      </c>
      <c r="G5052" s="20">
        <v>0.09</v>
      </c>
      <c r="H5052">
        <f>F5052*VLOOKUP(B5052,產品!$A$2:$H$61,7,FALSE)*(1-銷售總表!G5052)</f>
        <v>38675</v>
      </c>
      <c r="I5052" s="35">
        <f>H5052-F5052*VLOOKUP(銷售總表!B5052,產品!$A$2:$H$61,8,FALSE)</f>
        <v>13175</v>
      </c>
      <c r="J5052" s="20">
        <f t="shared" si="78"/>
        <v>0.34065934065934067</v>
      </c>
    </row>
    <row r="5053" spans="1:10" x14ac:dyDescent="0.3">
      <c r="A5053" s="33">
        <v>5052</v>
      </c>
      <c r="B5053" s="4">
        <v>44</v>
      </c>
      <c r="C5053" s="15">
        <v>116</v>
      </c>
      <c r="D5053" s="16">
        <v>8</v>
      </c>
      <c r="E5053" s="23">
        <v>44789</v>
      </c>
      <c r="F5053">
        <v>8</v>
      </c>
      <c r="G5053" s="20">
        <v>0.18</v>
      </c>
      <c r="H5053">
        <f>F5053*VLOOKUP(B5053,產品!$A$2:$H$61,7,FALSE)*(1-銷售總表!G5053)</f>
        <v>131200</v>
      </c>
      <c r="I5053" s="35">
        <f>H5053-F5053*VLOOKUP(銷售總表!B5053,產品!$A$2:$H$61,8,FALSE)</f>
        <v>27200</v>
      </c>
      <c r="J5053" s="20">
        <f t="shared" si="78"/>
        <v>0.2073170731707317</v>
      </c>
    </row>
    <row r="5054" spans="1:10" x14ac:dyDescent="0.3">
      <c r="A5054" s="33">
        <v>5053</v>
      </c>
      <c r="B5054" s="4">
        <v>41</v>
      </c>
      <c r="C5054" s="15">
        <v>122</v>
      </c>
      <c r="D5054" s="16">
        <v>9</v>
      </c>
      <c r="E5054" s="22">
        <v>44789</v>
      </c>
      <c r="F5054" s="19">
        <v>9</v>
      </c>
      <c r="G5054" s="18">
        <v>0.16</v>
      </c>
      <c r="H5054">
        <f>F5054*VLOOKUP(B5054,產品!$A$2:$H$61,7,FALSE)*(1-銷售總表!G5054)</f>
        <v>90720</v>
      </c>
      <c r="I5054" s="35">
        <f>H5054-F5054*VLOOKUP(銷售總表!B5054,產品!$A$2:$H$61,8,FALSE)</f>
        <v>20520</v>
      </c>
      <c r="J5054" s="20">
        <f t="shared" si="78"/>
        <v>0.22619047619047619</v>
      </c>
    </row>
    <row r="5055" spans="1:10" x14ac:dyDescent="0.3">
      <c r="A5055" s="33">
        <v>5054</v>
      </c>
      <c r="B5055" s="4">
        <v>6</v>
      </c>
      <c r="C5055" s="15">
        <v>113</v>
      </c>
      <c r="D5055" s="16">
        <v>2</v>
      </c>
      <c r="E5055" s="22">
        <v>44789</v>
      </c>
      <c r="F5055" s="19">
        <v>13</v>
      </c>
      <c r="G5055" s="18">
        <v>0.15</v>
      </c>
      <c r="H5055">
        <f>F5055*VLOOKUP(B5055,產品!$A$2:$H$61,7,FALSE)*(1-銷售總表!G5055)</f>
        <v>11050</v>
      </c>
      <c r="I5055" s="35">
        <f>H5055-F5055*VLOOKUP(銷售總表!B5055,產品!$A$2:$H$61,8,FALSE)</f>
        <v>5850</v>
      </c>
      <c r="J5055" s="20">
        <f t="shared" si="78"/>
        <v>0.52941176470588236</v>
      </c>
    </row>
    <row r="5056" spans="1:10" x14ac:dyDescent="0.3">
      <c r="A5056" s="33">
        <v>5055</v>
      </c>
      <c r="B5056" s="4">
        <v>56</v>
      </c>
      <c r="C5056" s="15">
        <v>113</v>
      </c>
      <c r="D5056" s="16">
        <v>3</v>
      </c>
      <c r="E5056" s="22">
        <v>44789</v>
      </c>
      <c r="F5056" s="19">
        <v>15</v>
      </c>
      <c r="G5056" s="18">
        <v>0.15</v>
      </c>
      <c r="H5056">
        <f>F5056*VLOOKUP(B5056,產品!$A$2:$H$61,7,FALSE)*(1-銷售總表!G5056)</f>
        <v>280500</v>
      </c>
      <c r="I5056" s="35">
        <f>H5056-F5056*VLOOKUP(銷售總表!B5056,產品!$A$2:$H$61,8,FALSE)</f>
        <v>49500.000000000029</v>
      </c>
      <c r="J5056" s="20">
        <f t="shared" si="78"/>
        <v>0.17647058823529421</v>
      </c>
    </row>
    <row r="5057" spans="1:10" x14ac:dyDescent="0.3">
      <c r="A5057" s="33">
        <v>5056</v>
      </c>
      <c r="B5057" s="4">
        <v>22</v>
      </c>
      <c r="C5057" s="15">
        <v>117</v>
      </c>
      <c r="D5057" s="16">
        <v>2</v>
      </c>
      <c r="E5057" s="22">
        <v>44789</v>
      </c>
      <c r="F5057" s="19">
        <v>15</v>
      </c>
      <c r="G5057" s="18">
        <v>0.11</v>
      </c>
      <c r="H5057">
        <f>F5057*VLOOKUP(B5057,產品!$A$2:$H$61,7,FALSE)*(1-銷售總表!G5057)</f>
        <v>24030</v>
      </c>
      <c r="I5057" s="35">
        <f>H5057-F5057*VLOOKUP(銷售總表!B5057,產品!$A$2:$H$61,8,FALSE)</f>
        <v>13230</v>
      </c>
      <c r="J5057" s="20">
        <f t="shared" si="78"/>
        <v>0.550561797752809</v>
      </c>
    </row>
    <row r="5058" spans="1:10" x14ac:dyDescent="0.3">
      <c r="A5058" s="33">
        <v>5057</v>
      </c>
      <c r="B5058" s="4">
        <v>13</v>
      </c>
      <c r="C5058" s="15">
        <v>121</v>
      </c>
      <c r="D5058" s="16">
        <v>6</v>
      </c>
      <c r="E5058" s="22">
        <v>44789</v>
      </c>
      <c r="F5058" s="19">
        <v>80</v>
      </c>
      <c r="G5058" s="18">
        <v>0.19</v>
      </c>
      <c r="H5058">
        <f>F5058*VLOOKUP(B5058,產品!$A$2:$H$61,7,FALSE)*(1-銷售總表!G5058)</f>
        <v>116640.00000000001</v>
      </c>
      <c r="I5058" s="35">
        <f>H5058-F5058*VLOOKUP(銷售總表!B5058,產品!$A$2:$H$61,8,FALSE)</f>
        <v>59040.000000000015</v>
      </c>
      <c r="J5058" s="20">
        <f t="shared" si="78"/>
        <v>0.50617283950617287</v>
      </c>
    </row>
    <row r="5059" spans="1:10" x14ac:dyDescent="0.3">
      <c r="A5059" s="33">
        <v>5058</v>
      </c>
      <c r="B5059" s="4">
        <v>3</v>
      </c>
      <c r="C5059" s="15">
        <v>6</v>
      </c>
      <c r="D5059" s="16">
        <v>8</v>
      </c>
      <c r="E5059" s="23">
        <v>44789</v>
      </c>
      <c r="F5059">
        <v>80</v>
      </c>
      <c r="G5059" s="20">
        <v>0.19</v>
      </c>
      <c r="H5059">
        <f>F5059*VLOOKUP(B5059,產品!$A$2:$H$61,7,FALSE)*(1-銷售總表!G5059)</f>
        <v>64800.000000000007</v>
      </c>
      <c r="I5059" s="35">
        <f>H5059-F5059*VLOOKUP(銷售總表!B5059,產品!$A$2:$H$61,8,FALSE)</f>
        <v>32800.000000000007</v>
      </c>
      <c r="J5059" s="20">
        <f t="shared" ref="J5059:J5122" si="79">I5059/H5059</f>
        <v>0.50617283950617287</v>
      </c>
    </row>
    <row r="5060" spans="1:10" x14ac:dyDescent="0.3">
      <c r="A5060" s="33">
        <v>5059</v>
      </c>
      <c r="B5060" s="4">
        <v>16</v>
      </c>
      <c r="C5060" s="15">
        <v>10</v>
      </c>
      <c r="D5060" s="16">
        <v>9</v>
      </c>
      <c r="E5060" s="22">
        <v>44789</v>
      </c>
      <c r="F5060" s="19">
        <v>100</v>
      </c>
      <c r="G5060" s="18">
        <v>0.14000000000000001</v>
      </c>
      <c r="H5060">
        <f>F5060*VLOOKUP(B5060,產品!$A$2:$H$61,7,FALSE)*(1-銷售總表!G5060)</f>
        <v>154800</v>
      </c>
      <c r="I5060" s="35">
        <f>H5060-F5060*VLOOKUP(銷售總表!B5060,產品!$A$2:$H$61,8,FALSE)</f>
        <v>82800</v>
      </c>
      <c r="J5060" s="20">
        <f t="shared" si="79"/>
        <v>0.53488372093023251</v>
      </c>
    </row>
    <row r="5061" spans="1:10" x14ac:dyDescent="0.3">
      <c r="A5061" s="33">
        <v>5060</v>
      </c>
      <c r="B5061" s="4">
        <v>56</v>
      </c>
      <c r="C5061" s="15">
        <v>257</v>
      </c>
      <c r="D5061" s="16">
        <v>3</v>
      </c>
      <c r="E5061" s="22">
        <v>44790</v>
      </c>
      <c r="F5061" s="19">
        <v>2</v>
      </c>
      <c r="G5061" s="18">
        <v>0.05</v>
      </c>
      <c r="H5061">
        <f>F5061*VLOOKUP(B5061,產品!$A$2:$H$61,7,FALSE)*(1-銷售總表!G5061)</f>
        <v>41800</v>
      </c>
      <c r="I5061" s="35">
        <f>H5061-F5061*VLOOKUP(銷售總表!B5061,產品!$A$2:$H$61,8,FALSE)</f>
        <v>11000.000000000004</v>
      </c>
      <c r="J5061" s="20">
        <f t="shared" si="79"/>
        <v>0.2631578947368422</v>
      </c>
    </row>
    <row r="5062" spans="1:10" x14ac:dyDescent="0.3">
      <c r="A5062" s="33">
        <v>5061</v>
      </c>
      <c r="B5062" s="4">
        <v>28</v>
      </c>
      <c r="C5062" s="15">
        <v>118</v>
      </c>
      <c r="D5062" s="16">
        <v>7</v>
      </c>
      <c r="E5062" s="22">
        <v>44790</v>
      </c>
      <c r="F5062" s="19">
        <v>2</v>
      </c>
      <c r="G5062" s="18">
        <v>7.0000000000000007E-2</v>
      </c>
      <c r="H5062">
        <f>F5062*VLOOKUP(B5062,產品!$A$2:$H$61,7,FALSE)*(1-銷售總表!G5062)</f>
        <v>13949.999999999998</v>
      </c>
      <c r="I5062" s="35">
        <f>H5062-F5062*VLOOKUP(銷售總表!B5062,產品!$A$2:$H$61,8,FALSE)</f>
        <v>4949.9999999999982</v>
      </c>
      <c r="J5062" s="20">
        <f t="shared" si="79"/>
        <v>0.35483870967741926</v>
      </c>
    </row>
    <row r="5063" spans="1:10" x14ac:dyDescent="0.3">
      <c r="A5063" s="33">
        <v>5062</v>
      </c>
      <c r="B5063" s="4">
        <v>54</v>
      </c>
      <c r="C5063" s="15">
        <v>263</v>
      </c>
      <c r="D5063" s="16">
        <v>2</v>
      </c>
      <c r="E5063" s="22">
        <v>44790</v>
      </c>
      <c r="F5063" s="19">
        <v>3</v>
      </c>
      <c r="G5063" s="18">
        <v>0.16</v>
      </c>
      <c r="H5063">
        <f>F5063*VLOOKUP(B5063,產品!$A$2:$H$61,7,FALSE)*(1-銷售總表!G5063)</f>
        <v>45360</v>
      </c>
      <c r="I5063" s="35">
        <f>H5063-F5063*VLOOKUP(銷售總表!B5063,產品!$A$2:$H$61,8,FALSE)</f>
        <v>7560</v>
      </c>
      <c r="J5063" s="20">
        <f t="shared" si="79"/>
        <v>0.16666666666666666</v>
      </c>
    </row>
    <row r="5064" spans="1:10" x14ac:dyDescent="0.3">
      <c r="A5064" s="33">
        <v>5063</v>
      </c>
      <c r="B5064" s="4">
        <v>39</v>
      </c>
      <c r="C5064" s="15">
        <v>1</v>
      </c>
      <c r="D5064" s="16">
        <v>8</v>
      </c>
      <c r="E5064" s="22">
        <v>44790</v>
      </c>
      <c r="F5064" s="19">
        <v>6</v>
      </c>
      <c r="G5064" s="18">
        <v>7.0000000000000007E-2</v>
      </c>
      <c r="H5064">
        <f>F5064*VLOOKUP(B5064,產品!$A$2:$H$61,7,FALSE)*(1-銷售總表!G5064)</f>
        <v>100440</v>
      </c>
      <c r="I5064" s="35">
        <f>H5064-F5064*VLOOKUP(銷售總表!B5064,產品!$A$2:$H$61,8,FALSE)</f>
        <v>30240</v>
      </c>
      <c r="J5064" s="20">
        <f t="shared" si="79"/>
        <v>0.30107526881720431</v>
      </c>
    </row>
    <row r="5065" spans="1:10" x14ac:dyDescent="0.3">
      <c r="A5065" s="33">
        <v>5064</v>
      </c>
      <c r="B5065" s="4">
        <v>60</v>
      </c>
      <c r="C5065" s="15">
        <v>116</v>
      </c>
      <c r="D5065" s="16">
        <v>7</v>
      </c>
      <c r="E5065" s="22">
        <v>44790</v>
      </c>
      <c r="F5065" s="19">
        <v>8</v>
      </c>
      <c r="G5065" s="18">
        <v>0.14000000000000001</v>
      </c>
      <c r="H5065">
        <f>F5065*VLOOKUP(B5065,產品!$A$2:$H$61,7,FALSE)*(1-銷售總表!G5065)</f>
        <v>172000</v>
      </c>
      <c r="I5065" s="35">
        <f>H5065-F5065*VLOOKUP(銷售總表!B5065,產品!$A$2:$H$61,8,FALSE)</f>
        <v>32000</v>
      </c>
      <c r="J5065" s="20">
        <f t="shared" si="79"/>
        <v>0.18604651162790697</v>
      </c>
    </row>
    <row r="5066" spans="1:10" x14ac:dyDescent="0.3">
      <c r="A5066" s="33">
        <v>5065</v>
      </c>
      <c r="B5066" s="4">
        <v>43</v>
      </c>
      <c r="C5066" s="15">
        <v>112</v>
      </c>
      <c r="D5066" s="16">
        <v>7</v>
      </c>
      <c r="E5066" s="22">
        <v>44790</v>
      </c>
      <c r="F5066" s="19">
        <v>8</v>
      </c>
      <c r="G5066" s="18">
        <v>0.18</v>
      </c>
      <c r="H5066">
        <f>F5066*VLOOKUP(B5066,產品!$A$2:$H$61,7,FALSE)*(1-銷售總表!G5066)</f>
        <v>118080.00000000001</v>
      </c>
      <c r="I5066" s="35">
        <f>H5066-F5066*VLOOKUP(銷售總表!B5066,產品!$A$2:$H$61,8,FALSE)</f>
        <v>24480.000000000015</v>
      </c>
      <c r="J5066" s="20">
        <f t="shared" si="79"/>
        <v>0.20731707317073181</v>
      </c>
    </row>
    <row r="5067" spans="1:10" x14ac:dyDescent="0.3">
      <c r="A5067" s="33">
        <v>5066</v>
      </c>
      <c r="B5067" s="4">
        <v>9</v>
      </c>
      <c r="C5067" s="15">
        <v>5</v>
      </c>
      <c r="D5067" s="16">
        <v>4</v>
      </c>
      <c r="E5067" s="22">
        <v>44790</v>
      </c>
      <c r="F5067" s="19">
        <v>12</v>
      </c>
      <c r="G5067" s="18">
        <v>0.14000000000000001</v>
      </c>
      <c r="H5067">
        <f>F5067*VLOOKUP(B5067,產品!$A$2:$H$61,7,FALSE)*(1-銷售總表!G5067)</f>
        <v>10320</v>
      </c>
      <c r="I5067" s="35">
        <f>H5067-F5067*VLOOKUP(銷售總表!B5067,產品!$A$2:$H$61,8,FALSE)</f>
        <v>5520</v>
      </c>
      <c r="J5067" s="20">
        <f t="shared" si="79"/>
        <v>0.53488372093023251</v>
      </c>
    </row>
    <row r="5068" spans="1:10" x14ac:dyDescent="0.3">
      <c r="A5068" s="33">
        <v>5067</v>
      </c>
      <c r="B5068" s="4">
        <v>31</v>
      </c>
      <c r="C5068" s="15">
        <v>268</v>
      </c>
      <c r="D5068" s="16">
        <v>4</v>
      </c>
      <c r="E5068" s="22">
        <v>44791</v>
      </c>
      <c r="F5068" s="19">
        <v>5</v>
      </c>
      <c r="G5068" s="18">
        <v>0.2</v>
      </c>
      <c r="H5068">
        <f>F5068*VLOOKUP(B5068,產品!$A$2:$H$61,7,FALSE)*(1-銷售總表!G5068)</f>
        <v>28000</v>
      </c>
      <c r="I5068" s="35">
        <f>H5068-F5068*VLOOKUP(銷售總表!B5068,產品!$A$2:$H$61,8,FALSE)</f>
        <v>7000</v>
      </c>
      <c r="J5068" s="20">
        <f t="shared" si="79"/>
        <v>0.25</v>
      </c>
    </row>
    <row r="5069" spans="1:10" x14ac:dyDescent="0.3">
      <c r="A5069" s="33">
        <v>5068</v>
      </c>
      <c r="B5069" s="4">
        <v>40</v>
      </c>
      <c r="C5069" s="15">
        <v>1</v>
      </c>
      <c r="D5069" s="16">
        <v>1</v>
      </c>
      <c r="E5069" s="22">
        <v>44791</v>
      </c>
      <c r="F5069" s="19">
        <v>7</v>
      </c>
      <c r="G5069" s="18">
        <v>0.08</v>
      </c>
      <c r="H5069">
        <f>F5069*VLOOKUP(B5069,產品!$A$2:$H$61,7,FALSE)*(1-銷售總表!G5069)</f>
        <v>128800</v>
      </c>
      <c r="I5069" s="35">
        <f>H5069-F5069*VLOOKUP(銷售總表!B5069,產品!$A$2:$H$61,8,FALSE)</f>
        <v>37800</v>
      </c>
      <c r="J5069" s="20">
        <f t="shared" si="79"/>
        <v>0.29347826086956524</v>
      </c>
    </row>
    <row r="5070" spans="1:10" x14ac:dyDescent="0.3">
      <c r="A5070" s="33">
        <v>5069</v>
      </c>
      <c r="B5070" s="4">
        <v>39</v>
      </c>
      <c r="C5070" s="15">
        <v>12</v>
      </c>
      <c r="D5070" s="16">
        <v>6</v>
      </c>
      <c r="E5070" s="22">
        <v>44791</v>
      </c>
      <c r="F5070" s="19">
        <v>12</v>
      </c>
      <c r="G5070" s="18">
        <v>0.17</v>
      </c>
      <c r="H5070">
        <f>F5070*VLOOKUP(B5070,產品!$A$2:$H$61,7,FALSE)*(1-銷售總表!G5070)</f>
        <v>179280</v>
      </c>
      <c r="I5070" s="35">
        <f>H5070-F5070*VLOOKUP(銷售總表!B5070,產品!$A$2:$H$61,8,FALSE)</f>
        <v>38880</v>
      </c>
      <c r="J5070" s="20">
        <f t="shared" si="79"/>
        <v>0.21686746987951808</v>
      </c>
    </row>
    <row r="5071" spans="1:10" x14ac:dyDescent="0.3">
      <c r="A5071" s="33">
        <v>5070</v>
      </c>
      <c r="B5071" s="4">
        <v>24</v>
      </c>
      <c r="C5071" s="15">
        <v>126</v>
      </c>
      <c r="D5071" s="16">
        <v>6</v>
      </c>
      <c r="E5071" s="22">
        <v>44791</v>
      </c>
      <c r="F5071" s="19">
        <v>40</v>
      </c>
      <c r="G5071" s="18">
        <v>0.06</v>
      </c>
      <c r="H5071">
        <f>F5071*VLOOKUP(B5071,產品!$A$2:$H$61,7,FALSE)*(1-銷售總表!G5071)</f>
        <v>67680</v>
      </c>
      <c r="I5071" s="35">
        <f>H5071-F5071*VLOOKUP(銷售總表!B5071,產品!$A$2:$H$61,8,FALSE)</f>
        <v>38880</v>
      </c>
      <c r="J5071" s="20">
        <f t="shared" si="79"/>
        <v>0.57446808510638303</v>
      </c>
    </row>
    <row r="5072" spans="1:10" x14ac:dyDescent="0.3">
      <c r="A5072" s="33">
        <v>5071</v>
      </c>
      <c r="B5072" s="4">
        <v>8</v>
      </c>
      <c r="C5072" s="15">
        <v>1</v>
      </c>
      <c r="D5072" s="16">
        <v>4</v>
      </c>
      <c r="E5072" s="22">
        <v>44791</v>
      </c>
      <c r="F5072" s="19">
        <v>105</v>
      </c>
      <c r="G5072" s="18">
        <v>0.14000000000000001</v>
      </c>
      <c r="H5072">
        <f>F5072*VLOOKUP(B5072,產品!$A$2:$H$61,7,FALSE)*(1-銷售總表!G5072)</f>
        <v>90300</v>
      </c>
      <c r="I5072" s="35">
        <f>H5072-F5072*VLOOKUP(銷售總表!B5072,產品!$A$2:$H$61,8,FALSE)</f>
        <v>48300</v>
      </c>
      <c r="J5072" s="20">
        <f t="shared" si="79"/>
        <v>0.53488372093023251</v>
      </c>
    </row>
    <row r="5073" spans="1:10" x14ac:dyDescent="0.3">
      <c r="A5073" s="33">
        <v>5072</v>
      </c>
      <c r="B5073" s="4">
        <v>36</v>
      </c>
      <c r="C5073" s="15">
        <v>266</v>
      </c>
      <c r="D5073" s="16">
        <v>6</v>
      </c>
      <c r="E5073" s="22">
        <v>44792</v>
      </c>
      <c r="F5073" s="19">
        <v>2</v>
      </c>
      <c r="G5073" s="18">
        <v>7.0000000000000007E-2</v>
      </c>
      <c r="H5073">
        <f>F5073*VLOOKUP(B5073,產品!$A$2:$H$61,7,FALSE)*(1-銷售總表!G5073)</f>
        <v>16740</v>
      </c>
      <c r="I5073" s="35">
        <f>H5073-F5073*VLOOKUP(銷售總表!B5073,產品!$A$2:$H$61,8,FALSE)</f>
        <v>5940</v>
      </c>
      <c r="J5073" s="20">
        <f t="shared" si="79"/>
        <v>0.35483870967741937</v>
      </c>
    </row>
    <row r="5074" spans="1:10" x14ac:dyDescent="0.3">
      <c r="A5074" s="33">
        <v>5073</v>
      </c>
      <c r="B5074" s="4">
        <v>27</v>
      </c>
      <c r="C5074" s="15">
        <v>268</v>
      </c>
      <c r="D5074" s="16">
        <v>6</v>
      </c>
      <c r="E5074" s="22">
        <v>44792</v>
      </c>
      <c r="F5074" s="19">
        <v>2</v>
      </c>
      <c r="G5074" s="18">
        <v>0.19</v>
      </c>
      <c r="H5074">
        <f>F5074*VLOOKUP(B5074,產品!$A$2:$H$61,7,FALSE)*(1-銷售總表!G5074)</f>
        <v>11340</v>
      </c>
      <c r="I5074" s="35">
        <f>H5074-F5074*VLOOKUP(銷售總表!B5074,產品!$A$2:$H$61,8,FALSE)</f>
        <v>2940</v>
      </c>
      <c r="J5074" s="20">
        <f t="shared" si="79"/>
        <v>0.25925925925925924</v>
      </c>
    </row>
    <row r="5075" spans="1:10" x14ac:dyDescent="0.3">
      <c r="A5075" s="33">
        <v>5074</v>
      </c>
      <c r="B5075" s="4">
        <v>42</v>
      </c>
      <c r="C5075" s="15">
        <v>11</v>
      </c>
      <c r="D5075" s="16">
        <v>7</v>
      </c>
      <c r="E5075" s="22">
        <v>44792</v>
      </c>
      <c r="F5075" s="19">
        <v>4</v>
      </c>
      <c r="G5075" s="18">
        <v>0.2</v>
      </c>
      <c r="H5075">
        <f>F5075*VLOOKUP(B5075,產品!$A$2:$H$61,7,FALSE)*(1-銷售總表!G5075)</f>
        <v>48000</v>
      </c>
      <c r="I5075" s="35">
        <f>H5075-F5075*VLOOKUP(銷售總表!B5075,產品!$A$2:$H$61,8,FALSE)</f>
        <v>9000</v>
      </c>
      <c r="J5075" s="20">
        <f t="shared" si="79"/>
        <v>0.1875</v>
      </c>
    </row>
    <row r="5076" spans="1:10" x14ac:dyDescent="0.3">
      <c r="A5076" s="33">
        <v>5075</v>
      </c>
      <c r="B5076" s="4">
        <v>35</v>
      </c>
      <c r="C5076" s="15">
        <v>274</v>
      </c>
      <c r="D5076" s="16">
        <v>7</v>
      </c>
      <c r="E5076" s="22">
        <v>44792</v>
      </c>
      <c r="F5076" s="19">
        <v>8</v>
      </c>
      <c r="G5076" s="18">
        <v>0.13</v>
      </c>
      <c r="H5076">
        <f>F5076*VLOOKUP(B5076,產品!$A$2:$H$61,7,FALSE)*(1-銷售總表!G5076)</f>
        <v>59160</v>
      </c>
      <c r="I5076" s="35">
        <f>H5076-F5076*VLOOKUP(銷售總表!B5076,產品!$A$2:$H$61,8,FALSE)</f>
        <v>18360</v>
      </c>
      <c r="J5076" s="20">
        <f t="shared" si="79"/>
        <v>0.31034482758620691</v>
      </c>
    </row>
    <row r="5077" spans="1:10" x14ac:dyDescent="0.3">
      <c r="A5077" s="33">
        <v>5076</v>
      </c>
      <c r="B5077" s="4">
        <v>45</v>
      </c>
      <c r="C5077" s="15">
        <v>115</v>
      </c>
      <c r="D5077" s="16">
        <v>9</v>
      </c>
      <c r="E5077" s="23">
        <v>44792</v>
      </c>
      <c r="F5077">
        <v>9</v>
      </c>
      <c r="G5077" s="20">
        <v>0.08</v>
      </c>
      <c r="H5077">
        <f>F5077*VLOOKUP(B5077,產品!$A$2:$H$61,7,FALSE)*(1-銷售總表!G5077)</f>
        <v>115920</v>
      </c>
      <c r="I5077" s="35">
        <f>H5077-F5077*VLOOKUP(銷售總表!B5077,產品!$A$2:$H$61,8,FALSE)</f>
        <v>34020</v>
      </c>
      <c r="J5077" s="20">
        <f t="shared" si="79"/>
        <v>0.29347826086956524</v>
      </c>
    </row>
    <row r="5078" spans="1:10" x14ac:dyDescent="0.3">
      <c r="A5078" s="33">
        <v>5077</v>
      </c>
      <c r="B5078" s="4">
        <v>37</v>
      </c>
      <c r="C5078" s="15">
        <v>6</v>
      </c>
      <c r="D5078" s="16">
        <v>10</v>
      </c>
      <c r="E5078" s="22">
        <v>44792</v>
      </c>
      <c r="F5078" s="19">
        <v>17</v>
      </c>
      <c r="G5078" s="18">
        <v>0.19</v>
      </c>
      <c r="H5078">
        <f>F5078*VLOOKUP(B5078,產品!$A$2:$H$61,7,FALSE)*(1-銷售總表!G5078)</f>
        <v>165240</v>
      </c>
      <c r="I5078" s="35">
        <f>H5078-F5078*VLOOKUP(銷售總表!B5078,產品!$A$2:$H$61,8,FALSE)</f>
        <v>32640</v>
      </c>
      <c r="J5078" s="20">
        <f t="shared" si="79"/>
        <v>0.19753086419753085</v>
      </c>
    </row>
    <row r="5079" spans="1:10" x14ac:dyDescent="0.3">
      <c r="A5079" s="33">
        <v>5078</v>
      </c>
      <c r="B5079" s="4">
        <v>24</v>
      </c>
      <c r="C5079" s="15">
        <v>259</v>
      </c>
      <c r="D5079" s="16">
        <v>9</v>
      </c>
      <c r="E5079" s="22">
        <v>44792</v>
      </c>
      <c r="F5079" s="19">
        <v>90</v>
      </c>
      <c r="G5079" s="18">
        <v>0.17</v>
      </c>
      <c r="H5079">
        <f>F5079*VLOOKUP(B5079,產品!$A$2:$H$61,7,FALSE)*(1-銷售總表!G5079)</f>
        <v>134460</v>
      </c>
      <c r="I5079" s="35">
        <f>H5079-F5079*VLOOKUP(銷售總表!B5079,產品!$A$2:$H$61,8,FALSE)</f>
        <v>69660</v>
      </c>
      <c r="J5079" s="20">
        <f t="shared" si="79"/>
        <v>0.51807228915662651</v>
      </c>
    </row>
    <row r="5080" spans="1:10" x14ac:dyDescent="0.3">
      <c r="A5080" s="33">
        <v>5079</v>
      </c>
      <c r="B5080" s="4">
        <v>17</v>
      </c>
      <c r="C5080" s="15">
        <v>11</v>
      </c>
      <c r="D5080" s="16">
        <v>5</v>
      </c>
      <c r="E5080" s="22">
        <v>44792</v>
      </c>
      <c r="F5080" s="19">
        <v>120</v>
      </c>
      <c r="G5080" s="18">
        <v>0.12</v>
      </c>
      <c r="H5080">
        <f>F5080*VLOOKUP(B5080,產品!$A$2:$H$61,7,FALSE)*(1-銷售總表!G5080)</f>
        <v>190080</v>
      </c>
      <c r="I5080" s="35">
        <f>H5080-F5080*VLOOKUP(銷售總表!B5080,產品!$A$2:$H$61,8,FALSE)</f>
        <v>103680</v>
      </c>
      <c r="J5080" s="20">
        <f t="shared" si="79"/>
        <v>0.54545454545454541</v>
      </c>
    </row>
    <row r="5081" spans="1:10" x14ac:dyDescent="0.3">
      <c r="A5081" s="33">
        <v>5080</v>
      </c>
      <c r="B5081" s="4">
        <v>29</v>
      </c>
      <c r="C5081" s="15">
        <v>258</v>
      </c>
      <c r="D5081" s="16">
        <v>6</v>
      </c>
      <c r="E5081" s="22">
        <v>44793</v>
      </c>
      <c r="F5081" s="19">
        <v>9</v>
      </c>
      <c r="G5081" s="18">
        <v>0.17</v>
      </c>
      <c r="H5081">
        <f>F5081*VLOOKUP(B5081,產品!$A$2:$H$61,7,FALSE)*(1-銷售總表!G5081)</f>
        <v>44820</v>
      </c>
      <c r="I5081" s="35">
        <f>H5081-F5081*VLOOKUP(銷售總表!B5081,產品!$A$2:$H$61,8,FALSE)</f>
        <v>12420</v>
      </c>
      <c r="J5081" s="20">
        <f t="shared" si="79"/>
        <v>0.27710843373493976</v>
      </c>
    </row>
    <row r="5082" spans="1:10" x14ac:dyDescent="0.3">
      <c r="A5082" s="33">
        <v>5081</v>
      </c>
      <c r="B5082" s="4">
        <v>21</v>
      </c>
      <c r="C5082" s="15">
        <v>124</v>
      </c>
      <c r="D5082" s="16">
        <v>10</v>
      </c>
      <c r="E5082" s="22">
        <v>44793</v>
      </c>
      <c r="F5082" s="19">
        <v>30</v>
      </c>
      <c r="G5082" s="18">
        <v>7.0000000000000007E-2</v>
      </c>
      <c r="H5082">
        <f>F5082*VLOOKUP(B5082,產品!$A$2:$H$61,7,FALSE)*(1-銷售總表!G5082)</f>
        <v>50220</v>
      </c>
      <c r="I5082" s="35">
        <f>H5082-F5082*VLOOKUP(銷售總表!B5082,產品!$A$2:$H$61,8,FALSE)</f>
        <v>28620</v>
      </c>
      <c r="J5082" s="20">
        <f t="shared" si="79"/>
        <v>0.56989247311827962</v>
      </c>
    </row>
    <row r="5083" spans="1:10" x14ac:dyDescent="0.3">
      <c r="A5083" s="33">
        <v>5082</v>
      </c>
      <c r="B5083" s="4">
        <v>14</v>
      </c>
      <c r="C5083" s="15">
        <v>119</v>
      </c>
      <c r="D5083" s="16">
        <v>6</v>
      </c>
      <c r="E5083" s="22">
        <v>44793</v>
      </c>
      <c r="F5083" s="19">
        <v>50</v>
      </c>
      <c r="G5083" s="18">
        <v>0.16</v>
      </c>
      <c r="H5083">
        <f>F5083*VLOOKUP(B5083,產品!$A$2:$H$61,7,FALSE)*(1-銷售總表!G5083)</f>
        <v>75600</v>
      </c>
      <c r="I5083" s="35">
        <f>H5083-F5083*VLOOKUP(銷售總表!B5083,產品!$A$2:$H$61,8,FALSE)</f>
        <v>39600</v>
      </c>
      <c r="J5083" s="20">
        <f t="shared" si="79"/>
        <v>0.52380952380952384</v>
      </c>
    </row>
    <row r="5084" spans="1:10" x14ac:dyDescent="0.3">
      <c r="A5084" s="33">
        <v>5083</v>
      </c>
      <c r="B5084" s="4">
        <v>8</v>
      </c>
      <c r="C5084" s="15">
        <v>5</v>
      </c>
      <c r="D5084" s="16">
        <v>8</v>
      </c>
      <c r="E5084" s="22">
        <v>44793</v>
      </c>
      <c r="F5084" s="19">
        <v>50</v>
      </c>
      <c r="G5084" s="18">
        <v>0.18</v>
      </c>
      <c r="H5084">
        <f>F5084*VLOOKUP(B5084,產品!$A$2:$H$61,7,FALSE)*(1-銷售總表!G5084)</f>
        <v>41000</v>
      </c>
      <c r="I5084" s="35">
        <f>H5084-F5084*VLOOKUP(銷售總表!B5084,產品!$A$2:$H$61,8,FALSE)</f>
        <v>21000</v>
      </c>
      <c r="J5084" s="20">
        <f t="shared" si="79"/>
        <v>0.51219512195121952</v>
      </c>
    </row>
    <row r="5085" spans="1:10" x14ac:dyDescent="0.3">
      <c r="A5085" s="33">
        <v>5084</v>
      </c>
      <c r="B5085" s="4">
        <v>43</v>
      </c>
      <c r="C5085" s="15">
        <v>284</v>
      </c>
      <c r="D5085" s="16">
        <v>5</v>
      </c>
      <c r="E5085" s="22">
        <v>44794</v>
      </c>
      <c r="F5085" s="19">
        <v>4</v>
      </c>
      <c r="G5085" s="18">
        <v>0.14000000000000001</v>
      </c>
      <c r="H5085">
        <f>F5085*VLOOKUP(B5085,產品!$A$2:$H$61,7,FALSE)*(1-銷售總表!G5085)</f>
        <v>61920</v>
      </c>
      <c r="I5085" s="35">
        <f>H5085-F5085*VLOOKUP(銷售總表!B5085,產品!$A$2:$H$61,8,FALSE)</f>
        <v>15120</v>
      </c>
      <c r="J5085" s="20">
        <f t="shared" si="79"/>
        <v>0.2441860465116279</v>
      </c>
    </row>
    <row r="5086" spans="1:10" x14ac:dyDescent="0.3">
      <c r="A5086" s="33">
        <v>5085</v>
      </c>
      <c r="B5086" s="4">
        <v>40</v>
      </c>
      <c r="C5086" s="15">
        <v>284</v>
      </c>
      <c r="D5086" s="16">
        <v>8</v>
      </c>
      <c r="E5086" s="22">
        <v>44794</v>
      </c>
      <c r="F5086" s="19">
        <v>8</v>
      </c>
      <c r="G5086" s="18">
        <v>0.11</v>
      </c>
      <c r="H5086">
        <f>F5086*VLOOKUP(B5086,產品!$A$2:$H$61,7,FALSE)*(1-銷售總表!G5086)</f>
        <v>142400</v>
      </c>
      <c r="I5086" s="35">
        <f>H5086-F5086*VLOOKUP(銷售總表!B5086,產品!$A$2:$H$61,8,FALSE)</f>
        <v>38400</v>
      </c>
      <c r="J5086" s="20">
        <f t="shared" si="79"/>
        <v>0.2696629213483146</v>
      </c>
    </row>
    <row r="5087" spans="1:10" x14ac:dyDescent="0.3">
      <c r="A5087" s="33">
        <v>5086</v>
      </c>
      <c r="B5087" s="4">
        <v>48</v>
      </c>
      <c r="C5087" s="15">
        <v>12</v>
      </c>
      <c r="D5087" s="16">
        <v>9</v>
      </c>
      <c r="E5087" s="22">
        <v>44794</v>
      </c>
      <c r="F5087" s="19">
        <v>9</v>
      </c>
      <c r="G5087" s="18">
        <v>0.18</v>
      </c>
      <c r="H5087">
        <f>F5087*VLOOKUP(B5087,產品!$A$2:$H$61,7,FALSE)*(1-銷售總表!G5087)</f>
        <v>162360</v>
      </c>
      <c r="I5087" s="35">
        <f>H5087-F5087*VLOOKUP(銷售總表!B5087,產品!$A$2:$H$61,8,FALSE)</f>
        <v>33660</v>
      </c>
      <c r="J5087" s="20">
        <f t="shared" si="79"/>
        <v>0.2073170731707317</v>
      </c>
    </row>
    <row r="5088" spans="1:10" x14ac:dyDescent="0.3">
      <c r="A5088" s="33">
        <v>5087</v>
      </c>
      <c r="B5088" s="4">
        <v>42</v>
      </c>
      <c r="C5088" s="15">
        <v>116</v>
      </c>
      <c r="D5088" s="16">
        <v>2</v>
      </c>
      <c r="E5088" s="22">
        <v>44794</v>
      </c>
      <c r="F5088" s="19">
        <v>10</v>
      </c>
      <c r="G5088" s="18">
        <v>0.06</v>
      </c>
      <c r="H5088">
        <f>F5088*VLOOKUP(B5088,產品!$A$2:$H$61,7,FALSE)*(1-銷售總表!G5088)</f>
        <v>141000</v>
      </c>
      <c r="I5088" s="35">
        <f>H5088-F5088*VLOOKUP(銷售總表!B5088,產品!$A$2:$H$61,8,FALSE)</f>
        <v>43500</v>
      </c>
      <c r="J5088" s="20">
        <f t="shared" si="79"/>
        <v>0.30851063829787234</v>
      </c>
    </row>
    <row r="5089" spans="1:10" x14ac:dyDescent="0.3">
      <c r="A5089" s="33">
        <v>5088</v>
      </c>
      <c r="B5089" s="4">
        <v>45</v>
      </c>
      <c r="C5089" s="15">
        <v>284</v>
      </c>
      <c r="D5089" s="16">
        <v>10</v>
      </c>
      <c r="E5089" s="23">
        <v>44794</v>
      </c>
      <c r="F5089">
        <v>11</v>
      </c>
      <c r="G5089" s="20">
        <v>0.13</v>
      </c>
      <c r="H5089">
        <f>F5089*VLOOKUP(B5089,產品!$A$2:$H$61,7,FALSE)*(1-銷售總表!G5089)</f>
        <v>133980</v>
      </c>
      <c r="I5089" s="35">
        <f>H5089-F5089*VLOOKUP(銷售總表!B5089,產品!$A$2:$H$61,8,FALSE)</f>
        <v>33880</v>
      </c>
      <c r="J5089" s="20">
        <f t="shared" si="79"/>
        <v>0.25287356321839083</v>
      </c>
    </row>
    <row r="5090" spans="1:10" x14ac:dyDescent="0.3">
      <c r="A5090" s="33">
        <v>5089</v>
      </c>
      <c r="B5090" s="4">
        <v>10</v>
      </c>
      <c r="C5090" s="15">
        <v>112</v>
      </c>
      <c r="D5090" s="16">
        <v>8</v>
      </c>
      <c r="E5090" s="22">
        <v>44794</v>
      </c>
      <c r="F5090" s="19">
        <v>20</v>
      </c>
      <c r="G5090" s="18">
        <v>0.12</v>
      </c>
      <c r="H5090">
        <f>F5090*VLOOKUP(B5090,產品!$A$2:$H$61,7,FALSE)*(1-銷售總表!G5090)</f>
        <v>17600</v>
      </c>
      <c r="I5090" s="35">
        <f>H5090-F5090*VLOOKUP(銷售總表!B5090,產品!$A$2:$H$61,8,FALSE)</f>
        <v>9600</v>
      </c>
      <c r="J5090" s="20">
        <f t="shared" si="79"/>
        <v>0.54545454545454541</v>
      </c>
    </row>
    <row r="5091" spans="1:10" x14ac:dyDescent="0.3">
      <c r="A5091" s="33">
        <v>5090</v>
      </c>
      <c r="B5091" s="4">
        <v>13</v>
      </c>
      <c r="C5091" s="15">
        <v>1</v>
      </c>
      <c r="D5091" s="16">
        <v>5</v>
      </c>
      <c r="E5091" s="23">
        <v>44794</v>
      </c>
      <c r="F5091">
        <v>70</v>
      </c>
      <c r="G5091" s="20">
        <v>0.18</v>
      </c>
      <c r="H5091">
        <f>F5091*VLOOKUP(B5091,產品!$A$2:$H$61,7,FALSE)*(1-銷售總表!G5091)</f>
        <v>103320.00000000001</v>
      </c>
      <c r="I5091" s="35">
        <f>H5091-F5091*VLOOKUP(銷售總表!B5091,產品!$A$2:$H$61,8,FALSE)</f>
        <v>52920.000000000015</v>
      </c>
      <c r="J5091" s="20">
        <f t="shared" si="79"/>
        <v>0.51219512195121963</v>
      </c>
    </row>
    <row r="5092" spans="1:10" x14ac:dyDescent="0.3">
      <c r="A5092" s="33">
        <v>5091</v>
      </c>
      <c r="B5092" s="4">
        <v>30</v>
      </c>
      <c r="C5092" s="15">
        <v>284</v>
      </c>
      <c r="D5092" s="16">
        <v>7</v>
      </c>
      <c r="E5092" s="22">
        <v>44795</v>
      </c>
      <c r="F5092" s="19">
        <v>2</v>
      </c>
      <c r="G5092" s="18">
        <v>0.09</v>
      </c>
      <c r="H5092">
        <f>F5092*VLOOKUP(B5092,產品!$A$2:$H$61,7,FALSE)*(1-銷售總表!G5092)</f>
        <v>11830</v>
      </c>
      <c r="I5092" s="35">
        <f>H5092-F5092*VLOOKUP(銷售總表!B5092,產品!$A$2:$H$61,8,FALSE)</f>
        <v>4030</v>
      </c>
      <c r="J5092" s="20">
        <f t="shared" si="79"/>
        <v>0.34065934065934067</v>
      </c>
    </row>
    <row r="5093" spans="1:10" x14ac:dyDescent="0.3">
      <c r="A5093" s="33">
        <v>5092</v>
      </c>
      <c r="B5093" s="4">
        <v>32</v>
      </c>
      <c r="C5093" s="15">
        <v>282</v>
      </c>
      <c r="D5093" s="16">
        <v>2</v>
      </c>
      <c r="E5093" s="22">
        <v>44795</v>
      </c>
      <c r="F5093" s="19">
        <v>7</v>
      </c>
      <c r="G5093" s="18">
        <v>0.14000000000000001</v>
      </c>
      <c r="H5093">
        <f>F5093*VLOOKUP(B5093,產品!$A$2:$H$61,7,FALSE)*(1-銷售總表!G5093)</f>
        <v>45150</v>
      </c>
      <c r="I5093" s="35">
        <f>H5093-F5093*VLOOKUP(銷售總表!B5093,產品!$A$2:$H$61,8,FALSE)</f>
        <v>13650</v>
      </c>
      <c r="J5093" s="20">
        <f t="shared" si="79"/>
        <v>0.30232558139534882</v>
      </c>
    </row>
    <row r="5094" spans="1:10" x14ac:dyDescent="0.3">
      <c r="A5094" s="33">
        <v>5093</v>
      </c>
      <c r="B5094" s="4">
        <v>38</v>
      </c>
      <c r="C5094" s="15">
        <v>140</v>
      </c>
      <c r="D5094" s="16">
        <v>7</v>
      </c>
      <c r="E5094" s="22">
        <v>44795</v>
      </c>
      <c r="F5094" s="19">
        <v>10</v>
      </c>
      <c r="G5094" s="18">
        <v>0.17</v>
      </c>
      <c r="H5094">
        <f>F5094*VLOOKUP(B5094,產品!$A$2:$H$61,7,FALSE)*(1-銷售總表!G5094)</f>
        <v>124500</v>
      </c>
      <c r="I5094" s="35">
        <f>H5094-F5094*VLOOKUP(銷售總表!B5094,產品!$A$2:$H$61,8,FALSE)</f>
        <v>27000</v>
      </c>
      <c r="J5094" s="20">
        <f t="shared" si="79"/>
        <v>0.21686746987951808</v>
      </c>
    </row>
    <row r="5095" spans="1:10" x14ac:dyDescent="0.3">
      <c r="A5095" s="33">
        <v>5094</v>
      </c>
      <c r="B5095" s="4">
        <v>56</v>
      </c>
      <c r="C5095" s="15">
        <v>115</v>
      </c>
      <c r="D5095" s="16">
        <v>4</v>
      </c>
      <c r="E5095" s="23">
        <v>44795</v>
      </c>
      <c r="F5095">
        <v>14</v>
      </c>
      <c r="G5095" s="20">
        <v>0.11</v>
      </c>
      <c r="H5095">
        <f>F5095*VLOOKUP(B5095,產品!$A$2:$H$61,7,FALSE)*(1-銷售總表!G5095)</f>
        <v>274120</v>
      </c>
      <c r="I5095" s="35">
        <f>H5095-F5095*VLOOKUP(銷售總表!B5095,產品!$A$2:$H$61,8,FALSE)</f>
        <v>58520.000000000029</v>
      </c>
      <c r="J5095" s="20">
        <f t="shared" si="79"/>
        <v>0.21348314606741584</v>
      </c>
    </row>
    <row r="5096" spans="1:10" x14ac:dyDescent="0.3">
      <c r="A5096" s="33">
        <v>5095</v>
      </c>
      <c r="B5096" s="4">
        <v>16</v>
      </c>
      <c r="C5096" s="15">
        <v>291</v>
      </c>
      <c r="D5096" s="16">
        <v>4</v>
      </c>
      <c r="E5096" s="22">
        <v>44795</v>
      </c>
      <c r="F5096" s="19">
        <v>21</v>
      </c>
      <c r="G5096" s="18">
        <v>0.13</v>
      </c>
      <c r="H5096">
        <f>F5096*VLOOKUP(B5096,產品!$A$2:$H$61,7,FALSE)*(1-銷售總表!G5096)</f>
        <v>32886</v>
      </c>
      <c r="I5096" s="35">
        <f>H5096-F5096*VLOOKUP(銷售總表!B5096,產品!$A$2:$H$61,8,FALSE)</f>
        <v>17766</v>
      </c>
      <c r="J5096" s="20">
        <f t="shared" si="79"/>
        <v>0.54022988505747127</v>
      </c>
    </row>
    <row r="5097" spans="1:10" x14ac:dyDescent="0.3">
      <c r="A5097" s="33">
        <v>5096</v>
      </c>
      <c r="B5097" s="4">
        <v>3</v>
      </c>
      <c r="C5097" s="15">
        <v>269</v>
      </c>
      <c r="D5097" s="16">
        <v>7</v>
      </c>
      <c r="E5097" s="22">
        <v>44795</v>
      </c>
      <c r="F5097" s="19">
        <v>25</v>
      </c>
      <c r="G5097" s="18">
        <v>7.0000000000000007E-2</v>
      </c>
      <c r="H5097">
        <f>F5097*VLOOKUP(B5097,產品!$A$2:$H$61,7,FALSE)*(1-銷售總表!G5097)</f>
        <v>23250</v>
      </c>
      <c r="I5097" s="35">
        <f>H5097-F5097*VLOOKUP(銷售總表!B5097,產品!$A$2:$H$61,8,FALSE)</f>
        <v>13250</v>
      </c>
      <c r="J5097" s="20">
        <f t="shared" si="79"/>
        <v>0.56989247311827962</v>
      </c>
    </row>
    <row r="5098" spans="1:10" x14ac:dyDescent="0.3">
      <c r="A5098" s="33">
        <v>5097</v>
      </c>
      <c r="B5098" s="4">
        <v>15</v>
      </c>
      <c r="C5098" s="15">
        <v>271</v>
      </c>
      <c r="D5098" s="16">
        <v>9</v>
      </c>
      <c r="E5098" s="22">
        <v>44796</v>
      </c>
      <c r="F5098" s="19">
        <v>20</v>
      </c>
      <c r="G5098" s="18">
        <v>0.2</v>
      </c>
      <c r="H5098">
        <f>F5098*VLOOKUP(B5098,產品!$A$2:$H$61,7,FALSE)*(1-銷售總表!G5098)</f>
        <v>28800</v>
      </c>
      <c r="I5098" s="35">
        <f>H5098-F5098*VLOOKUP(銷售總表!B5098,產品!$A$2:$H$61,8,FALSE)</f>
        <v>14400</v>
      </c>
      <c r="J5098" s="20">
        <f t="shared" si="79"/>
        <v>0.5</v>
      </c>
    </row>
    <row r="5099" spans="1:10" x14ac:dyDescent="0.3">
      <c r="A5099" s="33">
        <v>5098</v>
      </c>
      <c r="B5099" s="4">
        <v>24</v>
      </c>
      <c r="C5099" s="15">
        <v>10</v>
      </c>
      <c r="D5099" s="16">
        <v>6</v>
      </c>
      <c r="E5099" s="22">
        <v>44796</v>
      </c>
      <c r="F5099" s="19">
        <v>30</v>
      </c>
      <c r="G5099" s="18">
        <v>0.08</v>
      </c>
      <c r="H5099">
        <f>F5099*VLOOKUP(B5099,產品!$A$2:$H$61,7,FALSE)*(1-銷售總表!G5099)</f>
        <v>49680</v>
      </c>
      <c r="I5099" s="35">
        <f>H5099-F5099*VLOOKUP(銷售總表!B5099,產品!$A$2:$H$61,8,FALSE)</f>
        <v>28080</v>
      </c>
      <c r="J5099" s="20">
        <f t="shared" si="79"/>
        <v>0.56521739130434778</v>
      </c>
    </row>
    <row r="5100" spans="1:10" x14ac:dyDescent="0.3">
      <c r="A5100" s="33">
        <v>5099</v>
      </c>
      <c r="B5100" s="4">
        <v>24</v>
      </c>
      <c r="C5100" s="15">
        <v>12</v>
      </c>
      <c r="D5100" s="16">
        <v>9</v>
      </c>
      <c r="E5100" s="22">
        <v>44796</v>
      </c>
      <c r="F5100" s="19">
        <v>30</v>
      </c>
      <c r="G5100" s="18">
        <v>0.15</v>
      </c>
      <c r="H5100">
        <f>F5100*VLOOKUP(B5100,產品!$A$2:$H$61,7,FALSE)*(1-銷售總表!G5100)</f>
        <v>45900</v>
      </c>
      <c r="I5100" s="35">
        <f>H5100-F5100*VLOOKUP(銷售總表!B5100,產品!$A$2:$H$61,8,FALSE)</f>
        <v>24300</v>
      </c>
      <c r="J5100" s="20">
        <f t="shared" si="79"/>
        <v>0.52941176470588236</v>
      </c>
    </row>
    <row r="5101" spans="1:10" x14ac:dyDescent="0.3">
      <c r="A5101" s="33">
        <v>5100</v>
      </c>
      <c r="B5101" s="4">
        <v>17</v>
      </c>
      <c r="C5101" s="15">
        <v>5</v>
      </c>
      <c r="D5101" s="16">
        <v>9</v>
      </c>
      <c r="E5101" s="22">
        <v>44796</v>
      </c>
      <c r="F5101" s="19">
        <v>30</v>
      </c>
      <c r="G5101" s="18">
        <v>0.15</v>
      </c>
      <c r="H5101">
        <f>F5101*VLOOKUP(B5101,產品!$A$2:$H$61,7,FALSE)*(1-銷售總表!G5101)</f>
        <v>45900</v>
      </c>
      <c r="I5101" s="35">
        <f>H5101-F5101*VLOOKUP(銷售總表!B5101,產品!$A$2:$H$61,8,FALSE)</f>
        <v>24300</v>
      </c>
      <c r="J5101" s="20">
        <f t="shared" si="79"/>
        <v>0.52941176470588236</v>
      </c>
    </row>
    <row r="5102" spans="1:10" x14ac:dyDescent="0.3">
      <c r="A5102" s="33">
        <v>5101</v>
      </c>
      <c r="B5102" s="4">
        <v>13</v>
      </c>
      <c r="C5102" s="15">
        <v>4</v>
      </c>
      <c r="D5102" s="16">
        <v>7</v>
      </c>
      <c r="E5102" s="22">
        <v>44796</v>
      </c>
      <c r="F5102" s="19">
        <v>80</v>
      </c>
      <c r="G5102" s="18">
        <v>0.13</v>
      </c>
      <c r="H5102">
        <f>F5102*VLOOKUP(B5102,產品!$A$2:$H$61,7,FALSE)*(1-銷售總表!G5102)</f>
        <v>125280</v>
      </c>
      <c r="I5102" s="35">
        <f>H5102-F5102*VLOOKUP(銷售總表!B5102,產品!$A$2:$H$61,8,FALSE)</f>
        <v>67680</v>
      </c>
      <c r="J5102" s="20">
        <f t="shared" si="79"/>
        <v>0.54022988505747127</v>
      </c>
    </row>
    <row r="5103" spans="1:10" x14ac:dyDescent="0.3">
      <c r="A5103" s="33">
        <v>5102</v>
      </c>
      <c r="B5103" s="4">
        <v>35</v>
      </c>
      <c r="C5103" s="15">
        <v>6</v>
      </c>
      <c r="D5103" s="16">
        <v>9</v>
      </c>
      <c r="E5103" s="22">
        <v>44797</v>
      </c>
      <c r="F5103" s="19">
        <v>2</v>
      </c>
      <c r="G5103" s="18">
        <v>0.12</v>
      </c>
      <c r="H5103">
        <f>F5103*VLOOKUP(B5103,產品!$A$2:$H$61,7,FALSE)*(1-銷售總表!G5103)</f>
        <v>14960</v>
      </c>
      <c r="I5103" s="35">
        <f>H5103-F5103*VLOOKUP(銷售總表!B5103,產品!$A$2:$H$61,8,FALSE)</f>
        <v>4760</v>
      </c>
      <c r="J5103" s="20">
        <f t="shared" si="79"/>
        <v>0.31818181818181818</v>
      </c>
    </row>
    <row r="5104" spans="1:10" x14ac:dyDescent="0.3">
      <c r="A5104" s="33">
        <v>5103</v>
      </c>
      <c r="B5104" s="4">
        <v>59</v>
      </c>
      <c r="C5104" s="15">
        <v>10</v>
      </c>
      <c r="D5104" s="16">
        <v>1</v>
      </c>
      <c r="E5104" s="22">
        <v>44797</v>
      </c>
      <c r="F5104" s="19">
        <v>6</v>
      </c>
      <c r="G5104" s="18">
        <v>0.1</v>
      </c>
      <c r="H5104">
        <f>F5104*VLOOKUP(B5104,產品!$A$2:$H$61,7,FALSE)*(1-銷售總表!G5104)</f>
        <v>129600</v>
      </c>
      <c r="I5104" s="35">
        <f>H5104-F5104*VLOOKUP(銷售總表!B5104,產品!$A$2:$H$61,8,FALSE)</f>
        <v>28800</v>
      </c>
      <c r="J5104" s="20">
        <f t="shared" si="79"/>
        <v>0.22222222222222221</v>
      </c>
    </row>
    <row r="5105" spans="1:10" x14ac:dyDescent="0.3">
      <c r="A5105" s="33">
        <v>5104</v>
      </c>
      <c r="B5105" s="4">
        <v>54</v>
      </c>
      <c r="C5105" s="15">
        <v>257</v>
      </c>
      <c r="D5105" s="16">
        <v>8</v>
      </c>
      <c r="E5105" s="23">
        <v>44797</v>
      </c>
      <c r="F5105">
        <v>9</v>
      </c>
      <c r="G5105" s="20">
        <v>0.08</v>
      </c>
      <c r="H5105">
        <f>F5105*VLOOKUP(B5105,產品!$A$2:$H$61,7,FALSE)*(1-銷售總表!G5105)</f>
        <v>149040</v>
      </c>
      <c r="I5105" s="35">
        <f>H5105-F5105*VLOOKUP(銷售總表!B5105,產品!$A$2:$H$61,8,FALSE)</f>
        <v>35640</v>
      </c>
      <c r="J5105" s="20">
        <f t="shared" si="79"/>
        <v>0.2391304347826087</v>
      </c>
    </row>
    <row r="5106" spans="1:10" x14ac:dyDescent="0.3">
      <c r="A5106" s="33">
        <v>5105</v>
      </c>
      <c r="B5106" s="4">
        <v>36</v>
      </c>
      <c r="C5106" s="15">
        <v>285</v>
      </c>
      <c r="D5106" s="16">
        <v>9</v>
      </c>
      <c r="E5106" s="23">
        <v>44797</v>
      </c>
      <c r="F5106">
        <v>9</v>
      </c>
      <c r="G5106" s="20">
        <v>0.18</v>
      </c>
      <c r="H5106">
        <f>F5106*VLOOKUP(B5106,產品!$A$2:$H$61,7,FALSE)*(1-銷售總表!G5106)</f>
        <v>66420</v>
      </c>
      <c r="I5106" s="35">
        <f>H5106-F5106*VLOOKUP(銷售總表!B5106,產品!$A$2:$H$61,8,FALSE)</f>
        <v>17820</v>
      </c>
      <c r="J5106" s="20">
        <f t="shared" si="79"/>
        <v>0.26829268292682928</v>
      </c>
    </row>
    <row r="5107" spans="1:10" x14ac:dyDescent="0.3">
      <c r="A5107" s="33">
        <v>5106</v>
      </c>
      <c r="B5107" s="4">
        <v>38</v>
      </c>
      <c r="C5107" s="15">
        <v>3</v>
      </c>
      <c r="D5107" s="16">
        <v>1</v>
      </c>
      <c r="E5107" s="22">
        <v>44798</v>
      </c>
      <c r="F5107" s="19">
        <v>9</v>
      </c>
      <c r="G5107" s="18">
        <v>0.13</v>
      </c>
      <c r="H5107">
        <f>F5107*VLOOKUP(B5107,產品!$A$2:$H$61,7,FALSE)*(1-銷售總表!G5107)</f>
        <v>117450</v>
      </c>
      <c r="I5107" s="35">
        <f>H5107-F5107*VLOOKUP(銷售總表!B5107,產品!$A$2:$H$61,8,FALSE)</f>
        <v>29700</v>
      </c>
      <c r="J5107" s="20">
        <f t="shared" si="79"/>
        <v>0.25287356321839083</v>
      </c>
    </row>
    <row r="5108" spans="1:10" x14ac:dyDescent="0.3">
      <c r="A5108" s="33">
        <v>5107</v>
      </c>
      <c r="B5108" s="4">
        <v>30</v>
      </c>
      <c r="C5108" s="15">
        <v>265</v>
      </c>
      <c r="D5108" s="16">
        <v>3</v>
      </c>
      <c r="E5108" s="22">
        <v>44798</v>
      </c>
      <c r="F5108" s="19">
        <v>9</v>
      </c>
      <c r="G5108" s="18">
        <v>0.1</v>
      </c>
      <c r="H5108">
        <f>F5108*VLOOKUP(B5108,產品!$A$2:$H$61,7,FALSE)*(1-銷售總表!G5108)</f>
        <v>52650</v>
      </c>
      <c r="I5108" s="35">
        <f>H5108-F5108*VLOOKUP(銷售總表!B5108,產品!$A$2:$H$61,8,FALSE)</f>
        <v>17550</v>
      </c>
      <c r="J5108" s="20">
        <f t="shared" si="79"/>
        <v>0.33333333333333331</v>
      </c>
    </row>
    <row r="5109" spans="1:10" x14ac:dyDescent="0.3">
      <c r="A5109" s="33">
        <v>5108</v>
      </c>
      <c r="B5109" s="4">
        <v>29</v>
      </c>
      <c r="C5109" s="15">
        <v>265</v>
      </c>
      <c r="D5109" s="16">
        <v>8</v>
      </c>
      <c r="E5109" s="22">
        <v>44798</v>
      </c>
      <c r="F5109" s="19">
        <v>12</v>
      </c>
      <c r="G5109" s="18">
        <v>7.0000000000000007E-2</v>
      </c>
      <c r="H5109">
        <f>F5109*VLOOKUP(B5109,產品!$A$2:$H$61,7,FALSE)*(1-銷售總表!G5109)</f>
        <v>66960</v>
      </c>
      <c r="I5109" s="35">
        <f>H5109-F5109*VLOOKUP(銷售總表!B5109,產品!$A$2:$H$61,8,FALSE)</f>
        <v>23760</v>
      </c>
      <c r="J5109" s="20">
        <f t="shared" si="79"/>
        <v>0.35483870967741937</v>
      </c>
    </row>
    <row r="5110" spans="1:10" x14ac:dyDescent="0.3">
      <c r="A5110" s="33">
        <v>5109</v>
      </c>
      <c r="B5110" s="4">
        <v>1</v>
      </c>
      <c r="C5110" s="15">
        <v>277</v>
      </c>
      <c r="D5110" s="16">
        <v>5</v>
      </c>
      <c r="E5110" s="22">
        <v>44798</v>
      </c>
      <c r="F5110" s="19">
        <v>105</v>
      </c>
      <c r="G5110" s="18">
        <v>0.16</v>
      </c>
      <c r="H5110">
        <f>F5110*VLOOKUP(B5110,產品!$A$2:$H$61,7,FALSE)*(1-銷售總表!G5110)</f>
        <v>88200</v>
      </c>
      <c r="I5110" s="35">
        <f>H5110-F5110*VLOOKUP(銷售總表!B5110,產品!$A$2:$H$61,8,FALSE)</f>
        <v>46200</v>
      </c>
      <c r="J5110" s="20">
        <f t="shared" si="79"/>
        <v>0.52380952380952384</v>
      </c>
    </row>
    <row r="5111" spans="1:10" x14ac:dyDescent="0.3">
      <c r="A5111" s="33">
        <v>5110</v>
      </c>
      <c r="B5111" s="4">
        <v>49</v>
      </c>
      <c r="C5111" s="15">
        <v>274</v>
      </c>
      <c r="D5111" s="16">
        <v>6</v>
      </c>
      <c r="E5111" s="23">
        <v>44799</v>
      </c>
      <c r="F5111">
        <v>1</v>
      </c>
      <c r="G5111" s="20">
        <v>0.09</v>
      </c>
      <c r="H5111">
        <f>F5111*VLOOKUP(B5111,產品!$A$2:$H$61,7,FALSE)*(1-銷售總表!G5111)</f>
        <v>13650</v>
      </c>
      <c r="I5111" s="35">
        <f>H5111-F5111*VLOOKUP(銷售總表!B5111,產品!$A$2:$H$61,8,FALSE)</f>
        <v>3150</v>
      </c>
      <c r="J5111" s="20">
        <f t="shared" si="79"/>
        <v>0.23076923076923078</v>
      </c>
    </row>
    <row r="5112" spans="1:10" x14ac:dyDescent="0.3">
      <c r="A5112" s="33">
        <v>5111</v>
      </c>
      <c r="B5112" s="4">
        <v>53</v>
      </c>
      <c r="C5112" s="15">
        <v>271</v>
      </c>
      <c r="D5112" s="16">
        <v>5</v>
      </c>
      <c r="E5112" s="22">
        <v>44799</v>
      </c>
      <c r="F5112" s="19">
        <v>4</v>
      </c>
      <c r="G5112" s="18">
        <v>0.11</v>
      </c>
      <c r="H5112">
        <f>F5112*VLOOKUP(B5112,產品!$A$2:$H$61,7,FALSE)*(1-銷售總表!G5112)</f>
        <v>53400</v>
      </c>
      <c r="I5112" s="35">
        <f>H5112-F5112*VLOOKUP(銷售總表!B5112,產品!$A$2:$H$61,8,FALSE)</f>
        <v>11400</v>
      </c>
      <c r="J5112" s="20">
        <f t="shared" si="79"/>
        <v>0.21348314606741572</v>
      </c>
    </row>
    <row r="5113" spans="1:10" x14ac:dyDescent="0.3">
      <c r="A5113" s="33">
        <v>5112</v>
      </c>
      <c r="B5113" s="4">
        <v>28</v>
      </c>
      <c r="C5113" s="15">
        <v>8</v>
      </c>
      <c r="D5113" s="16">
        <v>1</v>
      </c>
      <c r="E5113" s="22">
        <v>44799</v>
      </c>
      <c r="F5113" s="19">
        <v>7</v>
      </c>
      <c r="G5113" s="18">
        <v>0.16</v>
      </c>
      <c r="H5113">
        <f>F5113*VLOOKUP(B5113,產品!$A$2:$H$61,7,FALSE)*(1-銷售總表!G5113)</f>
        <v>44100</v>
      </c>
      <c r="I5113" s="35">
        <f>H5113-F5113*VLOOKUP(銷售總表!B5113,產品!$A$2:$H$61,8,FALSE)</f>
        <v>12600</v>
      </c>
      <c r="J5113" s="20">
        <f t="shared" si="79"/>
        <v>0.2857142857142857</v>
      </c>
    </row>
    <row r="5114" spans="1:10" x14ac:dyDescent="0.3">
      <c r="A5114" s="33">
        <v>5113</v>
      </c>
      <c r="B5114" s="4">
        <v>27</v>
      </c>
      <c r="C5114" s="15">
        <v>116</v>
      </c>
      <c r="D5114" s="16">
        <v>5</v>
      </c>
      <c r="E5114" s="22">
        <v>44799</v>
      </c>
      <c r="F5114" s="19">
        <v>30</v>
      </c>
      <c r="G5114" s="18">
        <v>0.2</v>
      </c>
      <c r="H5114">
        <f>F5114*VLOOKUP(B5114,產品!$A$2:$H$61,7,FALSE)*(1-銷售總表!G5114)</f>
        <v>168000</v>
      </c>
      <c r="I5114" s="35">
        <f>H5114-F5114*VLOOKUP(銷售總表!B5114,產品!$A$2:$H$61,8,FALSE)</f>
        <v>42000</v>
      </c>
      <c r="J5114" s="20">
        <f t="shared" si="79"/>
        <v>0.25</v>
      </c>
    </row>
    <row r="5115" spans="1:10" x14ac:dyDescent="0.3">
      <c r="A5115" s="33">
        <v>5114</v>
      </c>
      <c r="B5115" s="4">
        <v>53</v>
      </c>
      <c r="C5115" s="15">
        <v>2</v>
      </c>
      <c r="D5115" s="16">
        <v>4</v>
      </c>
      <c r="E5115" s="22">
        <v>44800</v>
      </c>
      <c r="F5115" s="19">
        <v>3</v>
      </c>
      <c r="G5115" s="18">
        <v>0.16</v>
      </c>
      <c r="H5115">
        <f>F5115*VLOOKUP(B5115,產品!$A$2:$H$61,7,FALSE)*(1-銷售總表!G5115)</f>
        <v>37800</v>
      </c>
      <c r="I5115" s="35">
        <f>H5115-F5115*VLOOKUP(銷售總表!B5115,產品!$A$2:$H$61,8,FALSE)</f>
        <v>6300</v>
      </c>
      <c r="J5115" s="20">
        <f t="shared" si="79"/>
        <v>0.16666666666666666</v>
      </c>
    </row>
    <row r="5116" spans="1:10" x14ac:dyDescent="0.3">
      <c r="A5116" s="33">
        <v>5115</v>
      </c>
      <c r="B5116" s="4">
        <v>59</v>
      </c>
      <c r="C5116" s="15">
        <v>273</v>
      </c>
      <c r="D5116" s="16">
        <v>10</v>
      </c>
      <c r="E5116" s="22">
        <v>44800</v>
      </c>
      <c r="F5116" s="19">
        <v>7</v>
      </c>
      <c r="G5116" s="18">
        <v>0.17</v>
      </c>
      <c r="H5116">
        <f>F5116*VLOOKUP(B5116,產品!$A$2:$H$61,7,FALSE)*(1-銷售總表!G5116)</f>
        <v>139440</v>
      </c>
      <c r="I5116" s="35">
        <f>H5116-F5116*VLOOKUP(銷售總表!B5116,產品!$A$2:$H$61,8,FALSE)</f>
        <v>21840</v>
      </c>
      <c r="J5116" s="20">
        <f t="shared" si="79"/>
        <v>0.15662650602409639</v>
      </c>
    </row>
    <row r="5117" spans="1:10" x14ac:dyDescent="0.3">
      <c r="A5117" s="33">
        <v>5116</v>
      </c>
      <c r="B5117" s="4">
        <v>57</v>
      </c>
      <c r="C5117" s="15">
        <v>12</v>
      </c>
      <c r="D5117" s="16">
        <v>6</v>
      </c>
      <c r="E5117" s="23">
        <v>44800</v>
      </c>
      <c r="F5117">
        <v>7</v>
      </c>
      <c r="G5117" s="20">
        <v>0.18</v>
      </c>
      <c r="H5117">
        <f>F5117*VLOOKUP(B5117,產品!$A$2:$H$61,7,FALSE)*(1-銷售總表!G5117)</f>
        <v>103320.00000000001</v>
      </c>
      <c r="I5117" s="35">
        <f>H5117-F5117*VLOOKUP(銷售總表!B5117,產品!$A$2:$H$61,8,FALSE)</f>
        <v>15120.000000000015</v>
      </c>
      <c r="J5117" s="20">
        <f t="shared" si="79"/>
        <v>0.14634146341463428</v>
      </c>
    </row>
    <row r="5118" spans="1:10" x14ac:dyDescent="0.3">
      <c r="A5118" s="33">
        <v>5117</v>
      </c>
      <c r="B5118" s="4">
        <v>60</v>
      </c>
      <c r="C5118" s="15">
        <v>266</v>
      </c>
      <c r="D5118" s="16">
        <v>6</v>
      </c>
      <c r="E5118" s="22">
        <v>44801</v>
      </c>
      <c r="F5118" s="19">
        <v>2</v>
      </c>
      <c r="G5118" s="18">
        <v>0.19</v>
      </c>
      <c r="H5118">
        <f>F5118*VLOOKUP(B5118,產品!$A$2:$H$61,7,FALSE)*(1-銷售總表!G5118)</f>
        <v>40500</v>
      </c>
      <c r="I5118" s="35">
        <f>H5118-F5118*VLOOKUP(銷售總表!B5118,產品!$A$2:$H$61,8,FALSE)</f>
        <v>5500</v>
      </c>
      <c r="J5118" s="20">
        <f t="shared" si="79"/>
        <v>0.13580246913580246</v>
      </c>
    </row>
    <row r="5119" spans="1:10" x14ac:dyDescent="0.3">
      <c r="A5119" s="33">
        <v>5118</v>
      </c>
      <c r="B5119" s="4">
        <v>48</v>
      </c>
      <c r="C5119" s="15">
        <v>285</v>
      </c>
      <c r="D5119" s="16">
        <v>6</v>
      </c>
      <c r="E5119" s="22">
        <v>44801</v>
      </c>
      <c r="F5119" s="19">
        <v>8</v>
      </c>
      <c r="G5119" s="18">
        <v>0.14000000000000001</v>
      </c>
      <c r="H5119">
        <f>F5119*VLOOKUP(B5119,產品!$A$2:$H$61,7,FALSE)*(1-銷售總表!G5119)</f>
        <v>151360</v>
      </c>
      <c r="I5119" s="35">
        <f>H5119-F5119*VLOOKUP(銷售總表!B5119,產品!$A$2:$H$61,8,FALSE)</f>
        <v>36960</v>
      </c>
      <c r="J5119" s="20">
        <f t="shared" si="79"/>
        <v>0.2441860465116279</v>
      </c>
    </row>
    <row r="5120" spans="1:10" x14ac:dyDescent="0.3">
      <c r="A5120" s="33">
        <v>5119</v>
      </c>
      <c r="B5120" s="4">
        <v>6</v>
      </c>
      <c r="C5120" s="15">
        <v>6</v>
      </c>
      <c r="D5120" s="16">
        <v>4</v>
      </c>
      <c r="E5120" s="22">
        <v>44801</v>
      </c>
      <c r="F5120" s="19">
        <v>10</v>
      </c>
      <c r="G5120" s="18">
        <v>0.13</v>
      </c>
      <c r="H5120">
        <f>F5120*VLOOKUP(B5120,產品!$A$2:$H$61,7,FALSE)*(1-銷售總表!G5120)</f>
        <v>8700</v>
      </c>
      <c r="I5120" s="35">
        <f>H5120-F5120*VLOOKUP(銷售總表!B5120,產品!$A$2:$H$61,8,FALSE)</f>
        <v>4700</v>
      </c>
      <c r="J5120" s="20">
        <f t="shared" si="79"/>
        <v>0.54022988505747127</v>
      </c>
    </row>
    <row r="5121" spans="1:10" x14ac:dyDescent="0.3">
      <c r="A5121" s="33">
        <v>5120</v>
      </c>
      <c r="B5121" s="4">
        <v>33</v>
      </c>
      <c r="C5121" s="15">
        <v>122</v>
      </c>
      <c r="D5121" s="16">
        <v>10</v>
      </c>
      <c r="E5121" s="22">
        <v>44801</v>
      </c>
      <c r="F5121" s="19">
        <v>10</v>
      </c>
      <c r="G5121" s="18">
        <v>0.14000000000000001</v>
      </c>
      <c r="H5121">
        <f>F5121*VLOOKUP(B5121,產品!$A$2:$H$61,7,FALSE)*(1-銷售總表!G5121)</f>
        <v>64500</v>
      </c>
      <c r="I5121" s="35">
        <f>H5121-F5121*VLOOKUP(銷售總表!B5121,產品!$A$2:$H$61,8,FALSE)</f>
        <v>19500</v>
      </c>
      <c r="J5121" s="20">
        <f t="shared" si="79"/>
        <v>0.30232558139534882</v>
      </c>
    </row>
    <row r="5122" spans="1:10" x14ac:dyDescent="0.3">
      <c r="A5122" s="33">
        <v>5121</v>
      </c>
      <c r="B5122" s="4">
        <v>55</v>
      </c>
      <c r="C5122" s="15">
        <v>1</v>
      </c>
      <c r="D5122" s="16">
        <v>5</v>
      </c>
      <c r="E5122" s="22">
        <v>44802</v>
      </c>
      <c r="F5122" s="19">
        <v>6</v>
      </c>
      <c r="G5122" s="18">
        <v>7.0000000000000007E-2</v>
      </c>
      <c r="H5122">
        <f>F5122*VLOOKUP(B5122,產品!$A$2:$H$61,7,FALSE)*(1-銷售總表!G5122)</f>
        <v>111599.99999999999</v>
      </c>
      <c r="I5122" s="35">
        <f>H5122-F5122*VLOOKUP(銷售總表!B5122,產品!$A$2:$H$61,8,FALSE)</f>
        <v>27599.999999999985</v>
      </c>
      <c r="J5122" s="20">
        <f t="shared" si="79"/>
        <v>0.24731182795698914</v>
      </c>
    </row>
    <row r="5123" spans="1:10" x14ac:dyDescent="0.3">
      <c r="A5123" s="33">
        <v>5122</v>
      </c>
      <c r="B5123" s="4">
        <v>32</v>
      </c>
      <c r="C5123" s="15">
        <v>8</v>
      </c>
      <c r="D5123" s="16">
        <v>1</v>
      </c>
      <c r="E5123" s="22">
        <v>44802</v>
      </c>
      <c r="F5123" s="19">
        <v>8</v>
      </c>
      <c r="G5123" s="18">
        <v>0.14000000000000001</v>
      </c>
      <c r="H5123">
        <f>F5123*VLOOKUP(B5123,產品!$A$2:$H$61,7,FALSE)*(1-銷售總表!G5123)</f>
        <v>51600</v>
      </c>
      <c r="I5123" s="35">
        <f>H5123-F5123*VLOOKUP(銷售總表!B5123,產品!$A$2:$H$61,8,FALSE)</f>
        <v>15600</v>
      </c>
      <c r="J5123" s="20">
        <f t="shared" ref="J5123:J5186" si="80">I5123/H5123</f>
        <v>0.30232558139534882</v>
      </c>
    </row>
    <row r="5124" spans="1:10" x14ac:dyDescent="0.3">
      <c r="A5124" s="33">
        <v>5123</v>
      </c>
      <c r="B5124" s="4">
        <v>35</v>
      </c>
      <c r="C5124" s="15">
        <v>3</v>
      </c>
      <c r="D5124" s="16">
        <v>8</v>
      </c>
      <c r="E5124" s="23">
        <v>44802</v>
      </c>
      <c r="F5124">
        <v>9</v>
      </c>
      <c r="G5124" s="20">
        <v>0.14000000000000001</v>
      </c>
      <c r="H5124">
        <f>F5124*VLOOKUP(B5124,產品!$A$2:$H$61,7,FALSE)*(1-銷售總表!G5124)</f>
        <v>65790</v>
      </c>
      <c r="I5124" s="35">
        <f>H5124-F5124*VLOOKUP(銷售總表!B5124,產品!$A$2:$H$61,8,FALSE)</f>
        <v>19890</v>
      </c>
      <c r="J5124" s="20">
        <f t="shared" si="80"/>
        <v>0.30232558139534882</v>
      </c>
    </row>
    <row r="5125" spans="1:10" x14ac:dyDescent="0.3">
      <c r="A5125" s="33">
        <v>5124</v>
      </c>
      <c r="B5125" s="4">
        <v>14</v>
      </c>
      <c r="C5125" s="15">
        <v>270</v>
      </c>
      <c r="D5125" s="16">
        <v>9</v>
      </c>
      <c r="E5125" s="22">
        <v>44802</v>
      </c>
      <c r="F5125" s="19">
        <v>40</v>
      </c>
      <c r="G5125" s="18">
        <v>0.13</v>
      </c>
      <c r="H5125">
        <f>F5125*VLOOKUP(B5125,產品!$A$2:$H$61,7,FALSE)*(1-銷售總表!G5125)</f>
        <v>62640</v>
      </c>
      <c r="I5125" s="35">
        <f>H5125-F5125*VLOOKUP(銷售總表!B5125,產品!$A$2:$H$61,8,FALSE)</f>
        <v>33840</v>
      </c>
      <c r="J5125" s="20">
        <f t="shared" si="80"/>
        <v>0.54022988505747127</v>
      </c>
    </row>
    <row r="5126" spans="1:10" x14ac:dyDescent="0.3">
      <c r="A5126" s="33">
        <v>5125</v>
      </c>
      <c r="B5126" s="4">
        <v>7</v>
      </c>
      <c r="C5126" s="15">
        <v>258</v>
      </c>
      <c r="D5126" s="16">
        <v>10</v>
      </c>
      <c r="E5126" s="23">
        <v>44802</v>
      </c>
      <c r="F5126">
        <v>90</v>
      </c>
      <c r="G5126" s="20">
        <v>0.2</v>
      </c>
      <c r="H5126">
        <f>F5126*VLOOKUP(B5126,產品!$A$2:$H$61,7,FALSE)*(1-銷售總表!G5126)</f>
        <v>72000</v>
      </c>
      <c r="I5126" s="35">
        <f>H5126-F5126*VLOOKUP(銷售總表!B5126,產品!$A$2:$H$61,8,FALSE)</f>
        <v>36000</v>
      </c>
      <c r="J5126" s="20">
        <f t="shared" si="80"/>
        <v>0.5</v>
      </c>
    </row>
    <row r="5127" spans="1:10" x14ac:dyDescent="0.3">
      <c r="A5127" s="33">
        <v>5126</v>
      </c>
      <c r="B5127" s="4">
        <v>30</v>
      </c>
      <c r="C5127" s="15">
        <v>269</v>
      </c>
      <c r="D5127" s="16">
        <v>2</v>
      </c>
      <c r="E5127" s="22">
        <v>44803</v>
      </c>
      <c r="F5127" s="19">
        <v>5</v>
      </c>
      <c r="G5127" s="18">
        <v>0.2</v>
      </c>
      <c r="H5127">
        <f>F5127*VLOOKUP(B5127,產品!$A$2:$H$61,7,FALSE)*(1-銷售總表!G5127)</f>
        <v>26000</v>
      </c>
      <c r="I5127" s="35">
        <f>H5127-F5127*VLOOKUP(銷售總表!B5127,產品!$A$2:$H$61,8,FALSE)</f>
        <v>6500</v>
      </c>
      <c r="J5127" s="20">
        <f t="shared" si="80"/>
        <v>0.25</v>
      </c>
    </row>
    <row r="5128" spans="1:10" x14ac:dyDescent="0.3">
      <c r="A5128" s="33">
        <v>5127</v>
      </c>
      <c r="B5128" s="4">
        <v>56</v>
      </c>
      <c r="C5128" s="15">
        <v>12</v>
      </c>
      <c r="D5128" s="16">
        <v>8</v>
      </c>
      <c r="E5128" s="22">
        <v>44803</v>
      </c>
      <c r="F5128" s="19">
        <v>7</v>
      </c>
      <c r="G5128" s="18">
        <v>0.11</v>
      </c>
      <c r="H5128">
        <f>F5128*VLOOKUP(B5128,產品!$A$2:$H$61,7,FALSE)*(1-銷售總表!G5128)</f>
        <v>137060</v>
      </c>
      <c r="I5128" s="35">
        <f>H5128-F5128*VLOOKUP(銷售總表!B5128,產品!$A$2:$H$61,8,FALSE)</f>
        <v>29260.000000000015</v>
      </c>
      <c r="J5128" s="20">
        <f t="shared" si="80"/>
        <v>0.21348314606741584</v>
      </c>
    </row>
    <row r="5129" spans="1:10" x14ac:dyDescent="0.3">
      <c r="A5129" s="33">
        <v>5128</v>
      </c>
      <c r="B5129" s="4">
        <v>60</v>
      </c>
      <c r="C5129" s="15">
        <v>116</v>
      </c>
      <c r="D5129" s="16">
        <v>6</v>
      </c>
      <c r="E5129" s="23">
        <v>44803</v>
      </c>
      <c r="F5129">
        <v>12</v>
      </c>
      <c r="G5129" s="20">
        <v>7.0000000000000007E-2</v>
      </c>
      <c r="H5129">
        <f>F5129*VLOOKUP(B5129,產品!$A$2:$H$61,7,FALSE)*(1-銷售總表!G5129)</f>
        <v>279000</v>
      </c>
      <c r="I5129" s="35">
        <f>H5129-F5129*VLOOKUP(銷售總表!B5129,產品!$A$2:$H$61,8,FALSE)</f>
        <v>69000</v>
      </c>
      <c r="J5129" s="20">
        <f t="shared" si="80"/>
        <v>0.24731182795698925</v>
      </c>
    </row>
    <row r="5130" spans="1:10" x14ac:dyDescent="0.3">
      <c r="A5130" s="33">
        <v>5129</v>
      </c>
      <c r="B5130" s="4">
        <v>16</v>
      </c>
      <c r="C5130" s="15">
        <v>269</v>
      </c>
      <c r="D5130" s="16">
        <v>4</v>
      </c>
      <c r="E5130" s="22">
        <v>44803</v>
      </c>
      <c r="F5130" s="19">
        <v>40</v>
      </c>
      <c r="G5130" s="18">
        <v>0.09</v>
      </c>
      <c r="H5130">
        <f>F5130*VLOOKUP(B5130,產品!$A$2:$H$61,7,FALSE)*(1-銷售總表!G5130)</f>
        <v>65520</v>
      </c>
      <c r="I5130" s="35">
        <f>H5130-F5130*VLOOKUP(銷售總表!B5130,產品!$A$2:$H$61,8,FALSE)</f>
        <v>36720</v>
      </c>
      <c r="J5130" s="20">
        <f t="shared" si="80"/>
        <v>0.56043956043956045</v>
      </c>
    </row>
    <row r="5131" spans="1:10" x14ac:dyDescent="0.3">
      <c r="A5131" s="33">
        <v>5130</v>
      </c>
      <c r="B5131" s="4">
        <v>2</v>
      </c>
      <c r="C5131" s="15">
        <v>281</v>
      </c>
      <c r="D5131" s="16">
        <v>5</v>
      </c>
      <c r="E5131" s="22">
        <v>44803</v>
      </c>
      <c r="F5131" s="19">
        <v>45</v>
      </c>
      <c r="G5131" s="18">
        <v>0.15</v>
      </c>
      <c r="H5131">
        <f>F5131*VLOOKUP(B5131,產品!$A$2:$H$61,7,FALSE)*(1-銷售總表!G5131)</f>
        <v>38250</v>
      </c>
      <c r="I5131" s="35">
        <f>H5131-F5131*VLOOKUP(銷售總表!B5131,產品!$A$2:$H$61,8,FALSE)</f>
        <v>20250</v>
      </c>
      <c r="J5131" s="20">
        <f t="shared" si="80"/>
        <v>0.52941176470588236</v>
      </c>
    </row>
    <row r="5132" spans="1:10" x14ac:dyDescent="0.3">
      <c r="A5132" s="33">
        <v>5131</v>
      </c>
      <c r="B5132" s="4">
        <v>18</v>
      </c>
      <c r="C5132" s="15">
        <v>137</v>
      </c>
      <c r="D5132" s="16">
        <v>8</v>
      </c>
      <c r="E5132" s="22">
        <v>44803</v>
      </c>
      <c r="F5132" s="19">
        <v>50</v>
      </c>
      <c r="G5132" s="18">
        <v>0.08</v>
      </c>
      <c r="H5132">
        <f>F5132*VLOOKUP(B5132,產品!$A$2:$H$61,7,FALSE)*(1-銷售總表!G5132)</f>
        <v>82800</v>
      </c>
      <c r="I5132" s="35">
        <f>H5132-F5132*VLOOKUP(銷售總表!B5132,產品!$A$2:$H$61,8,FALSE)</f>
        <v>46800</v>
      </c>
      <c r="J5132" s="20">
        <f t="shared" si="80"/>
        <v>0.56521739130434778</v>
      </c>
    </row>
    <row r="5133" spans="1:10" x14ac:dyDescent="0.3">
      <c r="A5133" s="33">
        <v>5132</v>
      </c>
      <c r="B5133" s="4">
        <v>54</v>
      </c>
      <c r="C5133" s="15">
        <v>5</v>
      </c>
      <c r="D5133" s="16">
        <v>9</v>
      </c>
      <c r="E5133" s="22">
        <v>44804</v>
      </c>
      <c r="F5133" s="19">
        <v>1</v>
      </c>
      <c r="G5133" s="18">
        <v>0.11</v>
      </c>
      <c r="H5133">
        <f>F5133*VLOOKUP(B5133,產品!$A$2:$H$61,7,FALSE)*(1-銷售總表!G5133)</f>
        <v>16020</v>
      </c>
      <c r="I5133" s="35">
        <f>H5133-F5133*VLOOKUP(銷售總表!B5133,產品!$A$2:$H$61,8,FALSE)</f>
        <v>3420</v>
      </c>
      <c r="J5133" s="20">
        <f t="shared" si="80"/>
        <v>0.21348314606741572</v>
      </c>
    </row>
    <row r="5134" spans="1:10" x14ac:dyDescent="0.3">
      <c r="A5134" s="33">
        <v>5133</v>
      </c>
      <c r="B5134" s="4">
        <v>45</v>
      </c>
      <c r="C5134" s="15">
        <v>291</v>
      </c>
      <c r="D5134" s="16">
        <v>2</v>
      </c>
      <c r="E5134" s="22">
        <v>44804</v>
      </c>
      <c r="F5134" s="19">
        <v>2</v>
      </c>
      <c r="G5134" s="18">
        <v>0.05</v>
      </c>
      <c r="H5134">
        <f>F5134*VLOOKUP(B5134,產品!$A$2:$H$61,7,FALSE)*(1-銷售總表!G5134)</f>
        <v>26600</v>
      </c>
      <c r="I5134" s="35">
        <f>H5134-F5134*VLOOKUP(銷售總表!B5134,產品!$A$2:$H$61,8,FALSE)</f>
        <v>8400</v>
      </c>
      <c r="J5134" s="20">
        <f t="shared" si="80"/>
        <v>0.31578947368421051</v>
      </c>
    </row>
    <row r="5135" spans="1:10" x14ac:dyDescent="0.3">
      <c r="A5135" s="33">
        <v>5134</v>
      </c>
      <c r="B5135" s="4">
        <v>35</v>
      </c>
      <c r="C5135" s="15">
        <v>262</v>
      </c>
      <c r="D5135" s="16">
        <v>2</v>
      </c>
      <c r="E5135" s="22">
        <v>44804</v>
      </c>
      <c r="F5135" s="19">
        <v>6</v>
      </c>
      <c r="G5135" s="18">
        <v>0.19</v>
      </c>
      <c r="H5135">
        <f>F5135*VLOOKUP(B5135,產品!$A$2:$H$61,7,FALSE)*(1-銷售總表!G5135)</f>
        <v>41310</v>
      </c>
      <c r="I5135" s="35">
        <f>H5135-F5135*VLOOKUP(銷售總表!B5135,產品!$A$2:$H$61,8,FALSE)</f>
        <v>10710</v>
      </c>
      <c r="J5135" s="20">
        <f t="shared" si="80"/>
        <v>0.25925925925925924</v>
      </c>
    </row>
    <row r="5136" spans="1:10" x14ac:dyDescent="0.3">
      <c r="A5136" s="33">
        <v>5135</v>
      </c>
      <c r="B5136" s="4">
        <v>54</v>
      </c>
      <c r="C5136" s="15">
        <v>278</v>
      </c>
      <c r="D5136" s="16">
        <v>10</v>
      </c>
      <c r="E5136" s="23">
        <v>44804</v>
      </c>
      <c r="F5136">
        <v>15</v>
      </c>
      <c r="G5136" s="20">
        <v>0.11</v>
      </c>
      <c r="H5136">
        <f>F5136*VLOOKUP(B5136,產品!$A$2:$H$61,7,FALSE)*(1-銷售總表!G5136)</f>
        <v>240300</v>
      </c>
      <c r="I5136" s="35">
        <f>H5136-F5136*VLOOKUP(銷售總表!B5136,產品!$A$2:$H$61,8,FALSE)</f>
        <v>51300</v>
      </c>
      <c r="J5136" s="20">
        <f t="shared" si="80"/>
        <v>0.21348314606741572</v>
      </c>
    </row>
    <row r="5137" spans="1:10" x14ac:dyDescent="0.3">
      <c r="A5137" s="33">
        <v>5136</v>
      </c>
      <c r="B5137" s="4">
        <v>18</v>
      </c>
      <c r="C5137" s="15">
        <v>290</v>
      </c>
      <c r="D5137" s="16">
        <v>4</v>
      </c>
      <c r="E5137" s="22">
        <v>44804</v>
      </c>
      <c r="F5137" s="19">
        <v>17</v>
      </c>
      <c r="G5137" s="18">
        <v>0.09</v>
      </c>
      <c r="H5137">
        <f>F5137*VLOOKUP(B5137,產品!$A$2:$H$61,7,FALSE)*(1-銷售總表!G5137)</f>
        <v>27846</v>
      </c>
      <c r="I5137" s="35">
        <f>H5137-F5137*VLOOKUP(銷售總表!B5137,產品!$A$2:$H$61,8,FALSE)</f>
        <v>15606</v>
      </c>
      <c r="J5137" s="20">
        <f t="shared" si="80"/>
        <v>0.56043956043956045</v>
      </c>
    </row>
    <row r="5138" spans="1:10" x14ac:dyDescent="0.3">
      <c r="A5138" s="33">
        <v>5137</v>
      </c>
      <c r="B5138" s="4">
        <v>20</v>
      </c>
      <c r="C5138" s="15">
        <v>273</v>
      </c>
      <c r="D5138" s="16">
        <v>3</v>
      </c>
      <c r="E5138" s="22">
        <v>44804</v>
      </c>
      <c r="F5138" s="19">
        <v>50</v>
      </c>
      <c r="G5138" s="18">
        <v>0.05</v>
      </c>
      <c r="H5138">
        <f>F5138*VLOOKUP(B5138,產品!$A$2:$H$61,7,FALSE)*(1-銷售總表!G5138)</f>
        <v>85500</v>
      </c>
      <c r="I5138" s="35">
        <f>H5138-F5138*VLOOKUP(銷售總表!B5138,產品!$A$2:$H$61,8,FALSE)</f>
        <v>49500</v>
      </c>
      <c r="J5138" s="20">
        <f t="shared" si="80"/>
        <v>0.57894736842105265</v>
      </c>
    </row>
    <row r="5139" spans="1:10" x14ac:dyDescent="0.3">
      <c r="A5139" s="33">
        <v>5138</v>
      </c>
      <c r="B5139" s="4">
        <v>8</v>
      </c>
      <c r="C5139" s="15">
        <v>259</v>
      </c>
      <c r="D5139" s="16">
        <v>1</v>
      </c>
      <c r="E5139" s="23">
        <v>44804</v>
      </c>
      <c r="F5139">
        <v>120</v>
      </c>
      <c r="G5139" s="20">
        <v>0.13</v>
      </c>
      <c r="H5139">
        <f>F5139*VLOOKUP(B5139,產品!$A$2:$H$61,7,FALSE)*(1-銷售總表!G5139)</f>
        <v>104400</v>
      </c>
      <c r="I5139" s="35">
        <f>H5139-F5139*VLOOKUP(銷售總表!B5139,產品!$A$2:$H$61,8,FALSE)</f>
        <v>56400</v>
      </c>
      <c r="J5139" s="20">
        <f t="shared" si="80"/>
        <v>0.54022988505747127</v>
      </c>
    </row>
    <row r="5140" spans="1:10" x14ac:dyDescent="0.3">
      <c r="A5140" s="33">
        <v>5139</v>
      </c>
      <c r="B5140" s="4">
        <v>40</v>
      </c>
      <c r="C5140" s="15">
        <v>117</v>
      </c>
      <c r="D5140" s="16">
        <v>8</v>
      </c>
      <c r="E5140" s="22">
        <v>44805</v>
      </c>
      <c r="F5140" s="19">
        <v>2</v>
      </c>
      <c r="G5140" s="18">
        <v>7.0000000000000007E-2</v>
      </c>
      <c r="H5140">
        <f>F5140*VLOOKUP(B5140,產品!$A$2:$H$61,7,FALSE)*(1-銷售總表!G5140)</f>
        <v>37200</v>
      </c>
      <c r="I5140" s="35">
        <f>H5140-F5140*VLOOKUP(銷售總表!B5140,產品!$A$2:$H$61,8,FALSE)</f>
        <v>11200</v>
      </c>
      <c r="J5140" s="20">
        <f t="shared" si="80"/>
        <v>0.30107526881720431</v>
      </c>
    </row>
    <row r="5141" spans="1:10" x14ac:dyDescent="0.3">
      <c r="A5141" s="33">
        <v>5140</v>
      </c>
      <c r="B5141" s="4">
        <v>58</v>
      </c>
      <c r="C5141" s="15">
        <v>1</v>
      </c>
      <c r="D5141" s="16">
        <v>4</v>
      </c>
      <c r="E5141" s="22">
        <v>44805</v>
      </c>
      <c r="F5141" s="19">
        <v>2</v>
      </c>
      <c r="G5141" s="18">
        <v>0.06</v>
      </c>
      <c r="H5141">
        <f>F5141*VLOOKUP(B5141,產品!$A$2:$H$61,7,FALSE)*(1-銷售總表!G5141)</f>
        <v>39480</v>
      </c>
      <c r="I5141" s="35">
        <f>H5141-F5141*VLOOKUP(銷售總表!B5141,產品!$A$2:$H$61,8,FALSE)</f>
        <v>10080.000000000004</v>
      </c>
      <c r="J5141" s="20">
        <f t="shared" si="80"/>
        <v>0.2553191489361703</v>
      </c>
    </row>
    <row r="5142" spans="1:10" x14ac:dyDescent="0.3">
      <c r="A5142" s="33">
        <v>5141</v>
      </c>
      <c r="B5142" s="4">
        <v>42</v>
      </c>
      <c r="C5142" s="15">
        <v>5</v>
      </c>
      <c r="D5142" s="16">
        <v>1</v>
      </c>
      <c r="E5142" s="22">
        <v>44805</v>
      </c>
      <c r="F5142" s="19">
        <v>5</v>
      </c>
      <c r="G5142" s="18">
        <v>0.18</v>
      </c>
      <c r="H5142">
        <f>F5142*VLOOKUP(B5142,產品!$A$2:$H$61,7,FALSE)*(1-銷售總表!G5142)</f>
        <v>61500.000000000007</v>
      </c>
      <c r="I5142" s="35">
        <f>H5142-F5142*VLOOKUP(銷售總表!B5142,產品!$A$2:$H$61,8,FALSE)</f>
        <v>12750.000000000007</v>
      </c>
      <c r="J5142" s="20">
        <f t="shared" si="80"/>
        <v>0.20731707317073181</v>
      </c>
    </row>
    <row r="5143" spans="1:10" x14ac:dyDescent="0.3">
      <c r="A5143" s="33">
        <v>5142</v>
      </c>
      <c r="B5143" s="4">
        <v>55</v>
      </c>
      <c r="C5143" s="15">
        <v>8</v>
      </c>
      <c r="D5143" s="16">
        <v>10</v>
      </c>
      <c r="E5143" s="22">
        <v>44805</v>
      </c>
      <c r="F5143" s="19">
        <v>5</v>
      </c>
      <c r="G5143" s="18">
        <v>0.19</v>
      </c>
      <c r="H5143">
        <f>F5143*VLOOKUP(B5143,產品!$A$2:$H$61,7,FALSE)*(1-銷售總表!G5143)</f>
        <v>81000</v>
      </c>
      <c r="I5143" s="35">
        <f>H5143-F5143*VLOOKUP(銷售總表!B5143,產品!$A$2:$H$61,8,FALSE)</f>
        <v>11000</v>
      </c>
      <c r="J5143" s="20">
        <f t="shared" si="80"/>
        <v>0.13580246913580246</v>
      </c>
    </row>
    <row r="5144" spans="1:10" x14ac:dyDescent="0.3">
      <c r="A5144" s="33">
        <v>5143</v>
      </c>
      <c r="B5144" s="4">
        <v>34</v>
      </c>
      <c r="C5144" s="15">
        <v>12</v>
      </c>
      <c r="D5144" s="16">
        <v>7</v>
      </c>
      <c r="E5144" s="22">
        <v>44805</v>
      </c>
      <c r="F5144" s="19">
        <v>6</v>
      </c>
      <c r="G5144" s="18">
        <v>7.0000000000000007E-2</v>
      </c>
      <c r="H5144">
        <f>F5144*VLOOKUP(B5144,產品!$A$2:$H$61,7,FALSE)*(1-銷售總表!G5144)</f>
        <v>44640</v>
      </c>
      <c r="I5144" s="35">
        <f>H5144-F5144*VLOOKUP(銷售總表!B5144,產品!$A$2:$H$61,8,FALSE)</f>
        <v>15840</v>
      </c>
      <c r="J5144" s="20">
        <f t="shared" si="80"/>
        <v>0.35483870967741937</v>
      </c>
    </row>
    <row r="5145" spans="1:10" x14ac:dyDescent="0.3">
      <c r="A5145" s="33">
        <v>5144</v>
      </c>
      <c r="B5145" s="4">
        <v>43</v>
      </c>
      <c r="C5145" s="15">
        <v>293</v>
      </c>
      <c r="D5145" s="16">
        <v>6</v>
      </c>
      <c r="E5145" s="22">
        <v>44805</v>
      </c>
      <c r="F5145" s="19">
        <v>7</v>
      </c>
      <c r="G5145" s="18">
        <v>0.08</v>
      </c>
      <c r="H5145">
        <f>F5145*VLOOKUP(B5145,產品!$A$2:$H$61,7,FALSE)*(1-銷售總表!G5145)</f>
        <v>115920</v>
      </c>
      <c r="I5145" s="35">
        <f>H5145-F5145*VLOOKUP(銷售總表!B5145,產品!$A$2:$H$61,8,FALSE)</f>
        <v>34020</v>
      </c>
      <c r="J5145" s="20">
        <f t="shared" si="80"/>
        <v>0.29347826086956524</v>
      </c>
    </row>
    <row r="5146" spans="1:10" x14ac:dyDescent="0.3">
      <c r="A5146" s="33">
        <v>5145</v>
      </c>
      <c r="B5146" s="4">
        <v>25</v>
      </c>
      <c r="C5146" s="15">
        <v>134</v>
      </c>
      <c r="D5146" s="16">
        <v>8</v>
      </c>
      <c r="E5146" s="22">
        <v>44805</v>
      </c>
      <c r="F5146" s="19">
        <v>7</v>
      </c>
      <c r="G5146" s="18">
        <v>0.12</v>
      </c>
      <c r="H5146">
        <f>F5146*VLOOKUP(B5146,產品!$A$2:$H$61,7,FALSE)*(1-銷售總表!G5146)</f>
        <v>36960</v>
      </c>
      <c r="I5146" s="35">
        <f>H5146-F5146*VLOOKUP(銷售總表!B5146,產品!$A$2:$H$61,8,FALSE)</f>
        <v>11760</v>
      </c>
      <c r="J5146" s="20">
        <f t="shared" si="80"/>
        <v>0.31818181818181818</v>
      </c>
    </row>
    <row r="5147" spans="1:10" x14ac:dyDescent="0.3">
      <c r="A5147" s="33">
        <v>5146</v>
      </c>
      <c r="B5147" s="4">
        <v>53</v>
      </c>
      <c r="C5147" s="15">
        <v>113</v>
      </c>
      <c r="D5147" s="16">
        <v>2</v>
      </c>
      <c r="E5147" s="22">
        <v>44805</v>
      </c>
      <c r="F5147" s="19">
        <v>20</v>
      </c>
      <c r="G5147" s="18">
        <v>0.14000000000000001</v>
      </c>
      <c r="H5147">
        <f>F5147*VLOOKUP(B5147,產品!$A$2:$H$61,7,FALSE)*(1-銷售總表!G5147)</f>
        <v>258000</v>
      </c>
      <c r="I5147" s="35">
        <f>H5147-F5147*VLOOKUP(銷售總表!B5147,產品!$A$2:$H$61,8,FALSE)</f>
        <v>48000</v>
      </c>
      <c r="J5147" s="20">
        <f t="shared" si="80"/>
        <v>0.18604651162790697</v>
      </c>
    </row>
    <row r="5148" spans="1:10" x14ac:dyDescent="0.3">
      <c r="A5148" s="33">
        <v>5147</v>
      </c>
      <c r="B5148" s="4">
        <v>8</v>
      </c>
      <c r="C5148" s="15">
        <v>260</v>
      </c>
      <c r="D5148" s="16">
        <v>8</v>
      </c>
      <c r="E5148" s="22">
        <v>44805</v>
      </c>
      <c r="F5148" s="19">
        <v>40</v>
      </c>
      <c r="G5148" s="18">
        <v>0.2</v>
      </c>
      <c r="H5148">
        <f>F5148*VLOOKUP(B5148,產品!$A$2:$H$61,7,FALSE)*(1-銷售總表!G5148)</f>
        <v>32000</v>
      </c>
      <c r="I5148" s="35">
        <f>H5148-F5148*VLOOKUP(銷售總表!B5148,產品!$A$2:$H$61,8,FALSE)</f>
        <v>16000</v>
      </c>
      <c r="J5148" s="20">
        <f t="shared" si="80"/>
        <v>0.5</v>
      </c>
    </row>
    <row r="5149" spans="1:10" x14ac:dyDescent="0.3">
      <c r="A5149" s="33">
        <v>5148</v>
      </c>
      <c r="B5149" s="4">
        <v>50</v>
      </c>
      <c r="C5149" s="15">
        <v>258</v>
      </c>
      <c r="D5149" s="16">
        <v>5</v>
      </c>
      <c r="E5149" s="22">
        <v>44806</v>
      </c>
      <c r="F5149" s="19">
        <v>6</v>
      </c>
      <c r="G5149" s="18">
        <v>0.16</v>
      </c>
      <c r="H5149">
        <f>F5149*VLOOKUP(B5149,產品!$A$2:$H$61,7,FALSE)*(1-銷售總表!G5149)</f>
        <v>90720</v>
      </c>
      <c r="I5149" s="35">
        <f>H5149-F5149*VLOOKUP(銷售總表!B5149,產品!$A$2:$H$61,8,FALSE)</f>
        <v>15120</v>
      </c>
      <c r="J5149" s="20">
        <f t="shared" si="80"/>
        <v>0.16666666666666666</v>
      </c>
    </row>
    <row r="5150" spans="1:10" x14ac:dyDescent="0.3">
      <c r="A5150" s="33">
        <v>5149</v>
      </c>
      <c r="B5150" s="4">
        <v>36</v>
      </c>
      <c r="C5150" s="15">
        <v>284</v>
      </c>
      <c r="D5150" s="16">
        <v>8</v>
      </c>
      <c r="E5150" s="22">
        <v>44806</v>
      </c>
      <c r="F5150" s="19">
        <v>10</v>
      </c>
      <c r="G5150" s="18">
        <v>7.0000000000000007E-2</v>
      </c>
      <c r="H5150">
        <f>F5150*VLOOKUP(B5150,產品!$A$2:$H$61,7,FALSE)*(1-銷售總表!G5150)</f>
        <v>83700</v>
      </c>
      <c r="I5150" s="35">
        <f>H5150-F5150*VLOOKUP(銷售總表!B5150,產品!$A$2:$H$61,8,FALSE)</f>
        <v>29700</v>
      </c>
      <c r="J5150" s="20">
        <f t="shared" si="80"/>
        <v>0.35483870967741937</v>
      </c>
    </row>
    <row r="5151" spans="1:10" x14ac:dyDescent="0.3">
      <c r="A5151" s="33">
        <v>5150</v>
      </c>
      <c r="B5151" s="4">
        <v>31</v>
      </c>
      <c r="C5151" s="15">
        <v>267</v>
      </c>
      <c r="D5151" s="16">
        <v>7</v>
      </c>
      <c r="E5151" s="22">
        <v>44806</v>
      </c>
      <c r="F5151" s="19">
        <v>16</v>
      </c>
      <c r="G5151" s="18">
        <v>7.0000000000000007E-2</v>
      </c>
      <c r="H5151">
        <f>F5151*VLOOKUP(B5151,產品!$A$2:$H$61,7,FALSE)*(1-銷售總表!G5151)</f>
        <v>104160</v>
      </c>
      <c r="I5151" s="35">
        <f>H5151-F5151*VLOOKUP(銷售總表!B5151,產品!$A$2:$H$61,8,FALSE)</f>
        <v>36960</v>
      </c>
      <c r="J5151" s="20">
        <f t="shared" si="80"/>
        <v>0.35483870967741937</v>
      </c>
    </row>
    <row r="5152" spans="1:10" x14ac:dyDescent="0.3">
      <c r="A5152" s="33">
        <v>5151</v>
      </c>
      <c r="B5152" s="4">
        <v>23</v>
      </c>
      <c r="C5152" s="15">
        <v>292</v>
      </c>
      <c r="D5152" s="16">
        <v>8</v>
      </c>
      <c r="E5152" s="22">
        <v>44806</v>
      </c>
      <c r="F5152" s="19">
        <v>20</v>
      </c>
      <c r="G5152" s="18">
        <v>0.1</v>
      </c>
      <c r="H5152">
        <f>F5152*VLOOKUP(B5152,產品!$A$2:$H$61,7,FALSE)*(1-銷售總表!G5152)</f>
        <v>32400</v>
      </c>
      <c r="I5152" s="35">
        <f>H5152-F5152*VLOOKUP(銷售總表!B5152,產品!$A$2:$H$61,8,FALSE)</f>
        <v>18000</v>
      </c>
      <c r="J5152" s="20">
        <f t="shared" si="80"/>
        <v>0.55555555555555558</v>
      </c>
    </row>
    <row r="5153" spans="1:10" x14ac:dyDescent="0.3">
      <c r="A5153" s="33">
        <v>5152</v>
      </c>
      <c r="B5153" s="4">
        <v>25</v>
      </c>
      <c r="C5153" s="15">
        <v>122</v>
      </c>
      <c r="D5153" s="16">
        <v>4</v>
      </c>
      <c r="E5153" s="22">
        <v>44806</v>
      </c>
      <c r="F5153" s="19">
        <v>55</v>
      </c>
      <c r="G5153" s="18">
        <v>0.15</v>
      </c>
      <c r="H5153">
        <f>F5153*VLOOKUP(B5153,產品!$A$2:$H$61,7,FALSE)*(1-銷售總表!G5153)</f>
        <v>280500</v>
      </c>
      <c r="I5153" s="35">
        <f>H5153-F5153*VLOOKUP(銷售總表!B5153,產品!$A$2:$H$61,8,FALSE)</f>
        <v>82500</v>
      </c>
      <c r="J5153" s="20">
        <f t="shared" si="80"/>
        <v>0.29411764705882354</v>
      </c>
    </row>
    <row r="5154" spans="1:10" x14ac:dyDescent="0.3">
      <c r="A5154" s="33">
        <v>5153</v>
      </c>
      <c r="B5154" s="4">
        <v>7</v>
      </c>
      <c r="C5154" s="15">
        <v>258</v>
      </c>
      <c r="D5154" s="16">
        <v>6</v>
      </c>
      <c r="E5154" s="22">
        <v>44806</v>
      </c>
      <c r="F5154" s="19">
        <v>105</v>
      </c>
      <c r="G5154" s="18">
        <v>0.09</v>
      </c>
      <c r="H5154">
        <f>F5154*VLOOKUP(B5154,產品!$A$2:$H$61,7,FALSE)*(1-銷售總表!G5154)</f>
        <v>95550</v>
      </c>
      <c r="I5154" s="35">
        <f>H5154-F5154*VLOOKUP(銷售總表!B5154,產品!$A$2:$H$61,8,FALSE)</f>
        <v>53550</v>
      </c>
      <c r="J5154" s="20">
        <f t="shared" si="80"/>
        <v>0.56043956043956045</v>
      </c>
    </row>
    <row r="5155" spans="1:10" x14ac:dyDescent="0.3">
      <c r="A5155" s="33">
        <v>5154</v>
      </c>
      <c r="B5155" s="4">
        <v>33</v>
      </c>
      <c r="C5155" s="15">
        <v>3</v>
      </c>
      <c r="D5155" s="16">
        <v>5</v>
      </c>
      <c r="E5155" s="22">
        <v>44807</v>
      </c>
      <c r="F5155" s="19">
        <v>2</v>
      </c>
      <c r="G5155" s="18">
        <v>0.14000000000000001</v>
      </c>
      <c r="H5155">
        <f>F5155*VLOOKUP(B5155,產品!$A$2:$H$61,7,FALSE)*(1-銷售總表!G5155)</f>
        <v>12900</v>
      </c>
      <c r="I5155" s="35">
        <f>H5155-F5155*VLOOKUP(銷售總表!B5155,產品!$A$2:$H$61,8,FALSE)</f>
        <v>3900</v>
      </c>
      <c r="J5155" s="20">
        <f t="shared" si="80"/>
        <v>0.30232558139534882</v>
      </c>
    </row>
    <row r="5156" spans="1:10" x14ac:dyDescent="0.3">
      <c r="A5156" s="33">
        <v>5155</v>
      </c>
      <c r="B5156" s="4">
        <v>59</v>
      </c>
      <c r="C5156" s="15">
        <v>6</v>
      </c>
      <c r="D5156" s="16">
        <v>10</v>
      </c>
      <c r="E5156" s="22">
        <v>44807</v>
      </c>
      <c r="F5156" s="19">
        <v>5</v>
      </c>
      <c r="G5156" s="18">
        <v>0.15</v>
      </c>
      <c r="H5156">
        <f>F5156*VLOOKUP(B5156,產品!$A$2:$H$61,7,FALSE)*(1-銷售總表!G5156)</f>
        <v>102000</v>
      </c>
      <c r="I5156" s="35">
        <f>H5156-F5156*VLOOKUP(銷售總表!B5156,產品!$A$2:$H$61,8,FALSE)</f>
        <v>18000</v>
      </c>
      <c r="J5156" s="20">
        <f t="shared" si="80"/>
        <v>0.17647058823529413</v>
      </c>
    </row>
    <row r="5157" spans="1:10" x14ac:dyDescent="0.3">
      <c r="A5157" s="33">
        <v>5156</v>
      </c>
      <c r="B5157" s="4">
        <v>52</v>
      </c>
      <c r="C5157" s="15">
        <v>120</v>
      </c>
      <c r="D5157" s="16">
        <v>3</v>
      </c>
      <c r="E5157" s="22">
        <v>44807</v>
      </c>
      <c r="F5157" s="19">
        <v>10</v>
      </c>
      <c r="G5157" s="18">
        <v>0.15</v>
      </c>
      <c r="H5157">
        <f>F5157*VLOOKUP(B5157,產品!$A$2:$H$61,7,FALSE)*(1-銷售總表!G5157)</f>
        <v>187000</v>
      </c>
      <c r="I5157" s="35">
        <f>H5157-F5157*VLOOKUP(銷售總表!B5157,產品!$A$2:$H$61,8,FALSE)</f>
        <v>33000.000000000029</v>
      </c>
      <c r="J5157" s="20">
        <f t="shared" si="80"/>
        <v>0.17647058823529427</v>
      </c>
    </row>
    <row r="5158" spans="1:10" x14ac:dyDescent="0.3">
      <c r="A5158" s="33">
        <v>5157</v>
      </c>
      <c r="B5158" s="4">
        <v>58</v>
      </c>
      <c r="C5158" s="15">
        <v>138</v>
      </c>
      <c r="D5158" s="16">
        <v>6</v>
      </c>
      <c r="E5158" s="22">
        <v>44807</v>
      </c>
      <c r="F5158" s="19">
        <v>10</v>
      </c>
      <c r="G5158" s="18">
        <v>0.17</v>
      </c>
      <c r="H5158">
        <f>F5158*VLOOKUP(B5158,產品!$A$2:$H$61,7,FALSE)*(1-銷售總表!G5158)</f>
        <v>174300</v>
      </c>
      <c r="I5158" s="35">
        <f>H5158-F5158*VLOOKUP(銷售總表!B5158,產品!$A$2:$H$61,8,FALSE)</f>
        <v>27300.000000000029</v>
      </c>
      <c r="J5158" s="20">
        <f t="shared" si="80"/>
        <v>0.15662650602409656</v>
      </c>
    </row>
    <row r="5159" spans="1:10" x14ac:dyDescent="0.3">
      <c r="A5159" s="33">
        <v>5158</v>
      </c>
      <c r="B5159" s="4">
        <v>19</v>
      </c>
      <c r="C5159" s="15">
        <v>268</v>
      </c>
      <c r="D5159" s="16">
        <v>1</v>
      </c>
      <c r="E5159" s="22">
        <v>44807</v>
      </c>
      <c r="F5159" s="19">
        <v>30</v>
      </c>
      <c r="G5159" s="18">
        <v>0.08</v>
      </c>
      <c r="H5159">
        <f>F5159*VLOOKUP(B5159,產品!$A$2:$H$61,7,FALSE)*(1-銷售總表!G5159)</f>
        <v>49680</v>
      </c>
      <c r="I5159" s="35">
        <f>H5159-F5159*VLOOKUP(銷售總表!B5159,產品!$A$2:$H$61,8,FALSE)</f>
        <v>28080</v>
      </c>
      <c r="J5159" s="20">
        <f t="shared" si="80"/>
        <v>0.56521739130434778</v>
      </c>
    </row>
    <row r="5160" spans="1:10" x14ac:dyDescent="0.3">
      <c r="A5160" s="33">
        <v>5159</v>
      </c>
      <c r="B5160" s="4">
        <v>35</v>
      </c>
      <c r="C5160" s="15">
        <v>123</v>
      </c>
      <c r="D5160" s="16">
        <v>4</v>
      </c>
      <c r="E5160" s="23">
        <v>44807</v>
      </c>
      <c r="F5160">
        <v>33</v>
      </c>
      <c r="G5160" s="20">
        <v>0.15</v>
      </c>
      <c r="H5160">
        <f>F5160*VLOOKUP(B5160,產品!$A$2:$H$61,7,FALSE)*(1-銷售總表!G5160)</f>
        <v>238425</v>
      </c>
      <c r="I5160" s="35">
        <f>H5160-F5160*VLOOKUP(銷售總表!B5160,產品!$A$2:$H$61,8,FALSE)</f>
        <v>70125</v>
      </c>
      <c r="J5160" s="20">
        <f t="shared" si="80"/>
        <v>0.29411764705882354</v>
      </c>
    </row>
    <row r="5161" spans="1:10" x14ac:dyDescent="0.3">
      <c r="A5161" s="33">
        <v>5160</v>
      </c>
      <c r="B5161" s="4">
        <v>12</v>
      </c>
      <c r="C5161" s="15">
        <v>7</v>
      </c>
      <c r="D5161" s="16">
        <v>5</v>
      </c>
      <c r="E5161" s="22">
        <v>44807</v>
      </c>
      <c r="F5161" s="19">
        <v>60</v>
      </c>
      <c r="G5161" s="18">
        <v>0.11</v>
      </c>
      <c r="H5161">
        <f>F5161*VLOOKUP(B5161,產品!$A$2:$H$61,7,FALSE)*(1-銷售總表!G5161)</f>
        <v>53400</v>
      </c>
      <c r="I5161" s="35">
        <f>H5161-F5161*VLOOKUP(銷售總表!B5161,產品!$A$2:$H$61,8,FALSE)</f>
        <v>29400</v>
      </c>
      <c r="J5161" s="20">
        <f t="shared" si="80"/>
        <v>0.550561797752809</v>
      </c>
    </row>
    <row r="5162" spans="1:10" x14ac:dyDescent="0.3">
      <c r="A5162" s="33">
        <v>5161</v>
      </c>
      <c r="B5162" s="4">
        <v>12</v>
      </c>
      <c r="C5162" s="15">
        <v>4</v>
      </c>
      <c r="D5162" s="16">
        <v>9</v>
      </c>
      <c r="E5162" s="23">
        <v>44807</v>
      </c>
      <c r="F5162">
        <v>70</v>
      </c>
      <c r="G5162" s="20">
        <v>0.1</v>
      </c>
      <c r="H5162">
        <f>F5162*VLOOKUP(B5162,產品!$A$2:$H$61,7,FALSE)*(1-銷售總表!G5162)</f>
        <v>63000</v>
      </c>
      <c r="I5162" s="35">
        <f>H5162-F5162*VLOOKUP(銷售總表!B5162,產品!$A$2:$H$61,8,FALSE)</f>
        <v>35000</v>
      </c>
      <c r="J5162" s="20">
        <f t="shared" si="80"/>
        <v>0.55555555555555558</v>
      </c>
    </row>
    <row r="5163" spans="1:10" x14ac:dyDescent="0.3">
      <c r="A5163" s="33">
        <v>5162</v>
      </c>
      <c r="B5163" s="4">
        <v>4</v>
      </c>
      <c r="C5163" s="15">
        <v>125</v>
      </c>
      <c r="D5163" s="16">
        <v>4</v>
      </c>
      <c r="E5163" s="22">
        <v>44807</v>
      </c>
      <c r="F5163" s="19">
        <v>90</v>
      </c>
      <c r="G5163" s="18">
        <v>0.06</v>
      </c>
      <c r="H5163">
        <f>F5163*VLOOKUP(B5163,產品!$A$2:$H$61,7,FALSE)*(1-銷售總表!G5163)</f>
        <v>84600</v>
      </c>
      <c r="I5163" s="35">
        <f>H5163-F5163*VLOOKUP(銷售總表!B5163,產品!$A$2:$H$61,8,FALSE)</f>
        <v>48600</v>
      </c>
      <c r="J5163" s="20">
        <f t="shared" si="80"/>
        <v>0.57446808510638303</v>
      </c>
    </row>
    <row r="5164" spans="1:10" x14ac:dyDescent="0.3">
      <c r="A5164" s="33">
        <v>5163</v>
      </c>
      <c r="B5164" s="4">
        <v>30</v>
      </c>
      <c r="C5164" s="15">
        <v>289</v>
      </c>
      <c r="D5164" s="16">
        <v>5</v>
      </c>
      <c r="E5164" s="23">
        <v>44808</v>
      </c>
      <c r="F5164">
        <v>7</v>
      </c>
      <c r="G5164" s="20">
        <v>0.12</v>
      </c>
      <c r="H5164">
        <f>F5164*VLOOKUP(B5164,產品!$A$2:$H$61,7,FALSE)*(1-銷售總表!G5164)</f>
        <v>40040</v>
      </c>
      <c r="I5164" s="35">
        <f>H5164-F5164*VLOOKUP(銷售總表!B5164,產品!$A$2:$H$61,8,FALSE)</f>
        <v>12740</v>
      </c>
      <c r="J5164" s="20">
        <f t="shared" si="80"/>
        <v>0.31818181818181818</v>
      </c>
    </row>
    <row r="5165" spans="1:10" x14ac:dyDescent="0.3">
      <c r="A5165" s="33">
        <v>5164</v>
      </c>
      <c r="B5165" s="4">
        <v>7</v>
      </c>
      <c r="C5165" s="15">
        <v>126</v>
      </c>
      <c r="D5165" s="16">
        <v>2</v>
      </c>
      <c r="E5165" s="22">
        <v>44808</v>
      </c>
      <c r="F5165" s="19">
        <v>30</v>
      </c>
      <c r="G5165" s="18">
        <v>0.06</v>
      </c>
      <c r="H5165">
        <f>F5165*VLOOKUP(B5165,產品!$A$2:$H$61,7,FALSE)*(1-銷售總表!G5165)</f>
        <v>28200</v>
      </c>
      <c r="I5165" s="35">
        <f>H5165-F5165*VLOOKUP(銷售總表!B5165,產品!$A$2:$H$61,8,FALSE)</f>
        <v>16200</v>
      </c>
      <c r="J5165" s="20">
        <f t="shared" si="80"/>
        <v>0.57446808510638303</v>
      </c>
    </row>
    <row r="5166" spans="1:10" x14ac:dyDescent="0.3">
      <c r="A5166" s="33">
        <v>5165</v>
      </c>
      <c r="B5166" s="4">
        <v>9</v>
      </c>
      <c r="C5166" s="15">
        <v>291</v>
      </c>
      <c r="D5166" s="16">
        <v>10</v>
      </c>
      <c r="E5166" s="22">
        <v>44808</v>
      </c>
      <c r="F5166" s="19">
        <v>30</v>
      </c>
      <c r="G5166" s="18">
        <v>0.14000000000000001</v>
      </c>
      <c r="H5166">
        <f>F5166*VLOOKUP(B5166,產品!$A$2:$H$61,7,FALSE)*(1-銷售總表!G5166)</f>
        <v>25800</v>
      </c>
      <c r="I5166" s="35">
        <f>H5166-F5166*VLOOKUP(銷售總表!B5166,產品!$A$2:$H$61,8,FALSE)</f>
        <v>13800</v>
      </c>
      <c r="J5166" s="20">
        <f t="shared" si="80"/>
        <v>0.53488372093023251</v>
      </c>
    </row>
    <row r="5167" spans="1:10" x14ac:dyDescent="0.3">
      <c r="A5167" s="33">
        <v>5166</v>
      </c>
      <c r="B5167" s="4">
        <v>53</v>
      </c>
      <c r="C5167" s="15">
        <v>262</v>
      </c>
      <c r="D5167" s="16">
        <v>10</v>
      </c>
      <c r="E5167" s="22">
        <v>44809</v>
      </c>
      <c r="F5167" s="19">
        <v>1</v>
      </c>
      <c r="G5167" s="18">
        <v>0.14000000000000001</v>
      </c>
      <c r="H5167">
        <f>F5167*VLOOKUP(B5167,產品!$A$2:$H$61,7,FALSE)*(1-銷售總表!G5167)</f>
        <v>12900</v>
      </c>
      <c r="I5167" s="35">
        <f>H5167-F5167*VLOOKUP(銷售總表!B5167,產品!$A$2:$H$61,8,FALSE)</f>
        <v>2400</v>
      </c>
      <c r="J5167" s="20">
        <f t="shared" si="80"/>
        <v>0.18604651162790697</v>
      </c>
    </row>
    <row r="5168" spans="1:10" x14ac:dyDescent="0.3">
      <c r="A5168" s="33">
        <v>5167</v>
      </c>
      <c r="B5168" s="4">
        <v>43</v>
      </c>
      <c r="C5168" s="15">
        <v>261</v>
      </c>
      <c r="D5168" s="16">
        <v>7</v>
      </c>
      <c r="E5168" s="22">
        <v>44809</v>
      </c>
      <c r="F5168" s="19">
        <v>13</v>
      </c>
      <c r="G5168" s="18">
        <v>0.11</v>
      </c>
      <c r="H5168">
        <f>F5168*VLOOKUP(B5168,產品!$A$2:$H$61,7,FALSE)*(1-銷售總表!G5168)</f>
        <v>208260</v>
      </c>
      <c r="I5168" s="35">
        <f>H5168-F5168*VLOOKUP(銷售總表!B5168,產品!$A$2:$H$61,8,FALSE)</f>
        <v>56160</v>
      </c>
      <c r="J5168" s="20">
        <f t="shared" si="80"/>
        <v>0.2696629213483146</v>
      </c>
    </row>
    <row r="5169" spans="1:10" x14ac:dyDescent="0.3">
      <c r="A5169" s="33">
        <v>5168</v>
      </c>
      <c r="B5169" s="4">
        <v>42</v>
      </c>
      <c r="C5169" s="15">
        <v>123</v>
      </c>
      <c r="D5169" s="16">
        <v>6</v>
      </c>
      <c r="E5169" s="22">
        <v>44809</v>
      </c>
      <c r="F5169" s="19">
        <v>13</v>
      </c>
      <c r="G5169" s="18">
        <v>7.0000000000000007E-2</v>
      </c>
      <c r="H5169">
        <f>F5169*VLOOKUP(B5169,產品!$A$2:$H$61,7,FALSE)*(1-銷售總表!G5169)</f>
        <v>181350</v>
      </c>
      <c r="I5169" s="35">
        <f>H5169-F5169*VLOOKUP(銷售總表!B5169,產品!$A$2:$H$61,8,FALSE)</f>
        <v>54600</v>
      </c>
      <c r="J5169" s="20">
        <f t="shared" si="80"/>
        <v>0.30107526881720431</v>
      </c>
    </row>
    <row r="5170" spans="1:10" x14ac:dyDescent="0.3">
      <c r="A5170" s="33">
        <v>5169</v>
      </c>
      <c r="B5170" s="4">
        <v>1</v>
      </c>
      <c r="C5170" s="15">
        <v>12</v>
      </c>
      <c r="D5170" s="16">
        <v>1</v>
      </c>
      <c r="E5170" s="22">
        <v>44809</v>
      </c>
      <c r="F5170" s="19">
        <v>40</v>
      </c>
      <c r="G5170" s="18">
        <v>0.2</v>
      </c>
      <c r="H5170">
        <f>F5170*VLOOKUP(B5170,產品!$A$2:$H$61,7,FALSE)*(1-銷售總表!G5170)</f>
        <v>32000</v>
      </c>
      <c r="I5170" s="35">
        <f>H5170-F5170*VLOOKUP(銷售總表!B5170,產品!$A$2:$H$61,8,FALSE)</f>
        <v>16000</v>
      </c>
      <c r="J5170" s="20">
        <f t="shared" si="80"/>
        <v>0.5</v>
      </c>
    </row>
    <row r="5171" spans="1:10" x14ac:dyDescent="0.3">
      <c r="A5171" s="33">
        <v>5170</v>
      </c>
      <c r="B5171" s="4">
        <v>13</v>
      </c>
      <c r="C5171" s="15">
        <v>121</v>
      </c>
      <c r="D5171" s="16">
        <v>7</v>
      </c>
      <c r="E5171" s="22">
        <v>44809</v>
      </c>
      <c r="F5171" s="19">
        <v>50</v>
      </c>
      <c r="G5171" s="18">
        <v>0.06</v>
      </c>
      <c r="H5171">
        <f>F5171*VLOOKUP(B5171,產品!$A$2:$H$61,7,FALSE)*(1-銷售總表!G5171)</f>
        <v>84600</v>
      </c>
      <c r="I5171" s="35">
        <f>H5171-F5171*VLOOKUP(銷售總表!B5171,產品!$A$2:$H$61,8,FALSE)</f>
        <v>48600</v>
      </c>
      <c r="J5171" s="20">
        <f t="shared" si="80"/>
        <v>0.57446808510638303</v>
      </c>
    </row>
    <row r="5172" spans="1:10" x14ac:dyDescent="0.3">
      <c r="A5172" s="33">
        <v>5171</v>
      </c>
      <c r="B5172" s="4">
        <v>10</v>
      </c>
      <c r="C5172" s="15">
        <v>140</v>
      </c>
      <c r="D5172" s="16">
        <v>8</v>
      </c>
      <c r="E5172" s="22">
        <v>44809</v>
      </c>
      <c r="F5172" s="19">
        <v>50</v>
      </c>
      <c r="G5172" s="18">
        <v>0.13</v>
      </c>
      <c r="H5172">
        <f>F5172*VLOOKUP(B5172,產品!$A$2:$H$61,7,FALSE)*(1-銷售總表!G5172)</f>
        <v>43500</v>
      </c>
      <c r="I5172" s="35">
        <f>H5172-F5172*VLOOKUP(銷售總表!B5172,產品!$A$2:$H$61,8,FALSE)</f>
        <v>23500</v>
      </c>
      <c r="J5172" s="20">
        <f t="shared" si="80"/>
        <v>0.54022988505747127</v>
      </c>
    </row>
    <row r="5173" spans="1:10" x14ac:dyDescent="0.3">
      <c r="A5173" s="33">
        <v>5172</v>
      </c>
      <c r="B5173" s="4">
        <v>21</v>
      </c>
      <c r="C5173" s="15">
        <v>115</v>
      </c>
      <c r="D5173" s="16">
        <v>1</v>
      </c>
      <c r="E5173" s="22">
        <v>44809</v>
      </c>
      <c r="F5173" s="19">
        <v>70</v>
      </c>
      <c r="G5173" s="18">
        <v>0.13</v>
      </c>
      <c r="H5173">
        <f>F5173*VLOOKUP(B5173,產品!$A$2:$H$61,7,FALSE)*(1-銷售總表!G5173)</f>
        <v>109620</v>
      </c>
      <c r="I5173" s="35">
        <f>H5173-F5173*VLOOKUP(銷售總表!B5173,產品!$A$2:$H$61,8,FALSE)</f>
        <v>59220</v>
      </c>
      <c r="J5173" s="20">
        <f t="shared" si="80"/>
        <v>0.54022988505747127</v>
      </c>
    </row>
    <row r="5174" spans="1:10" x14ac:dyDescent="0.3">
      <c r="A5174" s="33">
        <v>5173</v>
      </c>
      <c r="B5174" s="4">
        <v>17</v>
      </c>
      <c r="C5174" s="15">
        <v>123</v>
      </c>
      <c r="D5174" s="16">
        <v>5</v>
      </c>
      <c r="E5174" s="22">
        <v>44809</v>
      </c>
      <c r="F5174" s="19">
        <v>80</v>
      </c>
      <c r="G5174" s="18">
        <v>0.08</v>
      </c>
      <c r="H5174">
        <f>F5174*VLOOKUP(B5174,產品!$A$2:$H$61,7,FALSE)*(1-銷售總表!G5174)</f>
        <v>132480</v>
      </c>
      <c r="I5174" s="35">
        <f>H5174-F5174*VLOOKUP(銷售總表!B5174,產品!$A$2:$H$61,8,FALSE)</f>
        <v>74880</v>
      </c>
      <c r="J5174" s="20">
        <f t="shared" si="80"/>
        <v>0.56521739130434778</v>
      </c>
    </row>
    <row r="5175" spans="1:10" x14ac:dyDescent="0.3">
      <c r="A5175" s="33">
        <v>5174</v>
      </c>
      <c r="B5175" s="4">
        <v>22</v>
      </c>
      <c r="C5175" s="15">
        <v>112</v>
      </c>
      <c r="D5175" s="16">
        <v>4</v>
      </c>
      <c r="E5175" s="22">
        <v>44809</v>
      </c>
      <c r="F5175" s="19">
        <v>100</v>
      </c>
      <c r="G5175" s="18">
        <v>0.08</v>
      </c>
      <c r="H5175">
        <f>F5175*VLOOKUP(B5175,產品!$A$2:$H$61,7,FALSE)*(1-銷售總表!G5175)</f>
        <v>165600</v>
      </c>
      <c r="I5175" s="35">
        <f>H5175-F5175*VLOOKUP(銷售總表!B5175,產品!$A$2:$H$61,8,FALSE)</f>
        <v>93600</v>
      </c>
      <c r="J5175" s="20">
        <f t="shared" si="80"/>
        <v>0.56521739130434778</v>
      </c>
    </row>
    <row r="5176" spans="1:10" x14ac:dyDescent="0.3">
      <c r="A5176" s="33">
        <v>5175</v>
      </c>
      <c r="B5176" s="4">
        <v>32</v>
      </c>
      <c r="C5176" s="15">
        <v>116</v>
      </c>
      <c r="D5176" s="16">
        <v>7</v>
      </c>
      <c r="E5176" s="23">
        <v>44810</v>
      </c>
      <c r="F5176">
        <v>8</v>
      </c>
      <c r="G5176" s="20">
        <v>0.19</v>
      </c>
      <c r="H5176">
        <f>F5176*VLOOKUP(B5176,產品!$A$2:$H$61,7,FALSE)*(1-銷售總表!G5176)</f>
        <v>48600</v>
      </c>
      <c r="I5176" s="35">
        <f>H5176-F5176*VLOOKUP(銷售總表!B5176,產品!$A$2:$H$61,8,FALSE)</f>
        <v>12600</v>
      </c>
      <c r="J5176" s="20">
        <f t="shared" si="80"/>
        <v>0.25925925925925924</v>
      </c>
    </row>
    <row r="5177" spans="1:10" x14ac:dyDescent="0.3">
      <c r="A5177" s="33">
        <v>5176</v>
      </c>
      <c r="B5177" s="4">
        <v>54</v>
      </c>
      <c r="C5177" s="15">
        <v>122</v>
      </c>
      <c r="D5177" s="16">
        <v>2</v>
      </c>
      <c r="E5177" s="23">
        <v>44810</v>
      </c>
      <c r="F5177">
        <v>9</v>
      </c>
      <c r="G5177" s="20">
        <v>0.08</v>
      </c>
      <c r="H5177">
        <f>F5177*VLOOKUP(B5177,產品!$A$2:$H$61,7,FALSE)*(1-銷售總表!G5177)</f>
        <v>149040</v>
      </c>
      <c r="I5177" s="35">
        <f>H5177-F5177*VLOOKUP(銷售總表!B5177,產品!$A$2:$H$61,8,FALSE)</f>
        <v>35640</v>
      </c>
      <c r="J5177" s="20">
        <f t="shared" si="80"/>
        <v>0.2391304347826087</v>
      </c>
    </row>
    <row r="5178" spans="1:10" x14ac:dyDescent="0.3">
      <c r="A5178" s="33">
        <v>5177</v>
      </c>
      <c r="B5178" s="4">
        <v>55</v>
      </c>
      <c r="C5178" s="15">
        <v>271</v>
      </c>
      <c r="D5178" s="16">
        <v>6</v>
      </c>
      <c r="E5178" s="22">
        <v>44810</v>
      </c>
      <c r="F5178" s="19">
        <v>9</v>
      </c>
      <c r="G5178" s="18">
        <v>0.2</v>
      </c>
      <c r="H5178">
        <f>F5178*VLOOKUP(B5178,產品!$A$2:$H$61,7,FALSE)*(1-銷售總表!G5178)</f>
        <v>144000</v>
      </c>
      <c r="I5178" s="35">
        <f>H5178-F5178*VLOOKUP(銷售總表!B5178,產品!$A$2:$H$61,8,FALSE)</f>
        <v>18000</v>
      </c>
      <c r="J5178" s="20">
        <f t="shared" si="80"/>
        <v>0.125</v>
      </c>
    </row>
    <row r="5179" spans="1:10" x14ac:dyDescent="0.3">
      <c r="A5179" s="33">
        <v>5178</v>
      </c>
      <c r="B5179" s="4">
        <v>8</v>
      </c>
      <c r="C5179" s="15">
        <v>8</v>
      </c>
      <c r="D5179" s="16">
        <v>3</v>
      </c>
      <c r="E5179" s="22">
        <v>44810</v>
      </c>
      <c r="F5179" s="19">
        <v>20</v>
      </c>
      <c r="G5179" s="18">
        <v>0.06</v>
      </c>
      <c r="H5179">
        <f>F5179*VLOOKUP(B5179,產品!$A$2:$H$61,7,FALSE)*(1-銷售總表!G5179)</f>
        <v>18800</v>
      </c>
      <c r="I5179" s="35">
        <f>H5179-F5179*VLOOKUP(銷售總表!B5179,產品!$A$2:$H$61,8,FALSE)</f>
        <v>10800</v>
      </c>
      <c r="J5179" s="20">
        <f t="shared" si="80"/>
        <v>0.57446808510638303</v>
      </c>
    </row>
    <row r="5180" spans="1:10" x14ac:dyDescent="0.3">
      <c r="A5180" s="33">
        <v>5179</v>
      </c>
      <c r="B5180" s="4">
        <v>22</v>
      </c>
      <c r="C5180" s="15">
        <v>7</v>
      </c>
      <c r="D5180" s="16">
        <v>3</v>
      </c>
      <c r="E5180" s="22">
        <v>44810</v>
      </c>
      <c r="F5180" s="19">
        <v>75</v>
      </c>
      <c r="G5180" s="18">
        <v>0.18</v>
      </c>
      <c r="H5180">
        <f>F5180*VLOOKUP(B5180,產品!$A$2:$H$61,7,FALSE)*(1-銷售總表!G5180)</f>
        <v>110700.00000000001</v>
      </c>
      <c r="I5180" s="35">
        <f>H5180-F5180*VLOOKUP(銷售總表!B5180,產品!$A$2:$H$61,8,FALSE)</f>
        <v>56700.000000000015</v>
      </c>
      <c r="J5180" s="20">
        <f t="shared" si="80"/>
        <v>0.51219512195121952</v>
      </c>
    </row>
    <row r="5181" spans="1:10" x14ac:dyDescent="0.3">
      <c r="A5181" s="33">
        <v>5180</v>
      </c>
      <c r="B5181" s="4">
        <v>22</v>
      </c>
      <c r="C5181" s="15">
        <v>8</v>
      </c>
      <c r="D5181" s="16">
        <v>2</v>
      </c>
      <c r="E5181" s="22">
        <v>44810</v>
      </c>
      <c r="F5181" s="19">
        <v>100</v>
      </c>
      <c r="G5181" s="18">
        <v>0.05</v>
      </c>
      <c r="H5181">
        <f>F5181*VLOOKUP(B5181,產品!$A$2:$H$61,7,FALSE)*(1-銷售總表!G5181)</f>
        <v>171000</v>
      </c>
      <c r="I5181" s="35">
        <f>H5181-F5181*VLOOKUP(銷售總表!B5181,產品!$A$2:$H$61,8,FALSE)</f>
        <v>99000</v>
      </c>
      <c r="J5181" s="20">
        <f t="shared" si="80"/>
        <v>0.57894736842105265</v>
      </c>
    </row>
    <row r="5182" spans="1:10" x14ac:dyDescent="0.3">
      <c r="A5182" s="33">
        <v>5181</v>
      </c>
      <c r="B5182" s="4">
        <v>6</v>
      </c>
      <c r="C5182" s="15">
        <v>275</v>
      </c>
      <c r="D5182" s="16">
        <v>9</v>
      </c>
      <c r="E5182" s="22">
        <v>44810</v>
      </c>
      <c r="F5182" s="19">
        <v>200</v>
      </c>
      <c r="G5182" s="18">
        <v>7.0000000000000007E-2</v>
      </c>
      <c r="H5182">
        <f>F5182*VLOOKUP(B5182,產品!$A$2:$H$61,7,FALSE)*(1-銷售總表!G5182)</f>
        <v>186000</v>
      </c>
      <c r="I5182" s="35">
        <f>H5182-F5182*VLOOKUP(銷售總表!B5182,產品!$A$2:$H$61,8,FALSE)</f>
        <v>106000</v>
      </c>
      <c r="J5182" s="20">
        <f t="shared" si="80"/>
        <v>0.56989247311827962</v>
      </c>
    </row>
    <row r="5183" spans="1:10" x14ac:dyDescent="0.3">
      <c r="A5183" s="33">
        <v>5182</v>
      </c>
      <c r="B5183" s="4">
        <v>53</v>
      </c>
      <c r="C5183" s="15">
        <v>118</v>
      </c>
      <c r="D5183" s="16">
        <v>5</v>
      </c>
      <c r="E5183" s="22">
        <v>44811</v>
      </c>
      <c r="F5183" s="19">
        <v>7</v>
      </c>
      <c r="G5183" s="18">
        <v>0.05</v>
      </c>
      <c r="H5183">
        <f>F5183*VLOOKUP(B5183,產品!$A$2:$H$61,7,FALSE)*(1-銷售總表!G5183)</f>
        <v>99750</v>
      </c>
      <c r="I5183" s="35">
        <f>H5183-F5183*VLOOKUP(銷售總表!B5183,產品!$A$2:$H$61,8,FALSE)</f>
        <v>26250</v>
      </c>
      <c r="J5183" s="20">
        <f t="shared" si="80"/>
        <v>0.26315789473684209</v>
      </c>
    </row>
    <row r="5184" spans="1:10" x14ac:dyDescent="0.3">
      <c r="A5184" s="33">
        <v>5183</v>
      </c>
      <c r="B5184" s="4">
        <v>5</v>
      </c>
      <c r="C5184" s="15">
        <v>124</v>
      </c>
      <c r="D5184" s="16">
        <v>7</v>
      </c>
      <c r="E5184" s="23">
        <v>44811</v>
      </c>
      <c r="F5184">
        <v>12</v>
      </c>
      <c r="G5184" s="20">
        <v>0.05</v>
      </c>
      <c r="H5184">
        <f>F5184*VLOOKUP(B5184,產品!$A$2:$H$61,7,FALSE)*(1-銷售總表!G5184)</f>
        <v>11400</v>
      </c>
      <c r="I5184" s="35">
        <f>H5184-F5184*VLOOKUP(銷售總表!B5184,產品!$A$2:$H$61,8,FALSE)</f>
        <v>6600</v>
      </c>
      <c r="J5184" s="20">
        <f t="shared" si="80"/>
        <v>0.57894736842105265</v>
      </c>
    </row>
    <row r="5185" spans="1:10" x14ac:dyDescent="0.3">
      <c r="A5185" s="33">
        <v>5184</v>
      </c>
      <c r="B5185" s="4">
        <v>4</v>
      </c>
      <c r="C5185" s="15">
        <v>115</v>
      </c>
      <c r="D5185" s="16">
        <v>9</v>
      </c>
      <c r="E5185" s="22">
        <v>44811</v>
      </c>
      <c r="F5185" s="19">
        <v>20</v>
      </c>
      <c r="G5185" s="18">
        <v>0.08</v>
      </c>
      <c r="H5185">
        <f>F5185*VLOOKUP(B5185,產品!$A$2:$H$61,7,FALSE)*(1-銷售總表!G5185)</f>
        <v>18400</v>
      </c>
      <c r="I5185" s="35">
        <f>H5185-F5185*VLOOKUP(銷售總表!B5185,產品!$A$2:$H$61,8,FALSE)</f>
        <v>10400</v>
      </c>
      <c r="J5185" s="20">
        <f t="shared" si="80"/>
        <v>0.56521739130434778</v>
      </c>
    </row>
    <row r="5186" spans="1:10" x14ac:dyDescent="0.3">
      <c r="A5186" s="33">
        <v>5185</v>
      </c>
      <c r="B5186" s="4">
        <v>35</v>
      </c>
      <c r="C5186" s="15">
        <v>115</v>
      </c>
      <c r="D5186" s="16">
        <v>7</v>
      </c>
      <c r="E5186" s="22">
        <v>44811</v>
      </c>
      <c r="F5186" s="19">
        <v>25</v>
      </c>
      <c r="G5186" s="18">
        <v>0.18</v>
      </c>
      <c r="H5186">
        <f>F5186*VLOOKUP(B5186,產品!$A$2:$H$61,7,FALSE)*(1-銷售總表!G5186)</f>
        <v>174250</v>
      </c>
      <c r="I5186" s="35">
        <f>H5186-F5186*VLOOKUP(銷售總表!B5186,產品!$A$2:$H$61,8,FALSE)</f>
        <v>46750</v>
      </c>
      <c r="J5186" s="20">
        <f t="shared" si="80"/>
        <v>0.26829268292682928</v>
      </c>
    </row>
    <row r="5187" spans="1:10" x14ac:dyDescent="0.3">
      <c r="A5187" s="33">
        <v>5186</v>
      </c>
      <c r="B5187" s="4">
        <v>25</v>
      </c>
      <c r="C5187" s="15">
        <v>114</v>
      </c>
      <c r="D5187" s="16">
        <v>10</v>
      </c>
      <c r="E5187" s="22">
        <v>44812</v>
      </c>
      <c r="F5187" s="19">
        <v>3</v>
      </c>
      <c r="G5187" s="18">
        <v>7.0000000000000007E-2</v>
      </c>
      <c r="H5187">
        <f>F5187*VLOOKUP(B5187,產品!$A$2:$H$61,7,FALSE)*(1-銷售總表!G5187)</f>
        <v>16740</v>
      </c>
      <c r="I5187" s="35">
        <f>H5187-F5187*VLOOKUP(銷售總表!B5187,產品!$A$2:$H$61,8,FALSE)</f>
        <v>5940</v>
      </c>
      <c r="J5187" s="20">
        <f t="shared" ref="J5187:J5250" si="81">I5187/H5187</f>
        <v>0.35483870967741937</v>
      </c>
    </row>
    <row r="5188" spans="1:10" x14ac:dyDescent="0.3">
      <c r="A5188" s="33">
        <v>5187</v>
      </c>
      <c r="B5188" s="4">
        <v>35</v>
      </c>
      <c r="C5188" s="15">
        <v>263</v>
      </c>
      <c r="D5188" s="16">
        <v>2</v>
      </c>
      <c r="E5188" s="22">
        <v>44812</v>
      </c>
      <c r="F5188" s="19">
        <v>6</v>
      </c>
      <c r="G5188" s="18">
        <v>0.14000000000000001</v>
      </c>
      <c r="H5188">
        <f>F5188*VLOOKUP(B5188,產品!$A$2:$H$61,7,FALSE)*(1-銷售總表!G5188)</f>
        <v>43860</v>
      </c>
      <c r="I5188" s="35">
        <f>H5188-F5188*VLOOKUP(銷售總表!B5188,產品!$A$2:$H$61,8,FALSE)</f>
        <v>13260</v>
      </c>
      <c r="J5188" s="20">
        <f t="shared" si="81"/>
        <v>0.30232558139534882</v>
      </c>
    </row>
    <row r="5189" spans="1:10" x14ac:dyDescent="0.3">
      <c r="A5189" s="33">
        <v>5188</v>
      </c>
      <c r="B5189" s="4">
        <v>54</v>
      </c>
      <c r="C5189" s="15">
        <v>8</v>
      </c>
      <c r="D5189" s="16">
        <v>8</v>
      </c>
      <c r="E5189" s="22">
        <v>44812</v>
      </c>
      <c r="F5189" s="19">
        <v>8</v>
      </c>
      <c r="G5189" s="18">
        <v>0.14000000000000001</v>
      </c>
      <c r="H5189">
        <f>F5189*VLOOKUP(B5189,產品!$A$2:$H$61,7,FALSE)*(1-銷售總表!G5189)</f>
        <v>123840</v>
      </c>
      <c r="I5189" s="35">
        <f>H5189-F5189*VLOOKUP(銷售總表!B5189,產品!$A$2:$H$61,8,FALSE)</f>
        <v>23040</v>
      </c>
      <c r="J5189" s="20">
        <f t="shared" si="81"/>
        <v>0.18604651162790697</v>
      </c>
    </row>
    <row r="5190" spans="1:10" x14ac:dyDescent="0.3">
      <c r="A5190" s="33">
        <v>5189</v>
      </c>
      <c r="B5190" s="4">
        <v>53</v>
      </c>
      <c r="C5190" s="15">
        <v>12</v>
      </c>
      <c r="D5190" s="16">
        <v>3</v>
      </c>
      <c r="E5190" s="22">
        <v>44812</v>
      </c>
      <c r="F5190" s="19">
        <v>10</v>
      </c>
      <c r="G5190" s="18">
        <v>0.17</v>
      </c>
      <c r="H5190">
        <f>F5190*VLOOKUP(B5190,產品!$A$2:$H$61,7,FALSE)*(1-銷售總表!G5190)</f>
        <v>124500</v>
      </c>
      <c r="I5190" s="35">
        <f>H5190-F5190*VLOOKUP(銷售總表!B5190,產品!$A$2:$H$61,8,FALSE)</f>
        <v>19500</v>
      </c>
      <c r="J5190" s="20">
        <f t="shared" si="81"/>
        <v>0.15662650602409639</v>
      </c>
    </row>
    <row r="5191" spans="1:10" x14ac:dyDescent="0.3">
      <c r="A5191" s="33">
        <v>5190</v>
      </c>
      <c r="B5191" s="4">
        <v>3</v>
      </c>
      <c r="C5191" s="15">
        <v>257</v>
      </c>
      <c r="D5191" s="16">
        <v>3</v>
      </c>
      <c r="E5191" s="22">
        <v>44812</v>
      </c>
      <c r="F5191" s="19">
        <v>11</v>
      </c>
      <c r="G5191" s="18">
        <v>0.08</v>
      </c>
      <c r="H5191">
        <f>F5191*VLOOKUP(B5191,產品!$A$2:$H$61,7,FALSE)*(1-銷售總表!G5191)</f>
        <v>10120</v>
      </c>
      <c r="I5191" s="35">
        <f>H5191-F5191*VLOOKUP(銷售總表!B5191,產品!$A$2:$H$61,8,FALSE)</f>
        <v>5720</v>
      </c>
      <c r="J5191" s="20">
        <f t="shared" si="81"/>
        <v>0.56521739130434778</v>
      </c>
    </row>
    <row r="5192" spans="1:10" x14ac:dyDescent="0.3">
      <c r="A5192" s="33">
        <v>5191</v>
      </c>
      <c r="B5192" s="4">
        <v>12</v>
      </c>
      <c r="C5192" s="15">
        <v>136</v>
      </c>
      <c r="D5192" s="16">
        <v>9</v>
      </c>
      <c r="E5192" s="22">
        <v>44812</v>
      </c>
      <c r="F5192" s="19">
        <v>60</v>
      </c>
      <c r="G5192" s="18">
        <v>0.18</v>
      </c>
      <c r="H5192">
        <f>F5192*VLOOKUP(B5192,產品!$A$2:$H$61,7,FALSE)*(1-銷售總表!G5192)</f>
        <v>49200.000000000007</v>
      </c>
      <c r="I5192" s="35">
        <f>H5192-F5192*VLOOKUP(銷售總表!B5192,產品!$A$2:$H$61,8,FALSE)</f>
        <v>25200.000000000007</v>
      </c>
      <c r="J5192" s="20">
        <f t="shared" si="81"/>
        <v>0.51219512195121963</v>
      </c>
    </row>
    <row r="5193" spans="1:10" x14ac:dyDescent="0.3">
      <c r="A5193" s="33">
        <v>5192</v>
      </c>
      <c r="B5193" s="4">
        <v>58</v>
      </c>
      <c r="C5193" s="15">
        <v>286</v>
      </c>
      <c r="D5193" s="16">
        <v>3</v>
      </c>
      <c r="E5193" s="22">
        <v>44813</v>
      </c>
      <c r="F5193" s="19">
        <v>8</v>
      </c>
      <c r="G5193" s="18">
        <v>0.08</v>
      </c>
      <c r="H5193">
        <f>F5193*VLOOKUP(B5193,產品!$A$2:$H$61,7,FALSE)*(1-銷售總表!G5193)</f>
        <v>154560</v>
      </c>
      <c r="I5193" s="35">
        <f>H5193-F5193*VLOOKUP(銷售總表!B5193,產品!$A$2:$H$61,8,FALSE)</f>
        <v>36960.000000000015</v>
      </c>
      <c r="J5193" s="20">
        <f t="shared" si="81"/>
        <v>0.23913043478260879</v>
      </c>
    </row>
    <row r="5194" spans="1:10" x14ac:dyDescent="0.3">
      <c r="A5194" s="33">
        <v>5193</v>
      </c>
      <c r="B5194" s="4">
        <v>46</v>
      </c>
      <c r="C5194" s="15">
        <v>1</v>
      </c>
      <c r="D5194" s="16">
        <v>9</v>
      </c>
      <c r="E5194" s="22">
        <v>44813</v>
      </c>
      <c r="F5194" s="19">
        <v>10</v>
      </c>
      <c r="G5194" s="18">
        <v>0.08</v>
      </c>
      <c r="H5194">
        <f>F5194*VLOOKUP(B5194,產品!$A$2:$H$61,7,FALSE)*(1-銷售總表!G5194)</f>
        <v>156400</v>
      </c>
      <c r="I5194" s="35">
        <f>H5194-F5194*VLOOKUP(銷售總表!B5194,產品!$A$2:$H$61,8,FALSE)</f>
        <v>45900</v>
      </c>
      <c r="J5194" s="20">
        <f t="shared" si="81"/>
        <v>0.29347826086956524</v>
      </c>
    </row>
    <row r="5195" spans="1:10" x14ac:dyDescent="0.3">
      <c r="A5195" s="33">
        <v>5194</v>
      </c>
      <c r="B5195" s="4">
        <v>14</v>
      </c>
      <c r="C5195" s="15">
        <v>115</v>
      </c>
      <c r="D5195" s="16">
        <v>9</v>
      </c>
      <c r="E5195" s="22">
        <v>44813</v>
      </c>
      <c r="F5195" s="19">
        <v>40</v>
      </c>
      <c r="G5195" s="18">
        <v>0.15</v>
      </c>
      <c r="H5195">
        <f>F5195*VLOOKUP(B5195,產品!$A$2:$H$61,7,FALSE)*(1-銷售總表!G5195)</f>
        <v>61200</v>
      </c>
      <c r="I5195" s="35">
        <f>H5195-F5195*VLOOKUP(銷售總表!B5195,產品!$A$2:$H$61,8,FALSE)</f>
        <v>32400</v>
      </c>
      <c r="J5195" s="20">
        <f t="shared" si="81"/>
        <v>0.52941176470588236</v>
      </c>
    </row>
    <row r="5196" spans="1:10" x14ac:dyDescent="0.3">
      <c r="A5196" s="33">
        <v>5195</v>
      </c>
      <c r="B5196" s="4">
        <v>23</v>
      </c>
      <c r="C5196" s="15">
        <v>5</v>
      </c>
      <c r="D5196" s="16">
        <v>6</v>
      </c>
      <c r="E5196" s="22">
        <v>44813</v>
      </c>
      <c r="F5196" s="19">
        <v>50</v>
      </c>
      <c r="G5196" s="18">
        <v>0.09</v>
      </c>
      <c r="H5196">
        <f>F5196*VLOOKUP(B5196,產品!$A$2:$H$61,7,FALSE)*(1-銷售總表!G5196)</f>
        <v>81900</v>
      </c>
      <c r="I5196" s="35">
        <f>H5196-F5196*VLOOKUP(銷售總表!B5196,產品!$A$2:$H$61,8,FALSE)</f>
        <v>45900</v>
      </c>
      <c r="J5196" s="20">
        <f t="shared" si="81"/>
        <v>0.56043956043956045</v>
      </c>
    </row>
    <row r="5197" spans="1:10" x14ac:dyDescent="0.3">
      <c r="A5197" s="33">
        <v>5196</v>
      </c>
      <c r="B5197" s="4">
        <v>18</v>
      </c>
      <c r="C5197" s="15">
        <v>10</v>
      </c>
      <c r="D5197" s="16">
        <v>4</v>
      </c>
      <c r="E5197" s="22">
        <v>44813</v>
      </c>
      <c r="F5197" s="19">
        <v>70</v>
      </c>
      <c r="G5197" s="18">
        <v>0.1</v>
      </c>
      <c r="H5197">
        <f>F5197*VLOOKUP(B5197,產品!$A$2:$H$61,7,FALSE)*(1-銷售總表!G5197)</f>
        <v>113400</v>
      </c>
      <c r="I5197" s="35">
        <f>H5197-F5197*VLOOKUP(銷售總表!B5197,產品!$A$2:$H$61,8,FALSE)</f>
        <v>63000</v>
      </c>
      <c r="J5197" s="20">
        <f t="shared" si="81"/>
        <v>0.55555555555555558</v>
      </c>
    </row>
    <row r="5198" spans="1:10" x14ac:dyDescent="0.3">
      <c r="A5198" s="33">
        <v>5197</v>
      </c>
      <c r="B5198" s="4">
        <v>14</v>
      </c>
      <c r="C5198" s="15">
        <v>6</v>
      </c>
      <c r="D5198" s="16">
        <v>6</v>
      </c>
      <c r="E5198" s="23">
        <v>44813</v>
      </c>
      <c r="F5198">
        <v>70</v>
      </c>
      <c r="G5198" s="20">
        <v>0.14000000000000001</v>
      </c>
      <c r="H5198">
        <f>F5198*VLOOKUP(B5198,產品!$A$2:$H$61,7,FALSE)*(1-銷售總表!G5198)</f>
        <v>108360</v>
      </c>
      <c r="I5198" s="35">
        <f>H5198-F5198*VLOOKUP(銷售總表!B5198,產品!$A$2:$H$61,8,FALSE)</f>
        <v>57960</v>
      </c>
      <c r="J5198" s="20">
        <f t="shared" si="81"/>
        <v>0.53488372093023251</v>
      </c>
    </row>
    <row r="5199" spans="1:10" x14ac:dyDescent="0.3">
      <c r="A5199" s="33">
        <v>5198</v>
      </c>
      <c r="B5199" s="4">
        <v>14</v>
      </c>
      <c r="C5199" s="15">
        <v>112</v>
      </c>
      <c r="D5199" s="16">
        <v>9</v>
      </c>
      <c r="E5199" s="22">
        <v>44813</v>
      </c>
      <c r="F5199" s="19">
        <v>150</v>
      </c>
      <c r="G5199" s="18">
        <v>0.17</v>
      </c>
      <c r="H5199">
        <f>F5199*VLOOKUP(B5199,產品!$A$2:$H$61,7,FALSE)*(1-銷售總表!G5199)</f>
        <v>224100</v>
      </c>
      <c r="I5199" s="35">
        <f>H5199-F5199*VLOOKUP(銷售總表!B5199,產品!$A$2:$H$61,8,FALSE)</f>
        <v>116100</v>
      </c>
      <c r="J5199" s="20">
        <f t="shared" si="81"/>
        <v>0.51807228915662651</v>
      </c>
    </row>
    <row r="5200" spans="1:10" x14ac:dyDescent="0.3">
      <c r="A5200" s="33">
        <v>5199</v>
      </c>
      <c r="B5200" s="4">
        <v>20</v>
      </c>
      <c r="C5200" s="15">
        <v>118</v>
      </c>
      <c r="D5200" s="16">
        <v>9</v>
      </c>
      <c r="E5200" s="22">
        <v>44814</v>
      </c>
      <c r="F5200" s="19">
        <v>90</v>
      </c>
      <c r="G5200" s="18">
        <v>0.08</v>
      </c>
      <c r="H5200">
        <f>F5200*VLOOKUP(B5200,產品!$A$2:$H$61,7,FALSE)*(1-銷售總表!G5200)</f>
        <v>149040</v>
      </c>
      <c r="I5200" s="35">
        <f>H5200-F5200*VLOOKUP(銷售總表!B5200,產品!$A$2:$H$61,8,FALSE)</f>
        <v>84240</v>
      </c>
      <c r="J5200" s="20">
        <f t="shared" si="81"/>
        <v>0.56521739130434778</v>
      </c>
    </row>
    <row r="5201" spans="1:10" x14ac:dyDescent="0.3">
      <c r="A5201" s="33">
        <v>5200</v>
      </c>
      <c r="B5201" s="4">
        <v>34</v>
      </c>
      <c r="C5201" s="15">
        <v>263</v>
      </c>
      <c r="D5201" s="16">
        <v>7</v>
      </c>
      <c r="E5201" s="22">
        <v>44815</v>
      </c>
      <c r="F5201" s="19">
        <v>2</v>
      </c>
      <c r="G5201" s="18">
        <v>0.18</v>
      </c>
      <c r="H5201">
        <f>F5201*VLOOKUP(B5201,產品!$A$2:$H$61,7,FALSE)*(1-銷售總表!G5201)</f>
        <v>13120.000000000002</v>
      </c>
      <c r="I5201" s="35">
        <f>H5201-F5201*VLOOKUP(銷售總表!B5201,產品!$A$2:$H$61,8,FALSE)</f>
        <v>3520.0000000000018</v>
      </c>
      <c r="J5201" s="20">
        <f t="shared" si="81"/>
        <v>0.2682926829268294</v>
      </c>
    </row>
    <row r="5202" spans="1:10" x14ac:dyDescent="0.3">
      <c r="A5202" s="33">
        <v>5201</v>
      </c>
      <c r="B5202" s="4">
        <v>44</v>
      </c>
      <c r="C5202" s="15">
        <v>6</v>
      </c>
      <c r="D5202" s="16">
        <v>7</v>
      </c>
      <c r="E5202" s="22">
        <v>44815</v>
      </c>
      <c r="F5202" s="19">
        <v>6</v>
      </c>
      <c r="G5202" s="18">
        <v>0.05</v>
      </c>
      <c r="H5202">
        <f>F5202*VLOOKUP(B5202,產品!$A$2:$H$61,7,FALSE)*(1-銷售總表!G5202)</f>
        <v>114000</v>
      </c>
      <c r="I5202" s="35">
        <f>H5202-F5202*VLOOKUP(銷售總表!B5202,產品!$A$2:$H$61,8,FALSE)</f>
        <v>36000</v>
      </c>
      <c r="J5202" s="20">
        <f t="shared" si="81"/>
        <v>0.31578947368421051</v>
      </c>
    </row>
    <row r="5203" spans="1:10" x14ac:dyDescent="0.3">
      <c r="A5203" s="33">
        <v>5202</v>
      </c>
      <c r="B5203" s="4">
        <v>59</v>
      </c>
      <c r="C5203" s="15">
        <v>268</v>
      </c>
      <c r="D5203" s="16">
        <v>3</v>
      </c>
      <c r="E5203" s="23">
        <v>44815</v>
      </c>
      <c r="F5203">
        <v>7</v>
      </c>
      <c r="G5203" s="20">
        <v>0.17</v>
      </c>
      <c r="H5203">
        <f>F5203*VLOOKUP(B5203,產品!$A$2:$H$61,7,FALSE)*(1-銷售總表!G5203)</f>
        <v>139440</v>
      </c>
      <c r="I5203" s="35">
        <f>H5203-F5203*VLOOKUP(銷售總表!B5203,產品!$A$2:$H$61,8,FALSE)</f>
        <v>21840</v>
      </c>
      <c r="J5203" s="20">
        <f t="shared" si="81"/>
        <v>0.15662650602409639</v>
      </c>
    </row>
    <row r="5204" spans="1:10" x14ac:dyDescent="0.3">
      <c r="A5204" s="33">
        <v>5203</v>
      </c>
      <c r="B5204" s="4">
        <v>51</v>
      </c>
      <c r="C5204" s="15">
        <v>257</v>
      </c>
      <c r="D5204" s="16">
        <v>8</v>
      </c>
      <c r="E5204" s="22">
        <v>44815</v>
      </c>
      <c r="F5204" s="19">
        <v>10</v>
      </c>
      <c r="G5204" s="18">
        <v>0.12</v>
      </c>
      <c r="H5204">
        <f>F5204*VLOOKUP(B5204,產品!$A$2:$H$61,7,FALSE)*(1-銷售總表!G5204)</f>
        <v>176000</v>
      </c>
      <c r="I5204" s="35">
        <f>H5204-F5204*VLOOKUP(銷售總表!B5204,產品!$A$2:$H$61,8,FALSE)</f>
        <v>36000</v>
      </c>
      <c r="J5204" s="20">
        <f t="shared" si="81"/>
        <v>0.20454545454545456</v>
      </c>
    </row>
    <row r="5205" spans="1:10" x14ac:dyDescent="0.3">
      <c r="A5205" s="33">
        <v>5204</v>
      </c>
      <c r="B5205" s="4">
        <v>8</v>
      </c>
      <c r="C5205" s="15">
        <v>284</v>
      </c>
      <c r="D5205" s="16">
        <v>3</v>
      </c>
      <c r="E5205" s="22">
        <v>44815</v>
      </c>
      <c r="F5205" s="19">
        <v>20</v>
      </c>
      <c r="G5205" s="18">
        <v>7.0000000000000007E-2</v>
      </c>
      <c r="H5205">
        <f>F5205*VLOOKUP(B5205,產品!$A$2:$H$61,7,FALSE)*(1-銷售總表!G5205)</f>
        <v>18600</v>
      </c>
      <c r="I5205" s="35">
        <f>H5205-F5205*VLOOKUP(銷售總表!B5205,產品!$A$2:$H$61,8,FALSE)</f>
        <v>10600</v>
      </c>
      <c r="J5205" s="20">
        <f t="shared" si="81"/>
        <v>0.56989247311827962</v>
      </c>
    </row>
    <row r="5206" spans="1:10" x14ac:dyDescent="0.3">
      <c r="A5206" s="33">
        <v>5205</v>
      </c>
      <c r="B5206" s="4">
        <v>2</v>
      </c>
      <c r="C5206" s="15">
        <v>7</v>
      </c>
      <c r="D5206" s="16">
        <v>6</v>
      </c>
      <c r="E5206" s="22">
        <v>44815</v>
      </c>
      <c r="F5206" s="19">
        <v>195</v>
      </c>
      <c r="G5206" s="18">
        <v>0.09</v>
      </c>
      <c r="H5206">
        <f>F5206*VLOOKUP(B5206,產品!$A$2:$H$61,7,FALSE)*(1-銷售總表!G5206)</f>
        <v>177450</v>
      </c>
      <c r="I5206" s="35">
        <f>H5206-F5206*VLOOKUP(銷售總表!B5206,產品!$A$2:$H$61,8,FALSE)</f>
        <v>99450</v>
      </c>
      <c r="J5206" s="20">
        <f t="shared" si="81"/>
        <v>0.56043956043956045</v>
      </c>
    </row>
    <row r="5207" spans="1:10" x14ac:dyDescent="0.3">
      <c r="A5207" s="33">
        <v>5206</v>
      </c>
      <c r="B5207" s="4">
        <v>25</v>
      </c>
      <c r="C5207" s="15">
        <v>274</v>
      </c>
      <c r="D5207" s="16">
        <v>3</v>
      </c>
      <c r="E5207" s="22">
        <v>44816</v>
      </c>
      <c r="F5207" s="19">
        <v>2</v>
      </c>
      <c r="G5207" s="18">
        <v>0.19</v>
      </c>
      <c r="H5207">
        <f>F5207*VLOOKUP(B5207,產品!$A$2:$H$61,7,FALSE)*(1-銷售總表!G5207)</f>
        <v>9720</v>
      </c>
      <c r="I5207" s="35">
        <f>H5207-F5207*VLOOKUP(銷售總表!B5207,產品!$A$2:$H$61,8,FALSE)</f>
        <v>2520</v>
      </c>
      <c r="J5207" s="20">
        <f t="shared" si="81"/>
        <v>0.25925925925925924</v>
      </c>
    </row>
    <row r="5208" spans="1:10" x14ac:dyDescent="0.3">
      <c r="A5208" s="33">
        <v>5207</v>
      </c>
      <c r="B5208" s="4">
        <v>39</v>
      </c>
      <c r="C5208" s="15">
        <v>115</v>
      </c>
      <c r="D5208" s="16">
        <v>7</v>
      </c>
      <c r="E5208" s="23">
        <v>44816</v>
      </c>
      <c r="F5208">
        <v>4</v>
      </c>
      <c r="G5208" s="20">
        <v>0.12</v>
      </c>
      <c r="H5208">
        <f>F5208*VLOOKUP(B5208,產品!$A$2:$H$61,7,FALSE)*(1-銷售總表!G5208)</f>
        <v>63360</v>
      </c>
      <c r="I5208" s="35">
        <f>H5208-F5208*VLOOKUP(銷售總表!B5208,產品!$A$2:$H$61,8,FALSE)</f>
        <v>16560</v>
      </c>
      <c r="J5208" s="20">
        <f t="shared" si="81"/>
        <v>0.26136363636363635</v>
      </c>
    </row>
    <row r="5209" spans="1:10" x14ac:dyDescent="0.3">
      <c r="A5209" s="33">
        <v>5208</v>
      </c>
      <c r="B5209" s="4">
        <v>46</v>
      </c>
      <c r="C5209" s="15">
        <v>275</v>
      </c>
      <c r="D5209" s="16">
        <v>9</v>
      </c>
      <c r="E5209" s="22">
        <v>44816</v>
      </c>
      <c r="F5209" s="19">
        <v>6</v>
      </c>
      <c r="G5209" s="18">
        <v>0.18</v>
      </c>
      <c r="H5209">
        <f>F5209*VLOOKUP(B5209,產品!$A$2:$H$61,7,FALSE)*(1-銷售總表!G5209)</f>
        <v>83640</v>
      </c>
      <c r="I5209" s="35">
        <f>H5209-F5209*VLOOKUP(銷售總表!B5209,產品!$A$2:$H$61,8,FALSE)</f>
        <v>17340</v>
      </c>
      <c r="J5209" s="20">
        <f t="shared" si="81"/>
        <v>0.2073170731707317</v>
      </c>
    </row>
    <row r="5210" spans="1:10" x14ac:dyDescent="0.3">
      <c r="A5210" s="33">
        <v>5209</v>
      </c>
      <c r="B5210" s="4">
        <v>37</v>
      </c>
      <c r="C5210" s="15">
        <v>257</v>
      </c>
      <c r="D5210" s="16">
        <v>9</v>
      </c>
      <c r="E5210" s="23">
        <v>44816</v>
      </c>
      <c r="F5210">
        <v>20</v>
      </c>
      <c r="G5210" s="20">
        <v>0.11</v>
      </c>
      <c r="H5210">
        <f>F5210*VLOOKUP(B5210,產品!$A$2:$H$61,7,FALSE)*(1-銷售總表!G5210)</f>
        <v>213600</v>
      </c>
      <c r="I5210" s="35">
        <f>H5210-F5210*VLOOKUP(銷售總表!B5210,產品!$A$2:$H$61,8,FALSE)</f>
        <v>57600</v>
      </c>
      <c r="J5210" s="20">
        <f t="shared" si="81"/>
        <v>0.2696629213483146</v>
      </c>
    </row>
    <row r="5211" spans="1:10" x14ac:dyDescent="0.3">
      <c r="A5211" s="33">
        <v>5210</v>
      </c>
      <c r="B5211" s="4">
        <v>9</v>
      </c>
      <c r="C5211" s="15">
        <v>262</v>
      </c>
      <c r="D5211" s="16">
        <v>8</v>
      </c>
      <c r="E5211" s="22">
        <v>44816</v>
      </c>
      <c r="F5211" s="19">
        <v>20</v>
      </c>
      <c r="G5211" s="18">
        <v>0.13</v>
      </c>
      <c r="H5211">
        <f>F5211*VLOOKUP(B5211,產品!$A$2:$H$61,7,FALSE)*(1-銷售總表!G5211)</f>
        <v>17400</v>
      </c>
      <c r="I5211" s="35">
        <f>H5211-F5211*VLOOKUP(銷售總表!B5211,產品!$A$2:$H$61,8,FALSE)</f>
        <v>9400</v>
      </c>
      <c r="J5211" s="20">
        <f t="shared" si="81"/>
        <v>0.54022988505747127</v>
      </c>
    </row>
    <row r="5212" spans="1:10" x14ac:dyDescent="0.3">
      <c r="A5212" s="33">
        <v>5211</v>
      </c>
      <c r="B5212" s="4">
        <v>34</v>
      </c>
      <c r="C5212" s="15">
        <v>134</v>
      </c>
      <c r="D5212" s="16">
        <v>2</v>
      </c>
      <c r="E5212" s="22">
        <v>44816</v>
      </c>
      <c r="F5212" s="19">
        <v>25</v>
      </c>
      <c r="G5212" s="18">
        <v>0.17</v>
      </c>
      <c r="H5212">
        <f>F5212*VLOOKUP(B5212,產品!$A$2:$H$61,7,FALSE)*(1-銷售總表!G5212)</f>
        <v>166000</v>
      </c>
      <c r="I5212" s="35">
        <f>H5212-F5212*VLOOKUP(銷售總表!B5212,產品!$A$2:$H$61,8,FALSE)</f>
        <v>46000</v>
      </c>
      <c r="J5212" s="20">
        <f t="shared" si="81"/>
        <v>0.27710843373493976</v>
      </c>
    </row>
    <row r="5213" spans="1:10" x14ac:dyDescent="0.3">
      <c r="A5213" s="33">
        <v>5212</v>
      </c>
      <c r="B5213" s="4">
        <v>1</v>
      </c>
      <c r="C5213" s="15">
        <v>284</v>
      </c>
      <c r="D5213" s="16">
        <v>8</v>
      </c>
      <c r="E5213" s="22">
        <v>44816</v>
      </c>
      <c r="F5213" s="19">
        <v>30</v>
      </c>
      <c r="G5213" s="18">
        <v>0.17</v>
      </c>
      <c r="H5213">
        <f>F5213*VLOOKUP(B5213,產品!$A$2:$H$61,7,FALSE)*(1-銷售總表!G5213)</f>
        <v>24900</v>
      </c>
      <c r="I5213" s="35">
        <f>H5213-F5213*VLOOKUP(銷售總表!B5213,產品!$A$2:$H$61,8,FALSE)</f>
        <v>12900</v>
      </c>
      <c r="J5213" s="20">
        <f t="shared" si="81"/>
        <v>0.51807228915662651</v>
      </c>
    </row>
    <row r="5214" spans="1:10" x14ac:dyDescent="0.3">
      <c r="A5214" s="33">
        <v>5213</v>
      </c>
      <c r="B5214" s="4">
        <v>11</v>
      </c>
      <c r="C5214" s="15">
        <v>294</v>
      </c>
      <c r="D5214" s="16">
        <v>2</v>
      </c>
      <c r="E5214" s="22">
        <v>44816</v>
      </c>
      <c r="F5214" s="19">
        <v>40</v>
      </c>
      <c r="G5214" s="18">
        <v>0.16</v>
      </c>
      <c r="H5214">
        <f>F5214*VLOOKUP(B5214,產品!$A$2:$H$61,7,FALSE)*(1-銷售總表!G5214)</f>
        <v>33600</v>
      </c>
      <c r="I5214" s="35">
        <f>H5214-F5214*VLOOKUP(銷售總表!B5214,產品!$A$2:$H$61,8,FALSE)</f>
        <v>17600</v>
      </c>
      <c r="J5214" s="20">
        <f t="shared" si="81"/>
        <v>0.52380952380952384</v>
      </c>
    </row>
    <row r="5215" spans="1:10" x14ac:dyDescent="0.3">
      <c r="A5215" s="33">
        <v>5214</v>
      </c>
      <c r="B5215" s="4">
        <v>11</v>
      </c>
      <c r="C5215" s="15">
        <v>283</v>
      </c>
      <c r="D5215" s="16">
        <v>5</v>
      </c>
      <c r="E5215" s="22">
        <v>44816</v>
      </c>
      <c r="F5215" s="19">
        <v>50</v>
      </c>
      <c r="G5215" s="18">
        <v>0.09</v>
      </c>
      <c r="H5215">
        <f>F5215*VLOOKUP(B5215,產品!$A$2:$H$61,7,FALSE)*(1-銷售總表!G5215)</f>
        <v>45500</v>
      </c>
      <c r="I5215" s="35">
        <f>H5215-F5215*VLOOKUP(銷售總表!B5215,產品!$A$2:$H$61,8,FALSE)</f>
        <v>25500</v>
      </c>
      <c r="J5215" s="20">
        <f t="shared" si="81"/>
        <v>0.56043956043956045</v>
      </c>
    </row>
    <row r="5216" spans="1:10" x14ac:dyDescent="0.3">
      <c r="A5216" s="33">
        <v>5215</v>
      </c>
      <c r="B5216" s="4">
        <v>59</v>
      </c>
      <c r="C5216" s="15">
        <v>120</v>
      </c>
      <c r="D5216" s="16">
        <v>9</v>
      </c>
      <c r="E5216" s="22">
        <v>44817</v>
      </c>
      <c r="F5216" s="19">
        <v>2</v>
      </c>
      <c r="G5216" s="18">
        <v>0.13</v>
      </c>
      <c r="H5216">
        <f>F5216*VLOOKUP(B5216,產品!$A$2:$H$61,7,FALSE)*(1-銷售總表!G5216)</f>
        <v>41760</v>
      </c>
      <c r="I5216" s="35">
        <f>H5216-F5216*VLOOKUP(銷售總表!B5216,產品!$A$2:$H$61,8,FALSE)</f>
        <v>8160</v>
      </c>
      <c r="J5216" s="20">
        <f t="shared" si="81"/>
        <v>0.19540229885057472</v>
      </c>
    </row>
    <row r="5217" spans="1:10" x14ac:dyDescent="0.3">
      <c r="A5217" s="33">
        <v>5216</v>
      </c>
      <c r="B5217" s="4">
        <v>30</v>
      </c>
      <c r="C5217" s="15">
        <v>270</v>
      </c>
      <c r="D5217" s="16">
        <v>2</v>
      </c>
      <c r="E5217" s="22">
        <v>44817</v>
      </c>
      <c r="F5217" s="19">
        <v>3</v>
      </c>
      <c r="G5217" s="18">
        <v>0.13</v>
      </c>
      <c r="H5217">
        <f>F5217*VLOOKUP(B5217,產品!$A$2:$H$61,7,FALSE)*(1-銷售總表!G5217)</f>
        <v>16965</v>
      </c>
      <c r="I5217" s="35">
        <f>H5217-F5217*VLOOKUP(銷售總表!B5217,產品!$A$2:$H$61,8,FALSE)</f>
        <v>5265</v>
      </c>
      <c r="J5217" s="20">
        <f t="shared" si="81"/>
        <v>0.31034482758620691</v>
      </c>
    </row>
    <row r="5218" spans="1:10" x14ac:dyDescent="0.3">
      <c r="A5218" s="33">
        <v>5217</v>
      </c>
      <c r="B5218" s="4">
        <v>55</v>
      </c>
      <c r="C5218" s="15">
        <v>270</v>
      </c>
      <c r="D5218" s="16">
        <v>4</v>
      </c>
      <c r="E5218" s="22">
        <v>44817</v>
      </c>
      <c r="F5218" s="19">
        <v>4</v>
      </c>
      <c r="G5218" s="18">
        <v>0.2</v>
      </c>
      <c r="H5218">
        <f>F5218*VLOOKUP(B5218,產品!$A$2:$H$61,7,FALSE)*(1-銷售總表!G5218)</f>
        <v>64000</v>
      </c>
      <c r="I5218" s="35">
        <f>H5218-F5218*VLOOKUP(銷售總表!B5218,產品!$A$2:$H$61,8,FALSE)</f>
        <v>8000</v>
      </c>
      <c r="J5218" s="20">
        <f t="shared" si="81"/>
        <v>0.125</v>
      </c>
    </row>
    <row r="5219" spans="1:10" x14ac:dyDescent="0.3">
      <c r="A5219" s="33">
        <v>5218</v>
      </c>
      <c r="B5219" s="4">
        <v>49</v>
      </c>
      <c r="C5219" s="15">
        <v>267</v>
      </c>
      <c r="D5219" s="16">
        <v>1</v>
      </c>
      <c r="E5219" s="22">
        <v>44817</v>
      </c>
      <c r="F5219" s="19">
        <v>6</v>
      </c>
      <c r="G5219" s="18">
        <v>0.18</v>
      </c>
      <c r="H5219">
        <f>F5219*VLOOKUP(B5219,產品!$A$2:$H$61,7,FALSE)*(1-銷售總表!G5219)</f>
        <v>73800</v>
      </c>
      <c r="I5219" s="35">
        <f>H5219-F5219*VLOOKUP(銷售總表!B5219,產品!$A$2:$H$61,8,FALSE)</f>
        <v>10800</v>
      </c>
      <c r="J5219" s="20">
        <f t="shared" si="81"/>
        <v>0.14634146341463414</v>
      </c>
    </row>
    <row r="5220" spans="1:10" x14ac:dyDescent="0.3">
      <c r="A5220" s="33">
        <v>5219</v>
      </c>
      <c r="B5220" s="4">
        <v>51</v>
      </c>
      <c r="C5220" s="15">
        <v>283</v>
      </c>
      <c r="D5220" s="16">
        <v>6</v>
      </c>
      <c r="E5220" s="22">
        <v>44817</v>
      </c>
      <c r="F5220" s="19">
        <v>7</v>
      </c>
      <c r="G5220" s="18">
        <v>0.06</v>
      </c>
      <c r="H5220">
        <f>F5220*VLOOKUP(B5220,產品!$A$2:$H$61,7,FALSE)*(1-銷售總表!G5220)</f>
        <v>131600</v>
      </c>
      <c r="I5220" s="35">
        <f>H5220-F5220*VLOOKUP(銷售總表!B5220,產品!$A$2:$H$61,8,FALSE)</f>
        <v>33600</v>
      </c>
      <c r="J5220" s="20">
        <f t="shared" si="81"/>
        <v>0.25531914893617019</v>
      </c>
    </row>
    <row r="5221" spans="1:10" x14ac:dyDescent="0.3">
      <c r="A5221" s="33">
        <v>5220</v>
      </c>
      <c r="B5221" s="4">
        <v>48</v>
      </c>
      <c r="C5221" s="15">
        <v>293</v>
      </c>
      <c r="D5221" s="16">
        <v>3</v>
      </c>
      <c r="E5221" s="23">
        <v>44817</v>
      </c>
      <c r="F5221">
        <v>15</v>
      </c>
      <c r="G5221" s="20">
        <v>0.18</v>
      </c>
      <c r="H5221">
        <f>F5221*VLOOKUP(B5221,產品!$A$2:$H$61,7,FALSE)*(1-銷售總表!G5221)</f>
        <v>270600</v>
      </c>
      <c r="I5221" s="35">
        <f>H5221-F5221*VLOOKUP(銷售總表!B5221,產品!$A$2:$H$61,8,FALSE)</f>
        <v>56100</v>
      </c>
      <c r="J5221" s="20">
        <f t="shared" si="81"/>
        <v>0.2073170731707317</v>
      </c>
    </row>
    <row r="5222" spans="1:10" x14ac:dyDescent="0.3">
      <c r="A5222" s="33">
        <v>5221</v>
      </c>
      <c r="B5222" s="4">
        <v>13</v>
      </c>
      <c r="C5222" s="15">
        <v>120</v>
      </c>
      <c r="D5222" s="16">
        <v>3</v>
      </c>
      <c r="E5222" s="22">
        <v>44817</v>
      </c>
      <c r="F5222" s="19">
        <v>45</v>
      </c>
      <c r="G5222" s="18">
        <v>0.08</v>
      </c>
      <c r="H5222">
        <f>F5222*VLOOKUP(B5222,產品!$A$2:$H$61,7,FALSE)*(1-銷售總表!G5222)</f>
        <v>74520</v>
      </c>
      <c r="I5222" s="35">
        <f>H5222-F5222*VLOOKUP(銷售總表!B5222,產品!$A$2:$H$61,8,FALSE)</f>
        <v>42120</v>
      </c>
      <c r="J5222" s="20">
        <f t="shared" si="81"/>
        <v>0.56521739130434778</v>
      </c>
    </row>
    <row r="5223" spans="1:10" x14ac:dyDescent="0.3">
      <c r="A5223" s="33">
        <v>5222</v>
      </c>
      <c r="B5223" s="4">
        <v>14</v>
      </c>
      <c r="C5223" s="15">
        <v>121</v>
      </c>
      <c r="D5223" s="16">
        <v>10</v>
      </c>
      <c r="E5223" s="22">
        <v>44817</v>
      </c>
      <c r="F5223" s="19">
        <v>50</v>
      </c>
      <c r="G5223" s="18">
        <v>0.18</v>
      </c>
      <c r="H5223">
        <f>F5223*VLOOKUP(B5223,產品!$A$2:$H$61,7,FALSE)*(1-銷售總表!G5223)</f>
        <v>73800</v>
      </c>
      <c r="I5223" s="35">
        <f>H5223-F5223*VLOOKUP(銷售總表!B5223,產品!$A$2:$H$61,8,FALSE)</f>
        <v>37800</v>
      </c>
      <c r="J5223" s="20">
        <f t="shared" si="81"/>
        <v>0.51219512195121952</v>
      </c>
    </row>
    <row r="5224" spans="1:10" x14ac:dyDescent="0.3">
      <c r="A5224" s="33">
        <v>5223</v>
      </c>
      <c r="B5224" s="4">
        <v>11</v>
      </c>
      <c r="C5224" s="15">
        <v>119</v>
      </c>
      <c r="D5224" s="16">
        <v>10</v>
      </c>
      <c r="E5224" s="23">
        <v>44817</v>
      </c>
      <c r="F5224">
        <v>50</v>
      </c>
      <c r="G5224" s="20">
        <v>0.11</v>
      </c>
      <c r="H5224">
        <f>F5224*VLOOKUP(B5224,產品!$A$2:$H$61,7,FALSE)*(1-銷售總表!G5224)</f>
        <v>44500</v>
      </c>
      <c r="I5224" s="35">
        <f>H5224-F5224*VLOOKUP(銷售總表!B5224,產品!$A$2:$H$61,8,FALSE)</f>
        <v>24500</v>
      </c>
      <c r="J5224" s="20">
        <f t="shared" si="81"/>
        <v>0.550561797752809</v>
      </c>
    </row>
    <row r="5225" spans="1:10" x14ac:dyDescent="0.3">
      <c r="A5225" s="33">
        <v>5224</v>
      </c>
      <c r="B5225" s="4">
        <v>5</v>
      </c>
      <c r="C5225" s="15">
        <v>1</v>
      </c>
      <c r="D5225" s="16">
        <v>1</v>
      </c>
      <c r="E5225" s="22">
        <v>44817</v>
      </c>
      <c r="F5225" s="19">
        <v>60</v>
      </c>
      <c r="G5225" s="18">
        <v>0.2</v>
      </c>
      <c r="H5225">
        <f>F5225*VLOOKUP(B5225,產品!$A$2:$H$61,7,FALSE)*(1-銷售總表!G5225)</f>
        <v>48000</v>
      </c>
      <c r="I5225" s="35">
        <f>H5225-F5225*VLOOKUP(銷售總表!B5225,產品!$A$2:$H$61,8,FALSE)</f>
        <v>24000</v>
      </c>
      <c r="J5225" s="20">
        <f t="shared" si="81"/>
        <v>0.5</v>
      </c>
    </row>
    <row r="5226" spans="1:10" x14ac:dyDescent="0.3">
      <c r="A5226" s="33">
        <v>5225</v>
      </c>
      <c r="B5226" s="4">
        <v>51</v>
      </c>
      <c r="C5226" s="15">
        <v>136</v>
      </c>
      <c r="D5226" s="16">
        <v>8</v>
      </c>
      <c r="E5226" s="22">
        <v>44818</v>
      </c>
      <c r="F5226" s="19">
        <v>2</v>
      </c>
      <c r="G5226" s="18">
        <v>7.0000000000000007E-2</v>
      </c>
      <c r="H5226">
        <f>F5226*VLOOKUP(B5226,產品!$A$2:$H$61,7,FALSE)*(1-銷售總表!G5226)</f>
        <v>37200</v>
      </c>
      <c r="I5226" s="35">
        <f>H5226-F5226*VLOOKUP(銷售總表!B5226,產品!$A$2:$H$61,8,FALSE)</f>
        <v>9200</v>
      </c>
      <c r="J5226" s="20">
        <f t="shared" si="81"/>
        <v>0.24731182795698925</v>
      </c>
    </row>
    <row r="5227" spans="1:10" x14ac:dyDescent="0.3">
      <c r="A5227" s="33">
        <v>5226</v>
      </c>
      <c r="B5227" s="4">
        <v>19</v>
      </c>
      <c r="C5227" s="15">
        <v>6</v>
      </c>
      <c r="D5227" s="16">
        <v>2</v>
      </c>
      <c r="E5227" s="22">
        <v>44818</v>
      </c>
      <c r="F5227" s="19">
        <v>60</v>
      </c>
      <c r="G5227" s="18">
        <v>0.19</v>
      </c>
      <c r="H5227">
        <f>F5227*VLOOKUP(B5227,產品!$A$2:$H$61,7,FALSE)*(1-銷售總表!G5227)</f>
        <v>87480</v>
      </c>
      <c r="I5227" s="35">
        <f>H5227-F5227*VLOOKUP(銷售總表!B5227,產品!$A$2:$H$61,8,FALSE)</f>
        <v>44280</v>
      </c>
      <c r="J5227" s="20">
        <f t="shared" si="81"/>
        <v>0.50617283950617287</v>
      </c>
    </row>
    <row r="5228" spans="1:10" x14ac:dyDescent="0.3">
      <c r="A5228" s="33">
        <v>5227</v>
      </c>
      <c r="B5228" s="4">
        <v>20</v>
      </c>
      <c r="C5228" s="15">
        <v>5</v>
      </c>
      <c r="D5228" s="16">
        <v>6</v>
      </c>
      <c r="E5228" s="22">
        <v>44818</v>
      </c>
      <c r="F5228" s="19">
        <v>60</v>
      </c>
      <c r="G5228" s="18">
        <v>0.19</v>
      </c>
      <c r="H5228">
        <f>F5228*VLOOKUP(B5228,產品!$A$2:$H$61,7,FALSE)*(1-銷售總表!G5228)</f>
        <v>87480</v>
      </c>
      <c r="I5228" s="35">
        <f>H5228-F5228*VLOOKUP(銷售總表!B5228,產品!$A$2:$H$61,8,FALSE)</f>
        <v>44280</v>
      </c>
      <c r="J5228" s="20">
        <f t="shared" si="81"/>
        <v>0.50617283950617287</v>
      </c>
    </row>
    <row r="5229" spans="1:10" x14ac:dyDescent="0.3">
      <c r="A5229" s="33">
        <v>5228</v>
      </c>
      <c r="B5229" s="4">
        <v>56</v>
      </c>
      <c r="C5229" s="15">
        <v>290</v>
      </c>
      <c r="D5229" s="16">
        <v>1</v>
      </c>
      <c r="E5229" s="22">
        <v>44819</v>
      </c>
      <c r="F5229" s="19">
        <v>3</v>
      </c>
      <c r="G5229" s="18">
        <v>7.0000000000000007E-2</v>
      </c>
      <c r="H5229">
        <f>F5229*VLOOKUP(B5229,產品!$A$2:$H$61,7,FALSE)*(1-銷售總表!G5229)</f>
        <v>61379.999999999993</v>
      </c>
      <c r="I5229" s="35">
        <f>H5229-F5229*VLOOKUP(銷售總表!B5229,產品!$A$2:$H$61,8,FALSE)</f>
        <v>15180</v>
      </c>
      <c r="J5229" s="20">
        <f t="shared" si="81"/>
        <v>0.24731182795698928</v>
      </c>
    </row>
    <row r="5230" spans="1:10" x14ac:dyDescent="0.3">
      <c r="A5230" s="33">
        <v>5229</v>
      </c>
      <c r="B5230" s="4">
        <v>57</v>
      </c>
      <c r="C5230" s="15">
        <v>276</v>
      </c>
      <c r="D5230" s="16">
        <v>8</v>
      </c>
      <c r="E5230" s="23">
        <v>44819</v>
      </c>
      <c r="F5230">
        <v>5</v>
      </c>
      <c r="G5230" s="20">
        <v>0.18</v>
      </c>
      <c r="H5230">
        <f>F5230*VLOOKUP(B5230,產品!$A$2:$H$61,7,FALSE)*(1-銷售總表!G5230)</f>
        <v>73800</v>
      </c>
      <c r="I5230" s="35">
        <f>H5230-F5230*VLOOKUP(銷售總表!B5230,產品!$A$2:$H$61,8,FALSE)</f>
        <v>10800</v>
      </c>
      <c r="J5230" s="20">
        <f t="shared" si="81"/>
        <v>0.14634146341463414</v>
      </c>
    </row>
    <row r="5231" spans="1:10" x14ac:dyDescent="0.3">
      <c r="A5231" s="33">
        <v>5230</v>
      </c>
      <c r="B5231" s="4">
        <v>59</v>
      </c>
      <c r="C5231" s="15">
        <v>117</v>
      </c>
      <c r="D5231" s="16">
        <v>9</v>
      </c>
      <c r="E5231" s="22">
        <v>44819</v>
      </c>
      <c r="F5231" s="19">
        <v>6</v>
      </c>
      <c r="G5231" s="18">
        <v>7.0000000000000007E-2</v>
      </c>
      <c r="H5231">
        <f>F5231*VLOOKUP(B5231,產品!$A$2:$H$61,7,FALSE)*(1-銷售總表!G5231)</f>
        <v>133920</v>
      </c>
      <c r="I5231" s="35">
        <f>H5231-F5231*VLOOKUP(銷售總表!B5231,產品!$A$2:$H$61,8,FALSE)</f>
        <v>33120</v>
      </c>
      <c r="J5231" s="20">
        <f t="shared" si="81"/>
        <v>0.24731182795698925</v>
      </c>
    </row>
    <row r="5232" spans="1:10" x14ac:dyDescent="0.3">
      <c r="A5232" s="33">
        <v>5231</v>
      </c>
      <c r="B5232" s="4">
        <v>21</v>
      </c>
      <c r="C5232" s="15">
        <v>263</v>
      </c>
      <c r="D5232" s="16">
        <v>3</v>
      </c>
      <c r="E5232" s="22">
        <v>44819</v>
      </c>
      <c r="F5232" s="19">
        <v>13</v>
      </c>
      <c r="G5232" s="18">
        <v>0.16</v>
      </c>
      <c r="H5232">
        <f>F5232*VLOOKUP(B5232,產品!$A$2:$H$61,7,FALSE)*(1-銷售總表!G5232)</f>
        <v>19656</v>
      </c>
      <c r="I5232" s="35">
        <f>H5232-F5232*VLOOKUP(銷售總表!B5232,產品!$A$2:$H$61,8,FALSE)</f>
        <v>10296</v>
      </c>
      <c r="J5232" s="20">
        <f t="shared" si="81"/>
        <v>0.52380952380952384</v>
      </c>
    </row>
    <row r="5233" spans="1:10" x14ac:dyDescent="0.3">
      <c r="A5233" s="33">
        <v>5232</v>
      </c>
      <c r="B5233" s="4">
        <v>15</v>
      </c>
      <c r="C5233" s="15">
        <v>280</v>
      </c>
      <c r="D5233" s="16">
        <v>4</v>
      </c>
      <c r="E5233" s="22">
        <v>44819</v>
      </c>
      <c r="F5233" s="19">
        <v>50</v>
      </c>
      <c r="G5233" s="18">
        <v>0.2</v>
      </c>
      <c r="H5233">
        <f>F5233*VLOOKUP(B5233,產品!$A$2:$H$61,7,FALSE)*(1-銷售總表!G5233)</f>
        <v>72000</v>
      </c>
      <c r="I5233" s="35">
        <f>H5233-F5233*VLOOKUP(銷售總表!B5233,產品!$A$2:$H$61,8,FALSE)</f>
        <v>36000</v>
      </c>
      <c r="J5233" s="20">
        <f t="shared" si="81"/>
        <v>0.5</v>
      </c>
    </row>
    <row r="5234" spans="1:10" x14ac:dyDescent="0.3">
      <c r="A5234" s="33">
        <v>5233</v>
      </c>
      <c r="B5234" s="4">
        <v>12</v>
      </c>
      <c r="C5234" s="15">
        <v>135</v>
      </c>
      <c r="D5234" s="16">
        <v>7</v>
      </c>
      <c r="E5234" s="22">
        <v>44819</v>
      </c>
      <c r="F5234" s="19">
        <v>225</v>
      </c>
      <c r="G5234" s="18">
        <v>0.11</v>
      </c>
      <c r="H5234">
        <f>F5234*VLOOKUP(B5234,產品!$A$2:$H$61,7,FALSE)*(1-銷售總表!G5234)</f>
        <v>200250</v>
      </c>
      <c r="I5234" s="35">
        <f>H5234-F5234*VLOOKUP(銷售總表!B5234,產品!$A$2:$H$61,8,FALSE)</f>
        <v>110250</v>
      </c>
      <c r="J5234" s="20">
        <f t="shared" si="81"/>
        <v>0.550561797752809</v>
      </c>
    </row>
    <row r="5235" spans="1:10" x14ac:dyDescent="0.3">
      <c r="A5235" s="33">
        <v>5234</v>
      </c>
      <c r="B5235" s="4">
        <v>31</v>
      </c>
      <c r="C5235" s="15">
        <v>139</v>
      </c>
      <c r="D5235" s="16">
        <v>3</v>
      </c>
      <c r="E5235" s="22">
        <v>44820</v>
      </c>
      <c r="F5235" s="19">
        <v>4</v>
      </c>
      <c r="G5235" s="18">
        <v>7.0000000000000007E-2</v>
      </c>
      <c r="H5235">
        <f>F5235*VLOOKUP(B5235,產品!$A$2:$H$61,7,FALSE)*(1-銷售總表!G5235)</f>
        <v>26040</v>
      </c>
      <c r="I5235" s="35">
        <f>H5235-F5235*VLOOKUP(銷售總表!B5235,產品!$A$2:$H$61,8,FALSE)</f>
        <v>9240</v>
      </c>
      <c r="J5235" s="20">
        <f t="shared" si="81"/>
        <v>0.35483870967741937</v>
      </c>
    </row>
    <row r="5236" spans="1:10" x14ac:dyDescent="0.3">
      <c r="A5236" s="33">
        <v>5235</v>
      </c>
      <c r="B5236" s="4">
        <v>49</v>
      </c>
      <c r="C5236" s="15">
        <v>291</v>
      </c>
      <c r="D5236" s="16">
        <v>1</v>
      </c>
      <c r="E5236" s="22">
        <v>44820</v>
      </c>
      <c r="F5236" s="19">
        <v>5</v>
      </c>
      <c r="G5236" s="18">
        <v>0.18</v>
      </c>
      <c r="H5236">
        <f>F5236*VLOOKUP(B5236,產品!$A$2:$H$61,7,FALSE)*(1-銷售總表!G5236)</f>
        <v>61500.000000000007</v>
      </c>
      <c r="I5236" s="35">
        <f>H5236-F5236*VLOOKUP(銷售總表!B5236,產品!$A$2:$H$61,8,FALSE)</f>
        <v>9000.0000000000073</v>
      </c>
      <c r="J5236" s="20">
        <f t="shared" si="81"/>
        <v>0.14634146341463425</v>
      </c>
    </row>
    <row r="5237" spans="1:10" x14ac:dyDescent="0.3">
      <c r="A5237" s="33">
        <v>5236</v>
      </c>
      <c r="B5237" s="4">
        <v>43</v>
      </c>
      <c r="C5237" s="15">
        <v>7</v>
      </c>
      <c r="D5237" s="16">
        <v>6</v>
      </c>
      <c r="E5237" s="23">
        <v>44820</v>
      </c>
      <c r="F5237">
        <v>10</v>
      </c>
      <c r="G5237" s="20">
        <v>0.12</v>
      </c>
      <c r="H5237">
        <f>F5237*VLOOKUP(B5237,產品!$A$2:$H$61,7,FALSE)*(1-銷售總表!G5237)</f>
        <v>158400</v>
      </c>
      <c r="I5237" s="35">
        <f>H5237-F5237*VLOOKUP(銷售總表!B5237,產品!$A$2:$H$61,8,FALSE)</f>
        <v>41400</v>
      </c>
      <c r="J5237" s="20">
        <f t="shared" si="81"/>
        <v>0.26136363636363635</v>
      </c>
    </row>
    <row r="5238" spans="1:10" x14ac:dyDescent="0.3">
      <c r="A5238" s="33">
        <v>5237</v>
      </c>
      <c r="B5238" s="4">
        <v>52</v>
      </c>
      <c r="C5238" s="15">
        <v>138</v>
      </c>
      <c r="D5238" s="16">
        <v>9</v>
      </c>
      <c r="E5238" s="22">
        <v>44820</v>
      </c>
      <c r="F5238" s="19">
        <v>10</v>
      </c>
      <c r="G5238" s="18">
        <v>0.13</v>
      </c>
      <c r="H5238">
        <f>F5238*VLOOKUP(B5238,產品!$A$2:$H$61,7,FALSE)*(1-銷售總表!G5238)</f>
        <v>191400</v>
      </c>
      <c r="I5238" s="35">
        <f>H5238-F5238*VLOOKUP(銷售總表!B5238,產品!$A$2:$H$61,8,FALSE)</f>
        <v>37400.000000000029</v>
      </c>
      <c r="J5238" s="20">
        <f t="shared" si="81"/>
        <v>0.19540229885057486</v>
      </c>
    </row>
    <row r="5239" spans="1:10" x14ac:dyDescent="0.3">
      <c r="A5239" s="33">
        <v>5238</v>
      </c>
      <c r="B5239" s="4">
        <v>55</v>
      </c>
      <c r="C5239" s="15">
        <v>267</v>
      </c>
      <c r="D5239" s="16">
        <v>7</v>
      </c>
      <c r="E5239" s="22">
        <v>44820</v>
      </c>
      <c r="F5239" s="19">
        <v>15</v>
      </c>
      <c r="G5239" s="18">
        <v>0.19</v>
      </c>
      <c r="H5239">
        <f>F5239*VLOOKUP(B5239,產品!$A$2:$H$61,7,FALSE)*(1-銷售總表!G5239)</f>
        <v>243000.00000000003</v>
      </c>
      <c r="I5239" s="35">
        <f>H5239-F5239*VLOOKUP(銷售總表!B5239,產品!$A$2:$H$61,8,FALSE)</f>
        <v>33000.000000000029</v>
      </c>
      <c r="J5239" s="20">
        <f t="shared" si="81"/>
        <v>0.13580246913580257</v>
      </c>
    </row>
    <row r="5240" spans="1:10" x14ac:dyDescent="0.3">
      <c r="A5240" s="33">
        <v>5239</v>
      </c>
      <c r="B5240" s="4">
        <v>11</v>
      </c>
      <c r="C5240" s="15">
        <v>7</v>
      </c>
      <c r="D5240" s="16">
        <v>3</v>
      </c>
      <c r="E5240" s="22">
        <v>44820</v>
      </c>
      <c r="F5240" s="19">
        <v>90</v>
      </c>
      <c r="G5240" s="18">
        <v>0.1</v>
      </c>
      <c r="H5240">
        <f>F5240*VLOOKUP(B5240,產品!$A$2:$H$61,7,FALSE)*(1-銷售總表!G5240)</f>
        <v>81000</v>
      </c>
      <c r="I5240" s="35">
        <f>H5240-F5240*VLOOKUP(銷售總表!B5240,產品!$A$2:$H$61,8,FALSE)</f>
        <v>45000</v>
      </c>
      <c r="J5240" s="20">
        <f t="shared" si="81"/>
        <v>0.55555555555555558</v>
      </c>
    </row>
    <row r="5241" spans="1:10" x14ac:dyDescent="0.3">
      <c r="A5241" s="33">
        <v>5240</v>
      </c>
      <c r="B5241" s="4">
        <v>39</v>
      </c>
      <c r="C5241" s="15">
        <v>9</v>
      </c>
      <c r="D5241" s="16">
        <v>7</v>
      </c>
      <c r="E5241" s="22">
        <v>44821</v>
      </c>
      <c r="F5241" s="19">
        <v>6</v>
      </c>
      <c r="G5241" s="18">
        <v>0.1</v>
      </c>
      <c r="H5241">
        <f>F5241*VLOOKUP(B5241,產品!$A$2:$H$61,7,FALSE)*(1-銷售總表!G5241)</f>
        <v>97200</v>
      </c>
      <c r="I5241" s="35">
        <f>H5241-F5241*VLOOKUP(銷售總表!B5241,產品!$A$2:$H$61,8,FALSE)</f>
        <v>27000</v>
      </c>
      <c r="J5241" s="20">
        <f t="shared" si="81"/>
        <v>0.27777777777777779</v>
      </c>
    </row>
    <row r="5242" spans="1:10" x14ac:dyDescent="0.3">
      <c r="A5242" s="33">
        <v>5241</v>
      </c>
      <c r="B5242" s="4">
        <v>56</v>
      </c>
      <c r="C5242" s="15">
        <v>267</v>
      </c>
      <c r="D5242" s="16">
        <v>4</v>
      </c>
      <c r="E5242" s="22">
        <v>44821</v>
      </c>
      <c r="F5242" s="19">
        <v>8</v>
      </c>
      <c r="G5242" s="18">
        <v>0.1</v>
      </c>
      <c r="H5242">
        <f>F5242*VLOOKUP(B5242,產品!$A$2:$H$61,7,FALSE)*(1-銷售總表!G5242)</f>
        <v>158400</v>
      </c>
      <c r="I5242" s="35">
        <f>H5242-F5242*VLOOKUP(銷售總表!B5242,產品!$A$2:$H$61,8,FALSE)</f>
        <v>35200.000000000015</v>
      </c>
      <c r="J5242" s="20">
        <f t="shared" si="81"/>
        <v>0.22222222222222232</v>
      </c>
    </row>
    <row r="5243" spans="1:10" x14ac:dyDescent="0.3">
      <c r="A5243" s="33">
        <v>5242</v>
      </c>
      <c r="B5243" s="4">
        <v>20</v>
      </c>
      <c r="C5243" s="15">
        <v>259</v>
      </c>
      <c r="D5243" s="16">
        <v>3</v>
      </c>
      <c r="E5243" s="22">
        <v>44821</v>
      </c>
      <c r="F5243" s="19">
        <v>10</v>
      </c>
      <c r="G5243" s="18">
        <v>0.09</v>
      </c>
      <c r="H5243">
        <f>F5243*VLOOKUP(B5243,產品!$A$2:$H$61,7,FALSE)*(1-銷售總表!G5243)</f>
        <v>16380</v>
      </c>
      <c r="I5243" s="35">
        <f>H5243-F5243*VLOOKUP(銷售總表!B5243,產品!$A$2:$H$61,8,FALSE)</f>
        <v>9180</v>
      </c>
      <c r="J5243" s="20">
        <f t="shared" si="81"/>
        <v>0.56043956043956045</v>
      </c>
    </row>
    <row r="5244" spans="1:10" x14ac:dyDescent="0.3">
      <c r="A5244" s="33">
        <v>5243</v>
      </c>
      <c r="B5244" s="4">
        <v>3</v>
      </c>
      <c r="C5244" s="15">
        <v>290</v>
      </c>
      <c r="D5244" s="16">
        <v>10</v>
      </c>
      <c r="E5244" s="22">
        <v>44821</v>
      </c>
      <c r="F5244" s="19">
        <v>13</v>
      </c>
      <c r="G5244" s="18">
        <v>0.11</v>
      </c>
      <c r="H5244">
        <f>F5244*VLOOKUP(B5244,產品!$A$2:$H$61,7,FALSE)*(1-銷售總表!G5244)</f>
        <v>11570</v>
      </c>
      <c r="I5244" s="35">
        <f>H5244-F5244*VLOOKUP(銷售總表!B5244,產品!$A$2:$H$61,8,FALSE)</f>
        <v>6370</v>
      </c>
      <c r="J5244" s="20">
        <f t="shared" si="81"/>
        <v>0.550561797752809</v>
      </c>
    </row>
    <row r="5245" spans="1:10" x14ac:dyDescent="0.3">
      <c r="A5245" s="33">
        <v>5244</v>
      </c>
      <c r="B5245" s="4">
        <v>42</v>
      </c>
      <c r="C5245" s="15">
        <v>276</v>
      </c>
      <c r="D5245" s="16">
        <v>8</v>
      </c>
      <c r="E5245" s="22">
        <v>44821</v>
      </c>
      <c r="F5245" s="19">
        <v>15</v>
      </c>
      <c r="G5245" s="18">
        <v>0.19</v>
      </c>
      <c r="H5245">
        <f>F5245*VLOOKUP(B5245,產品!$A$2:$H$61,7,FALSE)*(1-銷售總表!G5245)</f>
        <v>182250</v>
      </c>
      <c r="I5245" s="35">
        <f>H5245-F5245*VLOOKUP(銷售總表!B5245,產品!$A$2:$H$61,8,FALSE)</f>
        <v>36000</v>
      </c>
      <c r="J5245" s="20">
        <f t="shared" si="81"/>
        <v>0.19753086419753085</v>
      </c>
    </row>
    <row r="5246" spans="1:10" x14ac:dyDescent="0.3">
      <c r="A5246" s="33">
        <v>5245</v>
      </c>
      <c r="B5246" s="4">
        <v>38</v>
      </c>
      <c r="C5246" s="15">
        <v>265</v>
      </c>
      <c r="D5246" s="16">
        <v>6</v>
      </c>
      <c r="E5246" s="22">
        <v>44821</v>
      </c>
      <c r="F5246" s="19">
        <v>17</v>
      </c>
      <c r="G5246" s="18">
        <v>7.0000000000000007E-2</v>
      </c>
      <c r="H5246">
        <f>F5246*VLOOKUP(B5246,產品!$A$2:$H$61,7,FALSE)*(1-銷售總表!G5246)</f>
        <v>237149.99999999997</v>
      </c>
      <c r="I5246" s="35">
        <f>H5246-F5246*VLOOKUP(銷售總表!B5246,產品!$A$2:$H$61,8,FALSE)</f>
        <v>71399.999999999971</v>
      </c>
      <c r="J5246" s="20">
        <f t="shared" si="81"/>
        <v>0.3010752688172042</v>
      </c>
    </row>
    <row r="5247" spans="1:10" x14ac:dyDescent="0.3">
      <c r="A5247" s="33">
        <v>5246</v>
      </c>
      <c r="B5247" s="4">
        <v>23</v>
      </c>
      <c r="C5247" s="15">
        <v>124</v>
      </c>
      <c r="D5247" s="16">
        <v>10</v>
      </c>
      <c r="E5247" s="22">
        <v>44821</v>
      </c>
      <c r="F5247" s="19">
        <v>40</v>
      </c>
      <c r="G5247" s="18">
        <v>0.08</v>
      </c>
      <c r="H5247">
        <f>F5247*VLOOKUP(B5247,產品!$A$2:$H$61,7,FALSE)*(1-銷售總表!G5247)</f>
        <v>66240</v>
      </c>
      <c r="I5247" s="35">
        <f>H5247-F5247*VLOOKUP(銷售總表!B5247,產品!$A$2:$H$61,8,FALSE)</f>
        <v>37440</v>
      </c>
      <c r="J5247" s="20">
        <f t="shared" si="81"/>
        <v>0.56521739130434778</v>
      </c>
    </row>
    <row r="5248" spans="1:10" x14ac:dyDescent="0.3">
      <c r="A5248" s="33">
        <v>5247</v>
      </c>
      <c r="B5248" s="4">
        <v>25</v>
      </c>
      <c r="C5248" s="15">
        <v>257</v>
      </c>
      <c r="D5248" s="16">
        <v>3</v>
      </c>
      <c r="E5248" s="22">
        <v>44822</v>
      </c>
      <c r="F5248" s="19">
        <v>7</v>
      </c>
      <c r="G5248" s="18">
        <v>0.12</v>
      </c>
      <c r="H5248">
        <f>F5248*VLOOKUP(B5248,產品!$A$2:$H$61,7,FALSE)*(1-銷售總表!G5248)</f>
        <v>36960</v>
      </c>
      <c r="I5248" s="35">
        <f>H5248-F5248*VLOOKUP(銷售總表!B5248,產品!$A$2:$H$61,8,FALSE)</f>
        <v>11760</v>
      </c>
      <c r="J5248" s="20">
        <f t="shared" si="81"/>
        <v>0.31818181818181818</v>
      </c>
    </row>
    <row r="5249" spans="1:10" x14ac:dyDescent="0.3">
      <c r="A5249" s="33">
        <v>5248</v>
      </c>
      <c r="B5249" s="4">
        <v>46</v>
      </c>
      <c r="C5249" s="15">
        <v>263</v>
      </c>
      <c r="D5249" s="16">
        <v>3</v>
      </c>
      <c r="E5249" s="22">
        <v>44822</v>
      </c>
      <c r="F5249" s="19">
        <v>9</v>
      </c>
      <c r="G5249" s="18">
        <v>0.18</v>
      </c>
      <c r="H5249">
        <f>F5249*VLOOKUP(B5249,產品!$A$2:$H$61,7,FALSE)*(1-銷售總表!G5249)</f>
        <v>125460.00000000001</v>
      </c>
      <c r="I5249" s="35">
        <f>H5249-F5249*VLOOKUP(銷售總表!B5249,產品!$A$2:$H$61,8,FALSE)</f>
        <v>26010.000000000015</v>
      </c>
      <c r="J5249" s="20">
        <f t="shared" si="81"/>
        <v>0.20731707317073181</v>
      </c>
    </row>
    <row r="5250" spans="1:10" x14ac:dyDescent="0.3">
      <c r="A5250" s="33">
        <v>5249</v>
      </c>
      <c r="B5250" s="4">
        <v>3</v>
      </c>
      <c r="C5250" s="15">
        <v>5</v>
      </c>
      <c r="D5250" s="16">
        <v>9</v>
      </c>
      <c r="E5250" s="22">
        <v>44822</v>
      </c>
      <c r="F5250" s="19">
        <v>11</v>
      </c>
      <c r="G5250" s="18">
        <v>0.17</v>
      </c>
      <c r="H5250">
        <f>F5250*VLOOKUP(B5250,產品!$A$2:$H$61,7,FALSE)*(1-銷售總表!G5250)</f>
        <v>9130</v>
      </c>
      <c r="I5250" s="35">
        <f>H5250-F5250*VLOOKUP(銷售總表!B5250,產品!$A$2:$H$61,8,FALSE)</f>
        <v>4730</v>
      </c>
      <c r="J5250" s="20">
        <f t="shared" si="81"/>
        <v>0.51807228915662651</v>
      </c>
    </row>
    <row r="5251" spans="1:10" x14ac:dyDescent="0.3">
      <c r="A5251" s="33">
        <v>5250</v>
      </c>
      <c r="B5251" s="4">
        <v>37</v>
      </c>
      <c r="C5251" s="15">
        <v>5</v>
      </c>
      <c r="D5251" s="16">
        <v>8</v>
      </c>
      <c r="E5251" s="22">
        <v>44822</v>
      </c>
      <c r="F5251" s="19">
        <v>23</v>
      </c>
      <c r="G5251" s="18">
        <v>0.14000000000000001</v>
      </c>
      <c r="H5251">
        <f>F5251*VLOOKUP(B5251,產品!$A$2:$H$61,7,FALSE)*(1-銷售總表!G5251)</f>
        <v>237360</v>
      </c>
      <c r="I5251" s="35">
        <f>H5251-F5251*VLOOKUP(銷售總表!B5251,產品!$A$2:$H$61,8,FALSE)</f>
        <v>57960</v>
      </c>
      <c r="J5251" s="20">
        <f t="shared" ref="J5251:J5314" si="82">I5251/H5251</f>
        <v>0.2441860465116279</v>
      </c>
    </row>
    <row r="5252" spans="1:10" x14ac:dyDescent="0.3">
      <c r="A5252" s="33">
        <v>5251</v>
      </c>
      <c r="B5252" s="4">
        <v>11</v>
      </c>
      <c r="C5252" s="15">
        <v>272</v>
      </c>
      <c r="D5252" s="16">
        <v>3</v>
      </c>
      <c r="E5252" s="22">
        <v>44822</v>
      </c>
      <c r="F5252" s="19">
        <v>60</v>
      </c>
      <c r="G5252" s="18">
        <v>0.12</v>
      </c>
      <c r="H5252">
        <f>F5252*VLOOKUP(B5252,產品!$A$2:$H$61,7,FALSE)*(1-銷售總表!G5252)</f>
        <v>52800</v>
      </c>
      <c r="I5252" s="35">
        <f>H5252-F5252*VLOOKUP(銷售總表!B5252,產品!$A$2:$H$61,8,FALSE)</f>
        <v>28800</v>
      </c>
      <c r="J5252" s="20">
        <f t="shared" si="82"/>
        <v>0.54545454545454541</v>
      </c>
    </row>
    <row r="5253" spans="1:10" x14ac:dyDescent="0.3">
      <c r="A5253" s="33">
        <v>5252</v>
      </c>
      <c r="B5253" s="4">
        <v>59</v>
      </c>
      <c r="C5253" s="15">
        <v>117</v>
      </c>
      <c r="D5253" s="16">
        <v>3</v>
      </c>
      <c r="E5253" s="22">
        <v>44823</v>
      </c>
      <c r="F5253" s="19">
        <v>3</v>
      </c>
      <c r="G5253" s="18">
        <v>7.0000000000000007E-2</v>
      </c>
      <c r="H5253">
        <f>F5253*VLOOKUP(B5253,產品!$A$2:$H$61,7,FALSE)*(1-銷售總表!G5253)</f>
        <v>66960</v>
      </c>
      <c r="I5253" s="35">
        <f>H5253-F5253*VLOOKUP(銷售總表!B5253,產品!$A$2:$H$61,8,FALSE)</f>
        <v>16560</v>
      </c>
      <c r="J5253" s="20">
        <f t="shared" si="82"/>
        <v>0.24731182795698925</v>
      </c>
    </row>
    <row r="5254" spans="1:10" x14ac:dyDescent="0.3">
      <c r="A5254" s="33">
        <v>5253</v>
      </c>
      <c r="B5254" s="4">
        <v>32</v>
      </c>
      <c r="C5254" s="15">
        <v>140</v>
      </c>
      <c r="D5254" s="16">
        <v>4</v>
      </c>
      <c r="E5254" s="22">
        <v>44823</v>
      </c>
      <c r="F5254" s="19">
        <v>4</v>
      </c>
      <c r="G5254" s="18">
        <v>0.1</v>
      </c>
      <c r="H5254">
        <f>F5254*VLOOKUP(B5254,產品!$A$2:$H$61,7,FALSE)*(1-銷售總表!G5254)</f>
        <v>27000</v>
      </c>
      <c r="I5254" s="35">
        <f>H5254-F5254*VLOOKUP(銷售總表!B5254,產品!$A$2:$H$61,8,FALSE)</f>
        <v>9000</v>
      </c>
      <c r="J5254" s="20">
        <f t="shared" si="82"/>
        <v>0.33333333333333331</v>
      </c>
    </row>
    <row r="5255" spans="1:10" x14ac:dyDescent="0.3">
      <c r="A5255" s="33">
        <v>5254</v>
      </c>
      <c r="B5255" s="4">
        <v>38</v>
      </c>
      <c r="C5255" s="15">
        <v>5</v>
      </c>
      <c r="D5255" s="16">
        <v>9</v>
      </c>
      <c r="E5255" s="23">
        <v>44823</v>
      </c>
      <c r="F5255">
        <v>7</v>
      </c>
      <c r="G5255" s="20">
        <v>0.13</v>
      </c>
      <c r="H5255">
        <f>F5255*VLOOKUP(B5255,產品!$A$2:$H$61,7,FALSE)*(1-銷售總表!G5255)</f>
        <v>91350</v>
      </c>
      <c r="I5255" s="35">
        <f>H5255-F5255*VLOOKUP(銷售總表!B5255,產品!$A$2:$H$61,8,FALSE)</f>
        <v>23100</v>
      </c>
      <c r="J5255" s="20">
        <f t="shared" si="82"/>
        <v>0.25287356321839083</v>
      </c>
    </row>
    <row r="5256" spans="1:10" x14ac:dyDescent="0.3">
      <c r="A5256" s="33">
        <v>5255</v>
      </c>
      <c r="B5256" s="4">
        <v>40</v>
      </c>
      <c r="C5256" s="15">
        <v>139</v>
      </c>
      <c r="D5256" s="16">
        <v>5</v>
      </c>
      <c r="E5256" s="22">
        <v>44823</v>
      </c>
      <c r="F5256" s="19">
        <v>8</v>
      </c>
      <c r="G5256" s="18">
        <v>0.18</v>
      </c>
      <c r="H5256">
        <f>F5256*VLOOKUP(B5256,產品!$A$2:$H$61,7,FALSE)*(1-銷售總表!G5256)</f>
        <v>131200</v>
      </c>
      <c r="I5256" s="35">
        <f>H5256-F5256*VLOOKUP(銷售總表!B5256,產品!$A$2:$H$61,8,FALSE)</f>
        <v>27200</v>
      </c>
      <c r="J5256" s="20">
        <f t="shared" si="82"/>
        <v>0.2073170731707317</v>
      </c>
    </row>
    <row r="5257" spans="1:10" x14ac:dyDescent="0.3">
      <c r="A5257" s="33">
        <v>5256</v>
      </c>
      <c r="B5257" s="4">
        <v>5</v>
      </c>
      <c r="C5257" s="15">
        <v>115</v>
      </c>
      <c r="D5257" s="16">
        <v>4</v>
      </c>
      <c r="E5257" s="23">
        <v>44823</v>
      </c>
      <c r="F5257">
        <v>10</v>
      </c>
      <c r="G5257" s="20">
        <v>0.2</v>
      </c>
      <c r="H5257">
        <f>F5257*VLOOKUP(B5257,產品!$A$2:$H$61,7,FALSE)*(1-銷售總表!G5257)</f>
        <v>8000</v>
      </c>
      <c r="I5257" s="35">
        <f>H5257-F5257*VLOOKUP(銷售總表!B5257,產品!$A$2:$H$61,8,FALSE)</f>
        <v>4000</v>
      </c>
      <c r="J5257" s="20">
        <f t="shared" si="82"/>
        <v>0.5</v>
      </c>
    </row>
    <row r="5258" spans="1:10" x14ac:dyDescent="0.3">
      <c r="A5258" s="33">
        <v>5257</v>
      </c>
      <c r="B5258" s="4">
        <v>46</v>
      </c>
      <c r="C5258" s="15">
        <v>12</v>
      </c>
      <c r="D5258" s="16">
        <v>3</v>
      </c>
      <c r="E5258" s="23">
        <v>44823</v>
      </c>
      <c r="F5258">
        <v>12</v>
      </c>
      <c r="G5258" s="20">
        <v>0.2</v>
      </c>
      <c r="H5258">
        <f>F5258*VLOOKUP(B5258,產品!$A$2:$H$61,7,FALSE)*(1-銷售總表!G5258)</f>
        <v>163200</v>
      </c>
      <c r="I5258" s="35">
        <f>H5258-F5258*VLOOKUP(銷售總表!B5258,產品!$A$2:$H$61,8,FALSE)</f>
        <v>30600</v>
      </c>
      <c r="J5258" s="20">
        <f t="shared" si="82"/>
        <v>0.1875</v>
      </c>
    </row>
    <row r="5259" spans="1:10" x14ac:dyDescent="0.3">
      <c r="A5259" s="33">
        <v>5258</v>
      </c>
      <c r="B5259" s="4">
        <v>52</v>
      </c>
      <c r="C5259" s="15">
        <v>257</v>
      </c>
      <c r="D5259" s="16">
        <v>9</v>
      </c>
      <c r="E5259" s="22">
        <v>44823</v>
      </c>
      <c r="F5259" s="19">
        <v>13</v>
      </c>
      <c r="G5259" s="18">
        <v>0.18</v>
      </c>
      <c r="H5259">
        <f>F5259*VLOOKUP(B5259,產品!$A$2:$H$61,7,FALSE)*(1-銷售總表!G5259)</f>
        <v>234520.00000000003</v>
      </c>
      <c r="I5259" s="35">
        <f>H5259-F5259*VLOOKUP(銷售總表!B5259,產品!$A$2:$H$61,8,FALSE)</f>
        <v>34320.000000000058</v>
      </c>
      <c r="J5259" s="20">
        <f t="shared" si="82"/>
        <v>0.14634146341463439</v>
      </c>
    </row>
    <row r="5260" spans="1:10" x14ac:dyDescent="0.3">
      <c r="A5260" s="33">
        <v>5259</v>
      </c>
      <c r="B5260" s="4">
        <v>20</v>
      </c>
      <c r="C5260" s="15">
        <v>291</v>
      </c>
      <c r="D5260" s="16">
        <v>5</v>
      </c>
      <c r="E5260" s="22">
        <v>44823</v>
      </c>
      <c r="F5260" s="19">
        <v>19</v>
      </c>
      <c r="G5260" s="18">
        <v>0.13</v>
      </c>
      <c r="H5260">
        <f>F5260*VLOOKUP(B5260,產品!$A$2:$H$61,7,FALSE)*(1-銷售總表!G5260)</f>
        <v>29754</v>
      </c>
      <c r="I5260" s="35">
        <f>H5260-F5260*VLOOKUP(銷售總表!B5260,產品!$A$2:$H$61,8,FALSE)</f>
        <v>16074</v>
      </c>
      <c r="J5260" s="20">
        <f t="shared" si="82"/>
        <v>0.54022988505747127</v>
      </c>
    </row>
    <row r="5261" spans="1:10" x14ac:dyDescent="0.3">
      <c r="A5261" s="33">
        <v>5260</v>
      </c>
      <c r="B5261" s="4">
        <v>8</v>
      </c>
      <c r="C5261" s="15">
        <v>270</v>
      </c>
      <c r="D5261" s="16">
        <v>7</v>
      </c>
      <c r="E5261" s="23">
        <v>44823</v>
      </c>
      <c r="F5261">
        <v>50</v>
      </c>
      <c r="G5261" s="20">
        <v>0.09</v>
      </c>
      <c r="H5261">
        <f>F5261*VLOOKUP(B5261,產品!$A$2:$H$61,7,FALSE)*(1-銷售總表!G5261)</f>
        <v>45500</v>
      </c>
      <c r="I5261" s="35">
        <f>H5261-F5261*VLOOKUP(銷售總表!B5261,產品!$A$2:$H$61,8,FALSE)</f>
        <v>25500</v>
      </c>
      <c r="J5261" s="20">
        <f t="shared" si="82"/>
        <v>0.56043956043956045</v>
      </c>
    </row>
    <row r="5262" spans="1:10" x14ac:dyDescent="0.3">
      <c r="A5262" s="33">
        <v>5261</v>
      </c>
      <c r="B5262" s="4">
        <v>3</v>
      </c>
      <c r="C5262" s="15">
        <v>285</v>
      </c>
      <c r="D5262" s="16">
        <v>6</v>
      </c>
      <c r="E5262" s="22">
        <v>44823</v>
      </c>
      <c r="F5262" s="19">
        <v>105</v>
      </c>
      <c r="G5262" s="18">
        <v>0.05</v>
      </c>
      <c r="H5262">
        <f>F5262*VLOOKUP(B5262,產品!$A$2:$H$61,7,FALSE)*(1-銷售總表!G5262)</f>
        <v>99750</v>
      </c>
      <c r="I5262" s="35">
        <f>H5262-F5262*VLOOKUP(銷售總表!B5262,產品!$A$2:$H$61,8,FALSE)</f>
        <v>57750</v>
      </c>
      <c r="J5262" s="20">
        <f t="shared" si="82"/>
        <v>0.57894736842105265</v>
      </c>
    </row>
    <row r="5263" spans="1:10" x14ac:dyDescent="0.3">
      <c r="A5263" s="33">
        <v>5262</v>
      </c>
      <c r="B5263" s="4">
        <v>46</v>
      </c>
      <c r="C5263" s="15">
        <v>8</v>
      </c>
      <c r="D5263" s="16">
        <v>2</v>
      </c>
      <c r="E5263" s="22">
        <v>44824</v>
      </c>
      <c r="F5263" s="19">
        <v>2</v>
      </c>
      <c r="G5263" s="18">
        <v>7.0000000000000007E-2</v>
      </c>
      <c r="H5263">
        <f>F5263*VLOOKUP(B5263,產品!$A$2:$H$61,7,FALSE)*(1-銷售總表!G5263)</f>
        <v>31619.999999999996</v>
      </c>
      <c r="I5263" s="35">
        <f>H5263-F5263*VLOOKUP(銷售總表!B5263,產品!$A$2:$H$61,8,FALSE)</f>
        <v>9519.9999999999964</v>
      </c>
      <c r="J5263" s="20">
        <f t="shared" si="82"/>
        <v>0.3010752688172042</v>
      </c>
    </row>
    <row r="5264" spans="1:10" x14ac:dyDescent="0.3">
      <c r="A5264" s="33">
        <v>5263</v>
      </c>
      <c r="B5264" s="4">
        <v>54</v>
      </c>
      <c r="C5264" s="15">
        <v>135</v>
      </c>
      <c r="D5264" s="16">
        <v>8</v>
      </c>
      <c r="E5264" s="22">
        <v>44824</v>
      </c>
      <c r="F5264" s="19">
        <v>5</v>
      </c>
      <c r="G5264" s="18">
        <v>0.1</v>
      </c>
      <c r="H5264">
        <f>F5264*VLOOKUP(B5264,產品!$A$2:$H$61,7,FALSE)*(1-銷售總表!G5264)</f>
        <v>81000</v>
      </c>
      <c r="I5264" s="35">
        <f>H5264-F5264*VLOOKUP(銷售總表!B5264,產品!$A$2:$H$61,8,FALSE)</f>
        <v>18000</v>
      </c>
      <c r="J5264" s="20">
        <f t="shared" si="82"/>
        <v>0.22222222222222221</v>
      </c>
    </row>
    <row r="5265" spans="1:10" x14ac:dyDescent="0.3">
      <c r="A5265" s="33">
        <v>5264</v>
      </c>
      <c r="B5265" s="4">
        <v>56</v>
      </c>
      <c r="C5265" s="15">
        <v>115</v>
      </c>
      <c r="D5265" s="16">
        <v>5</v>
      </c>
      <c r="E5265" s="22">
        <v>44824</v>
      </c>
      <c r="F5265" s="19">
        <v>5</v>
      </c>
      <c r="G5265" s="18">
        <v>0.14000000000000001</v>
      </c>
      <c r="H5265">
        <f>F5265*VLOOKUP(B5265,產品!$A$2:$H$61,7,FALSE)*(1-銷售總表!G5265)</f>
        <v>94600</v>
      </c>
      <c r="I5265" s="35">
        <f>H5265-F5265*VLOOKUP(銷售總表!B5265,產品!$A$2:$H$61,8,FALSE)</f>
        <v>17600.000000000015</v>
      </c>
      <c r="J5265" s="20">
        <f t="shared" si="82"/>
        <v>0.18604651162790714</v>
      </c>
    </row>
    <row r="5266" spans="1:10" x14ac:dyDescent="0.3">
      <c r="A5266" s="33">
        <v>5265</v>
      </c>
      <c r="B5266" s="4">
        <v>31</v>
      </c>
      <c r="C5266" s="15">
        <v>6</v>
      </c>
      <c r="D5266" s="16">
        <v>5</v>
      </c>
      <c r="E5266" s="22">
        <v>44824</v>
      </c>
      <c r="F5266" s="19">
        <v>5</v>
      </c>
      <c r="G5266" s="18">
        <v>0.11</v>
      </c>
      <c r="H5266">
        <f>F5266*VLOOKUP(B5266,產品!$A$2:$H$61,7,FALSE)*(1-銷售總表!G5266)</f>
        <v>31150</v>
      </c>
      <c r="I5266" s="35">
        <f>H5266-F5266*VLOOKUP(銷售總表!B5266,產品!$A$2:$H$61,8,FALSE)</f>
        <v>10150</v>
      </c>
      <c r="J5266" s="20">
        <f t="shared" si="82"/>
        <v>0.3258426966292135</v>
      </c>
    </row>
    <row r="5267" spans="1:10" x14ac:dyDescent="0.3">
      <c r="A5267" s="33">
        <v>5266</v>
      </c>
      <c r="B5267" s="4">
        <v>53</v>
      </c>
      <c r="C5267" s="15">
        <v>285</v>
      </c>
      <c r="D5267" s="16">
        <v>10</v>
      </c>
      <c r="E5267" s="22">
        <v>44824</v>
      </c>
      <c r="F5267" s="19">
        <v>7</v>
      </c>
      <c r="G5267" s="18">
        <v>0.13</v>
      </c>
      <c r="H5267">
        <f>F5267*VLOOKUP(B5267,產品!$A$2:$H$61,7,FALSE)*(1-銷售總表!G5267)</f>
        <v>91350</v>
      </c>
      <c r="I5267" s="35">
        <f>H5267-F5267*VLOOKUP(銷售總表!B5267,產品!$A$2:$H$61,8,FALSE)</f>
        <v>17850</v>
      </c>
      <c r="J5267" s="20">
        <f t="shared" si="82"/>
        <v>0.19540229885057472</v>
      </c>
    </row>
    <row r="5268" spans="1:10" x14ac:dyDescent="0.3">
      <c r="A5268" s="33">
        <v>5267</v>
      </c>
      <c r="B5268" s="4">
        <v>41</v>
      </c>
      <c r="C5268" s="15">
        <v>263</v>
      </c>
      <c r="D5268" s="16">
        <v>9</v>
      </c>
      <c r="E5268" s="23">
        <v>44824</v>
      </c>
      <c r="F5268">
        <v>7</v>
      </c>
      <c r="G5268" s="20">
        <v>0.17</v>
      </c>
      <c r="H5268">
        <f>F5268*VLOOKUP(B5268,產品!$A$2:$H$61,7,FALSE)*(1-銷售總表!G5268)</f>
        <v>69720</v>
      </c>
      <c r="I5268" s="35">
        <f>H5268-F5268*VLOOKUP(銷售總表!B5268,產品!$A$2:$H$61,8,FALSE)</f>
        <v>15120</v>
      </c>
      <c r="J5268" s="20">
        <f t="shared" si="82"/>
        <v>0.21686746987951808</v>
      </c>
    </row>
    <row r="5269" spans="1:10" x14ac:dyDescent="0.3">
      <c r="A5269" s="33">
        <v>5268</v>
      </c>
      <c r="B5269" s="4">
        <v>18</v>
      </c>
      <c r="C5269" s="15">
        <v>266</v>
      </c>
      <c r="D5269" s="16">
        <v>10</v>
      </c>
      <c r="E5269" s="22">
        <v>44824</v>
      </c>
      <c r="F5269" s="19">
        <v>15</v>
      </c>
      <c r="G5269" s="18">
        <v>0.11</v>
      </c>
      <c r="H5269">
        <f>F5269*VLOOKUP(B5269,產品!$A$2:$H$61,7,FALSE)*(1-銷售總表!G5269)</f>
        <v>24030</v>
      </c>
      <c r="I5269" s="35">
        <f>H5269-F5269*VLOOKUP(銷售總表!B5269,產品!$A$2:$H$61,8,FALSE)</f>
        <v>13230</v>
      </c>
      <c r="J5269" s="20">
        <f t="shared" si="82"/>
        <v>0.550561797752809</v>
      </c>
    </row>
    <row r="5270" spans="1:10" x14ac:dyDescent="0.3">
      <c r="A5270" s="33">
        <v>5269</v>
      </c>
      <c r="B5270" s="4">
        <v>37</v>
      </c>
      <c r="C5270" s="15">
        <v>118</v>
      </c>
      <c r="D5270" s="16">
        <v>1</v>
      </c>
      <c r="E5270" s="23">
        <v>44824</v>
      </c>
      <c r="F5270">
        <v>20</v>
      </c>
      <c r="G5270" s="20">
        <v>0.19</v>
      </c>
      <c r="H5270">
        <f>F5270*VLOOKUP(B5270,產品!$A$2:$H$61,7,FALSE)*(1-銷售總表!G5270)</f>
        <v>194400</v>
      </c>
      <c r="I5270" s="35">
        <f>H5270-F5270*VLOOKUP(銷售總表!B5270,產品!$A$2:$H$61,8,FALSE)</f>
        <v>38400</v>
      </c>
      <c r="J5270" s="20">
        <f t="shared" si="82"/>
        <v>0.19753086419753085</v>
      </c>
    </row>
    <row r="5271" spans="1:10" x14ac:dyDescent="0.3">
      <c r="A5271" s="33">
        <v>5270</v>
      </c>
      <c r="B5271" s="4">
        <v>2</v>
      </c>
      <c r="C5271" s="15">
        <v>118</v>
      </c>
      <c r="D5271" s="16">
        <v>4</v>
      </c>
      <c r="E5271" s="22">
        <v>44824</v>
      </c>
      <c r="F5271" s="19">
        <v>30</v>
      </c>
      <c r="G5271" s="18">
        <v>0.14000000000000001</v>
      </c>
      <c r="H5271">
        <f>F5271*VLOOKUP(B5271,產品!$A$2:$H$61,7,FALSE)*(1-銷售總表!G5271)</f>
        <v>25800</v>
      </c>
      <c r="I5271" s="35">
        <f>H5271-F5271*VLOOKUP(銷售總表!B5271,產品!$A$2:$H$61,8,FALSE)</f>
        <v>13800</v>
      </c>
      <c r="J5271" s="20">
        <f t="shared" si="82"/>
        <v>0.53488372093023251</v>
      </c>
    </row>
    <row r="5272" spans="1:10" x14ac:dyDescent="0.3">
      <c r="A5272" s="33">
        <v>5271</v>
      </c>
      <c r="B5272" s="4">
        <v>14</v>
      </c>
      <c r="C5272" s="15">
        <v>8</v>
      </c>
      <c r="D5272" s="16">
        <v>10</v>
      </c>
      <c r="E5272" s="22">
        <v>44824</v>
      </c>
      <c r="F5272" s="19">
        <v>40</v>
      </c>
      <c r="G5272" s="18">
        <v>0.12</v>
      </c>
      <c r="H5272">
        <f>F5272*VLOOKUP(B5272,產品!$A$2:$H$61,7,FALSE)*(1-銷售總表!G5272)</f>
        <v>63360</v>
      </c>
      <c r="I5272" s="35">
        <f>H5272-F5272*VLOOKUP(銷售總表!B5272,產品!$A$2:$H$61,8,FALSE)</f>
        <v>34560</v>
      </c>
      <c r="J5272" s="20">
        <f t="shared" si="82"/>
        <v>0.54545454545454541</v>
      </c>
    </row>
    <row r="5273" spans="1:10" x14ac:dyDescent="0.3">
      <c r="A5273" s="33">
        <v>5272</v>
      </c>
      <c r="B5273" s="4">
        <v>6</v>
      </c>
      <c r="C5273" s="15">
        <v>263</v>
      </c>
      <c r="D5273" s="16">
        <v>9</v>
      </c>
      <c r="E5273" s="22">
        <v>44824</v>
      </c>
      <c r="F5273" s="19">
        <v>50</v>
      </c>
      <c r="G5273" s="18">
        <v>0.13</v>
      </c>
      <c r="H5273">
        <f>F5273*VLOOKUP(B5273,產品!$A$2:$H$61,7,FALSE)*(1-銷售總表!G5273)</f>
        <v>43500</v>
      </c>
      <c r="I5273" s="35">
        <f>H5273-F5273*VLOOKUP(銷售總表!B5273,產品!$A$2:$H$61,8,FALSE)</f>
        <v>23500</v>
      </c>
      <c r="J5273" s="20">
        <f t="shared" si="82"/>
        <v>0.54022988505747127</v>
      </c>
    </row>
    <row r="5274" spans="1:10" x14ac:dyDescent="0.3">
      <c r="A5274" s="33">
        <v>5273</v>
      </c>
      <c r="B5274" s="4">
        <v>23</v>
      </c>
      <c r="C5274" s="15">
        <v>5</v>
      </c>
      <c r="D5274" s="16">
        <v>4</v>
      </c>
      <c r="E5274" s="23">
        <v>44824</v>
      </c>
      <c r="F5274">
        <v>70</v>
      </c>
      <c r="G5274" s="20">
        <v>0.14000000000000001</v>
      </c>
      <c r="H5274">
        <f>F5274*VLOOKUP(B5274,產品!$A$2:$H$61,7,FALSE)*(1-銷售總表!G5274)</f>
        <v>108360</v>
      </c>
      <c r="I5274" s="35">
        <f>H5274-F5274*VLOOKUP(銷售總表!B5274,產品!$A$2:$H$61,8,FALSE)</f>
        <v>57960</v>
      </c>
      <c r="J5274" s="20">
        <f t="shared" si="82"/>
        <v>0.53488372093023251</v>
      </c>
    </row>
    <row r="5275" spans="1:10" x14ac:dyDescent="0.3">
      <c r="A5275" s="33">
        <v>5274</v>
      </c>
      <c r="B5275" s="4">
        <v>54</v>
      </c>
      <c r="C5275" s="15">
        <v>136</v>
      </c>
      <c r="D5275" s="16">
        <v>9</v>
      </c>
      <c r="E5275" s="22">
        <v>44825</v>
      </c>
      <c r="F5275" s="19">
        <v>3</v>
      </c>
      <c r="G5275" s="18">
        <v>0.19</v>
      </c>
      <c r="H5275">
        <f>F5275*VLOOKUP(B5275,產品!$A$2:$H$61,7,FALSE)*(1-銷售總表!G5275)</f>
        <v>43740</v>
      </c>
      <c r="I5275" s="35">
        <f>H5275-F5275*VLOOKUP(銷售總表!B5275,產品!$A$2:$H$61,8,FALSE)</f>
        <v>5940</v>
      </c>
      <c r="J5275" s="20">
        <f t="shared" si="82"/>
        <v>0.13580246913580246</v>
      </c>
    </row>
    <row r="5276" spans="1:10" x14ac:dyDescent="0.3">
      <c r="A5276" s="33">
        <v>5275</v>
      </c>
      <c r="B5276" s="4">
        <v>22</v>
      </c>
      <c r="C5276" s="15">
        <v>115</v>
      </c>
      <c r="D5276" s="16">
        <v>7</v>
      </c>
      <c r="E5276" s="22">
        <v>44825</v>
      </c>
      <c r="F5276" s="19">
        <v>40</v>
      </c>
      <c r="G5276" s="18">
        <v>0.05</v>
      </c>
      <c r="H5276">
        <f>F5276*VLOOKUP(B5276,產品!$A$2:$H$61,7,FALSE)*(1-銷售總表!G5276)</f>
        <v>68400</v>
      </c>
      <c r="I5276" s="35">
        <f>H5276-F5276*VLOOKUP(銷售總表!B5276,產品!$A$2:$H$61,8,FALSE)</f>
        <v>39600</v>
      </c>
      <c r="J5276" s="20">
        <f t="shared" si="82"/>
        <v>0.57894736842105265</v>
      </c>
    </row>
    <row r="5277" spans="1:10" x14ac:dyDescent="0.3">
      <c r="A5277" s="33">
        <v>5276</v>
      </c>
      <c r="B5277" s="4">
        <v>4</v>
      </c>
      <c r="C5277" s="15">
        <v>258</v>
      </c>
      <c r="D5277" s="16">
        <v>10</v>
      </c>
      <c r="E5277" s="22">
        <v>44825</v>
      </c>
      <c r="F5277" s="19">
        <v>45</v>
      </c>
      <c r="G5277" s="18">
        <v>0.09</v>
      </c>
      <c r="H5277">
        <f>F5277*VLOOKUP(B5277,產品!$A$2:$H$61,7,FALSE)*(1-銷售總表!G5277)</f>
        <v>40950</v>
      </c>
      <c r="I5277" s="35">
        <f>H5277-F5277*VLOOKUP(銷售總表!B5277,產品!$A$2:$H$61,8,FALSE)</f>
        <v>22950</v>
      </c>
      <c r="J5277" s="20">
        <f t="shared" si="82"/>
        <v>0.56043956043956045</v>
      </c>
    </row>
    <row r="5278" spans="1:10" x14ac:dyDescent="0.3">
      <c r="A5278" s="33">
        <v>5277</v>
      </c>
      <c r="B5278" s="4">
        <v>57</v>
      </c>
      <c r="C5278" s="15">
        <v>9</v>
      </c>
      <c r="D5278" s="16">
        <v>2</v>
      </c>
      <c r="E5278" s="22">
        <v>44826</v>
      </c>
      <c r="F5278" s="19">
        <v>18</v>
      </c>
      <c r="G5278" s="18">
        <v>0.18</v>
      </c>
      <c r="H5278">
        <f>F5278*VLOOKUP(B5278,產品!$A$2:$H$61,7,FALSE)*(1-銷售總表!G5278)</f>
        <v>265680</v>
      </c>
      <c r="I5278" s="35">
        <f>H5278-F5278*VLOOKUP(銷售總表!B5278,產品!$A$2:$H$61,8,FALSE)</f>
        <v>38880</v>
      </c>
      <c r="J5278" s="20">
        <f t="shared" si="82"/>
        <v>0.14634146341463414</v>
      </c>
    </row>
    <row r="5279" spans="1:10" x14ac:dyDescent="0.3">
      <c r="A5279" s="33">
        <v>5278</v>
      </c>
      <c r="B5279" s="4">
        <v>37</v>
      </c>
      <c r="C5279" s="15">
        <v>5</v>
      </c>
      <c r="D5279" s="16">
        <v>3</v>
      </c>
      <c r="E5279" s="22">
        <v>44826</v>
      </c>
      <c r="F5279" s="19">
        <v>20</v>
      </c>
      <c r="G5279" s="18">
        <v>0.08</v>
      </c>
      <c r="H5279">
        <f>F5279*VLOOKUP(B5279,產品!$A$2:$H$61,7,FALSE)*(1-銷售總表!G5279)</f>
        <v>220800</v>
      </c>
      <c r="I5279" s="35">
        <f>H5279-F5279*VLOOKUP(銷售總表!B5279,產品!$A$2:$H$61,8,FALSE)</f>
        <v>64800</v>
      </c>
      <c r="J5279" s="20">
        <f t="shared" si="82"/>
        <v>0.29347826086956524</v>
      </c>
    </row>
    <row r="5280" spans="1:10" x14ac:dyDescent="0.3">
      <c r="A5280" s="33">
        <v>5279</v>
      </c>
      <c r="B5280" s="4">
        <v>21</v>
      </c>
      <c r="C5280" s="15">
        <v>118</v>
      </c>
      <c r="D5280" s="16">
        <v>4</v>
      </c>
      <c r="E5280" s="23">
        <v>44826</v>
      </c>
      <c r="F5280">
        <v>60</v>
      </c>
      <c r="G5280" s="20">
        <v>0.09</v>
      </c>
      <c r="H5280">
        <f>F5280*VLOOKUP(B5280,產品!$A$2:$H$61,7,FALSE)*(1-銷售總表!G5280)</f>
        <v>98280</v>
      </c>
      <c r="I5280" s="35">
        <f>H5280-F5280*VLOOKUP(銷售總表!B5280,產品!$A$2:$H$61,8,FALSE)</f>
        <v>55080</v>
      </c>
      <c r="J5280" s="20">
        <f t="shared" si="82"/>
        <v>0.56043956043956045</v>
      </c>
    </row>
    <row r="5281" spans="1:10" x14ac:dyDescent="0.3">
      <c r="A5281" s="33">
        <v>5280</v>
      </c>
      <c r="B5281" s="4">
        <v>17</v>
      </c>
      <c r="C5281" s="15">
        <v>10</v>
      </c>
      <c r="D5281" s="16">
        <v>2</v>
      </c>
      <c r="E5281" s="22">
        <v>44826</v>
      </c>
      <c r="F5281" s="19">
        <v>60</v>
      </c>
      <c r="G5281" s="18">
        <v>0.18</v>
      </c>
      <c r="H5281">
        <f>F5281*VLOOKUP(B5281,產品!$A$2:$H$61,7,FALSE)*(1-銷售總表!G5281)</f>
        <v>88560</v>
      </c>
      <c r="I5281" s="35">
        <f>H5281-F5281*VLOOKUP(銷售總表!B5281,產品!$A$2:$H$61,8,FALSE)</f>
        <v>45360</v>
      </c>
      <c r="J5281" s="20">
        <f t="shared" si="82"/>
        <v>0.51219512195121952</v>
      </c>
    </row>
    <row r="5282" spans="1:10" x14ac:dyDescent="0.3">
      <c r="A5282" s="33">
        <v>5281</v>
      </c>
      <c r="B5282" s="4">
        <v>42</v>
      </c>
      <c r="C5282" s="15">
        <v>115</v>
      </c>
      <c r="D5282" s="16">
        <v>9</v>
      </c>
      <c r="E5282" s="23">
        <v>44827</v>
      </c>
      <c r="F5282">
        <v>4</v>
      </c>
      <c r="G5282" s="20">
        <v>0.16</v>
      </c>
      <c r="H5282">
        <f>F5282*VLOOKUP(B5282,產品!$A$2:$H$61,7,FALSE)*(1-銷售總表!G5282)</f>
        <v>50400</v>
      </c>
      <c r="I5282" s="35">
        <f>H5282-F5282*VLOOKUP(銷售總表!B5282,產品!$A$2:$H$61,8,FALSE)</f>
        <v>11400</v>
      </c>
      <c r="J5282" s="20">
        <f t="shared" si="82"/>
        <v>0.22619047619047619</v>
      </c>
    </row>
    <row r="5283" spans="1:10" x14ac:dyDescent="0.3">
      <c r="A5283" s="33">
        <v>5282</v>
      </c>
      <c r="B5283" s="4">
        <v>50</v>
      </c>
      <c r="C5283" s="15">
        <v>258</v>
      </c>
      <c r="D5283" s="16">
        <v>9</v>
      </c>
      <c r="E5283" s="22">
        <v>44827</v>
      </c>
      <c r="F5283" s="19">
        <v>5</v>
      </c>
      <c r="G5283" s="18">
        <v>0.2</v>
      </c>
      <c r="H5283">
        <f>F5283*VLOOKUP(B5283,產品!$A$2:$H$61,7,FALSE)*(1-銷售總表!G5283)</f>
        <v>72000</v>
      </c>
      <c r="I5283" s="35">
        <f>H5283-F5283*VLOOKUP(銷售總表!B5283,產品!$A$2:$H$61,8,FALSE)</f>
        <v>9000</v>
      </c>
      <c r="J5283" s="20">
        <f t="shared" si="82"/>
        <v>0.125</v>
      </c>
    </row>
    <row r="5284" spans="1:10" x14ac:dyDescent="0.3">
      <c r="A5284" s="33">
        <v>5283</v>
      </c>
      <c r="B5284" s="4">
        <v>28</v>
      </c>
      <c r="C5284" s="15">
        <v>293</v>
      </c>
      <c r="D5284" s="16">
        <v>5</v>
      </c>
      <c r="E5284" s="22">
        <v>44827</v>
      </c>
      <c r="F5284" s="19">
        <v>5</v>
      </c>
      <c r="G5284" s="18">
        <v>0.2</v>
      </c>
      <c r="H5284">
        <f>F5284*VLOOKUP(B5284,產品!$A$2:$H$61,7,FALSE)*(1-銷售總表!G5284)</f>
        <v>30000</v>
      </c>
      <c r="I5284" s="35">
        <f>H5284-F5284*VLOOKUP(銷售總表!B5284,產品!$A$2:$H$61,8,FALSE)</f>
        <v>7500</v>
      </c>
      <c r="J5284" s="20">
        <f t="shared" si="82"/>
        <v>0.25</v>
      </c>
    </row>
    <row r="5285" spans="1:10" x14ac:dyDescent="0.3">
      <c r="A5285" s="33">
        <v>5284</v>
      </c>
      <c r="B5285" s="4">
        <v>40</v>
      </c>
      <c r="C5285" s="15">
        <v>115</v>
      </c>
      <c r="D5285" s="16">
        <v>5</v>
      </c>
      <c r="E5285" s="22">
        <v>44827</v>
      </c>
      <c r="F5285" s="19">
        <v>10</v>
      </c>
      <c r="G5285" s="18">
        <v>0.11</v>
      </c>
      <c r="H5285">
        <f>F5285*VLOOKUP(B5285,產品!$A$2:$H$61,7,FALSE)*(1-銷售總表!G5285)</f>
        <v>178000</v>
      </c>
      <c r="I5285" s="35">
        <f>H5285-F5285*VLOOKUP(銷售總表!B5285,產品!$A$2:$H$61,8,FALSE)</f>
        <v>48000</v>
      </c>
      <c r="J5285" s="20">
        <f t="shared" si="82"/>
        <v>0.2696629213483146</v>
      </c>
    </row>
    <row r="5286" spans="1:10" x14ac:dyDescent="0.3">
      <c r="A5286" s="33">
        <v>5285</v>
      </c>
      <c r="B5286" s="4">
        <v>29</v>
      </c>
      <c r="C5286" s="15">
        <v>11</v>
      </c>
      <c r="D5286" s="16">
        <v>7</v>
      </c>
      <c r="E5286" s="22">
        <v>44827</v>
      </c>
      <c r="F5286" s="19">
        <v>35</v>
      </c>
      <c r="G5286" s="18">
        <v>0.12</v>
      </c>
      <c r="H5286">
        <f>F5286*VLOOKUP(B5286,產品!$A$2:$H$61,7,FALSE)*(1-銷售總表!G5286)</f>
        <v>184800</v>
      </c>
      <c r="I5286" s="35">
        <f>H5286-F5286*VLOOKUP(銷售總表!B5286,產品!$A$2:$H$61,8,FALSE)</f>
        <v>58800</v>
      </c>
      <c r="J5286" s="20">
        <f t="shared" si="82"/>
        <v>0.31818181818181818</v>
      </c>
    </row>
    <row r="5287" spans="1:10" x14ac:dyDescent="0.3">
      <c r="A5287" s="33">
        <v>5286</v>
      </c>
      <c r="B5287" s="4">
        <v>29</v>
      </c>
      <c r="C5287" s="15">
        <v>269</v>
      </c>
      <c r="D5287" s="16">
        <v>1</v>
      </c>
      <c r="E5287" s="22">
        <v>44828</v>
      </c>
      <c r="F5287" s="19">
        <v>5</v>
      </c>
      <c r="G5287" s="18">
        <v>0.19</v>
      </c>
      <c r="H5287">
        <f>F5287*VLOOKUP(B5287,產品!$A$2:$H$61,7,FALSE)*(1-銷售總表!G5287)</f>
        <v>24300</v>
      </c>
      <c r="I5287" s="35">
        <f>H5287-F5287*VLOOKUP(銷售總表!B5287,產品!$A$2:$H$61,8,FALSE)</f>
        <v>6300</v>
      </c>
      <c r="J5287" s="20">
        <f t="shared" si="82"/>
        <v>0.25925925925925924</v>
      </c>
    </row>
    <row r="5288" spans="1:10" x14ac:dyDescent="0.3">
      <c r="A5288" s="33">
        <v>5287</v>
      </c>
      <c r="B5288" s="4">
        <v>48</v>
      </c>
      <c r="C5288" s="15">
        <v>122</v>
      </c>
      <c r="D5288" s="16">
        <v>5</v>
      </c>
      <c r="E5288" s="22">
        <v>44828</v>
      </c>
      <c r="F5288" s="19">
        <v>9</v>
      </c>
      <c r="G5288" s="18">
        <v>0.09</v>
      </c>
      <c r="H5288">
        <f>F5288*VLOOKUP(B5288,產品!$A$2:$H$61,7,FALSE)*(1-銷售總表!G5288)</f>
        <v>180180</v>
      </c>
      <c r="I5288" s="35">
        <f>H5288-F5288*VLOOKUP(銷售總表!B5288,產品!$A$2:$H$61,8,FALSE)</f>
        <v>51480</v>
      </c>
      <c r="J5288" s="20">
        <f t="shared" si="82"/>
        <v>0.2857142857142857</v>
      </c>
    </row>
    <row r="5289" spans="1:10" x14ac:dyDescent="0.3">
      <c r="A5289" s="33">
        <v>5288</v>
      </c>
      <c r="B5289" s="4">
        <v>8</v>
      </c>
      <c r="C5289" s="15">
        <v>6</v>
      </c>
      <c r="D5289" s="16">
        <v>9</v>
      </c>
      <c r="E5289" s="23">
        <v>44828</v>
      </c>
      <c r="F5289">
        <v>12</v>
      </c>
      <c r="G5289" s="20">
        <v>0.19</v>
      </c>
      <c r="H5289">
        <f>F5289*VLOOKUP(B5289,產品!$A$2:$H$61,7,FALSE)*(1-銷售總表!G5289)</f>
        <v>9720</v>
      </c>
      <c r="I5289" s="35">
        <f>H5289-F5289*VLOOKUP(銷售總表!B5289,產品!$A$2:$H$61,8,FALSE)</f>
        <v>4920</v>
      </c>
      <c r="J5289" s="20">
        <f t="shared" si="82"/>
        <v>0.50617283950617287</v>
      </c>
    </row>
    <row r="5290" spans="1:10" x14ac:dyDescent="0.3">
      <c r="A5290" s="33">
        <v>5289</v>
      </c>
      <c r="B5290" s="4">
        <v>27</v>
      </c>
      <c r="C5290" s="15">
        <v>115</v>
      </c>
      <c r="D5290" s="16">
        <v>5</v>
      </c>
      <c r="E5290" s="22">
        <v>44828</v>
      </c>
      <c r="F5290" s="19">
        <v>14</v>
      </c>
      <c r="G5290" s="18">
        <v>0.11</v>
      </c>
      <c r="H5290">
        <f>F5290*VLOOKUP(B5290,產品!$A$2:$H$61,7,FALSE)*(1-銷售總表!G5290)</f>
        <v>87220</v>
      </c>
      <c r="I5290" s="35">
        <f>H5290-F5290*VLOOKUP(銷售總表!B5290,產品!$A$2:$H$61,8,FALSE)</f>
        <v>28420</v>
      </c>
      <c r="J5290" s="20">
        <f t="shared" si="82"/>
        <v>0.3258426966292135</v>
      </c>
    </row>
    <row r="5291" spans="1:10" x14ac:dyDescent="0.3">
      <c r="A5291" s="33">
        <v>5290</v>
      </c>
      <c r="B5291" s="4">
        <v>17</v>
      </c>
      <c r="C5291" s="15">
        <v>285</v>
      </c>
      <c r="D5291" s="16">
        <v>7</v>
      </c>
      <c r="E5291" s="22">
        <v>44828</v>
      </c>
      <c r="F5291" s="19">
        <v>50</v>
      </c>
      <c r="G5291" s="18">
        <v>0.08</v>
      </c>
      <c r="H5291">
        <f>F5291*VLOOKUP(B5291,產品!$A$2:$H$61,7,FALSE)*(1-銷售總表!G5291)</f>
        <v>82800</v>
      </c>
      <c r="I5291" s="35">
        <f>H5291-F5291*VLOOKUP(銷售總表!B5291,產品!$A$2:$H$61,8,FALSE)</f>
        <v>46800</v>
      </c>
      <c r="J5291" s="20">
        <f t="shared" si="82"/>
        <v>0.56521739130434778</v>
      </c>
    </row>
    <row r="5292" spans="1:10" x14ac:dyDescent="0.3">
      <c r="A5292" s="33">
        <v>5291</v>
      </c>
      <c r="B5292" s="4">
        <v>18</v>
      </c>
      <c r="C5292" s="15">
        <v>5</v>
      </c>
      <c r="D5292" s="16">
        <v>6</v>
      </c>
      <c r="E5292" s="22">
        <v>44828</v>
      </c>
      <c r="F5292" s="19">
        <v>60</v>
      </c>
      <c r="G5292" s="18">
        <v>0.15</v>
      </c>
      <c r="H5292">
        <f>F5292*VLOOKUP(B5292,產品!$A$2:$H$61,7,FALSE)*(1-銷售總表!G5292)</f>
        <v>91800</v>
      </c>
      <c r="I5292" s="35">
        <f>H5292-F5292*VLOOKUP(銷售總表!B5292,產品!$A$2:$H$61,8,FALSE)</f>
        <v>48600</v>
      </c>
      <c r="J5292" s="20">
        <f t="shared" si="82"/>
        <v>0.52941176470588236</v>
      </c>
    </row>
    <row r="5293" spans="1:10" x14ac:dyDescent="0.3">
      <c r="A5293" s="33">
        <v>5292</v>
      </c>
      <c r="B5293" s="4">
        <v>34</v>
      </c>
      <c r="C5293" s="15">
        <v>285</v>
      </c>
      <c r="D5293" s="16">
        <v>8</v>
      </c>
      <c r="E5293" s="22">
        <v>44829</v>
      </c>
      <c r="F5293" s="19">
        <v>12</v>
      </c>
      <c r="G5293" s="18">
        <v>0.05</v>
      </c>
      <c r="H5293">
        <f>F5293*VLOOKUP(B5293,產品!$A$2:$H$61,7,FALSE)*(1-銷售總表!G5293)</f>
        <v>91200</v>
      </c>
      <c r="I5293" s="35">
        <f>H5293-F5293*VLOOKUP(銷售總表!B5293,產品!$A$2:$H$61,8,FALSE)</f>
        <v>33600</v>
      </c>
      <c r="J5293" s="20">
        <f t="shared" si="82"/>
        <v>0.36842105263157893</v>
      </c>
    </row>
    <row r="5294" spans="1:10" x14ac:dyDescent="0.3">
      <c r="A5294" s="33">
        <v>5293</v>
      </c>
      <c r="B5294" s="4">
        <v>59</v>
      </c>
      <c r="C5294" s="15">
        <v>121</v>
      </c>
      <c r="D5294" s="16">
        <v>5</v>
      </c>
      <c r="E5294" s="22">
        <v>44829</v>
      </c>
      <c r="F5294" s="19">
        <v>13</v>
      </c>
      <c r="G5294" s="18">
        <v>0.16</v>
      </c>
      <c r="H5294">
        <f>F5294*VLOOKUP(B5294,產品!$A$2:$H$61,7,FALSE)*(1-銷售總表!G5294)</f>
        <v>262080</v>
      </c>
      <c r="I5294" s="35">
        <f>H5294-F5294*VLOOKUP(銷售總表!B5294,產品!$A$2:$H$61,8,FALSE)</f>
        <v>43680</v>
      </c>
      <c r="J5294" s="20">
        <f t="shared" si="82"/>
        <v>0.16666666666666666</v>
      </c>
    </row>
    <row r="5295" spans="1:10" x14ac:dyDescent="0.3">
      <c r="A5295" s="33">
        <v>5294</v>
      </c>
      <c r="B5295" s="4">
        <v>10</v>
      </c>
      <c r="C5295" s="15">
        <v>123</v>
      </c>
      <c r="D5295" s="16">
        <v>4</v>
      </c>
      <c r="E5295" s="22">
        <v>44829</v>
      </c>
      <c r="F5295" s="19">
        <v>50</v>
      </c>
      <c r="G5295" s="18">
        <v>0.05</v>
      </c>
      <c r="H5295">
        <f>F5295*VLOOKUP(B5295,產品!$A$2:$H$61,7,FALSE)*(1-銷售總表!G5295)</f>
        <v>47500</v>
      </c>
      <c r="I5295" s="35">
        <f>H5295-F5295*VLOOKUP(銷售總表!B5295,產品!$A$2:$H$61,8,FALSE)</f>
        <v>27500</v>
      </c>
      <c r="J5295" s="20">
        <f t="shared" si="82"/>
        <v>0.57894736842105265</v>
      </c>
    </row>
    <row r="5296" spans="1:10" x14ac:dyDescent="0.3">
      <c r="A5296" s="33">
        <v>5295</v>
      </c>
      <c r="B5296" s="4">
        <v>17</v>
      </c>
      <c r="C5296" s="15">
        <v>117</v>
      </c>
      <c r="D5296" s="16">
        <v>1</v>
      </c>
      <c r="E5296" s="22">
        <v>44829</v>
      </c>
      <c r="F5296" s="19">
        <v>70</v>
      </c>
      <c r="G5296" s="18">
        <v>0.08</v>
      </c>
      <c r="H5296">
        <f>F5296*VLOOKUP(B5296,產品!$A$2:$H$61,7,FALSE)*(1-銷售總表!G5296)</f>
        <v>115920</v>
      </c>
      <c r="I5296" s="35">
        <f>H5296-F5296*VLOOKUP(銷售總表!B5296,產品!$A$2:$H$61,8,FALSE)</f>
        <v>65520</v>
      </c>
      <c r="J5296" s="20">
        <f t="shared" si="82"/>
        <v>0.56521739130434778</v>
      </c>
    </row>
    <row r="5297" spans="1:10" x14ac:dyDescent="0.3">
      <c r="A5297" s="33">
        <v>5296</v>
      </c>
      <c r="B5297" s="4">
        <v>3</v>
      </c>
      <c r="C5297" s="15">
        <v>2</v>
      </c>
      <c r="D5297" s="16">
        <v>6</v>
      </c>
      <c r="E5297" s="22">
        <v>44829</v>
      </c>
      <c r="F5297" s="19">
        <v>70</v>
      </c>
      <c r="G5297" s="18">
        <v>0.12</v>
      </c>
      <c r="H5297">
        <f>F5297*VLOOKUP(B5297,產品!$A$2:$H$61,7,FALSE)*(1-銷售總表!G5297)</f>
        <v>61600</v>
      </c>
      <c r="I5297" s="35">
        <f>H5297-F5297*VLOOKUP(銷售總表!B5297,產品!$A$2:$H$61,8,FALSE)</f>
        <v>33600</v>
      </c>
      <c r="J5297" s="20">
        <f t="shared" si="82"/>
        <v>0.54545454545454541</v>
      </c>
    </row>
    <row r="5298" spans="1:10" x14ac:dyDescent="0.3">
      <c r="A5298" s="33">
        <v>5297</v>
      </c>
      <c r="B5298" s="4">
        <v>37</v>
      </c>
      <c r="C5298" s="15">
        <v>284</v>
      </c>
      <c r="D5298" s="16">
        <v>2</v>
      </c>
      <c r="E5298" s="22">
        <v>44830</v>
      </c>
      <c r="F5298" s="19">
        <v>3</v>
      </c>
      <c r="G5298" s="18">
        <v>0.18</v>
      </c>
      <c r="H5298">
        <f>F5298*VLOOKUP(B5298,產品!$A$2:$H$61,7,FALSE)*(1-銷售總表!G5298)</f>
        <v>29520.000000000004</v>
      </c>
      <c r="I5298" s="35">
        <f>H5298-F5298*VLOOKUP(銷售總表!B5298,產品!$A$2:$H$61,8,FALSE)</f>
        <v>6120.0000000000036</v>
      </c>
      <c r="J5298" s="20">
        <f t="shared" si="82"/>
        <v>0.20731707317073181</v>
      </c>
    </row>
    <row r="5299" spans="1:10" x14ac:dyDescent="0.3">
      <c r="A5299" s="33">
        <v>5298</v>
      </c>
      <c r="B5299" s="4">
        <v>35</v>
      </c>
      <c r="C5299" s="15">
        <v>269</v>
      </c>
      <c r="D5299" s="16">
        <v>9</v>
      </c>
      <c r="E5299" s="22">
        <v>44830</v>
      </c>
      <c r="F5299" s="19">
        <v>3</v>
      </c>
      <c r="G5299" s="18">
        <v>0.18</v>
      </c>
      <c r="H5299">
        <f>F5299*VLOOKUP(B5299,產品!$A$2:$H$61,7,FALSE)*(1-銷售總表!G5299)</f>
        <v>20910</v>
      </c>
      <c r="I5299" s="35">
        <f>H5299-F5299*VLOOKUP(銷售總表!B5299,產品!$A$2:$H$61,8,FALSE)</f>
        <v>5610</v>
      </c>
      <c r="J5299" s="20">
        <f t="shared" si="82"/>
        <v>0.26829268292682928</v>
      </c>
    </row>
    <row r="5300" spans="1:10" x14ac:dyDescent="0.3">
      <c r="A5300" s="33">
        <v>5299</v>
      </c>
      <c r="B5300" s="4">
        <v>31</v>
      </c>
      <c r="C5300" s="15">
        <v>262</v>
      </c>
      <c r="D5300" s="16">
        <v>9</v>
      </c>
      <c r="E5300" s="22">
        <v>44830</v>
      </c>
      <c r="F5300" s="19">
        <v>4</v>
      </c>
      <c r="G5300" s="18">
        <v>7.0000000000000007E-2</v>
      </c>
      <c r="H5300">
        <f>F5300*VLOOKUP(B5300,產品!$A$2:$H$61,7,FALSE)*(1-銷售總表!G5300)</f>
        <v>26040</v>
      </c>
      <c r="I5300" s="35">
        <f>H5300-F5300*VLOOKUP(銷售總表!B5300,產品!$A$2:$H$61,8,FALSE)</f>
        <v>9240</v>
      </c>
      <c r="J5300" s="20">
        <f t="shared" si="82"/>
        <v>0.35483870967741937</v>
      </c>
    </row>
    <row r="5301" spans="1:10" x14ac:dyDescent="0.3">
      <c r="A5301" s="33">
        <v>5300</v>
      </c>
      <c r="B5301" s="4">
        <v>55</v>
      </c>
      <c r="C5301" s="15">
        <v>265</v>
      </c>
      <c r="D5301" s="16">
        <v>10</v>
      </c>
      <c r="E5301" s="22">
        <v>44830</v>
      </c>
      <c r="F5301" s="19">
        <v>5</v>
      </c>
      <c r="G5301" s="18">
        <v>0.11</v>
      </c>
      <c r="H5301">
        <f>F5301*VLOOKUP(B5301,產品!$A$2:$H$61,7,FALSE)*(1-銷售總表!G5301)</f>
        <v>89000</v>
      </c>
      <c r="I5301" s="35">
        <f>H5301-F5301*VLOOKUP(銷售總表!B5301,產品!$A$2:$H$61,8,FALSE)</f>
        <v>19000</v>
      </c>
      <c r="J5301" s="20">
        <f t="shared" si="82"/>
        <v>0.21348314606741572</v>
      </c>
    </row>
    <row r="5302" spans="1:10" x14ac:dyDescent="0.3">
      <c r="A5302" s="33">
        <v>5301</v>
      </c>
      <c r="B5302" s="4">
        <v>42</v>
      </c>
      <c r="C5302" s="15">
        <v>122</v>
      </c>
      <c r="D5302" s="16">
        <v>3</v>
      </c>
      <c r="E5302" s="22">
        <v>44830</v>
      </c>
      <c r="F5302" s="19">
        <v>7</v>
      </c>
      <c r="G5302" s="18">
        <v>0.18</v>
      </c>
      <c r="H5302">
        <f>F5302*VLOOKUP(B5302,產品!$A$2:$H$61,7,FALSE)*(1-銷售總表!G5302)</f>
        <v>86100</v>
      </c>
      <c r="I5302" s="35">
        <f>H5302-F5302*VLOOKUP(銷售總表!B5302,產品!$A$2:$H$61,8,FALSE)</f>
        <v>17850</v>
      </c>
      <c r="J5302" s="20">
        <f t="shared" si="82"/>
        <v>0.2073170731707317</v>
      </c>
    </row>
    <row r="5303" spans="1:10" x14ac:dyDescent="0.3">
      <c r="A5303" s="33">
        <v>5302</v>
      </c>
      <c r="B5303" s="4">
        <v>20</v>
      </c>
      <c r="C5303" s="15">
        <v>7</v>
      </c>
      <c r="D5303" s="16">
        <v>6</v>
      </c>
      <c r="E5303" s="23">
        <v>44830</v>
      </c>
      <c r="F5303">
        <v>10</v>
      </c>
      <c r="G5303" s="20">
        <v>0.1</v>
      </c>
      <c r="H5303">
        <f>F5303*VLOOKUP(B5303,產品!$A$2:$H$61,7,FALSE)*(1-銷售總表!G5303)</f>
        <v>16200</v>
      </c>
      <c r="I5303" s="35">
        <f>H5303-F5303*VLOOKUP(銷售總表!B5303,產品!$A$2:$H$61,8,FALSE)</f>
        <v>9000</v>
      </c>
      <c r="J5303" s="20">
        <f t="shared" si="82"/>
        <v>0.55555555555555558</v>
      </c>
    </row>
    <row r="5304" spans="1:10" x14ac:dyDescent="0.3">
      <c r="A5304" s="33">
        <v>5303</v>
      </c>
      <c r="B5304" s="4">
        <v>13</v>
      </c>
      <c r="C5304" s="15">
        <v>10</v>
      </c>
      <c r="D5304" s="16">
        <v>7</v>
      </c>
      <c r="E5304" s="22">
        <v>44830</v>
      </c>
      <c r="F5304" s="19">
        <v>20</v>
      </c>
      <c r="G5304" s="18">
        <v>0.17</v>
      </c>
      <c r="H5304">
        <f>F5304*VLOOKUP(B5304,產品!$A$2:$H$61,7,FALSE)*(1-銷售總表!G5304)</f>
        <v>29880</v>
      </c>
      <c r="I5304" s="35">
        <f>H5304-F5304*VLOOKUP(銷售總表!B5304,產品!$A$2:$H$61,8,FALSE)</f>
        <v>15480</v>
      </c>
      <c r="J5304" s="20">
        <f t="shared" si="82"/>
        <v>0.51807228915662651</v>
      </c>
    </row>
    <row r="5305" spans="1:10" x14ac:dyDescent="0.3">
      <c r="A5305" s="33">
        <v>5304</v>
      </c>
      <c r="B5305" s="4">
        <v>8</v>
      </c>
      <c r="C5305" s="15">
        <v>293</v>
      </c>
      <c r="D5305" s="16">
        <v>10</v>
      </c>
      <c r="E5305" s="22">
        <v>44830</v>
      </c>
      <c r="F5305" s="19">
        <v>60</v>
      </c>
      <c r="G5305" s="18">
        <v>0.08</v>
      </c>
      <c r="H5305">
        <f>F5305*VLOOKUP(B5305,產品!$A$2:$H$61,7,FALSE)*(1-銷售總表!G5305)</f>
        <v>55200</v>
      </c>
      <c r="I5305" s="35">
        <f>H5305-F5305*VLOOKUP(銷售總表!B5305,產品!$A$2:$H$61,8,FALSE)</f>
        <v>31200</v>
      </c>
      <c r="J5305" s="20">
        <f t="shared" si="82"/>
        <v>0.56521739130434778</v>
      </c>
    </row>
    <row r="5306" spans="1:10" x14ac:dyDescent="0.3">
      <c r="A5306" s="33">
        <v>5305</v>
      </c>
      <c r="B5306" s="4">
        <v>1</v>
      </c>
      <c r="C5306" s="15">
        <v>291</v>
      </c>
      <c r="D5306" s="16">
        <v>3</v>
      </c>
      <c r="E5306" s="22">
        <v>44830</v>
      </c>
      <c r="F5306" s="19">
        <v>70</v>
      </c>
      <c r="G5306" s="18">
        <v>7.0000000000000007E-2</v>
      </c>
      <c r="H5306">
        <f>F5306*VLOOKUP(B5306,產品!$A$2:$H$61,7,FALSE)*(1-銷售總表!G5306)</f>
        <v>65099.999999999993</v>
      </c>
      <c r="I5306" s="35">
        <f>H5306-F5306*VLOOKUP(銷售總表!B5306,產品!$A$2:$H$61,8,FALSE)</f>
        <v>37099.999999999993</v>
      </c>
      <c r="J5306" s="20">
        <f t="shared" si="82"/>
        <v>0.56989247311827951</v>
      </c>
    </row>
    <row r="5307" spans="1:10" x14ac:dyDescent="0.3">
      <c r="A5307" s="33">
        <v>5306</v>
      </c>
      <c r="B5307" s="4">
        <v>41</v>
      </c>
      <c r="C5307" s="15">
        <v>1</v>
      </c>
      <c r="D5307" s="16">
        <v>8</v>
      </c>
      <c r="E5307" s="22">
        <v>44831</v>
      </c>
      <c r="F5307" s="19">
        <v>2</v>
      </c>
      <c r="G5307" s="18">
        <v>0.14000000000000001</v>
      </c>
      <c r="H5307">
        <f>F5307*VLOOKUP(B5307,產品!$A$2:$H$61,7,FALSE)*(1-銷售總表!G5307)</f>
        <v>20640</v>
      </c>
      <c r="I5307" s="35">
        <f>H5307-F5307*VLOOKUP(銷售總表!B5307,產品!$A$2:$H$61,8,FALSE)</f>
        <v>5040</v>
      </c>
      <c r="J5307" s="20">
        <f t="shared" si="82"/>
        <v>0.2441860465116279</v>
      </c>
    </row>
    <row r="5308" spans="1:10" x14ac:dyDescent="0.3">
      <c r="A5308" s="33">
        <v>5307</v>
      </c>
      <c r="B5308" s="4">
        <v>51</v>
      </c>
      <c r="C5308" s="15">
        <v>259</v>
      </c>
      <c r="D5308" s="16">
        <v>5</v>
      </c>
      <c r="E5308" s="22">
        <v>44831</v>
      </c>
      <c r="F5308" s="19">
        <v>8</v>
      </c>
      <c r="G5308" s="18">
        <v>0.15</v>
      </c>
      <c r="H5308">
        <f>F5308*VLOOKUP(B5308,產品!$A$2:$H$61,7,FALSE)*(1-銷售總表!G5308)</f>
        <v>136000</v>
      </c>
      <c r="I5308" s="35">
        <f>H5308-F5308*VLOOKUP(銷售總表!B5308,產品!$A$2:$H$61,8,FALSE)</f>
        <v>24000</v>
      </c>
      <c r="J5308" s="20">
        <f t="shared" si="82"/>
        <v>0.17647058823529413</v>
      </c>
    </row>
    <row r="5309" spans="1:10" x14ac:dyDescent="0.3">
      <c r="A5309" s="33">
        <v>5308</v>
      </c>
      <c r="B5309" s="4">
        <v>33</v>
      </c>
      <c r="C5309" s="15">
        <v>259</v>
      </c>
      <c r="D5309" s="16">
        <v>4</v>
      </c>
      <c r="E5309" s="22">
        <v>44831</v>
      </c>
      <c r="F5309" s="19">
        <v>9</v>
      </c>
      <c r="G5309" s="18">
        <v>0.13</v>
      </c>
      <c r="H5309">
        <f>F5309*VLOOKUP(B5309,產品!$A$2:$H$61,7,FALSE)*(1-銷售總表!G5309)</f>
        <v>58725</v>
      </c>
      <c r="I5309" s="35">
        <f>H5309-F5309*VLOOKUP(銷售總表!B5309,產品!$A$2:$H$61,8,FALSE)</f>
        <v>18225</v>
      </c>
      <c r="J5309" s="20">
        <f t="shared" si="82"/>
        <v>0.31034482758620691</v>
      </c>
    </row>
    <row r="5310" spans="1:10" x14ac:dyDescent="0.3">
      <c r="A5310" s="33">
        <v>5309</v>
      </c>
      <c r="B5310" s="4">
        <v>23</v>
      </c>
      <c r="C5310" s="15">
        <v>10</v>
      </c>
      <c r="D5310" s="16">
        <v>8</v>
      </c>
      <c r="E5310" s="22">
        <v>44831</v>
      </c>
      <c r="F5310" s="19">
        <v>10</v>
      </c>
      <c r="G5310" s="18">
        <v>0.13</v>
      </c>
      <c r="H5310">
        <f>F5310*VLOOKUP(B5310,產品!$A$2:$H$61,7,FALSE)*(1-銷售總表!G5310)</f>
        <v>15660</v>
      </c>
      <c r="I5310" s="35">
        <f>H5310-F5310*VLOOKUP(銷售總表!B5310,產品!$A$2:$H$61,8,FALSE)</f>
        <v>8460</v>
      </c>
      <c r="J5310" s="20">
        <f t="shared" si="82"/>
        <v>0.54022988505747127</v>
      </c>
    </row>
    <row r="5311" spans="1:10" x14ac:dyDescent="0.3">
      <c r="A5311" s="33">
        <v>5310</v>
      </c>
      <c r="B5311" s="4">
        <v>1</v>
      </c>
      <c r="C5311" s="15">
        <v>1</v>
      </c>
      <c r="D5311" s="16">
        <v>6</v>
      </c>
      <c r="E5311" s="23">
        <v>44831</v>
      </c>
      <c r="F5311">
        <v>13</v>
      </c>
      <c r="G5311" s="20">
        <v>7.0000000000000007E-2</v>
      </c>
      <c r="H5311">
        <f>F5311*VLOOKUP(B5311,產品!$A$2:$H$61,7,FALSE)*(1-銷售總表!G5311)</f>
        <v>12090</v>
      </c>
      <c r="I5311" s="35">
        <f>H5311-F5311*VLOOKUP(銷售總表!B5311,產品!$A$2:$H$61,8,FALSE)</f>
        <v>6890</v>
      </c>
      <c r="J5311" s="20">
        <f t="shared" si="82"/>
        <v>0.56989247311827962</v>
      </c>
    </row>
    <row r="5312" spans="1:10" x14ac:dyDescent="0.3">
      <c r="A5312" s="33">
        <v>5311</v>
      </c>
      <c r="B5312" s="4">
        <v>24</v>
      </c>
      <c r="C5312" s="15">
        <v>269</v>
      </c>
      <c r="D5312" s="16">
        <v>3</v>
      </c>
      <c r="E5312" s="22">
        <v>44831</v>
      </c>
      <c r="F5312" s="19">
        <v>40</v>
      </c>
      <c r="G5312" s="18">
        <v>0.17</v>
      </c>
      <c r="H5312">
        <f>F5312*VLOOKUP(B5312,產品!$A$2:$H$61,7,FALSE)*(1-銷售總表!G5312)</f>
        <v>59760</v>
      </c>
      <c r="I5312" s="35">
        <f>H5312-F5312*VLOOKUP(銷售總表!B5312,產品!$A$2:$H$61,8,FALSE)</f>
        <v>30960</v>
      </c>
      <c r="J5312" s="20">
        <f t="shared" si="82"/>
        <v>0.51807228915662651</v>
      </c>
    </row>
    <row r="5313" spans="1:10" x14ac:dyDescent="0.3">
      <c r="A5313" s="33">
        <v>5312</v>
      </c>
      <c r="B5313" s="4">
        <v>15</v>
      </c>
      <c r="C5313" s="15">
        <v>263</v>
      </c>
      <c r="D5313" s="16">
        <v>7</v>
      </c>
      <c r="E5313" s="22">
        <v>44831</v>
      </c>
      <c r="F5313" s="19">
        <v>50</v>
      </c>
      <c r="G5313" s="18">
        <v>0.13</v>
      </c>
      <c r="H5313">
        <f>F5313*VLOOKUP(B5313,產品!$A$2:$H$61,7,FALSE)*(1-銷售總表!G5313)</f>
        <v>78300</v>
      </c>
      <c r="I5313" s="35">
        <f>H5313-F5313*VLOOKUP(銷售總表!B5313,產品!$A$2:$H$61,8,FALSE)</f>
        <v>42300</v>
      </c>
      <c r="J5313" s="20">
        <f t="shared" si="82"/>
        <v>0.54022988505747127</v>
      </c>
    </row>
    <row r="5314" spans="1:10" x14ac:dyDescent="0.3">
      <c r="A5314" s="33">
        <v>5313</v>
      </c>
      <c r="B5314" s="4">
        <v>23</v>
      </c>
      <c r="C5314" s="15">
        <v>136</v>
      </c>
      <c r="D5314" s="16">
        <v>4</v>
      </c>
      <c r="E5314" s="23">
        <v>44831</v>
      </c>
      <c r="F5314">
        <v>70</v>
      </c>
      <c r="G5314" s="20">
        <v>0.11</v>
      </c>
      <c r="H5314">
        <f>F5314*VLOOKUP(B5314,產品!$A$2:$H$61,7,FALSE)*(1-銷售總表!G5314)</f>
        <v>112140</v>
      </c>
      <c r="I5314" s="35">
        <f>H5314-F5314*VLOOKUP(銷售總表!B5314,產品!$A$2:$H$61,8,FALSE)</f>
        <v>61740</v>
      </c>
      <c r="J5314" s="20">
        <f t="shared" si="82"/>
        <v>0.550561797752809</v>
      </c>
    </row>
    <row r="5315" spans="1:10" x14ac:dyDescent="0.3">
      <c r="A5315" s="33">
        <v>5314</v>
      </c>
      <c r="B5315" s="4">
        <v>30</v>
      </c>
      <c r="C5315" s="15">
        <v>277</v>
      </c>
      <c r="D5315" s="16">
        <v>10</v>
      </c>
      <c r="E5315" s="22">
        <v>44832</v>
      </c>
      <c r="F5315" s="19">
        <v>2</v>
      </c>
      <c r="G5315" s="18">
        <v>0.19</v>
      </c>
      <c r="H5315">
        <f>F5315*VLOOKUP(B5315,產品!$A$2:$H$61,7,FALSE)*(1-銷售總表!G5315)</f>
        <v>10530</v>
      </c>
      <c r="I5315" s="35">
        <f>H5315-F5315*VLOOKUP(銷售總表!B5315,產品!$A$2:$H$61,8,FALSE)</f>
        <v>2730</v>
      </c>
      <c r="J5315" s="20">
        <f t="shared" ref="J5315:J5378" si="83">I5315/H5315</f>
        <v>0.25925925925925924</v>
      </c>
    </row>
    <row r="5316" spans="1:10" x14ac:dyDescent="0.3">
      <c r="A5316" s="33">
        <v>5315</v>
      </c>
      <c r="B5316" s="4">
        <v>60</v>
      </c>
      <c r="C5316" s="15">
        <v>140</v>
      </c>
      <c r="D5316" s="16">
        <v>9</v>
      </c>
      <c r="E5316" s="22">
        <v>44832</v>
      </c>
      <c r="F5316" s="19">
        <v>4</v>
      </c>
      <c r="G5316" s="18">
        <v>0.09</v>
      </c>
      <c r="H5316">
        <f>F5316*VLOOKUP(B5316,產品!$A$2:$H$61,7,FALSE)*(1-銷售總表!G5316)</f>
        <v>91000</v>
      </c>
      <c r="I5316" s="35">
        <f>H5316-F5316*VLOOKUP(銷售總表!B5316,產品!$A$2:$H$61,8,FALSE)</f>
        <v>21000</v>
      </c>
      <c r="J5316" s="20">
        <f t="shared" si="83"/>
        <v>0.23076923076923078</v>
      </c>
    </row>
    <row r="5317" spans="1:10" x14ac:dyDescent="0.3">
      <c r="A5317" s="33">
        <v>5316</v>
      </c>
      <c r="B5317" s="4">
        <v>51</v>
      </c>
      <c r="C5317" s="15">
        <v>2</v>
      </c>
      <c r="D5317" s="16">
        <v>10</v>
      </c>
      <c r="E5317" s="22">
        <v>44832</v>
      </c>
      <c r="F5317" s="19">
        <v>4</v>
      </c>
      <c r="G5317" s="18">
        <v>0.15</v>
      </c>
      <c r="H5317">
        <f>F5317*VLOOKUP(B5317,產品!$A$2:$H$61,7,FALSE)*(1-銷售總表!G5317)</f>
        <v>68000</v>
      </c>
      <c r="I5317" s="35">
        <f>H5317-F5317*VLOOKUP(銷售總表!B5317,產品!$A$2:$H$61,8,FALSE)</f>
        <v>12000</v>
      </c>
      <c r="J5317" s="20">
        <f t="shared" si="83"/>
        <v>0.17647058823529413</v>
      </c>
    </row>
    <row r="5318" spans="1:10" x14ac:dyDescent="0.3">
      <c r="A5318" s="33">
        <v>5317</v>
      </c>
      <c r="B5318" s="4">
        <v>44</v>
      </c>
      <c r="C5318" s="15">
        <v>140</v>
      </c>
      <c r="D5318" s="16">
        <v>7</v>
      </c>
      <c r="E5318" s="22">
        <v>44832</v>
      </c>
      <c r="F5318" s="19">
        <v>5</v>
      </c>
      <c r="G5318" s="18">
        <v>0.1</v>
      </c>
      <c r="H5318">
        <f>F5318*VLOOKUP(B5318,產品!$A$2:$H$61,7,FALSE)*(1-銷售總表!G5318)</f>
        <v>90000</v>
      </c>
      <c r="I5318" s="35">
        <f>H5318-F5318*VLOOKUP(銷售總表!B5318,產品!$A$2:$H$61,8,FALSE)</f>
        <v>25000</v>
      </c>
      <c r="J5318" s="20">
        <f t="shared" si="83"/>
        <v>0.27777777777777779</v>
      </c>
    </row>
    <row r="5319" spans="1:10" x14ac:dyDescent="0.3">
      <c r="A5319" s="33">
        <v>5318</v>
      </c>
      <c r="B5319" s="4">
        <v>44</v>
      </c>
      <c r="C5319" s="15">
        <v>283</v>
      </c>
      <c r="D5319" s="16">
        <v>5</v>
      </c>
      <c r="E5319" s="22">
        <v>44832</v>
      </c>
      <c r="F5319" s="19">
        <v>7</v>
      </c>
      <c r="G5319" s="18">
        <v>7.0000000000000007E-2</v>
      </c>
      <c r="H5319">
        <f>F5319*VLOOKUP(B5319,產品!$A$2:$H$61,7,FALSE)*(1-銷售總表!G5319)</f>
        <v>130199.99999999999</v>
      </c>
      <c r="I5319" s="35">
        <f>H5319-F5319*VLOOKUP(銷售總表!B5319,產品!$A$2:$H$61,8,FALSE)</f>
        <v>39199.999999999985</v>
      </c>
      <c r="J5319" s="20">
        <f t="shared" si="83"/>
        <v>0.3010752688172042</v>
      </c>
    </row>
    <row r="5320" spans="1:10" x14ac:dyDescent="0.3">
      <c r="A5320" s="33">
        <v>5319</v>
      </c>
      <c r="B5320" s="4">
        <v>39</v>
      </c>
      <c r="C5320" s="15">
        <v>257</v>
      </c>
      <c r="D5320" s="16">
        <v>10</v>
      </c>
      <c r="E5320" s="22">
        <v>44832</v>
      </c>
      <c r="F5320" s="19">
        <v>10</v>
      </c>
      <c r="G5320" s="18">
        <v>0.18</v>
      </c>
      <c r="H5320">
        <f>F5320*VLOOKUP(B5320,產品!$A$2:$H$61,7,FALSE)*(1-銷售總表!G5320)</f>
        <v>147600</v>
      </c>
      <c r="I5320" s="35">
        <f>H5320-F5320*VLOOKUP(銷售總表!B5320,產品!$A$2:$H$61,8,FALSE)</f>
        <v>30600</v>
      </c>
      <c r="J5320" s="20">
        <f t="shared" si="83"/>
        <v>0.2073170731707317</v>
      </c>
    </row>
    <row r="5321" spans="1:10" x14ac:dyDescent="0.3">
      <c r="A5321" s="33">
        <v>5320</v>
      </c>
      <c r="B5321" s="4">
        <v>11</v>
      </c>
      <c r="C5321" s="15">
        <v>280</v>
      </c>
      <c r="D5321" s="16">
        <v>3</v>
      </c>
      <c r="E5321" s="22">
        <v>44832</v>
      </c>
      <c r="F5321" s="19">
        <v>20</v>
      </c>
      <c r="G5321" s="18">
        <v>0.2</v>
      </c>
      <c r="H5321">
        <f>F5321*VLOOKUP(B5321,產品!$A$2:$H$61,7,FALSE)*(1-銷售總表!G5321)</f>
        <v>16000</v>
      </c>
      <c r="I5321" s="35">
        <f>H5321-F5321*VLOOKUP(銷售總表!B5321,產品!$A$2:$H$61,8,FALSE)</f>
        <v>8000</v>
      </c>
      <c r="J5321" s="20">
        <f t="shared" si="83"/>
        <v>0.5</v>
      </c>
    </row>
    <row r="5322" spans="1:10" x14ac:dyDescent="0.3">
      <c r="A5322" s="33">
        <v>5321</v>
      </c>
      <c r="B5322" s="4">
        <v>30</v>
      </c>
      <c r="C5322" s="15">
        <v>8</v>
      </c>
      <c r="D5322" s="16">
        <v>5</v>
      </c>
      <c r="E5322" s="22">
        <v>44832</v>
      </c>
      <c r="F5322" s="19">
        <v>25</v>
      </c>
      <c r="G5322" s="18">
        <v>0.18</v>
      </c>
      <c r="H5322">
        <f>F5322*VLOOKUP(B5322,產品!$A$2:$H$61,7,FALSE)*(1-銷售總表!G5322)</f>
        <v>133250</v>
      </c>
      <c r="I5322" s="35">
        <f>H5322-F5322*VLOOKUP(銷售總表!B5322,產品!$A$2:$H$61,8,FALSE)</f>
        <v>35750</v>
      </c>
      <c r="J5322" s="20">
        <f t="shared" si="83"/>
        <v>0.26829268292682928</v>
      </c>
    </row>
    <row r="5323" spans="1:10" x14ac:dyDescent="0.3">
      <c r="A5323" s="33">
        <v>5322</v>
      </c>
      <c r="B5323" s="4">
        <v>5</v>
      </c>
      <c r="C5323" s="15">
        <v>124</v>
      </c>
      <c r="D5323" s="16">
        <v>1</v>
      </c>
      <c r="E5323" s="22">
        <v>44832</v>
      </c>
      <c r="F5323" s="19">
        <v>40</v>
      </c>
      <c r="G5323" s="18">
        <v>0.05</v>
      </c>
      <c r="H5323">
        <f>F5323*VLOOKUP(B5323,產品!$A$2:$H$61,7,FALSE)*(1-銷售總表!G5323)</f>
        <v>38000</v>
      </c>
      <c r="I5323" s="35">
        <f>H5323-F5323*VLOOKUP(銷售總表!B5323,產品!$A$2:$H$61,8,FALSE)</f>
        <v>22000</v>
      </c>
      <c r="J5323" s="20">
        <f t="shared" si="83"/>
        <v>0.57894736842105265</v>
      </c>
    </row>
    <row r="5324" spans="1:10" x14ac:dyDescent="0.3">
      <c r="A5324" s="33">
        <v>5323</v>
      </c>
      <c r="B5324" s="4">
        <v>3</v>
      </c>
      <c r="C5324" s="15">
        <v>275</v>
      </c>
      <c r="D5324" s="16">
        <v>5</v>
      </c>
      <c r="E5324" s="22">
        <v>44832</v>
      </c>
      <c r="F5324" s="19">
        <v>80</v>
      </c>
      <c r="G5324" s="18">
        <v>0.17</v>
      </c>
      <c r="H5324">
        <f>F5324*VLOOKUP(B5324,產品!$A$2:$H$61,7,FALSE)*(1-銷售總表!G5324)</f>
        <v>66400</v>
      </c>
      <c r="I5324" s="35">
        <f>H5324-F5324*VLOOKUP(銷售總表!B5324,產品!$A$2:$H$61,8,FALSE)</f>
        <v>34400</v>
      </c>
      <c r="J5324" s="20">
        <f t="shared" si="83"/>
        <v>0.51807228915662651</v>
      </c>
    </row>
    <row r="5325" spans="1:10" x14ac:dyDescent="0.3">
      <c r="A5325" s="33">
        <v>5324</v>
      </c>
      <c r="B5325" s="4">
        <v>22</v>
      </c>
      <c r="C5325" s="15">
        <v>9</v>
      </c>
      <c r="D5325" s="16">
        <v>6</v>
      </c>
      <c r="E5325" s="22">
        <v>44832</v>
      </c>
      <c r="F5325" s="19">
        <v>100</v>
      </c>
      <c r="G5325" s="18">
        <v>0.14000000000000001</v>
      </c>
      <c r="H5325">
        <f>F5325*VLOOKUP(B5325,產品!$A$2:$H$61,7,FALSE)*(1-銷售總表!G5325)</f>
        <v>154800</v>
      </c>
      <c r="I5325" s="35">
        <f>H5325-F5325*VLOOKUP(銷售總表!B5325,產品!$A$2:$H$61,8,FALSE)</f>
        <v>82800</v>
      </c>
      <c r="J5325" s="20">
        <f t="shared" si="83"/>
        <v>0.53488372093023251</v>
      </c>
    </row>
    <row r="5326" spans="1:10" x14ac:dyDescent="0.3">
      <c r="A5326" s="33">
        <v>5325</v>
      </c>
      <c r="B5326" s="4">
        <v>27</v>
      </c>
      <c r="C5326" s="15">
        <v>114</v>
      </c>
      <c r="D5326" s="16">
        <v>1</v>
      </c>
      <c r="E5326" s="23">
        <v>44833</v>
      </c>
      <c r="F5326">
        <v>4</v>
      </c>
      <c r="G5326" s="20">
        <v>0.05</v>
      </c>
      <c r="H5326">
        <f>F5326*VLOOKUP(B5326,產品!$A$2:$H$61,7,FALSE)*(1-銷售總表!G5326)</f>
        <v>26600</v>
      </c>
      <c r="I5326" s="35">
        <f>H5326-F5326*VLOOKUP(銷售總表!B5326,產品!$A$2:$H$61,8,FALSE)</f>
        <v>9800</v>
      </c>
      <c r="J5326" s="20">
        <f t="shared" si="83"/>
        <v>0.36842105263157893</v>
      </c>
    </row>
    <row r="5327" spans="1:10" x14ac:dyDescent="0.3">
      <c r="A5327" s="33">
        <v>5326</v>
      </c>
      <c r="B5327" s="4">
        <v>38</v>
      </c>
      <c r="C5327" s="15">
        <v>258</v>
      </c>
      <c r="D5327" s="16">
        <v>9</v>
      </c>
      <c r="E5327" s="22">
        <v>44833</v>
      </c>
      <c r="F5327" s="19">
        <v>5</v>
      </c>
      <c r="G5327" s="18">
        <v>0.18</v>
      </c>
      <c r="H5327">
        <f>F5327*VLOOKUP(B5327,產品!$A$2:$H$61,7,FALSE)*(1-銷售總表!G5327)</f>
        <v>61500.000000000007</v>
      </c>
      <c r="I5327" s="35">
        <f>H5327-F5327*VLOOKUP(銷售總表!B5327,產品!$A$2:$H$61,8,FALSE)</f>
        <v>12750.000000000007</v>
      </c>
      <c r="J5327" s="20">
        <f t="shared" si="83"/>
        <v>0.20731707317073181</v>
      </c>
    </row>
    <row r="5328" spans="1:10" x14ac:dyDescent="0.3">
      <c r="A5328" s="33">
        <v>5327</v>
      </c>
      <c r="B5328" s="4">
        <v>54</v>
      </c>
      <c r="C5328" s="15">
        <v>294</v>
      </c>
      <c r="D5328" s="16">
        <v>6</v>
      </c>
      <c r="E5328" s="22">
        <v>44833</v>
      </c>
      <c r="F5328" s="19">
        <v>6</v>
      </c>
      <c r="G5328" s="18">
        <v>0.08</v>
      </c>
      <c r="H5328">
        <f>F5328*VLOOKUP(B5328,產品!$A$2:$H$61,7,FALSE)*(1-銷售總表!G5328)</f>
        <v>99360</v>
      </c>
      <c r="I5328" s="35">
        <f>H5328-F5328*VLOOKUP(銷售總表!B5328,產品!$A$2:$H$61,8,FALSE)</f>
        <v>23760</v>
      </c>
      <c r="J5328" s="20">
        <f t="shared" si="83"/>
        <v>0.2391304347826087</v>
      </c>
    </row>
    <row r="5329" spans="1:10" x14ac:dyDescent="0.3">
      <c r="A5329" s="33">
        <v>5328</v>
      </c>
      <c r="B5329" s="4">
        <v>48</v>
      </c>
      <c r="C5329" s="15">
        <v>136</v>
      </c>
      <c r="D5329" s="16">
        <v>10</v>
      </c>
      <c r="E5329" s="23">
        <v>44833</v>
      </c>
      <c r="F5329">
        <v>9</v>
      </c>
      <c r="G5329" s="20">
        <v>0.1</v>
      </c>
      <c r="H5329">
        <f>F5329*VLOOKUP(B5329,產品!$A$2:$H$61,7,FALSE)*(1-銷售總表!G5329)</f>
        <v>178200</v>
      </c>
      <c r="I5329" s="35">
        <f>H5329-F5329*VLOOKUP(銷售總表!B5329,產品!$A$2:$H$61,8,FALSE)</f>
        <v>49500</v>
      </c>
      <c r="J5329" s="20">
        <f t="shared" si="83"/>
        <v>0.27777777777777779</v>
      </c>
    </row>
    <row r="5330" spans="1:10" x14ac:dyDescent="0.3">
      <c r="A5330" s="33">
        <v>5329</v>
      </c>
      <c r="B5330" s="4">
        <v>20</v>
      </c>
      <c r="C5330" s="15">
        <v>282</v>
      </c>
      <c r="D5330" s="16">
        <v>2</v>
      </c>
      <c r="E5330" s="23">
        <v>44833</v>
      </c>
      <c r="F5330">
        <v>60</v>
      </c>
      <c r="G5330" s="20">
        <v>7.0000000000000007E-2</v>
      </c>
      <c r="H5330">
        <f>F5330*VLOOKUP(B5330,產品!$A$2:$H$61,7,FALSE)*(1-銷售總表!G5330)</f>
        <v>100440</v>
      </c>
      <c r="I5330" s="35">
        <f>H5330-F5330*VLOOKUP(銷售總表!B5330,產品!$A$2:$H$61,8,FALSE)</f>
        <v>57240</v>
      </c>
      <c r="J5330" s="20">
        <f t="shared" si="83"/>
        <v>0.56989247311827962</v>
      </c>
    </row>
    <row r="5331" spans="1:10" x14ac:dyDescent="0.3">
      <c r="A5331" s="33">
        <v>5330</v>
      </c>
      <c r="B5331" s="4">
        <v>55</v>
      </c>
      <c r="C5331" s="15">
        <v>284</v>
      </c>
      <c r="D5331" s="16">
        <v>4</v>
      </c>
      <c r="E5331" s="22">
        <v>44834</v>
      </c>
      <c r="F5331" s="19">
        <v>2</v>
      </c>
      <c r="G5331" s="18">
        <v>0.1</v>
      </c>
      <c r="H5331">
        <f>F5331*VLOOKUP(B5331,產品!$A$2:$H$61,7,FALSE)*(1-銷售總表!G5331)</f>
        <v>36000</v>
      </c>
      <c r="I5331" s="35">
        <f>H5331-F5331*VLOOKUP(銷售總表!B5331,產品!$A$2:$H$61,8,FALSE)</f>
        <v>8000</v>
      </c>
      <c r="J5331" s="20">
        <f t="shared" si="83"/>
        <v>0.22222222222222221</v>
      </c>
    </row>
    <row r="5332" spans="1:10" x14ac:dyDescent="0.3">
      <c r="A5332" s="33">
        <v>5331</v>
      </c>
      <c r="B5332" s="4">
        <v>59</v>
      </c>
      <c r="C5332" s="15">
        <v>11</v>
      </c>
      <c r="D5332" s="16">
        <v>9</v>
      </c>
      <c r="E5332" s="22">
        <v>44834</v>
      </c>
      <c r="F5332" s="19">
        <v>2</v>
      </c>
      <c r="G5332" s="18">
        <v>0.15</v>
      </c>
      <c r="H5332">
        <f>F5332*VLOOKUP(B5332,產品!$A$2:$H$61,7,FALSE)*(1-銷售總表!G5332)</f>
        <v>40800</v>
      </c>
      <c r="I5332" s="35">
        <f>H5332-F5332*VLOOKUP(銷售總表!B5332,產品!$A$2:$H$61,8,FALSE)</f>
        <v>7200</v>
      </c>
      <c r="J5332" s="20">
        <f t="shared" si="83"/>
        <v>0.17647058823529413</v>
      </c>
    </row>
    <row r="5333" spans="1:10" x14ac:dyDescent="0.3">
      <c r="A5333" s="33">
        <v>5332</v>
      </c>
      <c r="B5333" s="4">
        <v>59</v>
      </c>
      <c r="C5333" s="15">
        <v>135</v>
      </c>
      <c r="D5333" s="16">
        <v>5</v>
      </c>
      <c r="E5333" s="22">
        <v>44834</v>
      </c>
      <c r="F5333" s="19">
        <v>9</v>
      </c>
      <c r="G5333" s="18">
        <v>7.0000000000000007E-2</v>
      </c>
      <c r="H5333">
        <f>F5333*VLOOKUP(B5333,產品!$A$2:$H$61,7,FALSE)*(1-銷售總表!G5333)</f>
        <v>200880</v>
      </c>
      <c r="I5333" s="35">
        <f>H5333-F5333*VLOOKUP(銷售總表!B5333,產品!$A$2:$H$61,8,FALSE)</f>
        <v>49680</v>
      </c>
      <c r="J5333" s="20">
        <f t="shared" si="83"/>
        <v>0.24731182795698925</v>
      </c>
    </row>
    <row r="5334" spans="1:10" x14ac:dyDescent="0.3">
      <c r="A5334" s="33">
        <v>5333</v>
      </c>
      <c r="B5334" s="4">
        <v>44</v>
      </c>
      <c r="C5334" s="15">
        <v>292</v>
      </c>
      <c r="D5334" s="16">
        <v>6</v>
      </c>
      <c r="E5334" s="22">
        <v>44834</v>
      </c>
      <c r="F5334" s="19">
        <v>9</v>
      </c>
      <c r="G5334" s="18">
        <v>0.2</v>
      </c>
      <c r="H5334">
        <f>F5334*VLOOKUP(B5334,產品!$A$2:$H$61,7,FALSE)*(1-銷售總表!G5334)</f>
        <v>144000</v>
      </c>
      <c r="I5334" s="35">
        <f>H5334-F5334*VLOOKUP(銷售總表!B5334,產品!$A$2:$H$61,8,FALSE)</f>
        <v>27000</v>
      </c>
      <c r="J5334" s="20">
        <f t="shared" si="83"/>
        <v>0.1875</v>
      </c>
    </row>
    <row r="5335" spans="1:10" x14ac:dyDescent="0.3">
      <c r="A5335" s="33">
        <v>5334</v>
      </c>
      <c r="B5335" s="4">
        <v>57</v>
      </c>
      <c r="C5335" s="15">
        <v>123</v>
      </c>
      <c r="D5335" s="16">
        <v>3</v>
      </c>
      <c r="E5335" s="22">
        <v>44834</v>
      </c>
      <c r="F5335" s="19">
        <v>14</v>
      </c>
      <c r="G5335" s="18">
        <v>0.05</v>
      </c>
      <c r="H5335">
        <f>F5335*VLOOKUP(B5335,產品!$A$2:$H$61,7,FALSE)*(1-銷售總表!G5335)</f>
        <v>239400</v>
      </c>
      <c r="I5335" s="35">
        <f>H5335-F5335*VLOOKUP(銷售總表!B5335,產品!$A$2:$H$61,8,FALSE)</f>
        <v>63000</v>
      </c>
      <c r="J5335" s="20">
        <f t="shared" si="83"/>
        <v>0.26315789473684209</v>
      </c>
    </row>
    <row r="5336" spans="1:10" x14ac:dyDescent="0.3">
      <c r="A5336" s="33">
        <v>5335</v>
      </c>
      <c r="B5336" s="4">
        <v>7</v>
      </c>
      <c r="C5336" s="15">
        <v>116</v>
      </c>
      <c r="D5336" s="16">
        <v>7</v>
      </c>
      <c r="E5336" s="22">
        <v>44834</v>
      </c>
      <c r="F5336" s="19">
        <v>20</v>
      </c>
      <c r="G5336" s="18">
        <v>0.09</v>
      </c>
      <c r="H5336">
        <f>F5336*VLOOKUP(B5336,產品!$A$2:$H$61,7,FALSE)*(1-銷售總表!G5336)</f>
        <v>18200</v>
      </c>
      <c r="I5336" s="35">
        <f>H5336-F5336*VLOOKUP(銷售總表!B5336,產品!$A$2:$H$61,8,FALSE)</f>
        <v>10200</v>
      </c>
      <c r="J5336" s="20">
        <f t="shared" si="83"/>
        <v>0.56043956043956045</v>
      </c>
    </row>
    <row r="5337" spans="1:10" x14ac:dyDescent="0.3">
      <c r="A5337" s="33">
        <v>5336</v>
      </c>
      <c r="B5337" s="4">
        <v>33</v>
      </c>
      <c r="C5337" s="15">
        <v>272</v>
      </c>
      <c r="D5337" s="16">
        <v>2</v>
      </c>
      <c r="E5337" s="22">
        <v>44834</v>
      </c>
      <c r="F5337" s="19">
        <v>25</v>
      </c>
      <c r="G5337" s="18">
        <v>0.1</v>
      </c>
      <c r="H5337">
        <f>F5337*VLOOKUP(B5337,產品!$A$2:$H$61,7,FALSE)*(1-銷售總表!G5337)</f>
        <v>168750</v>
      </c>
      <c r="I5337" s="35">
        <f>H5337-F5337*VLOOKUP(銷售總表!B5337,產品!$A$2:$H$61,8,FALSE)</f>
        <v>56250</v>
      </c>
      <c r="J5337" s="20">
        <f t="shared" si="83"/>
        <v>0.33333333333333331</v>
      </c>
    </row>
    <row r="5338" spans="1:10" x14ac:dyDescent="0.3">
      <c r="A5338" s="33">
        <v>5337</v>
      </c>
      <c r="B5338" s="4">
        <v>56</v>
      </c>
      <c r="C5338" s="15">
        <v>1</v>
      </c>
      <c r="D5338" s="16">
        <v>9</v>
      </c>
      <c r="E5338" s="22">
        <v>44835</v>
      </c>
      <c r="F5338" s="19">
        <v>5</v>
      </c>
      <c r="G5338" s="18">
        <v>0.15</v>
      </c>
      <c r="H5338">
        <f>F5338*VLOOKUP(B5338,產品!$A$2:$H$61,7,FALSE)*(1-銷售總表!G5338)</f>
        <v>93500</v>
      </c>
      <c r="I5338" s="35">
        <f>H5338-F5338*VLOOKUP(銷售總表!B5338,產品!$A$2:$H$61,8,FALSE)</f>
        <v>16500.000000000015</v>
      </c>
      <c r="J5338" s="20">
        <f t="shared" si="83"/>
        <v>0.17647058823529427</v>
      </c>
    </row>
    <row r="5339" spans="1:10" x14ac:dyDescent="0.3">
      <c r="A5339" s="33">
        <v>5338</v>
      </c>
      <c r="B5339" s="4">
        <v>41</v>
      </c>
      <c r="C5339" s="15">
        <v>263</v>
      </c>
      <c r="D5339" s="16">
        <v>7</v>
      </c>
      <c r="E5339" s="22">
        <v>44835</v>
      </c>
      <c r="F5339" s="19">
        <v>6</v>
      </c>
      <c r="G5339" s="18">
        <v>0.17</v>
      </c>
      <c r="H5339">
        <f>F5339*VLOOKUP(B5339,產品!$A$2:$H$61,7,FALSE)*(1-銷售總表!G5339)</f>
        <v>59760</v>
      </c>
      <c r="I5339" s="35">
        <f>H5339-F5339*VLOOKUP(銷售總表!B5339,產品!$A$2:$H$61,8,FALSE)</f>
        <v>12960</v>
      </c>
      <c r="J5339" s="20">
        <f t="shared" si="83"/>
        <v>0.21686746987951808</v>
      </c>
    </row>
    <row r="5340" spans="1:10" x14ac:dyDescent="0.3">
      <c r="A5340" s="33">
        <v>5339</v>
      </c>
      <c r="B5340" s="4">
        <v>35</v>
      </c>
      <c r="C5340" s="15">
        <v>268</v>
      </c>
      <c r="D5340" s="16">
        <v>6</v>
      </c>
      <c r="E5340" s="22">
        <v>44835</v>
      </c>
      <c r="F5340" s="19">
        <v>6</v>
      </c>
      <c r="G5340" s="18">
        <v>0.2</v>
      </c>
      <c r="H5340">
        <f>F5340*VLOOKUP(B5340,產品!$A$2:$H$61,7,FALSE)*(1-銷售總表!G5340)</f>
        <v>40800</v>
      </c>
      <c r="I5340" s="35">
        <f>H5340-F5340*VLOOKUP(銷售總表!B5340,產品!$A$2:$H$61,8,FALSE)</f>
        <v>10200</v>
      </c>
      <c r="J5340" s="20">
        <f t="shared" si="83"/>
        <v>0.25</v>
      </c>
    </row>
    <row r="5341" spans="1:10" x14ac:dyDescent="0.3">
      <c r="A5341" s="33">
        <v>5340</v>
      </c>
      <c r="B5341" s="4">
        <v>54</v>
      </c>
      <c r="C5341" s="15">
        <v>123</v>
      </c>
      <c r="D5341" s="16">
        <v>9</v>
      </c>
      <c r="E5341" s="22">
        <v>44835</v>
      </c>
      <c r="F5341" s="19">
        <v>7</v>
      </c>
      <c r="G5341" s="18">
        <v>0.11</v>
      </c>
      <c r="H5341">
        <f>F5341*VLOOKUP(B5341,產品!$A$2:$H$61,7,FALSE)*(1-銷售總表!G5341)</f>
        <v>112140</v>
      </c>
      <c r="I5341" s="35">
        <f>H5341-F5341*VLOOKUP(銷售總表!B5341,產品!$A$2:$H$61,8,FALSE)</f>
        <v>23940</v>
      </c>
      <c r="J5341" s="20">
        <f t="shared" si="83"/>
        <v>0.21348314606741572</v>
      </c>
    </row>
    <row r="5342" spans="1:10" x14ac:dyDescent="0.3">
      <c r="A5342" s="33">
        <v>5341</v>
      </c>
      <c r="B5342" s="4">
        <v>21</v>
      </c>
      <c r="C5342" s="15">
        <v>115</v>
      </c>
      <c r="D5342" s="16">
        <v>4</v>
      </c>
      <c r="E5342" s="22">
        <v>44835</v>
      </c>
      <c r="F5342" s="19">
        <v>40</v>
      </c>
      <c r="G5342" s="18">
        <v>0.08</v>
      </c>
      <c r="H5342">
        <f>F5342*VLOOKUP(B5342,產品!$A$2:$H$61,7,FALSE)*(1-銷售總表!G5342)</f>
        <v>66240</v>
      </c>
      <c r="I5342" s="35">
        <f>H5342-F5342*VLOOKUP(銷售總表!B5342,產品!$A$2:$H$61,8,FALSE)</f>
        <v>37440</v>
      </c>
      <c r="J5342" s="20">
        <f t="shared" si="83"/>
        <v>0.56521739130434778</v>
      </c>
    </row>
    <row r="5343" spans="1:10" x14ac:dyDescent="0.3">
      <c r="A5343" s="33">
        <v>5342</v>
      </c>
      <c r="B5343" s="4">
        <v>4</v>
      </c>
      <c r="C5343" s="15">
        <v>121</v>
      </c>
      <c r="D5343" s="16">
        <v>7</v>
      </c>
      <c r="E5343" s="22">
        <v>44835</v>
      </c>
      <c r="F5343" s="19">
        <v>70</v>
      </c>
      <c r="G5343" s="18">
        <v>0.06</v>
      </c>
      <c r="H5343">
        <f>F5343*VLOOKUP(B5343,產品!$A$2:$H$61,7,FALSE)*(1-銷售總表!G5343)</f>
        <v>65800</v>
      </c>
      <c r="I5343" s="35">
        <f>H5343-F5343*VLOOKUP(銷售總表!B5343,產品!$A$2:$H$61,8,FALSE)</f>
        <v>37800</v>
      </c>
      <c r="J5343" s="20">
        <f t="shared" si="83"/>
        <v>0.57446808510638303</v>
      </c>
    </row>
    <row r="5344" spans="1:10" x14ac:dyDescent="0.3">
      <c r="A5344" s="33">
        <v>5343</v>
      </c>
      <c r="B5344" s="4">
        <v>11</v>
      </c>
      <c r="C5344" s="15">
        <v>2</v>
      </c>
      <c r="D5344" s="16">
        <v>8</v>
      </c>
      <c r="E5344" s="22">
        <v>44835</v>
      </c>
      <c r="F5344" s="19">
        <v>250</v>
      </c>
      <c r="G5344" s="18">
        <v>0.19</v>
      </c>
      <c r="H5344">
        <f>F5344*VLOOKUP(B5344,產品!$A$2:$H$61,7,FALSE)*(1-銷售總表!G5344)</f>
        <v>202500</v>
      </c>
      <c r="I5344" s="35">
        <f>H5344-F5344*VLOOKUP(銷售總表!B5344,產品!$A$2:$H$61,8,FALSE)</f>
        <v>102500</v>
      </c>
      <c r="J5344" s="20">
        <f t="shared" si="83"/>
        <v>0.50617283950617287</v>
      </c>
    </row>
    <row r="5345" spans="1:10" x14ac:dyDescent="0.3">
      <c r="A5345" s="33">
        <v>5344</v>
      </c>
      <c r="B5345" s="4">
        <v>49</v>
      </c>
      <c r="C5345" s="15">
        <v>277</v>
      </c>
      <c r="D5345" s="16">
        <v>9</v>
      </c>
      <c r="E5345" s="22">
        <v>44836</v>
      </c>
      <c r="F5345" s="19">
        <v>4</v>
      </c>
      <c r="G5345" s="18">
        <v>0.18</v>
      </c>
      <c r="H5345">
        <f>F5345*VLOOKUP(B5345,產品!$A$2:$H$61,7,FALSE)*(1-銷售總表!G5345)</f>
        <v>49200.000000000007</v>
      </c>
      <c r="I5345" s="35">
        <f>H5345-F5345*VLOOKUP(銷售總表!B5345,產品!$A$2:$H$61,8,FALSE)</f>
        <v>7200.0000000000073</v>
      </c>
      <c r="J5345" s="20">
        <f t="shared" si="83"/>
        <v>0.14634146341463428</v>
      </c>
    </row>
    <row r="5346" spans="1:10" x14ac:dyDescent="0.3">
      <c r="A5346" s="33">
        <v>5345</v>
      </c>
      <c r="B5346" s="4">
        <v>15</v>
      </c>
      <c r="C5346" s="15">
        <v>280</v>
      </c>
      <c r="D5346" s="16">
        <v>9</v>
      </c>
      <c r="E5346" s="22">
        <v>44836</v>
      </c>
      <c r="F5346" s="19">
        <v>10</v>
      </c>
      <c r="G5346" s="18">
        <v>7.0000000000000007E-2</v>
      </c>
      <c r="H5346">
        <f>F5346*VLOOKUP(B5346,產品!$A$2:$H$61,7,FALSE)*(1-銷售總表!G5346)</f>
        <v>16740</v>
      </c>
      <c r="I5346" s="35">
        <f>H5346-F5346*VLOOKUP(銷售總表!B5346,產品!$A$2:$H$61,8,FALSE)</f>
        <v>9540</v>
      </c>
      <c r="J5346" s="20">
        <f t="shared" si="83"/>
        <v>0.56989247311827962</v>
      </c>
    </row>
    <row r="5347" spans="1:10" x14ac:dyDescent="0.3">
      <c r="A5347" s="33">
        <v>5346</v>
      </c>
      <c r="B5347" s="4">
        <v>41</v>
      </c>
      <c r="C5347" s="15">
        <v>12</v>
      </c>
      <c r="D5347" s="16">
        <v>1</v>
      </c>
      <c r="E5347" s="22">
        <v>44836</v>
      </c>
      <c r="F5347" s="19">
        <v>18</v>
      </c>
      <c r="G5347" s="18">
        <v>0.05</v>
      </c>
      <c r="H5347">
        <f>F5347*VLOOKUP(B5347,產品!$A$2:$H$61,7,FALSE)*(1-銷售總表!G5347)</f>
        <v>205200</v>
      </c>
      <c r="I5347" s="35">
        <f>H5347-F5347*VLOOKUP(銷售總表!B5347,產品!$A$2:$H$61,8,FALSE)</f>
        <v>64800</v>
      </c>
      <c r="J5347" s="20">
        <f t="shared" si="83"/>
        <v>0.31578947368421051</v>
      </c>
    </row>
    <row r="5348" spans="1:10" x14ac:dyDescent="0.3">
      <c r="A5348" s="33">
        <v>5347</v>
      </c>
      <c r="B5348" s="4">
        <v>36</v>
      </c>
      <c r="C5348" s="15">
        <v>294</v>
      </c>
      <c r="D5348" s="16">
        <v>3</v>
      </c>
      <c r="E5348" s="22">
        <v>44837</v>
      </c>
      <c r="F5348" s="19">
        <v>4</v>
      </c>
      <c r="G5348" s="18">
        <v>0.14000000000000001</v>
      </c>
      <c r="H5348">
        <f>F5348*VLOOKUP(B5348,產品!$A$2:$H$61,7,FALSE)*(1-銷售總表!G5348)</f>
        <v>30960</v>
      </c>
      <c r="I5348" s="35">
        <f>H5348-F5348*VLOOKUP(銷售總表!B5348,產品!$A$2:$H$61,8,FALSE)</f>
        <v>9360</v>
      </c>
      <c r="J5348" s="20">
        <f t="shared" si="83"/>
        <v>0.30232558139534882</v>
      </c>
    </row>
    <row r="5349" spans="1:10" x14ac:dyDescent="0.3">
      <c r="A5349" s="33">
        <v>5348</v>
      </c>
      <c r="B5349" s="4">
        <v>23</v>
      </c>
      <c r="C5349" s="15">
        <v>113</v>
      </c>
      <c r="D5349" s="16">
        <v>2</v>
      </c>
      <c r="E5349" s="23">
        <v>44837</v>
      </c>
      <c r="F5349">
        <v>17</v>
      </c>
      <c r="G5349" s="20">
        <v>0.14000000000000001</v>
      </c>
      <c r="H5349">
        <f>F5349*VLOOKUP(B5349,產品!$A$2:$H$61,7,FALSE)*(1-銷售總表!G5349)</f>
        <v>26316</v>
      </c>
      <c r="I5349" s="35">
        <f>H5349-F5349*VLOOKUP(銷售總表!B5349,產品!$A$2:$H$61,8,FALSE)</f>
        <v>14076</v>
      </c>
      <c r="J5349" s="20">
        <f t="shared" si="83"/>
        <v>0.53488372093023251</v>
      </c>
    </row>
    <row r="5350" spans="1:10" x14ac:dyDescent="0.3">
      <c r="A5350" s="33">
        <v>5349</v>
      </c>
      <c r="B5350" s="4">
        <v>6</v>
      </c>
      <c r="C5350" s="15">
        <v>282</v>
      </c>
      <c r="D5350" s="16">
        <v>1</v>
      </c>
      <c r="E5350" s="22">
        <v>44837</v>
      </c>
      <c r="F5350" s="19">
        <v>80</v>
      </c>
      <c r="G5350" s="18">
        <v>0.19</v>
      </c>
      <c r="H5350">
        <f>F5350*VLOOKUP(B5350,產品!$A$2:$H$61,7,FALSE)*(1-銷售總表!G5350)</f>
        <v>64800.000000000007</v>
      </c>
      <c r="I5350" s="35">
        <f>H5350-F5350*VLOOKUP(銷售總表!B5350,產品!$A$2:$H$61,8,FALSE)</f>
        <v>32800.000000000007</v>
      </c>
      <c r="J5350" s="20">
        <f t="shared" si="83"/>
        <v>0.50617283950617287</v>
      </c>
    </row>
    <row r="5351" spans="1:10" x14ac:dyDescent="0.3">
      <c r="A5351" s="33">
        <v>5350</v>
      </c>
      <c r="B5351" s="4">
        <v>31</v>
      </c>
      <c r="C5351" s="15">
        <v>123</v>
      </c>
      <c r="D5351" s="16">
        <v>4</v>
      </c>
      <c r="E5351" s="22">
        <v>44838</v>
      </c>
      <c r="F5351" s="19">
        <v>6</v>
      </c>
      <c r="G5351" s="18">
        <v>7.0000000000000007E-2</v>
      </c>
      <c r="H5351">
        <f>F5351*VLOOKUP(B5351,產品!$A$2:$H$61,7,FALSE)*(1-銷售總表!G5351)</f>
        <v>39060</v>
      </c>
      <c r="I5351" s="35">
        <f>H5351-F5351*VLOOKUP(銷售總表!B5351,產品!$A$2:$H$61,8,FALSE)</f>
        <v>13860</v>
      </c>
      <c r="J5351" s="20">
        <f t="shared" si="83"/>
        <v>0.35483870967741937</v>
      </c>
    </row>
    <row r="5352" spans="1:10" x14ac:dyDescent="0.3">
      <c r="A5352" s="33">
        <v>5351</v>
      </c>
      <c r="B5352" s="4">
        <v>18</v>
      </c>
      <c r="C5352" s="15">
        <v>257</v>
      </c>
      <c r="D5352" s="16">
        <v>6</v>
      </c>
      <c r="E5352" s="22">
        <v>44838</v>
      </c>
      <c r="F5352" s="19">
        <v>45</v>
      </c>
      <c r="G5352" s="18">
        <v>0.05</v>
      </c>
      <c r="H5352">
        <f>F5352*VLOOKUP(B5352,產品!$A$2:$H$61,7,FALSE)*(1-銷售總表!G5352)</f>
        <v>76950</v>
      </c>
      <c r="I5352" s="35">
        <f>H5352-F5352*VLOOKUP(銷售總表!B5352,產品!$A$2:$H$61,8,FALSE)</f>
        <v>44550</v>
      </c>
      <c r="J5352" s="20">
        <f t="shared" si="83"/>
        <v>0.57894736842105265</v>
      </c>
    </row>
    <row r="5353" spans="1:10" x14ac:dyDescent="0.3">
      <c r="A5353" s="33">
        <v>5352</v>
      </c>
      <c r="B5353" s="4">
        <v>13</v>
      </c>
      <c r="C5353" s="15">
        <v>122</v>
      </c>
      <c r="D5353" s="16">
        <v>3</v>
      </c>
      <c r="E5353" s="22">
        <v>44838</v>
      </c>
      <c r="F5353" s="19">
        <v>60</v>
      </c>
      <c r="G5353" s="18">
        <v>0.09</v>
      </c>
      <c r="H5353">
        <f>F5353*VLOOKUP(B5353,產品!$A$2:$H$61,7,FALSE)*(1-銷售總表!G5353)</f>
        <v>98280</v>
      </c>
      <c r="I5353" s="35">
        <f>H5353-F5353*VLOOKUP(銷售總表!B5353,產品!$A$2:$H$61,8,FALSE)</f>
        <v>55080</v>
      </c>
      <c r="J5353" s="20">
        <f t="shared" si="83"/>
        <v>0.56043956043956045</v>
      </c>
    </row>
    <row r="5354" spans="1:10" x14ac:dyDescent="0.3">
      <c r="A5354" s="33">
        <v>5353</v>
      </c>
      <c r="B5354" s="4">
        <v>52</v>
      </c>
      <c r="C5354" s="15">
        <v>140</v>
      </c>
      <c r="D5354" s="16">
        <v>5</v>
      </c>
      <c r="E5354" s="22">
        <v>44839</v>
      </c>
      <c r="F5354" s="19">
        <v>2</v>
      </c>
      <c r="G5354" s="18">
        <v>0.05</v>
      </c>
      <c r="H5354">
        <f>F5354*VLOOKUP(B5354,產品!$A$2:$H$61,7,FALSE)*(1-銷售總表!G5354)</f>
        <v>41800</v>
      </c>
      <c r="I5354" s="35">
        <f>H5354-F5354*VLOOKUP(銷售總表!B5354,產品!$A$2:$H$61,8,FALSE)</f>
        <v>11000.000000000004</v>
      </c>
      <c r="J5354" s="20">
        <f t="shared" si="83"/>
        <v>0.2631578947368422</v>
      </c>
    </row>
    <row r="5355" spans="1:10" x14ac:dyDescent="0.3">
      <c r="A5355" s="33">
        <v>5354</v>
      </c>
      <c r="B5355" s="4">
        <v>47</v>
      </c>
      <c r="C5355" s="15">
        <v>138</v>
      </c>
      <c r="D5355" s="16">
        <v>7</v>
      </c>
      <c r="E5355" s="22">
        <v>44839</v>
      </c>
      <c r="F5355" s="19">
        <v>12</v>
      </c>
      <c r="G5355" s="18">
        <v>0.06</v>
      </c>
      <c r="H5355">
        <f>F5355*VLOOKUP(B5355,產品!$A$2:$H$61,7,FALSE)*(1-銷售總表!G5355)</f>
        <v>225600</v>
      </c>
      <c r="I5355" s="35">
        <f>H5355-F5355*VLOOKUP(銷售總表!B5355,產品!$A$2:$H$61,8,FALSE)</f>
        <v>69600</v>
      </c>
      <c r="J5355" s="20">
        <f t="shared" si="83"/>
        <v>0.30851063829787234</v>
      </c>
    </row>
    <row r="5356" spans="1:10" x14ac:dyDescent="0.3">
      <c r="A5356" s="33">
        <v>5355</v>
      </c>
      <c r="B5356" s="4">
        <v>29</v>
      </c>
      <c r="C5356" s="15">
        <v>4</v>
      </c>
      <c r="D5356" s="16">
        <v>6</v>
      </c>
      <c r="E5356" s="22">
        <v>44839</v>
      </c>
      <c r="F5356" s="19">
        <v>15</v>
      </c>
      <c r="G5356" s="18">
        <v>0.06</v>
      </c>
      <c r="H5356">
        <f>F5356*VLOOKUP(B5356,產品!$A$2:$H$61,7,FALSE)*(1-銷售總表!G5356)</f>
        <v>84600</v>
      </c>
      <c r="I5356" s="35">
        <f>H5356-F5356*VLOOKUP(銷售總表!B5356,產品!$A$2:$H$61,8,FALSE)</f>
        <v>30600</v>
      </c>
      <c r="J5356" s="20">
        <f t="shared" si="83"/>
        <v>0.36170212765957449</v>
      </c>
    </row>
    <row r="5357" spans="1:10" x14ac:dyDescent="0.3">
      <c r="A5357" s="33">
        <v>5356</v>
      </c>
      <c r="B5357" s="4">
        <v>20</v>
      </c>
      <c r="C5357" s="15">
        <v>116</v>
      </c>
      <c r="D5357" s="16">
        <v>2</v>
      </c>
      <c r="E5357" s="22">
        <v>44839</v>
      </c>
      <c r="F5357" s="19">
        <v>20</v>
      </c>
      <c r="G5357" s="18">
        <v>0.16</v>
      </c>
      <c r="H5357">
        <f>F5357*VLOOKUP(B5357,產品!$A$2:$H$61,7,FALSE)*(1-銷售總表!G5357)</f>
        <v>30240</v>
      </c>
      <c r="I5357" s="35">
        <f>H5357-F5357*VLOOKUP(銷售總表!B5357,產品!$A$2:$H$61,8,FALSE)</f>
        <v>15840</v>
      </c>
      <c r="J5357" s="20">
        <f t="shared" si="83"/>
        <v>0.52380952380952384</v>
      </c>
    </row>
    <row r="5358" spans="1:10" x14ac:dyDescent="0.3">
      <c r="A5358" s="33">
        <v>5357</v>
      </c>
      <c r="B5358" s="4">
        <v>20</v>
      </c>
      <c r="C5358" s="15">
        <v>6</v>
      </c>
      <c r="D5358" s="16">
        <v>5</v>
      </c>
      <c r="E5358" s="23">
        <v>44839</v>
      </c>
      <c r="F5358">
        <v>40</v>
      </c>
      <c r="G5358" s="20">
        <v>0.06</v>
      </c>
      <c r="H5358">
        <f>F5358*VLOOKUP(B5358,產品!$A$2:$H$61,7,FALSE)*(1-銷售總表!G5358)</f>
        <v>67680</v>
      </c>
      <c r="I5358" s="35">
        <f>H5358-F5358*VLOOKUP(銷售總表!B5358,產品!$A$2:$H$61,8,FALSE)</f>
        <v>38880</v>
      </c>
      <c r="J5358" s="20">
        <f t="shared" si="83"/>
        <v>0.57446808510638303</v>
      </c>
    </row>
    <row r="5359" spans="1:10" x14ac:dyDescent="0.3">
      <c r="A5359" s="33">
        <v>5358</v>
      </c>
      <c r="B5359" s="4">
        <v>8</v>
      </c>
      <c r="C5359" s="15">
        <v>259</v>
      </c>
      <c r="D5359" s="16">
        <v>3</v>
      </c>
      <c r="E5359" s="22">
        <v>44839</v>
      </c>
      <c r="F5359" s="19">
        <v>150</v>
      </c>
      <c r="G5359" s="18">
        <v>0.06</v>
      </c>
      <c r="H5359">
        <f>F5359*VLOOKUP(B5359,產品!$A$2:$H$61,7,FALSE)*(1-銷售總表!G5359)</f>
        <v>141000</v>
      </c>
      <c r="I5359" s="35">
        <f>H5359-F5359*VLOOKUP(銷售總表!B5359,產品!$A$2:$H$61,8,FALSE)</f>
        <v>81000</v>
      </c>
      <c r="J5359" s="20">
        <f t="shared" si="83"/>
        <v>0.57446808510638303</v>
      </c>
    </row>
    <row r="5360" spans="1:10" x14ac:dyDescent="0.3">
      <c r="A5360" s="33">
        <v>5359</v>
      </c>
      <c r="B5360" s="4">
        <v>52</v>
      </c>
      <c r="C5360" s="15">
        <v>9</v>
      </c>
      <c r="D5360" s="16">
        <v>3</v>
      </c>
      <c r="E5360" s="22">
        <v>44840</v>
      </c>
      <c r="F5360" s="19">
        <v>2</v>
      </c>
      <c r="G5360" s="18">
        <v>0.15</v>
      </c>
      <c r="H5360">
        <f>F5360*VLOOKUP(B5360,產品!$A$2:$H$61,7,FALSE)*(1-銷售總表!G5360)</f>
        <v>37400</v>
      </c>
      <c r="I5360" s="35">
        <f>H5360-F5360*VLOOKUP(銷售總表!B5360,產品!$A$2:$H$61,8,FALSE)</f>
        <v>6600.0000000000036</v>
      </c>
      <c r="J5360" s="20">
        <f t="shared" si="83"/>
        <v>0.17647058823529421</v>
      </c>
    </row>
    <row r="5361" spans="1:10" x14ac:dyDescent="0.3">
      <c r="A5361" s="33">
        <v>5360</v>
      </c>
      <c r="B5361" s="4">
        <v>40</v>
      </c>
      <c r="C5361" s="15">
        <v>272</v>
      </c>
      <c r="D5361" s="16">
        <v>3</v>
      </c>
      <c r="E5361" s="22">
        <v>44840</v>
      </c>
      <c r="F5361" s="19">
        <v>7</v>
      </c>
      <c r="G5361" s="18">
        <v>0.2</v>
      </c>
      <c r="H5361">
        <f>F5361*VLOOKUP(B5361,產品!$A$2:$H$61,7,FALSE)*(1-銷售總表!G5361)</f>
        <v>112000</v>
      </c>
      <c r="I5361" s="35">
        <f>H5361-F5361*VLOOKUP(銷售總表!B5361,產品!$A$2:$H$61,8,FALSE)</f>
        <v>21000</v>
      </c>
      <c r="J5361" s="20">
        <f t="shared" si="83"/>
        <v>0.1875</v>
      </c>
    </row>
    <row r="5362" spans="1:10" x14ac:dyDescent="0.3">
      <c r="A5362" s="33">
        <v>5361</v>
      </c>
      <c r="B5362" s="4">
        <v>19</v>
      </c>
      <c r="C5362" s="15">
        <v>276</v>
      </c>
      <c r="D5362" s="16">
        <v>3</v>
      </c>
      <c r="E5362" s="23">
        <v>44840</v>
      </c>
      <c r="F5362">
        <v>19</v>
      </c>
      <c r="G5362" s="20">
        <v>0.15</v>
      </c>
      <c r="H5362">
        <f>F5362*VLOOKUP(B5362,產品!$A$2:$H$61,7,FALSE)*(1-銷售總表!G5362)</f>
        <v>29070</v>
      </c>
      <c r="I5362" s="35">
        <f>H5362-F5362*VLOOKUP(銷售總表!B5362,產品!$A$2:$H$61,8,FALSE)</f>
        <v>15390</v>
      </c>
      <c r="J5362" s="20">
        <f t="shared" si="83"/>
        <v>0.52941176470588236</v>
      </c>
    </row>
    <row r="5363" spans="1:10" x14ac:dyDescent="0.3">
      <c r="A5363" s="33">
        <v>5362</v>
      </c>
      <c r="B5363" s="4">
        <v>22</v>
      </c>
      <c r="C5363" s="15">
        <v>3</v>
      </c>
      <c r="D5363" s="16">
        <v>4</v>
      </c>
      <c r="E5363" s="23">
        <v>44840</v>
      </c>
      <c r="F5363">
        <v>70</v>
      </c>
      <c r="G5363" s="20">
        <v>0.14000000000000001</v>
      </c>
      <c r="H5363">
        <f>F5363*VLOOKUP(B5363,產品!$A$2:$H$61,7,FALSE)*(1-銷售總表!G5363)</f>
        <v>108360</v>
      </c>
      <c r="I5363" s="35">
        <f>H5363-F5363*VLOOKUP(銷售總表!B5363,產品!$A$2:$H$61,8,FALSE)</f>
        <v>57960</v>
      </c>
      <c r="J5363" s="20">
        <f t="shared" si="83"/>
        <v>0.53488372093023251</v>
      </c>
    </row>
    <row r="5364" spans="1:10" x14ac:dyDescent="0.3">
      <c r="A5364" s="33">
        <v>5363</v>
      </c>
      <c r="B5364" s="4">
        <v>15</v>
      </c>
      <c r="C5364" s="15">
        <v>4</v>
      </c>
      <c r="D5364" s="16">
        <v>8</v>
      </c>
      <c r="E5364" s="22">
        <v>44840</v>
      </c>
      <c r="F5364" s="19">
        <v>100</v>
      </c>
      <c r="G5364" s="18">
        <v>7.0000000000000007E-2</v>
      </c>
      <c r="H5364">
        <f>F5364*VLOOKUP(B5364,產品!$A$2:$H$61,7,FALSE)*(1-銷售總表!G5364)</f>
        <v>167400</v>
      </c>
      <c r="I5364" s="35">
        <f>H5364-F5364*VLOOKUP(銷售總表!B5364,產品!$A$2:$H$61,8,FALSE)</f>
        <v>95400</v>
      </c>
      <c r="J5364" s="20">
        <f t="shared" si="83"/>
        <v>0.56989247311827962</v>
      </c>
    </row>
    <row r="5365" spans="1:10" x14ac:dyDescent="0.3">
      <c r="A5365" s="33">
        <v>5364</v>
      </c>
      <c r="B5365" s="4">
        <v>1</v>
      </c>
      <c r="C5365" s="15">
        <v>120</v>
      </c>
      <c r="D5365" s="16">
        <v>10</v>
      </c>
      <c r="E5365" s="22">
        <v>44840</v>
      </c>
      <c r="F5365" s="19">
        <v>200</v>
      </c>
      <c r="G5365" s="18">
        <v>0.11</v>
      </c>
      <c r="H5365">
        <f>F5365*VLOOKUP(B5365,產品!$A$2:$H$61,7,FALSE)*(1-銷售總表!G5365)</f>
        <v>178000</v>
      </c>
      <c r="I5365" s="35">
        <f>H5365-F5365*VLOOKUP(銷售總表!B5365,產品!$A$2:$H$61,8,FALSE)</f>
        <v>98000</v>
      </c>
      <c r="J5365" s="20">
        <f t="shared" si="83"/>
        <v>0.550561797752809</v>
      </c>
    </row>
    <row r="5366" spans="1:10" x14ac:dyDescent="0.3">
      <c r="A5366" s="33">
        <v>5365</v>
      </c>
      <c r="B5366" s="4">
        <v>44</v>
      </c>
      <c r="C5366" s="15">
        <v>279</v>
      </c>
      <c r="D5366" s="16">
        <v>2</v>
      </c>
      <c r="E5366" s="22">
        <v>44841</v>
      </c>
      <c r="F5366" s="19">
        <v>2</v>
      </c>
      <c r="G5366" s="18">
        <v>0.09</v>
      </c>
      <c r="H5366">
        <f>F5366*VLOOKUP(B5366,產品!$A$2:$H$61,7,FALSE)*(1-銷售總表!G5366)</f>
        <v>36400</v>
      </c>
      <c r="I5366" s="35">
        <f>H5366-F5366*VLOOKUP(銷售總表!B5366,產品!$A$2:$H$61,8,FALSE)</f>
        <v>10400</v>
      </c>
      <c r="J5366" s="20">
        <f t="shared" si="83"/>
        <v>0.2857142857142857</v>
      </c>
    </row>
    <row r="5367" spans="1:10" x14ac:dyDescent="0.3">
      <c r="A5367" s="33">
        <v>5366</v>
      </c>
      <c r="B5367" s="4">
        <v>28</v>
      </c>
      <c r="C5367" s="15">
        <v>116</v>
      </c>
      <c r="D5367" s="16">
        <v>7</v>
      </c>
      <c r="E5367" s="22">
        <v>44841</v>
      </c>
      <c r="F5367" s="19">
        <v>6</v>
      </c>
      <c r="G5367" s="18">
        <v>0.1</v>
      </c>
      <c r="H5367">
        <f>F5367*VLOOKUP(B5367,產品!$A$2:$H$61,7,FALSE)*(1-銷售總表!G5367)</f>
        <v>40500</v>
      </c>
      <c r="I5367" s="35">
        <f>H5367-F5367*VLOOKUP(銷售總表!B5367,產品!$A$2:$H$61,8,FALSE)</f>
        <v>13500</v>
      </c>
      <c r="J5367" s="20">
        <f t="shared" si="83"/>
        <v>0.33333333333333331</v>
      </c>
    </row>
    <row r="5368" spans="1:10" x14ac:dyDescent="0.3">
      <c r="A5368" s="33">
        <v>5367</v>
      </c>
      <c r="B5368" s="4">
        <v>37</v>
      </c>
      <c r="C5368" s="15">
        <v>113</v>
      </c>
      <c r="D5368" s="16">
        <v>4</v>
      </c>
      <c r="E5368" s="23">
        <v>44841</v>
      </c>
      <c r="F5368">
        <v>20</v>
      </c>
      <c r="G5368" s="20">
        <v>0.09</v>
      </c>
      <c r="H5368">
        <f>F5368*VLOOKUP(B5368,產品!$A$2:$H$61,7,FALSE)*(1-銷售總表!G5368)</f>
        <v>218400</v>
      </c>
      <c r="I5368" s="35">
        <f>H5368-F5368*VLOOKUP(銷售總表!B5368,產品!$A$2:$H$61,8,FALSE)</f>
        <v>62400</v>
      </c>
      <c r="J5368" s="20">
        <f t="shared" si="83"/>
        <v>0.2857142857142857</v>
      </c>
    </row>
    <row r="5369" spans="1:10" x14ac:dyDescent="0.3">
      <c r="A5369" s="33">
        <v>5368</v>
      </c>
      <c r="B5369" s="4">
        <v>12</v>
      </c>
      <c r="C5369" s="15">
        <v>1</v>
      </c>
      <c r="D5369" s="16">
        <v>7</v>
      </c>
      <c r="E5369" s="22">
        <v>44841</v>
      </c>
      <c r="F5369" s="19">
        <v>40</v>
      </c>
      <c r="G5369" s="18">
        <v>0.06</v>
      </c>
      <c r="H5369">
        <f>F5369*VLOOKUP(B5369,產品!$A$2:$H$61,7,FALSE)*(1-銷售總表!G5369)</f>
        <v>37600</v>
      </c>
      <c r="I5369" s="35">
        <f>H5369-F5369*VLOOKUP(銷售總表!B5369,產品!$A$2:$H$61,8,FALSE)</f>
        <v>21600</v>
      </c>
      <c r="J5369" s="20">
        <f t="shared" si="83"/>
        <v>0.57446808510638303</v>
      </c>
    </row>
    <row r="5370" spans="1:10" x14ac:dyDescent="0.3">
      <c r="A5370" s="33">
        <v>5369</v>
      </c>
      <c r="B5370" s="4">
        <v>40</v>
      </c>
      <c r="C5370" s="15">
        <v>282</v>
      </c>
      <c r="D5370" s="16">
        <v>1</v>
      </c>
      <c r="E5370" s="22">
        <v>44842</v>
      </c>
      <c r="F5370" s="19">
        <v>2</v>
      </c>
      <c r="G5370" s="18">
        <v>7.0000000000000007E-2</v>
      </c>
      <c r="H5370">
        <f>F5370*VLOOKUP(B5370,產品!$A$2:$H$61,7,FALSE)*(1-銷售總表!G5370)</f>
        <v>37200</v>
      </c>
      <c r="I5370" s="35">
        <f>H5370-F5370*VLOOKUP(銷售總表!B5370,產品!$A$2:$H$61,8,FALSE)</f>
        <v>11200</v>
      </c>
      <c r="J5370" s="20">
        <f t="shared" si="83"/>
        <v>0.30107526881720431</v>
      </c>
    </row>
    <row r="5371" spans="1:10" x14ac:dyDescent="0.3">
      <c r="A5371" s="33">
        <v>5370</v>
      </c>
      <c r="B5371" s="4">
        <v>34</v>
      </c>
      <c r="C5371" s="15">
        <v>9</v>
      </c>
      <c r="D5371" s="16">
        <v>8</v>
      </c>
      <c r="E5371" s="22">
        <v>44842</v>
      </c>
      <c r="F5371" s="19">
        <v>2</v>
      </c>
      <c r="G5371" s="18">
        <v>0.05</v>
      </c>
      <c r="H5371">
        <f>F5371*VLOOKUP(B5371,產品!$A$2:$H$61,7,FALSE)*(1-銷售總表!G5371)</f>
        <v>15200</v>
      </c>
      <c r="I5371" s="35">
        <f>H5371-F5371*VLOOKUP(銷售總表!B5371,產品!$A$2:$H$61,8,FALSE)</f>
        <v>5600</v>
      </c>
      <c r="J5371" s="20">
        <f t="shared" si="83"/>
        <v>0.36842105263157893</v>
      </c>
    </row>
    <row r="5372" spans="1:10" x14ac:dyDescent="0.3">
      <c r="A5372" s="33">
        <v>5371</v>
      </c>
      <c r="B5372" s="4">
        <v>37</v>
      </c>
      <c r="C5372" s="15">
        <v>280</v>
      </c>
      <c r="D5372" s="16">
        <v>9</v>
      </c>
      <c r="E5372" s="22">
        <v>44842</v>
      </c>
      <c r="F5372" s="19">
        <v>4</v>
      </c>
      <c r="G5372" s="18">
        <v>0.08</v>
      </c>
      <c r="H5372">
        <f>F5372*VLOOKUP(B5372,產品!$A$2:$H$61,7,FALSE)*(1-銷售總表!G5372)</f>
        <v>44160</v>
      </c>
      <c r="I5372" s="35">
        <f>H5372-F5372*VLOOKUP(銷售總表!B5372,產品!$A$2:$H$61,8,FALSE)</f>
        <v>12960</v>
      </c>
      <c r="J5372" s="20">
        <f t="shared" si="83"/>
        <v>0.29347826086956524</v>
      </c>
    </row>
    <row r="5373" spans="1:10" x14ac:dyDescent="0.3">
      <c r="A5373" s="33">
        <v>5372</v>
      </c>
      <c r="B5373" s="4">
        <v>50</v>
      </c>
      <c r="C5373" s="15">
        <v>125</v>
      </c>
      <c r="D5373" s="16">
        <v>4</v>
      </c>
      <c r="E5373" s="22">
        <v>44842</v>
      </c>
      <c r="F5373" s="19">
        <v>6</v>
      </c>
      <c r="G5373" s="18">
        <v>0.06</v>
      </c>
      <c r="H5373">
        <f>F5373*VLOOKUP(B5373,產品!$A$2:$H$61,7,FALSE)*(1-銷售總表!G5373)</f>
        <v>101520</v>
      </c>
      <c r="I5373" s="35">
        <f>H5373-F5373*VLOOKUP(銷售總表!B5373,產品!$A$2:$H$61,8,FALSE)</f>
        <v>25920</v>
      </c>
      <c r="J5373" s="20">
        <f t="shared" si="83"/>
        <v>0.25531914893617019</v>
      </c>
    </row>
    <row r="5374" spans="1:10" x14ac:dyDescent="0.3">
      <c r="A5374" s="33">
        <v>5373</v>
      </c>
      <c r="B5374" s="4">
        <v>42</v>
      </c>
      <c r="C5374" s="15">
        <v>112</v>
      </c>
      <c r="D5374" s="16">
        <v>2</v>
      </c>
      <c r="E5374" s="23">
        <v>44842</v>
      </c>
      <c r="F5374">
        <v>9</v>
      </c>
      <c r="G5374" s="20">
        <v>0.16</v>
      </c>
      <c r="H5374">
        <f>F5374*VLOOKUP(B5374,產品!$A$2:$H$61,7,FALSE)*(1-銷售總表!G5374)</f>
        <v>113400</v>
      </c>
      <c r="I5374" s="35">
        <f>H5374-F5374*VLOOKUP(銷售總表!B5374,產品!$A$2:$H$61,8,FALSE)</f>
        <v>25650</v>
      </c>
      <c r="J5374" s="20">
        <f t="shared" si="83"/>
        <v>0.22619047619047619</v>
      </c>
    </row>
    <row r="5375" spans="1:10" x14ac:dyDescent="0.3">
      <c r="A5375" s="33">
        <v>5374</v>
      </c>
      <c r="B5375" s="4">
        <v>33</v>
      </c>
      <c r="C5375" s="15">
        <v>268</v>
      </c>
      <c r="D5375" s="16">
        <v>5</v>
      </c>
      <c r="E5375" s="22">
        <v>44842</v>
      </c>
      <c r="F5375" s="19">
        <v>12</v>
      </c>
      <c r="G5375" s="18">
        <v>0.19</v>
      </c>
      <c r="H5375">
        <f>F5375*VLOOKUP(B5375,產品!$A$2:$H$61,7,FALSE)*(1-銷售總表!G5375)</f>
        <v>72900</v>
      </c>
      <c r="I5375" s="35">
        <f>H5375-F5375*VLOOKUP(銷售總表!B5375,產品!$A$2:$H$61,8,FALSE)</f>
        <v>18900</v>
      </c>
      <c r="J5375" s="20">
        <f t="shared" si="83"/>
        <v>0.25925925925925924</v>
      </c>
    </row>
    <row r="5376" spans="1:10" x14ac:dyDescent="0.3">
      <c r="A5376" s="33">
        <v>5375</v>
      </c>
      <c r="B5376" s="4">
        <v>17</v>
      </c>
      <c r="C5376" s="15">
        <v>112</v>
      </c>
      <c r="D5376" s="16">
        <v>1</v>
      </c>
      <c r="E5376" s="22">
        <v>44842</v>
      </c>
      <c r="F5376" s="19">
        <v>70</v>
      </c>
      <c r="G5376" s="18">
        <v>0.2</v>
      </c>
      <c r="H5376">
        <f>F5376*VLOOKUP(B5376,產品!$A$2:$H$61,7,FALSE)*(1-銷售總表!G5376)</f>
        <v>100800</v>
      </c>
      <c r="I5376" s="35">
        <f>H5376-F5376*VLOOKUP(銷售總表!B5376,產品!$A$2:$H$61,8,FALSE)</f>
        <v>50400</v>
      </c>
      <c r="J5376" s="20">
        <f t="shared" si="83"/>
        <v>0.5</v>
      </c>
    </row>
    <row r="5377" spans="1:10" x14ac:dyDescent="0.3">
      <c r="A5377" s="33">
        <v>5376</v>
      </c>
      <c r="B5377" s="4">
        <v>20</v>
      </c>
      <c r="C5377" s="15">
        <v>5</v>
      </c>
      <c r="D5377" s="16">
        <v>1</v>
      </c>
      <c r="E5377" s="22">
        <v>44842</v>
      </c>
      <c r="F5377" s="19">
        <v>90</v>
      </c>
      <c r="G5377" s="18">
        <v>0.12</v>
      </c>
      <c r="H5377">
        <f>F5377*VLOOKUP(B5377,產品!$A$2:$H$61,7,FALSE)*(1-銷售總表!G5377)</f>
        <v>142560</v>
      </c>
      <c r="I5377" s="35">
        <f>H5377-F5377*VLOOKUP(銷售總表!B5377,產品!$A$2:$H$61,8,FALSE)</f>
        <v>77760</v>
      </c>
      <c r="J5377" s="20">
        <f t="shared" si="83"/>
        <v>0.54545454545454541</v>
      </c>
    </row>
    <row r="5378" spans="1:10" x14ac:dyDescent="0.3">
      <c r="A5378" s="33">
        <v>5377</v>
      </c>
      <c r="B5378" s="4">
        <v>24</v>
      </c>
      <c r="C5378" s="15">
        <v>9</v>
      </c>
      <c r="D5378" s="16">
        <v>9</v>
      </c>
      <c r="E5378" s="22">
        <v>44842</v>
      </c>
      <c r="F5378" s="19">
        <v>100</v>
      </c>
      <c r="G5378" s="18">
        <v>0.08</v>
      </c>
      <c r="H5378">
        <f>F5378*VLOOKUP(B5378,產品!$A$2:$H$61,7,FALSE)*(1-銷售總表!G5378)</f>
        <v>165600</v>
      </c>
      <c r="I5378" s="35">
        <f>H5378-F5378*VLOOKUP(銷售總表!B5378,產品!$A$2:$H$61,8,FALSE)</f>
        <v>93600</v>
      </c>
      <c r="J5378" s="20">
        <f t="shared" si="83"/>
        <v>0.56521739130434778</v>
      </c>
    </row>
    <row r="5379" spans="1:10" x14ac:dyDescent="0.3">
      <c r="A5379" s="33">
        <v>5378</v>
      </c>
      <c r="B5379" s="4">
        <v>33</v>
      </c>
      <c r="C5379" s="15">
        <v>279</v>
      </c>
      <c r="D5379" s="16">
        <v>5</v>
      </c>
      <c r="E5379" s="22">
        <v>44843</v>
      </c>
      <c r="F5379" s="19">
        <v>5</v>
      </c>
      <c r="G5379" s="18">
        <v>0.14000000000000001</v>
      </c>
      <c r="H5379">
        <f>F5379*VLOOKUP(B5379,產品!$A$2:$H$61,7,FALSE)*(1-銷售總表!G5379)</f>
        <v>32250</v>
      </c>
      <c r="I5379" s="35">
        <f>H5379-F5379*VLOOKUP(銷售總表!B5379,產品!$A$2:$H$61,8,FALSE)</f>
        <v>9750</v>
      </c>
      <c r="J5379" s="20">
        <f t="shared" ref="J5379:J5442" si="84">I5379/H5379</f>
        <v>0.30232558139534882</v>
      </c>
    </row>
    <row r="5380" spans="1:10" x14ac:dyDescent="0.3">
      <c r="A5380" s="33">
        <v>5379</v>
      </c>
      <c r="B5380" s="4">
        <v>60</v>
      </c>
      <c r="C5380" s="15">
        <v>115</v>
      </c>
      <c r="D5380" s="16">
        <v>2</v>
      </c>
      <c r="E5380" s="22">
        <v>44843</v>
      </c>
      <c r="F5380" s="19">
        <v>6</v>
      </c>
      <c r="G5380" s="18">
        <v>0.08</v>
      </c>
      <c r="H5380">
        <f>F5380*VLOOKUP(B5380,產品!$A$2:$H$61,7,FALSE)*(1-銷售總表!G5380)</f>
        <v>138000</v>
      </c>
      <c r="I5380" s="35">
        <f>H5380-F5380*VLOOKUP(銷售總表!B5380,產品!$A$2:$H$61,8,FALSE)</f>
        <v>33000</v>
      </c>
      <c r="J5380" s="20">
        <f t="shared" si="84"/>
        <v>0.2391304347826087</v>
      </c>
    </row>
    <row r="5381" spans="1:10" x14ac:dyDescent="0.3">
      <c r="A5381" s="33">
        <v>5380</v>
      </c>
      <c r="B5381" s="4">
        <v>2</v>
      </c>
      <c r="C5381" s="15">
        <v>2</v>
      </c>
      <c r="D5381" s="16">
        <v>4</v>
      </c>
      <c r="E5381" s="22">
        <v>44843</v>
      </c>
      <c r="F5381" s="19">
        <v>200</v>
      </c>
      <c r="G5381" s="18">
        <v>7.0000000000000007E-2</v>
      </c>
      <c r="H5381">
        <f>F5381*VLOOKUP(B5381,產品!$A$2:$H$61,7,FALSE)*(1-銷售總表!G5381)</f>
        <v>186000</v>
      </c>
      <c r="I5381" s="35">
        <f>H5381-F5381*VLOOKUP(銷售總表!B5381,產品!$A$2:$H$61,8,FALSE)</f>
        <v>106000</v>
      </c>
      <c r="J5381" s="20">
        <f t="shared" si="84"/>
        <v>0.56989247311827962</v>
      </c>
    </row>
    <row r="5382" spans="1:10" x14ac:dyDescent="0.3">
      <c r="A5382" s="33">
        <v>5381</v>
      </c>
      <c r="B5382" s="4">
        <v>40</v>
      </c>
      <c r="C5382" s="15">
        <v>112</v>
      </c>
      <c r="D5382" s="16">
        <v>6</v>
      </c>
      <c r="E5382" s="22">
        <v>44844</v>
      </c>
      <c r="F5382" s="19">
        <v>5</v>
      </c>
      <c r="G5382" s="18">
        <v>0.08</v>
      </c>
      <c r="H5382">
        <f>F5382*VLOOKUP(B5382,產品!$A$2:$H$61,7,FALSE)*(1-銷售總表!G5382)</f>
        <v>92000</v>
      </c>
      <c r="I5382" s="35">
        <f>H5382-F5382*VLOOKUP(銷售總表!B5382,產品!$A$2:$H$61,8,FALSE)</f>
        <v>27000</v>
      </c>
      <c r="J5382" s="20">
        <f t="shared" si="84"/>
        <v>0.29347826086956524</v>
      </c>
    </row>
    <row r="5383" spans="1:10" x14ac:dyDescent="0.3">
      <c r="A5383" s="33">
        <v>5382</v>
      </c>
      <c r="B5383" s="4">
        <v>8</v>
      </c>
      <c r="C5383" s="15">
        <v>263</v>
      </c>
      <c r="D5383" s="16">
        <v>1</v>
      </c>
      <c r="E5383" s="22">
        <v>44844</v>
      </c>
      <c r="F5383" s="19">
        <v>30</v>
      </c>
      <c r="G5383" s="18">
        <v>0.11</v>
      </c>
      <c r="H5383">
        <f>F5383*VLOOKUP(B5383,產品!$A$2:$H$61,7,FALSE)*(1-銷售總表!G5383)</f>
        <v>26700</v>
      </c>
      <c r="I5383" s="35">
        <f>H5383-F5383*VLOOKUP(銷售總表!B5383,產品!$A$2:$H$61,8,FALSE)</f>
        <v>14700</v>
      </c>
      <c r="J5383" s="20">
        <f t="shared" si="84"/>
        <v>0.550561797752809</v>
      </c>
    </row>
    <row r="5384" spans="1:10" x14ac:dyDescent="0.3">
      <c r="A5384" s="33">
        <v>5383</v>
      </c>
      <c r="B5384" s="4">
        <v>27</v>
      </c>
      <c r="C5384" s="15">
        <v>135</v>
      </c>
      <c r="D5384" s="16">
        <v>3</v>
      </c>
      <c r="E5384" s="22">
        <v>44845</v>
      </c>
      <c r="F5384" s="19">
        <v>12</v>
      </c>
      <c r="G5384" s="18">
        <v>0.2</v>
      </c>
      <c r="H5384">
        <f>F5384*VLOOKUP(B5384,產品!$A$2:$H$61,7,FALSE)*(1-銷售總表!G5384)</f>
        <v>67200</v>
      </c>
      <c r="I5384" s="35">
        <f>H5384-F5384*VLOOKUP(銷售總表!B5384,產品!$A$2:$H$61,8,FALSE)</f>
        <v>16800</v>
      </c>
      <c r="J5384" s="20">
        <f t="shared" si="84"/>
        <v>0.25</v>
      </c>
    </row>
    <row r="5385" spans="1:10" x14ac:dyDescent="0.3">
      <c r="A5385" s="33">
        <v>5384</v>
      </c>
      <c r="B5385" s="4">
        <v>5</v>
      </c>
      <c r="C5385" s="15">
        <v>262</v>
      </c>
      <c r="D5385" s="16">
        <v>8</v>
      </c>
      <c r="E5385" s="22">
        <v>44845</v>
      </c>
      <c r="F5385" s="19">
        <v>90</v>
      </c>
      <c r="G5385" s="18">
        <v>0.18</v>
      </c>
      <c r="H5385">
        <f>F5385*VLOOKUP(B5385,產品!$A$2:$H$61,7,FALSE)*(1-銷售總表!G5385)</f>
        <v>73800</v>
      </c>
      <c r="I5385" s="35">
        <f>H5385-F5385*VLOOKUP(銷售總表!B5385,產品!$A$2:$H$61,8,FALSE)</f>
        <v>37800</v>
      </c>
      <c r="J5385" s="20">
        <f t="shared" si="84"/>
        <v>0.51219512195121952</v>
      </c>
    </row>
    <row r="5386" spans="1:10" x14ac:dyDescent="0.3">
      <c r="A5386" s="33">
        <v>5385</v>
      </c>
      <c r="B5386" s="4">
        <v>34</v>
      </c>
      <c r="C5386" s="15">
        <v>289</v>
      </c>
      <c r="D5386" s="16">
        <v>5</v>
      </c>
      <c r="E5386" s="22">
        <v>44846</v>
      </c>
      <c r="F5386" s="19">
        <v>4</v>
      </c>
      <c r="G5386" s="18">
        <v>0.18</v>
      </c>
      <c r="H5386">
        <f>F5386*VLOOKUP(B5386,產品!$A$2:$H$61,7,FALSE)*(1-銷售總表!G5386)</f>
        <v>26240.000000000004</v>
      </c>
      <c r="I5386" s="35">
        <f>H5386-F5386*VLOOKUP(銷售總表!B5386,產品!$A$2:$H$61,8,FALSE)</f>
        <v>7040.0000000000036</v>
      </c>
      <c r="J5386" s="20">
        <f t="shared" si="84"/>
        <v>0.2682926829268294</v>
      </c>
    </row>
    <row r="5387" spans="1:10" x14ac:dyDescent="0.3">
      <c r="A5387" s="33">
        <v>5386</v>
      </c>
      <c r="B5387" s="4">
        <v>59</v>
      </c>
      <c r="C5387" s="15">
        <v>112</v>
      </c>
      <c r="D5387" s="16">
        <v>5</v>
      </c>
      <c r="E5387" s="22">
        <v>44846</v>
      </c>
      <c r="F5387" s="19">
        <v>6</v>
      </c>
      <c r="G5387" s="18">
        <v>0.06</v>
      </c>
      <c r="H5387">
        <f>F5387*VLOOKUP(B5387,產品!$A$2:$H$61,7,FALSE)*(1-銷售總表!G5387)</f>
        <v>135360</v>
      </c>
      <c r="I5387" s="35">
        <f>H5387-F5387*VLOOKUP(銷售總表!B5387,產品!$A$2:$H$61,8,FALSE)</f>
        <v>34560</v>
      </c>
      <c r="J5387" s="20">
        <f t="shared" si="84"/>
        <v>0.25531914893617019</v>
      </c>
    </row>
    <row r="5388" spans="1:10" x14ac:dyDescent="0.3">
      <c r="A5388" s="33">
        <v>5387</v>
      </c>
      <c r="B5388" s="4">
        <v>45</v>
      </c>
      <c r="C5388" s="15">
        <v>265</v>
      </c>
      <c r="D5388" s="16">
        <v>5</v>
      </c>
      <c r="E5388" s="22">
        <v>44846</v>
      </c>
      <c r="F5388" s="19">
        <v>8</v>
      </c>
      <c r="G5388" s="18">
        <v>0.14000000000000001</v>
      </c>
      <c r="H5388">
        <f>F5388*VLOOKUP(B5388,產品!$A$2:$H$61,7,FALSE)*(1-銷售總表!G5388)</f>
        <v>96320</v>
      </c>
      <c r="I5388" s="35">
        <f>H5388-F5388*VLOOKUP(銷售總表!B5388,產品!$A$2:$H$61,8,FALSE)</f>
        <v>23520</v>
      </c>
      <c r="J5388" s="20">
        <f t="shared" si="84"/>
        <v>0.2441860465116279</v>
      </c>
    </row>
    <row r="5389" spans="1:10" x14ac:dyDescent="0.3">
      <c r="A5389" s="33">
        <v>5388</v>
      </c>
      <c r="B5389" s="4">
        <v>25</v>
      </c>
      <c r="C5389" s="15">
        <v>121</v>
      </c>
      <c r="D5389" s="16">
        <v>6</v>
      </c>
      <c r="E5389" s="23">
        <v>44846</v>
      </c>
      <c r="F5389">
        <v>8</v>
      </c>
      <c r="G5389" s="20">
        <v>0.05</v>
      </c>
      <c r="H5389">
        <f>F5389*VLOOKUP(B5389,產品!$A$2:$H$61,7,FALSE)*(1-銷售總表!G5389)</f>
        <v>45600</v>
      </c>
      <c r="I5389" s="35">
        <f>H5389-F5389*VLOOKUP(銷售總表!B5389,產品!$A$2:$H$61,8,FALSE)</f>
        <v>16800</v>
      </c>
      <c r="J5389" s="20">
        <f t="shared" si="84"/>
        <v>0.36842105263157893</v>
      </c>
    </row>
    <row r="5390" spans="1:10" x14ac:dyDescent="0.3">
      <c r="A5390" s="33">
        <v>5389</v>
      </c>
      <c r="B5390" s="4">
        <v>55</v>
      </c>
      <c r="C5390" s="15">
        <v>5</v>
      </c>
      <c r="D5390" s="16">
        <v>6</v>
      </c>
      <c r="E5390" s="22">
        <v>44846</v>
      </c>
      <c r="F5390" s="19">
        <v>9</v>
      </c>
      <c r="G5390" s="18">
        <v>0.13</v>
      </c>
      <c r="H5390">
        <f>F5390*VLOOKUP(B5390,產品!$A$2:$H$61,7,FALSE)*(1-銷售總表!G5390)</f>
        <v>156600</v>
      </c>
      <c r="I5390" s="35">
        <f>H5390-F5390*VLOOKUP(銷售總表!B5390,產品!$A$2:$H$61,8,FALSE)</f>
        <v>30600</v>
      </c>
      <c r="J5390" s="20">
        <f t="shared" si="84"/>
        <v>0.19540229885057472</v>
      </c>
    </row>
    <row r="5391" spans="1:10" x14ac:dyDescent="0.3">
      <c r="A5391" s="33">
        <v>5390</v>
      </c>
      <c r="B5391" s="4">
        <v>42</v>
      </c>
      <c r="C5391" s="15">
        <v>11</v>
      </c>
      <c r="D5391" s="16">
        <v>8</v>
      </c>
      <c r="E5391" s="22">
        <v>44846</v>
      </c>
      <c r="F5391" s="19">
        <v>11</v>
      </c>
      <c r="G5391" s="18">
        <v>0.1</v>
      </c>
      <c r="H5391">
        <f>F5391*VLOOKUP(B5391,產品!$A$2:$H$61,7,FALSE)*(1-銷售總表!G5391)</f>
        <v>148500</v>
      </c>
      <c r="I5391" s="35">
        <f>H5391-F5391*VLOOKUP(銷售總表!B5391,產品!$A$2:$H$61,8,FALSE)</f>
        <v>41250</v>
      </c>
      <c r="J5391" s="20">
        <f t="shared" si="84"/>
        <v>0.27777777777777779</v>
      </c>
    </row>
    <row r="5392" spans="1:10" x14ac:dyDescent="0.3">
      <c r="A5392" s="33">
        <v>5391</v>
      </c>
      <c r="B5392" s="4">
        <v>44</v>
      </c>
      <c r="C5392" s="15">
        <v>3</v>
      </c>
      <c r="D5392" s="16">
        <v>2</v>
      </c>
      <c r="E5392" s="22">
        <v>44846</v>
      </c>
      <c r="F5392" s="19">
        <v>15</v>
      </c>
      <c r="G5392" s="18">
        <v>0.06</v>
      </c>
      <c r="H5392">
        <f>F5392*VLOOKUP(B5392,產品!$A$2:$H$61,7,FALSE)*(1-銷售總表!G5392)</f>
        <v>282000</v>
      </c>
      <c r="I5392" s="35">
        <f>H5392-F5392*VLOOKUP(銷售總表!B5392,產品!$A$2:$H$61,8,FALSE)</f>
        <v>87000</v>
      </c>
      <c r="J5392" s="20">
        <f t="shared" si="84"/>
        <v>0.30851063829787234</v>
      </c>
    </row>
    <row r="5393" spans="1:10" x14ac:dyDescent="0.3">
      <c r="A5393" s="33">
        <v>5392</v>
      </c>
      <c r="B5393" s="4">
        <v>27</v>
      </c>
      <c r="C5393" s="15">
        <v>3</v>
      </c>
      <c r="D5393" s="16">
        <v>3</v>
      </c>
      <c r="E5393" s="22">
        <v>44846</v>
      </c>
      <c r="F5393" s="19">
        <v>20</v>
      </c>
      <c r="G5393" s="18">
        <v>0.19</v>
      </c>
      <c r="H5393">
        <f>F5393*VLOOKUP(B5393,產品!$A$2:$H$61,7,FALSE)*(1-銷售總表!G5393)</f>
        <v>113400.00000000001</v>
      </c>
      <c r="I5393" s="35">
        <f>H5393-F5393*VLOOKUP(銷售總表!B5393,產品!$A$2:$H$61,8,FALSE)</f>
        <v>29400.000000000015</v>
      </c>
      <c r="J5393" s="20">
        <f t="shared" si="84"/>
        <v>0.25925925925925936</v>
      </c>
    </row>
    <row r="5394" spans="1:10" x14ac:dyDescent="0.3">
      <c r="A5394" s="33">
        <v>5393</v>
      </c>
      <c r="B5394" s="4">
        <v>13</v>
      </c>
      <c r="C5394" s="15">
        <v>115</v>
      </c>
      <c r="D5394" s="16">
        <v>9</v>
      </c>
      <c r="E5394" s="22">
        <v>44846</v>
      </c>
      <c r="F5394" s="19">
        <v>20</v>
      </c>
      <c r="G5394" s="18">
        <v>0.14000000000000001</v>
      </c>
      <c r="H5394">
        <f>F5394*VLOOKUP(B5394,產品!$A$2:$H$61,7,FALSE)*(1-銷售總表!G5394)</f>
        <v>30960</v>
      </c>
      <c r="I5394" s="35">
        <f>H5394-F5394*VLOOKUP(銷售總表!B5394,產品!$A$2:$H$61,8,FALSE)</f>
        <v>16560</v>
      </c>
      <c r="J5394" s="20">
        <f t="shared" si="84"/>
        <v>0.53488372093023251</v>
      </c>
    </row>
    <row r="5395" spans="1:10" x14ac:dyDescent="0.3">
      <c r="A5395" s="33">
        <v>5394</v>
      </c>
      <c r="B5395" s="4">
        <v>4</v>
      </c>
      <c r="C5395" s="15">
        <v>282</v>
      </c>
      <c r="D5395" s="16">
        <v>8</v>
      </c>
      <c r="E5395" s="22">
        <v>44846</v>
      </c>
      <c r="F5395" s="19">
        <v>50</v>
      </c>
      <c r="G5395" s="18">
        <v>0.2</v>
      </c>
      <c r="H5395">
        <f>F5395*VLOOKUP(B5395,產品!$A$2:$H$61,7,FALSE)*(1-銷售總表!G5395)</f>
        <v>40000</v>
      </c>
      <c r="I5395" s="35">
        <f>H5395-F5395*VLOOKUP(銷售總表!B5395,產品!$A$2:$H$61,8,FALSE)</f>
        <v>20000</v>
      </c>
      <c r="J5395" s="20">
        <f t="shared" si="84"/>
        <v>0.5</v>
      </c>
    </row>
    <row r="5396" spans="1:10" x14ac:dyDescent="0.3">
      <c r="A5396" s="33">
        <v>5395</v>
      </c>
      <c r="B5396" s="4">
        <v>22</v>
      </c>
      <c r="C5396" s="15">
        <v>284</v>
      </c>
      <c r="D5396" s="16">
        <v>9</v>
      </c>
      <c r="E5396" s="22">
        <v>44846</v>
      </c>
      <c r="F5396" s="19">
        <v>70</v>
      </c>
      <c r="G5396" s="18">
        <v>0.09</v>
      </c>
      <c r="H5396">
        <f>F5396*VLOOKUP(B5396,產品!$A$2:$H$61,7,FALSE)*(1-銷售總表!G5396)</f>
        <v>114660</v>
      </c>
      <c r="I5396" s="35">
        <f>H5396-F5396*VLOOKUP(銷售總表!B5396,產品!$A$2:$H$61,8,FALSE)</f>
        <v>64260</v>
      </c>
      <c r="J5396" s="20">
        <f t="shared" si="84"/>
        <v>0.56043956043956045</v>
      </c>
    </row>
    <row r="5397" spans="1:10" x14ac:dyDescent="0.3">
      <c r="A5397" s="33">
        <v>5396</v>
      </c>
      <c r="B5397" s="4">
        <v>40</v>
      </c>
      <c r="C5397" s="15">
        <v>6</v>
      </c>
      <c r="D5397" s="16">
        <v>1</v>
      </c>
      <c r="E5397" s="22">
        <v>44847</v>
      </c>
      <c r="F5397" s="19">
        <v>3</v>
      </c>
      <c r="G5397" s="18">
        <v>0.12</v>
      </c>
      <c r="H5397">
        <f>F5397*VLOOKUP(B5397,產品!$A$2:$H$61,7,FALSE)*(1-銷售總表!G5397)</f>
        <v>52800</v>
      </c>
      <c r="I5397" s="35">
        <f>H5397-F5397*VLOOKUP(銷售總表!B5397,產品!$A$2:$H$61,8,FALSE)</f>
        <v>13800</v>
      </c>
      <c r="J5397" s="20">
        <f t="shared" si="84"/>
        <v>0.26136363636363635</v>
      </c>
    </row>
    <row r="5398" spans="1:10" x14ac:dyDescent="0.3">
      <c r="A5398" s="33">
        <v>5397</v>
      </c>
      <c r="B5398" s="4">
        <v>32</v>
      </c>
      <c r="C5398" s="15">
        <v>3</v>
      </c>
      <c r="D5398" s="16">
        <v>1</v>
      </c>
      <c r="E5398" s="22">
        <v>44847</v>
      </c>
      <c r="F5398" s="19">
        <v>4</v>
      </c>
      <c r="G5398" s="18">
        <v>0.05</v>
      </c>
      <c r="H5398">
        <f>F5398*VLOOKUP(B5398,產品!$A$2:$H$61,7,FALSE)*(1-銷售總表!G5398)</f>
        <v>28500</v>
      </c>
      <c r="I5398" s="35">
        <f>H5398-F5398*VLOOKUP(銷售總表!B5398,產品!$A$2:$H$61,8,FALSE)</f>
        <v>10500</v>
      </c>
      <c r="J5398" s="20">
        <f t="shared" si="84"/>
        <v>0.36842105263157893</v>
      </c>
    </row>
    <row r="5399" spans="1:10" x14ac:dyDescent="0.3">
      <c r="A5399" s="33">
        <v>5398</v>
      </c>
      <c r="B5399" s="4">
        <v>55</v>
      </c>
      <c r="C5399" s="15">
        <v>280</v>
      </c>
      <c r="D5399" s="16">
        <v>2</v>
      </c>
      <c r="E5399" s="22">
        <v>44847</v>
      </c>
      <c r="F5399" s="19">
        <v>5</v>
      </c>
      <c r="G5399" s="18">
        <v>0.2</v>
      </c>
      <c r="H5399">
        <f>F5399*VLOOKUP(B5399,產品!$A$2:$H$61,7,FALSE)*(1-銷售總表!G5399)</f>
        <v>80000</v>
      </c>
      <c r="I5399" s="35">
        <f>H5399-F5399*VLOOKUP(銷售總表!B5399,產品!$A$2:$H$61,8,FALSE)</f>
        <v>10000</v>
      </c>
      <c r="J5399" s="20">
        <f t="shared" si="84"/>
        <v>0.125</v>
      </c>
    </row>
    <row r="5400" spans="1:10" x14ac:dyDescent="0.3">
      <c r="A5400" s="33">
        <v>5399</v>
      </c>
      <c r="B5400" s="4">
        <v>31</v>
      </c>
      <c r="C5400" s="15">
        <v>290</v>
      </c>
      <c r="D5400" s="16">
        <v>2</v>
      </c>
      <c r="E5400" s="22">
        <v>44847</v>
      </c>
      <c r="F5400" s="19">
        <v>6</v>
      </c>
      <c r="G5400" s="18">
        <v>7.0000000000000007E-2</v>
      </c>
      <c r="H5400">
        <f>F5400*VLOOKUP(B5400,產品!$A$2:$H$61,7,FALSE)*(1-銷售總表!G5400)</f>
        <v>39060</v>
      </c>
      <c r="I5400" s="35">
        <f>H5400-F5400*VLOOKUP(銷售總表!B5400,產品!$A$2:$H$61,8,FALSE)</f>
        <v>13860</v>
      </c>
      <c r="J5400" s="20">
        <f t="shared" si="84"/>
        <v>0.35483870967741937</v>
      </c>
    </row>
    <row r="5401" spans="1:10" x14ac:dyDescent="0.3">
      <c r="A5401" s="33">
        <v>5400</v>
      </c>
      <c r="B5401" s="4">
        <v>60</v>
      </c>
      <c r="C5401" s="15">
        <v>122</v>
      </c>
      <c r="D5401" s="16">
        <v>7</v>
      </c>
      <c r="E5401" s="22">
        <v>44847</v>
      </c>
      <c r="F5401" s="19">
        <v>10</v>
      </c>
      <c r="G5401" s="18">
        <v>0.08</v>
      </c>
      <c r="H5401">
        <f>F5401*VLOOKUP(B5401,產品!$A$2:$H$61,7,FALSE)*(1-銷售總表!G5401)</f>
        <v>230000</v>
      </c>
      <c r="I5401" s="35">
        <f>H5401-F5401*VLOOKUP(銷售總表!B5401,產品!$A$2:$H$61,8,FALSE)</f>
        <v>55000</v>
      </c>
      <c r="J5401" s="20">
        <f t="shared" si="84"/>
        <v>0.2391304347826087</v>
      </c>
    </row>
    <row r="5402" spans="1:10" x14ac:dyDescent="0.3">
      <c r="A5402" s="33">
        <v>5401</v>
      </c>
      <c r="B5402" s="4">
        <v>23</v>
      </c>
      <c r="C5402" s="15">
        <v>257</v>
      </c>
      <c r="D5402" s="16">
        <v>7</v>
      </c>
      <c r="E5402" s="22">
        <v>44847</v>
      </c>
      <c r="F5402" s="19">
        <v>17</v>
      </c>
      <c r="G5402" s="18">
        <v>0.13</v>
      </c>
      <c r="H5402">
        <f>F5402*VLOOKUP(B5402,產品!$A$2:$H$61,7,FALSE)*(1-銷售總表!G5402)</f>
        <v>26622</v>
      </c>
      <c r="I5402" s="35">
        <f>H5402-F5402*VLOOKUP(銷售總表!B5402,產品!$A$2:$H$61,8,FALSE)</f>
        <v>14382</v>
      </c>
      <c r="J5402" s="20">
        <f t="shared" si="84"/>
        <v>0.54022988505747127</v>
      </c>
    </row>
    <row r="5403" spans="1:10" x14ac:dyDescent="0.3">
      <c r="A5403" s="33">
        <v>5402</v>
      </c>
      <c r="B5403" s="4">
        <v>9</v>
      </c>
      <c r="C5403" s="15">
        <v>3</v>
      </c>
      <c r="D5403" s="16">
        <v>6</v>
      </c>
      <c r="E5403" s="22">
        <v>44847</v>
      </c>
      <c r="F5403" s="19">
        <v>23</v>
      </c>
      <c r="G5403" s="18">
        <v>0.19</v>
      </c>
      <c r="H5403">
        <f>F5403*VLOOKUP(B5403,產品!$A$2:$H$61,7,FALSE)*(1-銷售總表!G5403)</f>
        <v>18630</v>
      </c>
      <c r="I5403" s="35">
        <f>H5403-F5403*VLOOKUP(銷售總表!B5403,產品!$A$2:$H$61,8,FALSE)</f>
        <v>9430</v>
      </c>
      <c r="J5403" s="20">
        <f t="shared" si="84"/>
        <v>0.50617283950617287</v>
      </c>
    </row>
    <row r="5404" spans="1:10" x14ac:dyDescent="0.3">
      <c r="A5404" s="33">
        <v>5403</v>
      </c>
      <c r="B5404" s="4">
        <v>20</v>
      </c>
      <c r="C5404" s="15">
        <v>6</v>
      </c>
      <c r="D5404" s="16">
        <v>4</v>
      </c>
      <c r="E5404" s="22">
        <v>44847</v>
      </c>
      <c r="F5404" s="19">
        <v>45</v>
      </c>
      <c r="G5404" s="18">
        <v>0.13</v>
      </c>
      <c r="H5404">
        <f>F5404*VLOOKUP(B5404,產品!$A$2:$H$61,7,FALSE)*(1-銷售總表!G5404)</f>
        <v>70470</v>
      </c>
      <c r="I5404" s="35">
        <f>H5404-F5404*VLOOKUP(銷售總表!B5404,產品!$A$2:$H$61,8,FALSE)</f>
        <v>38070</v>
      </c>
      <c r="J5404" s="20">
        <f t="shared" si="84"/>
        <v>0.54022988505747127</v>
      </c>
    </row>
    <row r="5405" spans="1:10" x14ac:dyDescent="0.3">
      <c r="A5405" s="33">
        <v>5404</v>
      </c>
      <c r="B5405" s="4">
        <v>22</v>
      </c>
      <c r="C5405" s="15">
        <v>12</v>
      </c>
      <c r="D5405" s="16">
        <v>7</v>
      </c>
      <c r="E5405" s="22">
        <v>44847</v>
      </c>
      <c r="F5405" s="19">
        <v>50</v>
      </c>
      <c r="G5405" s="18">
        <v>0.15</v>
      </c>
      <c r="H5405">
        <f>F5405*VLOOKUP(B5405,產品!$A$2:$H$61,7,FALSE)*(1-銷售總表!G5405)</f>
        <v>76500</v>
      </c>
      <c r="I5405" s="35">
        <f>H5405-F5405*VLOOKUP(銷售總表!B5405,產品!$A$2:$H$61,8,FALSE)</f>
        <v>40500</v>
      </c>
      <c r="J5405" s="20">
        <f t="shared" si="84"/>
        <v>0.52941176470588236</v>
      </c>
    </row>
    <row r="5406" spans="1:10" x14ac:dyDescent="0.3">
      <c r="A5406" s="33">
        <v>5405</v>
      </c>
      <c r="B5406" s="4">
        <v>44</v>
      </c>
      <c r="C5406" s="15">
        <v>11</v>
      </c>
      <c r="D5406" s="16">
        <v>10</v>
      </c>
      <c r="E5406" s="22">
        <v>44848</v>
      </c>
      <c r="F5406" s="19">
        <v>1</v>
      </c>
      <c r="G5406" s="18">
        <v>0.14000000000000001</v>
      </c>
      <c r="H5406">
        <f>F5406*VLOOKUP(B5406,產品!$A$2:$H$61,7,FALSE)*(1-銷售總表!G5406)</f>
        <v>17200</v>
      </c>
      <c r="I5406" s="35">
        <f>H5406-F5406*VLOOKUP(銷售總表!B5406,產品!$A$2:$H$61,8,FALSE)</f>
        <v>4200</v>
      </c>
      <c r="J5406" s="20">
        <f t="shared" si="84"/>
        <v>0.2441860465116279</v>
      </c>
    </row>
    <row r="5407" spans="1:10" x14ac:dyDescent="0.3">
      <c r="A5407" s="33">
        <v>5406</v>
      </c>
      <c r="B5407" s="4">
        <v>29</v>
      </c>
      <c r="C5407" s="15">
        <v>290</v>
      </c>
      <c r="D5407" s="16">
        <v>2</v>
      </c>
      <c r="E5407" s="22">
        <v>44848</v>
      </c>
      <c r="F5407" s="19">
        <v>4</v>
      </c>
      <c r="G5407" s="18">
        <v>0.12</v>
      </c>
      <c r="H5407">
        <f>F5407*VLOOKUP(B5407,產品!$A$2:$H$61,7,FALSE)*(1-銷售總表!G5407)</f>
        <v>21120</v>
      </c>
      <c r="I5407" s="35">
        <f>H5407-F5407*VLOOKUP(銷售總表!B5407,產品!$A$2:$H$61,8,FALSE)</f>
        <v>6720</v>
      </c>
      <c r="J5407" s="20">
        <f t="shared" si="84"/>
        <v>0.31818181818181818</v>
      </c>
    </row>
    <row r="5408" spans="1:10" x14ac:dyDescent="0.3">
      <c r="A5408" s="33">
        <v>5407</v>
      </c>
      <c r="B5408" s="4">
        <v>55</v>
      </c>
      <c r="C5408" s="15">
        <v>124</v>
      </c>
      <c r="D5408" s="16">
        <v>8</v>
      </c>
      <c r="E5408" s="23">
        <v>44848</v>
      </c>
      <c r="F5408">
        <v>7</v>
      </c>
      <c r="G5408" s="20">
        <v>0.1</v>
      </c>
      <c r="H5408">
        <f>F5408*VLOOKUP(B5408,產品!$A$2:$H$61,7,FALSE)*(1-銷售總表!G5408)</f>
        <v>126000</v>
      </c>
      <c r="I5408" s="35">
        <f>H5408-F5408*VLOOKUP(銷售總表!B5408,產品!$A$2:$H$61,8,FALSE)</f>
        <v>28000</v>
      </c>
      <c r="J5408" s="20">
        <f t="shared" si="84"/>
        <v>0.22222222222222221</v>
      </c>
    </row>
    <row r="5409" spans="1:10" x14ac:dyDescent="0.3">
      <c r="A5409" s="33">
        <v>5408</v>
      </c>
      <c r="B5409" s="4">
        <v>6</v>
      </c>
      <c r="C5409" s="15">
        <v>112</v>
      </c>
      <c r="D5409" s="16">
        <v>1</v>
      </c>
      <c r="E5409" s="22">
        <v>44848</v>
      </c>
      <c r="F5409" s="19">
        <v>10</v>
      </c>
      <c r="G5409" s="18">
        <v>0.12</v>
      </c>
      <c r="H5409">
        <f>F5409*VLOOKUP(B5409,產品!$A$2:$H$61,7,FALSE)*(1-銷售總表!G5409)</f>
        <v>8800</v>
      </c>
      <c r="I5409" s="35">
        <f>H5409-F5409*VLOOKUP(銷售總表!B5409,產品!$A$2:$H$61,8,FALSE)</f>
        <v>4800</v>
      </c>
      <c r="J5409" s="20">
        <f t="shared" si="84"/>
        <v>0.54545454545454541</v>
      </c>
    </row>
    <row r="5410" spans="1:10" x14ac:dyDescent="0.3">
      <c r="A5410" s="33">
        <v>5409</v>
      </c>
      <c r="B5410" s="4">
        <v>59</v>
      </c>
      <c r="C5410" s="15">
        <v>1</v>
      </c>
      <c r="D5410" s="16">
        <v>5</v>
      </c>
      <c r="E5410" s="22">
        <v>44848</v>
      </c>
      <c r="F5410" s="19">
        <v>15</v>
      </c>
      <c r="G5410" s="18">
        <v>0.17</v>
      </c>
      <c r="H5410">
        <f>F5410*VLOOKUP(B5410,產品!$A$2:$H$61,7,FALSE)*(1-銷售總表!G5410)</f>
        <v>298800</v>
      </c>
      <c r="I5410" s="35">
        <f>H5410-F5410*VLOOKUP(銷售總表!B5410,產品!$A$2:$H$61,8,FALSE)</f>
        <v>46800</v>
      </c>
      <c r="J5410" s="20">
        <f t="shared" si="84"/>
        <v>0.15662650602409639</v>
      </c>
    </row>
    <row r="5411" spans="1:10" x14ac:dyDescent="0.3">
      <c r="A5411" s="33">
        <v>5410</v>
      </c>
      <c r="B5411" s="4">
        <v>18</v>
      </c>
      <c r="C5411" s="15">
        <v>123</v>
      </c>
      <c r="D5411" s="16">
        <v>2</v>
      </c>
      <c r="E5411" s="22">
        <v>44848</v>
      </c>
      <c r="F5411" s="19">
        <v>40</v>
      </c>
      <c r="G5411" s="18">
        <v>0.19</v>
      </c>
      <c r="H5411">
        <f>F5411*VLOOKUP(B5411,產品!$A$2:$H$61,7,FALSE)*(1-銷售總表!G5411)</f>
        <v>58320.000000000007</v>
      </c>
      <c r="I5411" s="35">
        <f>H5411-F5411*VLOOKUP(銷售總表!B5411,產品!$A$2:$H$61,8,FALSE)</f>
        <v>29520.000000000007</v>
      </c>
      <c r="J5411" s="20">
        <f t="shared" si="84"/>
        <v>0.50617283950617287</v>
      </c>
    </row>
    <row r="5412" spans="1:10" x14ac:dyDescent="0.3">
      <c r="A5412" s="33">
        <v>5411</v>
      </c>
      <c r="B5412" s="4">
        <v>2</v>
      </c>
      <c r="C5412" s="15">
        <v>112</v>
      </c>
      <c r="D5412" s="16">
        <v>3</v>
      </c>
      <c r="E5412" s="22">
        <v>44848</v>
      </c>
      <c r="F5412" s="19">
        <v>50</v>
      </c>
      <c r="G5412" s="18">
        <v>0.1</v>
      </c>
      <c r="H5412">
        <f>F5412*VLOOKUP(B5412,產品!$A$2:$H$61,7,FALSE)*(1-銷售總表!G5412)</f>
        <v>45000</v>
      </c>
      <c r="I5412" s="35">
        <f>H5412-F5412*VLOOKUP(銷售總表!B5412,產品!$A$2:$H$61,8,FALSE)</f>
        <v>25000</v>
      </c>
      <c r="J5412" s="20">
        <f t="shared" si="84"/>
        <v>0.55555555555555558</v>
      </c>
    </row>
    <row r="5413" spans="1:10" x14ac:dyDescent="0.3">
      <c r="A5413" s="33">
        <v>5412</v>
      </c>
      <c r="B5413" s="4">
        <v>20</v>
      </c>
      <c r="C5413" s="15">
        <v>136</v>
      </c>
      <c r="D5413" s="16">
        <v>9</v>
      </c>
      <c r="E5413" s="22">
        <v>44848</v>
      </c>
      <c r="F5413" s="19">
        <v>80</v>
      </c>
      <c r="G5413" s="18">
        <v>0.2</v>
      </c>
      <c r="H5413">
        <f>F5413*VLOOKUP(B5413,產品!$A$2:$H$61,7,FALSE)*(1-銷售總表!G5413)</f>
        <v>115200</v>
      </c>
      <c r="I5413" s="35">
        <f>H5413-F5413*VLOOKUP(銷售總表!B5413,產品!$A$2:$H$61,8,FALSE)</f>
        <v>57600</v>
      </c>
      <c r="J5413" s="20">
        <f t="shared" si="84"/>
        <v>0.5</v>
      </c>
    </row>
    <row r="5414" spans="1:10" x14ac:dyDescent="0.3">
      <c r="A5414" s="33">
        <v>5413</v>
      </c>
      <c r="B5414" s="4">
        <v>4</v>
      </c>
      <c r="C5414" s="15">
        <v>293</v>
      </c>
      <c r="D5414" s="16">
        <v>5</v>
      </c>
      <c r="E5414" s="22">
        <v>44848</v>
      </c>
      <c r="F5414" s="19">
        <v>100</v>
      </c>
      <c r="G5414" s="18">
        <v>0.05</v>
      </c>
      <c r="H5414">
        <f>F5414*VLOOKUP(B5414,產品!$A$2:$H$61,7,FALSE)*(1-銷售總表!G5414)</f>
        <v>95000</v>
      </c>
      <c r="I5414" s="35">
        <f>H5414-F5414*VLOOKUP(銷售總表!B5414,產品!$A$2:$H$61,8,FALSE)</f>
        <v>55000</v>
      </c>
      <c r="J5414" s="20">
        <f t="shared" si="84"/>
        <v>0.57894736842105265</v>
      </c>
    </row>
    <row r="5415" spans="1:10" x14ac:dyDescent="0.3">
      <c r="A5415" s="33">
        <v>5414</v>
      </c>
      <c r="B5415" s="4">
        <v>58</v>
      </c>
      <c r="C5415" s="15">
        <v>115</v>
      </c>
      <c r="D5415" s="16">
        <v>9</v>
      </c>
      <c r="E5415" s="22">
        <v>44849</v>
      </c>
      <c r="F5415" s="19">
        <v>5</v>
      </c>
      <c r="G5415" s="18">
        <v>0.1</v>
      </c>
      <c r="H5415">
        <f>F5415*VLOOKUP(B5415,產品!$A$2:$H$61,7,FALSE)*(1-銷售總表!G5415)</f>
        <v>94500</v>
      </c>
      <c r="I5415" s="35">
        <f>H5415-F5415*VLOOKUP(銷售總表!B5415,產品!$A$2:$H$61,8,FALSE)</f>
        <v>21000.000000000015</v>
      </c>
      <c r="J5415" s="20">
        <f t="shared" si="84"/>
        <v>0.22222222222222238</v>
      </c>
    </row>
    <row r="5416" spans="1:10" x14ac:dyDescent="0.3">
      <c r="A5416" s="33">
        <v>5415</v>
      </c>
      <c r="B5416" s="4">
        <v>45</v>
      </c>
      <c r="C5416" s="15">
        <v>126</v>
      </c>
      <c r="D5416" s="16">
        <v>3</v>
      </c>
      <c r="E5416" s="22">
        <v>44849</v>
      </c>
      <c r="F5416" s="19">
        <v>5</v>
      </c>
      <c r="G5416" s="18">
        <v>0.14000000000000001</v>
      </c>
      <c r="H5416">
        <f>F5416*VLOOKUP(B5416,產品!$A$2:$H$61,7,FALSE)*(1-銷售總表!G5416)</f>
        <v>60200</v>
      </c>
      <c r="I5416" s="35">
        <f>H5416-F5416*VLOOKUP(銷售總表!B5416,產品!$A$2:$H$61,8,FALSE)</f>
        <v>14700</v>
      </c>
      <c r="J5416" s="20">
        <f t="shared" si="84"/>
        <v>0.2441860465116279</v>
      </c>
    </row>
    <row r="5417" spans="1:10" x14ac:dyDescent="0.3">
      <c r="A5417" s="33">
        <v>5416</v>
      </c>
      <c r="B5417" s="4">
        <v>13</v>
      </c>
      <c r="C5417" s="15">
        <v>3</v>
      </c>
      <c r="D5417" s="16">
        <v>6</v>
      </c>
      <c r="E5417" s="23">
        <v>44849</v>
      </c>
      <c r="F5417">
        <v>10</v>
      </c>
      <c r="G5417" s="20">
        <v>0.09</v>
      </c>
      <c r="H5417">
        <f>F5417*VLOOKUP(B5417,產品!$A$2:$H$61,7,FALSE)*(1-銷售總表!G5417)</f>
        <v>16380</v>
      </c>
      <c r="I5417" s="35">
        <f>H5417-F5417*VLOOKUP(銷售總表!B5417,產品!$A$2:$H$61,8,FALSE)</f>
        <v>9180</v>
      </c>
      <c r="J5417" s="20">
        <f t="shared" si="84"/>
        <v>0.56043956043956045</v>
      </c>
    </row>
    <row r="5418" spans="1:10" x14ac:dyDescent="0.3">
      <c r="A5418" s="33">
        <v>5417</v>
      </c>
      <c r="B5418" s="4">
        <v>7</v>
      </c>
      <c r="C5418" s="15">
        <v>267</v>
      </c>
      <c r="D5418" s="16">
        <v>2</v>
      </c>
      <c r="E5418" s="22">
        <v>44849</v>
      </c>
      <c r="F5418" s="19">
        <v>80</v>
      </c>
      <c r="G5418" s="18">
        <v>0.06</v>
      </c>
      <c r="H5418">
        <f>F5418*VLOOKUP(B5418,產品!$A$2:$H$61,7,FALSE)*(1-銷售總表!G5418)</f>
        <v>75200</v>
      </c>
      <c r="I5418" s="35">
        <f>H5418-F5418*VLOOKUP(銷售總表!B5418,產品!$A$2:$H$61,8,FALSE)</f>
        <v>43200</v>
      </c>
      <c r="J5418" s="20">
        <f t="shared" si="84"/>
        <v>0.57446808510638303</v>
      </c>
    </row>
    <row r="5419" spans="1:10" x14ac:dyDescent="0.3">
      <c r="A5419" s="33">
        <v>5418</v>
      </c>
      <c r="B5419" s="4">
        <v>18</v>
      </c>
      <c r="C5419" s="15">
        <v>6</v>
      </c>
      <c r="D5419" s="16">
        <v>3</v>
      </c>
      <c r="E5419" s="22">
        <v>44849</v>
      </c>
      <c r="F5419" s="19">
        <v>90</v>
      </c>
      <c r="G5419" s="18">
        <v>7.0000000000000007E-2</v>
      </c>
      <c r="H5419">
        <f>F5419*VLOOKUP(B5419,產品!$A$2:$H$61,7,FALSE)*(1-銷售總表!G5419)</f>
        <v>150660</v>
      </c>
      <c r="I5419" s="35">
        <f>H5419-F5419*VLOOKUP(銷售總表!B5419,產品!$A$2:$H$61,8,FALSE)</f>
        <v>85860</v>
      </c>
      <c r="J5419" s="20">
        <f t="shared" si="84"/>
        <v>0.56989247311827962</v>
      </c>
    </row>
    <row r="5420" spans="1:10" x14ac:dyDescent="0.3">
      <c r="A5420" s="33">
        <v>5419</v>
      </c>
      <c r="B5420" s="4">
        <v>28</v>
      </c>
      <c r="C5420" s="15">
        <v>7</v>
      </c>
      <c r="D5420" s="16">
        <v>1</v>
      </c>
      <c r="E5420" s="22">
        <v>44850</v>
      </c>
      <c r="F5420" s="19">
        <v>1</v>
      </c>
      <c r="G5420" s="18">
        <v>0.11</v>
      </c>
      <c r="H5420">
        <f>F5420*VLOOKUP(B5420,產品!$A$2:$H$61,7,FALSE)*(1-銷售總表!G5420)</f>
        <v>6675</v>
      </c>
      <c r="I5420" s="35">
        <f>H5420-F5420*VLOOKUP(銷售總表!B5420,產品!$A$2:$H$61,8,FALSE)</f>
        <v>2175</v>
      </c>
      <c r="J5420" s="20">
        <f t="shared" si="84"/>
        <v>0.3258426966292135</v>
      </c>
    </row>
    <row r="5421" spans="1:10" x14ac:dyDescent="0.3">
      <c r="A5421" s="33">
        <v>5420</v>
      </c>
      <c r="B5421" s="4">
        <v>38</v>
      </c>
      <c r="C5421" s="15">
        <v>265</v>
      </c>
      <c r="D5421" s="16">
        <v>4</v>
      </c>
      <c r="E5421" s="22">
        <v>44850</v>
      </c>
      <c r="F5421" s="19">
        <v>5</v>
      </c>
      <c r="G5421" s="18">
        <v>0.06</v>
      </c>
      <c r="H5421">
        <f>F5421*VLOOKUP(B5421,產品!$A$2:$H$61,7,FALSE)*(1-銷售總表!G5421)</f>
        <v>70500</v>
      </c>
      <c r="I5421" s="35">
        <f>H5421-F5421*VLOOKUP(銷售總表!B5421,產品!$A$2:$H$61,8,FALSE)</f>
        <v>21750</v>
      </c>
      <c r="J5421" s="20">
        <f t="shared" si="84"/>
        <v>0.30851063829787234</v>
      </c>
    </row>
    <row r="5422" spans="1:10" x14ac:dyDescent="0.3">
      <c r="A5422" s="33">
        <v>5421</v>
      </c>
      <c r="B5422" s="4">
        <v>24</v>
      </c>
      <c r="C5422" s="15">
        <v>268</v>
      </c>
      <c r="D5422" s="16">
        <v>8</v>
      </c>
      <c r="E5422" s="22">
        <v>44850</v>
      </c>
      <c r="F5422" s="19">
        <v>30</v>
      </c>
      <c r="G5422" s="18">
        <v>7.0000000000000007E-2</v>
      </c>
      <c r="H5422">
        <f>F5422*VLOOKUP(B5422,產品!$A$2:$H$61,7,FALSE)*(1-銷售總表!G5422)</f>
        <v>50220</v>
      </c>
      <c r="I5422" s="35">
        <f>H5422-F5422*VLOOKUP(銷售總表!B5422,產品!$A$2:$H$61,8,FALSE)</f>
        <v>28620</v>
      </c>
      <c r="J5422" s="20">
        <f t="shared" si="84"/>
        <v>0.56989247311827962</v>
      </c>
    </row>
    <row r="5423" spans="1:10" x14ac:dyDescent="0.3">
      <c r="A5423" s="33">
        <v>5422</v>
      </c>
      <c r="B5423" s="4">
        <v>21</v>
      </c>
      <c r="C5423" s="15">
        <v>280</v>
      </c>
      <c r="D5423" s="16">
        <v>7</v>
      </c>
      <c r="E5423" s="23">
        <v>44850</v>
      </c>
      <c r="F5423">
        <v>50</v>
      </c>
      <c r="G5423" s="20">
        <v>0.13</v>
      </c>
      <c r="H5423">
        <f>F5423*VLOOKUP(B5423,產品!$A$2:$H$61,7,FALSE)*(1-銷售總表!G5423)</f>
        <v>78300</v>
      </c>
      <c r="I5423" s="35">
        <f>H5423-F5423*VLOOKUP(銷售總表!B5423,產品!$A$2:$H$61,8,FALSE)</f>
        <v>42300</v>
      </c>
      <c r="J5423" s="20">
        <f t="shared" si="84"/>
        <v>0.54022988505747127</v>
      </c>
    </row>
    <row r="5424" spans="1:10" x14ac:dyDescent="0.3">
      <c r="A5424" s="33">
        <v>5423</v>
      </c>
      <c r="B5424" s="4">
        <v>47</v>
      </c>
      <c r="C5424" s="15">
        <v>140</v>
      </c>
      <c r="D5424" s="16">
        <v>4</v>
      </c>
      <c r="E5424" s="22">
        <v>44851</v>
      </c>
      <c r="F5424" s="19">
        <v>3</v>
      </c>
      <c r="G5424" s="18">
        <v>0.15</v>
      </c>
      <c r="H5424">
        <f>F5424*VLOOKUP(B5424,產品!$A$2:$H$61,7,FALSE)*(1-銷售總表!G5424)</f>
        <v>51000</v>
      </c>
      <c r="I5424" s="35">
        <f>H5424-F5424*VLOOKUP(銷售總表!B5424,產品!$A$2:$H$61,8,FALSE)</f>
        <v>12000</v>
      </c>
      <c r="J5424" s="20">
        <f t="shared" si="84"/>
        <v>0.23529411764705882</v>
      </c>
    </row>
    <row r="5425" spans="1:10" x14ac:dyDescent="0.3">
      <c r="A5425" s="33">
        <v>5424</v>
      </c>
      <c r="B5425" s="4">
        <v>53</v>
      </c>
      <c r="C5425" s="15">
        <v>259</v>
      </c>
      <c r="D5425" s="16">
        <v>9</v>
      </c>
      <c r="E5425" s="22">
        <v>44851</v>
      </c>
      <c r="F5425" s="19">
        <v>5</v>
      </c>
      <c r="G5425" s="18">
        <v>0.16</v>
      </c>
      <c r="H5425">
        <f>F5425*VLOOKUP(B5425,產品!$A$2:$H$61,7,FALSE)*(1-銷售總表!G5425)</f>
        <v>63000</v>
      </c>
      <c r="I5425" s="35">
        <f>H5425-F5425*VLOOKUP(銷售總表!B5425,產品!$A$2:$H$61,8,FALSE)</f>
        <v>10500</v>
      </c>
      <c r="J5425" s="20">
        <f t="shared" si="84"/>
        <v>0.16666666666666666</v>
      </c>
    </row>
    <row r="5426" spans="1:10" x14ac:dyDescent="0.3">
      <c r="A5426" s="33">
        <v>5425</v>
      </c>
      <c r="B5426" s="4">
        <v>41</v>
      </c>
      <c r="C5426" s="15">
        <v>4</v>
      </c>
      <c r="D5426" s="16">
        <v>2</v>
      </c>
      <c r="E5426" s="22">
        <v>44851</v>
      </c>
      <c r="F5426" s="19">
        <v>7</v>
      </c>
      <c r="G5426" s="18">
        <v>0.12</v>
      </c>
      <c r="H5426">
        <f>F5426*VLOOKUP(B5426,產品!$A$2:$H$61,7,FALSE)*(1-銷售總表!G5426)</f>
        <v>73920</v>
      </c>
      <c r="I5426" s="35">
        <f>H5426-F5426*VLOOKUP(銷售總表!B5426,產品!$A$2:$H$61,8,FALSE)</f>
        <v>19320</v>
      </c>
      <c r="J5426" s="20">
        <f t="shared" si="84"/>
        <v>0.26136363636363635</v>
      </c>
    </row>
    <row r="5427" spans="1:10" x14ac:dyDescent="0.3">
      <c r="A5427" s="33">
        <v>5426</v>
      </c>
      <c r="B5427" s="4">
        <v>28</v>
      </c>
      <c r="C5427" s="15">
        <v>9</v>
      </c>
      <c r="D5427" s="16">
        <v>6</v>
      </c>
      <c r="E5427" s="22">
        <v>44851</v>
      </c>
      <c r="F5427" s="19">
        <v>9</v>
      </c>
      <c r="G5427" s="18">
        <v>0.13</v>
      </c>
      <c r="H5427">
        <f>F5427*VLOOKUP(B5427,產品!$A$2:$H$61,7,FALSE)*(1-銷售總表!G5427)</f>
        <v>58725</v>
      </c>
      <c r="I5427" s="35">
        <f>H5427-F5427*VLOOKUP(銷售總表!B5427,產品!$A$2:$H$61,8,FALSE)</f>
        <v>18225</v>
      </c>
      <c r="J5427" s="20">
        <f t="shared" si="84"/>
        <v>0.31034482758620691</v>
      </c>
    </row>
    <row r="5428" spans="1:10" x14ac:dyDescent="0.3">
      <c r="A5428" s="33">
        <v>5427</v>
      </c>
      <c r="B5428" s="4">
        <v>40</v>
      </c>
      <c r="C5428" s="15">
        <v>272</v>
      </c>
      <c r="D5428" s="16">
        <v>7</v>
      </c>
      <c r="E5428" s="23">
        <v>44851</v>
      </c>
      <c r="F5428">
        <v>13</v>
      </c>
      <c r="G5428" s="20">
        <v>0.14000000000000001</v>
      </c>
      <c r="H5428">
        <f>F5428*VLOOKUP(B5428,產品!$A$2:$H$61,7,FALSE)*(1-銷售總表!G5428)</f>
        <v>223600</v>
      </c>
      <c r="I5428" s="35">
        <f>H5428-F5428*VLOOKUP(銷售總表!B5428,產品!$A$2:$H$61,8,FALSE)</f>
        <v>54600</v>
      </c>
      <c r="J5428" s="20">
        <f t="shared" si="84"/>
        <v>0.2441860465116279</v>
      </c>
    </row>
    <row r="5429" spans="1:10" x14ac:dyDescent="0.3">
      <c r="A5429" s="33">
        <v>5428</v>
      </c>
      <c r="B5429" s="4">
        <v>7</v>
      </c>
      <c r="C5429" s="15">
        <v>272</v>
      </c>
      <c r="D5429" s="16">
        <v>3</v>
      </c>
      <c r="E5429" s="22">
        <v>44851</v>
      </c>
      <c r="F5429" s="19">
        <v>50</v>
      </c>
      <c r="G5429" s="18">
        <v>7.0000000000000007E-2</v>
      </c>
      <c r="H5429">
        <f>F5429*VLOOKUP(B5429,產品!$A$2:$H$61,7,FALSE)*(1-銷售總表!G5429)</f>
        <v>46500</v>
      </c>
      <c r="I5429" s="35">
        <f>H5429-F5429*VLOOKUP(銷售總表!B5429,產品!$A$2:$H$61,8,FALSE)</f>
        <v>26500</v>
      </c>
      <c r="J5429" s="20">
        <f t="shared" si="84"/>
        <v>0.56989247311827962</v>
      </c>
    </row>
    <row r="5430" spans="1:10" x14ac:dyDescent="0.3">
      <c r="A5430" s="33">
        <v>5429</v>
      </c>
      <c r="B5430" s="4">
        <v>11</v>
      </c>
      <c r="C5430" s="15">
        <v>285</v>
      </c>
      <c r="D5430" s="16">
        <v>1</v>
      </c>
      <c r="E5430" s="22">
        <v>44851</v>
      </c>
      <c r="F5430" s="19">
        <v>50</v>
      </c>
      <c r="G5430" s="18">
        <v>0.15</v>
      </c>
      <c r="H5430">
        <f>F5430*VLOOKUP(B5430,產品!$A$2:$H$61,7,FALSE)*(1-銷售總表!G5430)</f>
        <v>42500</v>
      </c>
      <c r="I5430" s="35">
        <f>H5430-F5430*VLOOKUP(銷售總表!B5430,產品!$A$2:$H$61,8,FALSE)</f>
        <v>22500</v>
      </c>
      <c r="J5430" s="20">
        <f t="shared" si="84"/>
        <v>0.52941176470588236</v>
      </c>
    </row>
    <row r="5431" spans="1:10" x14ac:dyDescent="0.3">
      <c r="A5431" s="33">
        <v>5430</v>
      </c>
      <c r="B5431" s="4">
        <v>14</v>
      </c>
      <c r="C5431" s="15">
        <v>276</v>
      </c>
      <c r="D5431" s="16">
        <v>4</v>
      </c>
      <c r="E5431" s="23">
        <v>44851</v>
      </c>
      <c r="F5431">
        <v>90</v>
      </c>
      <c r="G5431" s="20">
        <v>0.1</v>
      </c>
      <c r="H5431">
        <f>F5431*VLOOKUP(B5431,產品!$A$2:$H$61,7,FALSE)*(1-銷售總表!G5431)</f>
        <v>145800</v>
      </c>
      <c r="I5431" s="35">
        <f>H5431-F5431*VLOOKUP(銷售總表!B5431,產品!$A$2:$H$61,8,FALSE)</f>
        <v>81000</v>
      </c>
      <c r="J5431" s="20">
        <f t="shared" si="84"/>
        <v>0.55555555555555558</v>
      </c>
    </row>
    <row r="5432" spans="1:10" x14ac:dyDescent="0.3">
      <c r="A5432" s="33">
        <v>5431</v>
      </c>
      <c r="B5432" s="4">
        <v>43</v>
      </c>
      <c r="C5432" s="15">
        <v>114</v>
      </c>
      <c r="D5432" s="16">
        <v>7</v>
      </c>
      <c r="E5432" s="22">
        <v>44852</v>
      </c>
      <c r="F5432" s="19">
        <v>2</v>
      </c>
      <c r="G5432" s="18">
        <v>0.08</v>
      </c>
      <c r="H5432">
        <f>F5432*VLOOKUP(B5432,產品!$A$2:$H$61,7,FALSE)*(1-銷售總表!G5432)</f>
        <v>33120</v>
      </c>
      <c r="I5432" s="35">
        <f>H5432-F5432*VLOOKUP(銷售總表!B5432,產品!$A$2:$H$61,8,FALSE)</f>
        <v>9720</v>
      </c>
      <c r="J5432" s="20">
        <f t="shared" si="84"/>
        <v>0.29347826086956524</v>
      </c>
    </row>
    <row r="5433" spans="1:10" x14ac:dyDescent="0.3">
      <c r="A5433" s="33">
        <v>5432</v>
      </c>
      <c r="B5433" s="4">
        <v>43</v>
      </c>
      <c r="C5433" s="15">
        <v>268</v>
      </c>
      <c r="D5433" s="16">
        <v>5</v>
      </c>
      <c r="E5433" s="22">
        <v>44852</v>
      </c>
      <c r="F5433" s="19">
        <v>4</v>
      </c>
      <c r="G5433" s="18">
        <v>0.16</v>
      </c>
      <c r="H5433">
        <f>F5433*VLOOKUP(B5433,產品!$A$2:$H$61,7,FALSE)*(1-銷售總表!G5433)</f>
        <v>60480</v>
      </c>
      <c r="I5433" s="35">
        <f>H5433-F5433*VLOOKUP(銷售總表!B5433,產品!$A$2:$H$61,8,FALSE)</f>
        <v>13680</v>
      </c>
      <c r="J5433" s="20">
        <f t="shared" si="84"/>
        <v>0.22619047619047619</v>
      </c>
    </row>
    <row r="5434" spans="1:10" x14ac:dyDescent="0.3">
      <c r="A5434" s="33">
        <v>5433</v>
      </c>
      <c r="B5434" s="4">
        <v>34</v>
      </c>
      <c r="C5434" s="15">
        <v>124</v>
      </c>
      <c r="D5434" s="16">
        <v>9</v>
      </c>
      <c r="E5434" s="22">
        <v>44852</v>
      </c>
      <c r="F5434" s="19">
        <v>15</v>
      </c>
      <c r="G5434" s="18">
        <v>7.0000000000000007E-2</v>
      </c>
      <c r="H5434">
        <f>F5434*VLOOKUP(B5434,產品!$A$2:$H$61,7,FALSE)*(1-銷售總表!G5434)</f>
        <v>111599.99999999999</v>
      </c>
      <c r="I5434" s="35">
        <f>H5434-F5434*VLOOKUP(銷售總表!B5434,產品!$A$2:$H$61,8,FALSE)</f>
        <v>39599.999999999985</v>
      </c>
      <c r="J5434" s="20">
        <f t="shared" si="84"/>
        <v>0.35483870967741926</v>
      </c>
    </row>
    <row r="5435" spans="1:10" x14ac:dyDescent="0.3">
      <c r="A5435" s="33">
        <v>5434</v>
      </c>
      <c r="B5435" s="4">
        <v>5</v>
      </c>
      <c r="C5435" s="15">
        <v>6</v>
      </c>
      <c r="D5435" s="16">
        <v>8</v>
      </c>
      <c r="E5435" s="22">
        <v>44852</v>
      </c>
      <c r="F5435" s="19">
        <v>30</v>
      </c>
      <c r="G5435" s="18">
        <v>0.12</v>
      </c>
      <c r="H5435">
        <f>F5435*VLOOKUP(B5435,產品!$A$2:$H$61,7,FALSE)*(1-銷售總表!G5435)</f>
        <v>26400</v>
      </c>
      <c r="I5435" s="35">
        <f>H5435-F5435*VLOOKUP(銷售總表!B5435,產品!$A$2:$H$61,8,FALSE)</f>
        <v>14400</v>
      </c>
      <c r="J5435" s="20">
        <f t="shared" si="84"/>
        <v>0.54545454545454541</v>
      </c>
    </row>
    <row r="5436" spans="1:10" x14ac:dyDescent="0.3">
      <c r="A5436" s="33">
        <v>5435</v>
      </c>
      <c r="B5436" s="4">
        <v>35</v>
      </c>
      <c r="C5436" s="15">
        <v>4</v>
      </c>
      <c r="D5436" s="16">
        <v>8</v>
      </c>
      <c r="E5436" s="22">
        <v>44852</v>
      </c>
      <c r="F5436" s="19">
        <v>40</v>
      </c>
      <c r="G5436" s="18">
        <v>0.19</v>
      </c>
      <c r="H5436">
        <f>F5436*VLOOKUP(B5436,產品!$A$2:$H$61,7,FALSE)*(1-銷售總表!G5436)</f>
        <v>275400</v>
      </c>
      <c r="I5436" s="35">
        <f>H5436-F5436*VLOOKUP(銷售總表!B5436,產品!$A$2:$H$61,8,FALSE)</f>
        <v>71400</v>
      </c>
      <c r="J5436" s="20">
        <f t="shared" si="84"/>
        <v>0.25925925925925924</v>
      </c>
    </row>
    <row r="5437" spans="1:10" x14ac:dyDescent="0.3">
      <c r="A5437" s="33">
        <v>5436</v>
      </c>
      <c r="B5437" s="4">
        <v>3</v>
      </c>
      <c r="C5437" s="15">
        <v>112</v>
      </c>
      <c r="D5437" s="16">
        <v>10</v>
      </c>
      <c r="E5437" s="22">
        <v>44852</v>
      </c>
      <c r="F5437" s="19">
        <v>50</v>
      </c>
      <c r="G5437" s="18">
        <v>0.17</v>
      </c>
      <c r="H5437">
        <f>F5437*VLOOKUP(B5437,產品!$A$2:$H$61,7,FALSE)*(1-銷售總表!G5437)</f>
        <v>41500</v>
      </c>
      <c r="I5437" s="35">
        <f>H5437-F5437*VLOOKUP(銷售總表!B5437,產品!$A$2:$H$61,8,FALSE)</f>
        <v>21500</v>
      </c>
      <c r="J5437" s="20">
        <f t="shared" si="84"/>
        <v>0.51807228915662651</v>
      </c>
    </row>
    <row r="5438" spans="1:10" x14ac:dyDescent="0.3">
      <c r="A5438" s="33">
        <v>5437</v>
      </c>
      <c r="B5438" s="4">
        <v>31</v>
      </c>
      <c r="C5438" s="15">
        <v>11</v>
      </c>
      <c r="D5438" s="16">
        <v>2</v>
      </c>
      <c r="E5438" s="22">
        <v>44853</v>
      </c>
      <c r="F5438" s="19">
        <v>1</v>
      </c>
      <c r="G5438" s="18">
        <v>0.08</v>
      </c>
      <c r="H5438">
        <f>F5438*VLOOKUP(B5438,產品!$A$2:$H$61,7,FALSE)*(1-銷售總表!G5438)</f>
        <v>6440</v>
      </c>
      <c r="I5438" s="35">
        <f>H5438-F5438*VLOOKUP(銷售總表!B5438,產品!$A$2:$H$61,8,FALSE)</f>
        <v>2240</v>
      </c>
      <c r="J5438" s="20">
        <f t="shared" si="84"/>
        <v>0.34782608695652173</v>
      </c>
    </row>
    <row r="5439" spans="1:10" x14ac:dyDescent="0.3">
      <c r="A5439" s="33">
        <v>5438</v>
      </c>
      <c r="B5439" s="4">
        <v>47</v>
      </c>
      <c r="C5439" s="15">
        <v>263</v>
      </c>
      <c r="D5439" s="16">
        <v>4</v>
      </c>
      <c r="E5439" s="22">
        <v>44853</v>
      </c>
      <c r="F5439" s="19">
        <v>7</v>
      </c>
      <c r="G5439" s="18">
        <v>0.14000000000000001</v>
      </c>
      <c r="H5439">
        <f>F5439*VLOOKUP(B5439,產品!$A$2:$H$61,7,FALSE)*(1-銷售總表!G5439)</f>
        <v>120400</v>
      </c>
      <c r="I5439" s="35">
        <f>H5439-F5439*VLOOKUP(銷售總表!B5439,產品!$A$2:$H$61,8,FALSE)</f>
        <v>29400</v>
      </c>
      <c r="J5439" s="20">
        <f t="shared" si="84"/>
        <v>0.2441860465116279</v>
      </c>
    </row>
    <row r="5440" spans="1:10" x14ac:dyDescent="0.3">
      <c r="A5440" s="33">
        <v>5439</v>
      </c>
      <c r="B5440" s="4">
        <v>51</v>
      </c>
      <c r="C5440" s="15">
        <v>7</v>
      </c>
      <c r="D5440" s="16">
        <v>1</v>
      </c>
      <c r="E5440" s="23">
        <v>44853</v>
      </c>
      <c r="F5440">
        <v>8</v>
      </c>
      <c r="G5440" s="20">
        <v>0.14000000000000001</v>
      </c>
      <c r="H5440">
        <f>F5440*VLOOKUP(B5440,產品!$A$2:$H$61,7,FALSE)*(1-銷售總表!G5440)</f>
        <v>137600</v>
      </c>
      <c r="I5440" s="35">
        <f>H5440-F5440*VLOOKUP(銷售總表!B5440,產品!$A$2:$H$61,8,FALSE)</f>
        <v>25600</v>
      </c>
      <c r="J5440" s="20">
        <f t="shared" si="84"/>
        <v>0.18604651162790697</v>
      </c>
    </row>
    <row r="5441" spans="1:10" x14ac:dyDescent="0.3">
      <c r="A5441" s="33">
        <v>5440</v>
      </c>
      <c r="B5441" s="4">
        <v>57</v>
      </c>
      <c r="C5441" s="15">
        <v>274</v>
      </c>
      <c r="D5441" s="16">
        <v>6</v>
      </c>
      <c r="E5441" s="22">
        <v>44853</v>
      </c>
      <c r="F5441" s="19">
        <v>9</v>
      </c>
      <c r="G5441" s="18">
        <v>0.06</v>
      </c>
      <c r="H5441">
        <f>F5441*VLOOKUP(B5441,產品!$A$2:$H$61,7,FALSE)*(1-銷售總表!G5441)</f>
        <v>152280</v>
      </c>
      <c r="I5441" s="35">
        <f>H5441-F5441*VLOOKUP(銷售總表!B5441,產品!$A$2:$H$61,8,FALSE)</f>
        <v>38880</v>
      </c>
      <c r="J5441" s="20">
        <f t="shared" si="84"/>
        <v>0.25531914893617019</v>
      </c>
    </row>
    <row r="5442" spans="1:10" x14ac:dyDescent="0.3">
      <c r="A5442" s="33">
        <v>5441</v>
      </c>
      <c r="B5442" s="4">
        <v>55</v>
      </c>
      <c r="C5442" s="15">
        <v>282</v>
      </c>
      <c r="D5442" s="16">
        <v>2</v>
      </c>
      <c r="E5442" s="22">
        <v>44853</v>
      </c>
      <c r="F5442" s="19">
        <v>9</v>
      </c>
      <c r="G5442" s="18">
        <v>0.17</v>
      </c>
      <c r="H5442">
        <f>F5442*VLOOKUP(B5442,產品!$A$2:$H$61,7,FALSE)*(1-銷售總表!G5442)</f>
        <v>149400</v>
      </c>
      <c r="I5442" s="35">
        <f>H5442-F5442*VLOOKUP(銷售總表!B5442,產品!$A$2:$H$61,8,FALSE)</f>
        <v>23400</v>
      </c>
      <c r="J5442" s="20">
        <f t="shared" si="84"/>
        <v>0.15662650602409639</v>
      </c>
    </row>
    <row r="5443" spans="1:10" x14ac:dyDescent="0.3">
      <c r="A5443" s="33">
        <v>5442</v>
      </c>
      <c r="B5443" s="4">
        <v>6</v>
      </c>
      <c r="C5443" s="15">
        <v>122</v>
      </c>
      <c r="D5443" s="16">
        <v>3</v>
      </c>
      <c r="E5443" s="22">
        <v>44853</v>
      </c>
      <c r="F5443" s="19">
        <v>40</v>
      </c>
      <c r="G5443" s="18">
        <v>0.13</v>
      </c>
      <c r="H5443">
        <f>F5443*VLOOKUP(B5443,產品!$A$2:$H$61,7,FALSE)*(1-銷售總表!G5443)</f>
        <v>34800</v>
      </c>
      <c r="I5443" s="35">
        <f>H5443-F5443*VLOOKUP(銷售總表!B5443,產品!$A$2:$H$61,8,FALSE)</f>
        <v>18800</v>
      </c>
      <c r="J5443" s="20">
        <f t="shared" ref="J5443:J5506" si="85">I5443/H5443</f>
        <v>0.54022988505747127</v>
      </c>
    </row>
    <row r="5444" spans="1:10" x14ac:dyDescent="0.3">
      <c r="A5444" s="33">
        <v>5443</v>
      </c>
      <c r="B5444" s="4">
        <v>8</v>
      </c>
      <c r="C5444" s="15">
        <v>116</v>
      </c>
      <c r="D5444" s="16">
        <v>1</v>
      </c>
      <c r="E5444" s="22">
        <v>44853</v>
      </c>
      <c r="F5444" s="19">
        <v>40</v>
      </c>
      <c r="G5444" s="18">
        <v>0.18</v>
      </c>
      <c r="H5444">
        <f>F5444*VLOOKUP(B5444,產品!$A$2:$H$61,7,FALSE)*(1-銷售總表!G5444)</f>
        <v>32800</v>
      </c>
      <c r="I5444" s="35">
        <f>H5444-F5444*VLOOKUP(銷售總表!B5444,產品!$A$2:$H$61,8,FALSE)</f>
        <v>16800</v>
      </c>
      <c r="J5444" s="20">
        <f t="shared" si="85"/>
        <v>0.51219512195121952</v>
      </c>
    </row>
    <row r="5445" spans="1:10" x14ac:dyDescent="0.3">
      <c r="A5445" s="33">
        <v>5444</v>
      </c>
      <c r="B5445" s="4">
        <v>18</v>
      </c>
      <c r="C5445" s="15">
        <v>293</v>
      </c>
      <c r="D5445" s="16">
        <v>5</v>
      </c>
      <c r="E5445" s="23">
        <v>44853</v>
      </c>
      <c r="F5445">
        <v>90</v>
      </c>
      <c r="G5445" s="20">
        <v>0.13</v>
      </c>
      <c r="H5445">
        <f>F5445*VLOOKUP(B5445,產品!$A$2:$H$61,7,FALSE)*(1-銷售總表!G5445)</f>
        <v>140940</v>
      </c>
      <c r="I5445" s="35">
        <f>H5445-F5445*VLOOKUP(銷售總表!B5445,產品!$A$2:$H$61,8,FALSE)</f>
        <v>76140</v>
      </c>
      <c r="J5445" s="20">
        <f t="shared" si="85"/>
        <v>0.54022988505747127</v>
      </c>
    </row>
    <row r="5446" spans="1:10" x14ac:dyDescent="0.3">
      <c r="A5446" s="33">
        <v>5445</v>
      </c>
      <c r="B5446" s="4">
        <v>37</v>
      </c>
      <c r="C5446" s="15">
        <v>134</v>
      </c>
      <c r="D5446" s="16">
        <v>3</v>
      </c>
      <c r="E5446" s="22">
        <v>44854</v>
      </c>
      <c r="F5446" s="19">
        <v>4</v>
      </c>
      <c r="G5446" s="18">
        <v>0.06</v>
      </c>
      <c r="H5446">
        <f>F5446*VLOOKUP(B5446,產品!$A$2:$H$61,7,FALSE)*(1-銷售總表!G5446)</f>
        <v>45120</v>
      </c>
      <c r="I5446" s="35">
        <f>H5446-F5446*VLOOKUP(銷售總表!B5446,產品!$A$2:$H$61,8,FALSE)</f>
        <v>13920</v>
      </c>
      <c r="J5446" s="20">
        <f t="shared" si="85"/>
        <v>0.30851063829787234</v>
      </c>
    </row>
    <row r="5447" spans="1:10" x14ac:dyDescent="0.3">
      <c r="A5447" s="33">
        <v>5446</v>
      </c>
      <c r="B5447" s="4">
        <v>42</v>
      </c>
      <c r="C5447" s="15">
        <v>2</v>
      </c>
      <c r="D5447" s="16">
        <v>10</v>
      </c>
      <c r="E5447" s="22">
        <v>44854</v>
      </c>
      <c r="F5447" s="19">
        <v>6</v>
      </c>
      <c r="G5447" s="18">
        <v>0.06</v>
      </c>
      <c r="H5447">
        <f>F5447*VLOOKUP(B5447,產品!$A$2:$H$61,7,FALSE)*(1-銷售總表!G5447)</f>
        <v>84600</v>
      </c>
      <c r="I5447" s="35">
        <f>H5447-F5447*VLOOKUP(銷售總表!B5447,產品!$A$2:$H$61,8,FALSE)</f>
        <v>26100</v>
      </c>
      <c r="J5447" s="20">
        <f t="shared" si="85"/>
        <v>0.30851063829787234</v>
      </c>
    </row>
    <row r="5448" spans="1:10" x14ac:dyDescent="0.3">
      <c r="A5448" s="33">
        <v>5447</v>
      </c>
      <c r="B5448" s="4">
        <v>20</v>
      </c>
      <c r="C5448" s="15">
        <v>264</v>
      </c>
      <c r="D5448" s="16">
        <v>2</v>
      </c>
      <c r="E5448" s="22">
        <v>44854</v>
      </c>
      <c r="F5448" s="19">
        <v>135</v>
      </c>
      <c r="G5448" s="18">
        <v>0.17</v>
      </c>
      <c r="H5448">
        <f>F5448*VLOOKUP(B5448,產品!$A$2:$H$61,7,FALSE)*(1-銷售總表!G5448)</f>
        <v>201690</v>
      </c>
      <c r="I5448" s="35">
        <f>H5448-F5448*VLOOKUP(銷售總表!B5448,產品!$A$2:$H$61,8,FALSE)</f>
        <v>104490</v>
      </c>
      <c r="J5448" s="20">
        <f t="shared" si="85"/>
        <v>0.51807228915662651</v>
      </c>
    </row>
    <row r="5449" spans="1:10" x14ac:dyDescent="0.3">
      <c r="A5449" s="33">
        <v>5448</v>
      </c>
      <c r="B5449" s="4">
        <v>50</v>
      </c>
      <c r="C5449" s="15">
        <v>266</v>
      </c>
      <c r="D5449" s="16">
        <v>10</v>
      </c>
      <c r="E5449" s="22">
        <v>44855</v>
      </c>
      <c r="F5449" s="19">
        <v>4</v>
      </c>
      <c r="G5449" s="18">
        <v>0.14000000000000001</v>
      </c>
      <c r="H5449">
        <f>F5449*VLOOKUP(B5449,產品!$A$2:$H$61,7,FALSE)*(1-銷售總表!G5449)</f>
        <v>61920</v>
      </c>
      <c r="I5449" s="35">
        <f>H5449-F5449*VLOOKUP(銷售總表!B5449,產品!$A$2:$H$61,8,FALSE)</f>
        <v>11520</v>
      </c>
      <c r="J5449" s="20">
        <f t="shared" si="85"/>
        <v>0.18604651162790697</v>
      </c>
    </row>
    <row r="5450" spans="1:10" x14ac:dyDescent="0.3">
      <c r="A5450" s="33">
        <v>5449</v>
      </c>
      <c r="B5450" s="4">
        <v>31</v>
      </c>
      <c r="C5450" s="15">
        <v>112</v>
      </c>
      <c r="D5450" s="16">
        <v>7</v>
      </c>
      <c r="E5450" s="22">
        <v>44855</v>
      </c>
      <c r="F5450" s="19">
        <v>5</v>
      </c>
      <c r="G5450" s="18">
        <v>0.05</v>
      </c>
      <c r="H5450">
        <f>F5450*VLOOKUP(B5450,產品!$A$2:$H$61,7,FALSE)*(1-銷售總表!G5450)</f>
        <v>33250</v>
      </c>
      <c r="I5450" s="35">
        <f>H5450-F5450*VLOOKUP(銷售總表!B5450,產品!$A$2:$H$61,8,FALSE)</f>
        <v>12250</v>
      </c>
      <c r="J5450" s="20">
        <f t="shared" si="85"/>
        <v>0.36842105263157893</v>
      </c>
    </row>
    <row r="5451" spans="1:10" x14ac:dyDescent="0.3">
      <c r="A5451" s="33">
        <v>5450</v>
      </c>
      <c r="B5451" s="4">
        <v>31</v>
      </c>
      <c r="C5451" s="15">
        <v>272</v>
      </c>
      <c r="D5451" s="16">
        <v>3</v>
      </c>
      <c r="E5451" s="22">
        <v>44855</v>
      </c>
      <c r="F5451" s="19">
        <v>8</v>
      </c>
      <c r="G5451" s="18">
        <v>0.06</v>
      </c>
      <c r="H5451">
        <f>F5451*VLOOKUP(B5451,產品!$A$2:$H$61,7,FALSE)*(1-銷售總表!G5451)</f>
        <v>52640</v>
      </c>
      <c r="I5451" s="35">
        <f>H5451-F5451*VLOOKUP(銷售總表!B5451,產品!$A$2:$H$61,8,FALSE)</f>
        <v>19040</v>
      </c>
      <c r="J5451" s="20">
        <f t="shared" si="85"/>
        <v>0.36170212765957449</v>
      </c>
    </row>
    <row r="5452" spans="1:10" x14ac:dyDescent="0.3">
      <c r="A5452" s="33">
        <v>5451</v>
      </c>
      <c r="B5452" s="4">
        <v>22</v>
      </c>
      <c r="C5452" s="15">
        <v>285</v>
      </c>
      <c r="D5452" s="16">
        <v>8</v>
      </c>
      <c r="E5452" s="22">
        <v>44855</v>
      </c>
      <c r="F5452" s="19">
        <v>20</v>
      </c>
      <c r="G5452" s="18">
        <v>0.15</v>
      </c>
      <c r="H5452">
        <f>F5452*VLOOKUP(B5452,產品!$A$2:$H$61,7,FALSE)*(1-銷售總表!G5452)</f>
        <v>30600</v>
      </c>
      <c r="I5452" s="35">
        <f>H5452-F5452*VLOOKUP(銷售總表!B5452,產品!$A$2:$H$61,8,FALSE)</f>
        <v>16200</v>
      </c>
      <c r="J5452" s="20">
        <f t="shared" si="85"/>
        <v>0.52941176470588236</v>
      </c>
    </row>
    <row r="5453" spans="1:10" x14ac:dyDescent="0.3">
      <c r="A5453" s="33">
        <v>5452</v>
      </c>
      <c r="B5453" s="4">
        <v>30</v>
      </c>
      <c r="C5453" s="15">
        <v>9</v>
      </c>
      <c r="D5453" s="16">
        <v>5</v>
      </c>
      <c r="E5453" s="22">
        <v>44855</v>
      </c>
      <c r="F5453" s="19">
        <v>35</v>
      </c>
      <c r="G5453" s="18">
        <v>0.14000000000000001</v>
      </c>
      <c r="H5453">
        <f>F5453*VLOOKUP(B5453,產品!$A$2:$H$61,7,FALSE)*(1-銷售總表!G5453)</f>
        <v>195650</v>
      </c>
      <c r="I5453" s="35">
        <f>H5453-F5453*VLOOKUP(銷售總表!B5453,產品!$A$2:$H$61,8,FALSE)</f>
        <v>59150</v>
      </c>
      <c r="J5453" s="20">
        <f t="shared" si="85"/>
        <v>0.30232558139534882</v>
      </c>
    </row>
    <row r="5454" spans="1:10" x14ac:dyDescent="0.3">
      <c r="A5454" s="33">
        <v>5453</v>
      </c>
      <c r="B5454" s="4">
        <v>3</v>
      </c>
      <c r="C5454" s="15">
        <v>10</v>
      </c>
      <c r="D5454" s="16">
        <v>7</v>
      </c>
      <c r="E5454" s="22">
        <v>44855</v>
      </c>
      <c r="F5454" s="19">
        <v>70</v>
      </c>
      <c r="G5454" s="18">
        <v>0.13</v>
      </c>
      <c r="H5454">
        <f>F5454*VLOOKUP(B5454,產品!$A$2:$H$61,7,FALSE)*(1-銷售總表!G5454)</f>
        <v>60900</v>
      </c>
      <c r="I5454" s="35">
        <f>H5454-F5454*VLOOKUP(銷售總表!B5454,產品!$A$2:$H$61,8,FALSE)</f>
        <v>32900</v>
      </c>
      <c r="J5454" s="20">
        <f t="shared" si="85"/>
        <v>0.54022988505747127</v>
      </c>
    </row>
    <row r="5455" spans="1:10" x14ac:dyDescent="0.3">
      <c r="A5455" s="33">
        <v>5454</v>
      </c>
      <c r="B5455" s="4">
        <v>46</v>
      </c>
      <c r="C5455" s="15">
        <v>278</v>
      </c>
      <c r="D5455" s="16">
        <v>9</v>
      </c>
      <c r="E5455" s="22">
        <v>44856</v>
      </c>
      <c r="F5455" s="19">
        <v>4</v>
      </c>
      <c r="G5455" s="18">
        <v>0.2</v>
      </c>
      <c r="H5455">
        <f>F5455*VLOOKUP(B5455,產品!$A$2:$H$61,7,FALSE)*(1-銷售總表!G5455)</f>
        <v>54400</v>
      </c>
      <c r="I5455" s="35">
        <f>H5455-F5455*VLOOKUP(銷售總表!B5455,產品!$A$2:$H$61,8,FALSE)</f>
        <v>10200</v>
      </c>
      <c r="J5455" s="20">
        <f t="shared" si="85"/>
        <v>0.1875</v>
      </c>
    </row>
    <row r="5456" spans="1:10" x14ac:dyDescent="0.3">
      <c r="A5456" s="33">
        <v>5455</v>
      </c>
      <c r="B5456" s="4">
        <v>49</v>
      </c>
      <c r="C5456" s="15">
        <v>289</v>
      </c>
      <c r="D5456" s="16">
        <v>3</v>
      </c>
      <c r="E5456" s="22">
        <v>44856</v>
      </c>
      <c r="F5456" s="19">
        <v>8</v>
      </c>
      <c r="G5456" s="18">
        <v>0.17</v>
      </c>
      <c r="H5456">
        <f>F5456*VLOOKUP(B5456,產品!$A$2:$H$61,7,FALSE)*(1-銷售總表!G5456)</f>
        <v>99600</v>
      </c>
      <c r="I5456" s="35">
        <f>H5456-F5456*VLOOKUP(銷售總表!B5456,產品!$A$2:$H$61,8,FALSE)</f>
        <v>15600</v>
      </c>
      <c r="J5456" s="20">
        <f t="shared" si="85"/>
        <v>0.15662650602409639</v>
      </c>
    </row>
    <row r="5457" spans="1:10" x14ac:dyDescent="0.3">
      <c r="A5457" s="33">
        <v>5456</v>
      </c>
      <c r="B5457" s="4">
        <v>47</v>
      </c>
      <c r="C5457" s="15">
        <v>278</v>
      </c>
      <c r="D5457" s="16">
        <v>5</v>
      </c>
      <c r="E5457" s="22">
        <v>44856</v>
      </c>
      <c r="F5457" s="19">
        <v>11</v>
      </c>
      <c r="G5457" s="18">
        <v>0.09</v>
      </c>
      <c r="H5457">
        <f>F5457*VLOOKUP(B5457,產品!$A$2:$H$61,7,FALSE)*(1-銷售總表!G5457)</f>
        <v>200200</v>
      </c>
      <c r="I5457" s="35">
        <f>H5457-F5457*VLOOKUP(銷售總表!B5457,產品!$A$2:$H$61,8,FALSE)</f>
        <v>57200</v>
      </c>
      <c r="J5457" s="20">
        <f t="shared" si="85"/>
        <v>0.2857142857142857</v>
      </c>
    </row>
    <row r="5458" spans="1:10" x14ac:dyDescent="0.3">
      <c r="A5458" s="33">
        <v>5457</v>
      </c>
      <c r="B5458" s="4">
        <v>55</v>
      </c>
      <c r="C5458" s="15">
        <v>272</v>
      </c>
      <c r="D5458" s="16">
        <v>3</v>
      </c>
      <c r="E5458" s="22">
        <v>44856</v>
      </c>
      <c r="F5458" s="19">
        <v>11</v>
      </c>
      <c r="G5458" s="18">
        <v>0.1</v>
      </c>
      <c r="H5458">
        <f>F5458*VLOOKUP(B5458,產品!$A$2:$H$61,7,FALSE)*(1-銷售總表!G5458)</f>
        <v>198000</v>
      </c>
      <c r="I5458" s="35">
        <f>H5458-F5458*VLOOKUP(銷售總表!B5458,產品!$A$2:$H$61,8,FALSE)</f>
        <v>44000</v>
      </c>
      <c r="J5458" s="20">
        <f t="shared" si="85"/>
        <v>0.22222222222222221</v>
      </c>
    </row>
    <row r="5459" spans="1:10" x14ac:dyDescent="0.3">
      <c r="A5459" s="33">
        <v>5458</v>
      </c>
      <c r="B5459" s="4">
        <v>23</v>
      </c>
      <c r="C5459" s="15">
        <v>9</v>
      </c>
      <c r="D5459" s="16">
        <v>3</v>
      </c>
      <c r="E5459" s="22">
        <v>44856</v>
      </c>
      <c r="F5459" s="19">
        <v>100</v>
      </c>
      <c r="G5459" s="18">
        <v>0.14000000000000001</v>
      </c>
      <c r="H5459">
        <f>F5459*VLOOKUP(B5459,產品!$A$2:$H$61,7,FALSE)*(1-銷售總表!G5459)</f>
        <v>154800</v>
      </c>
      <c r="I5459" s="35">
        <f>H5459-F5459*VLOOKUP(銷售總表!B5459,產品!$A$2:$H$61,8,FALSE)</f>
        <v>82800</v>
      </c>
      <c r="J5459" s="20">
        <f t="shared" si="85"/>
        <v>0.53488372093023251</v>
      </c>
    </row>
    <row r="5460" spans="1:10" x14ac:dyDescent="0.3">
      <c r="A5460" s="33">
        <v>5459</v>
      </c>
      <c r="B5460" s="4">
        <v>28</v>
      </c>
      <c r="C5460" s="15">
        <v>11</v>
      </c>
      <c r="D5460" s="16">
        <v>1</v>
      </c>
      <c r="E5460" s="22">
        <v>44857</v>
      </c>
      <c r="F5460" s="19">
        <v>4</v>
      </c>
      <c r="G5460" s="18">
        <v>7.0000000000000007E-2</v>
      </c>
      <c r="H5460">
        <f>F5460*VLOOKUP(B5460,產品!$A$2:$H$61,7,FALSE)*(1-銷售總表!G5460)</f>
        <v>27899.999999999996</v>
      </c>
      <c r="I5460" s="35">
        <f>H5460-F5460*VLOOKUP(銷售總表!B5460,產品!$A$2:$H$61,8,FALSE)</f>
        <v>9899.9999999999964</v>
      </c>
      <c r="J5460" s="20">
        <f t="shared" si="85"/>
        <v>0.35483870967741926</v>
      </c>
    </row>
    <row r="5461" spans="1:10" x14ac:dyDescent="0.3">
      <c r="A5461" s="33">
        <v>5460</v>
      </c>
      <c r="B5461" s="4">
        <v>53</v>
      </c>
      <c r="C5461" s="15">
        <v>5</v>
      </c>
      <c r="D5461" s="16">
        <v>4</v>
      </c>
      <c r="E5461" s="22">
        <v>44857</v>
      </c>
      <c r="F5461" s="19">
        <v>5</v>
      </c>
      <c r="G5461" s="18">
        <v>0.05</v>
      </c>
      <c r="H5461">
        <f>F5461*VLOOKUP(B5461,產品!$A$2:$H$61,7,FALSE)*(1-銷售總表!G5461)</f>
        <v>71250</v>
      </c>
      <c r="I5461" s="35">
        <f>H5461-F5461*VLOOKUP(銷售總表!B5461,產品!$A$2:$H$61,8,FALSE)</f>
        <v>18750</v>
      </c>
      <c r="J5461" s="20">
        <f t="shared" si="85"/>
        <v>0.26315789473684209</v>
      </c>
    </row>
    <row r="5462" spans="1:10" x14ac:dyDescent="0.3">
      <c r="A5462" s="33">
        <v>5461</v>
      </c>
      <c r="B5462" s="4">
        <v>29</v>
      </c>
      <c r="C5462" s="15">
        <v>126</v>
      </c>
      <c r="D5462" s="16">
        <v>9</v>
      </c>
      <c r="E5462" s="22">
        <v>44857</v>
      </c>
      <c r="F5462" s="19">
        <v>5</v>
      </c>
      <c r="G5462" s="18">
        <v>0.11</v>
      </c>
      <c r="H5462">
        <f>F5462*VLOOKUP(B5462,產品!$A$2:$H$61,7,FALSE)*(1-銷售總表!G5462)</f>
        <v>26700</v>
      </c>
      <c r="I5462" s="35">
        <f>H5462-F5462*VLOOKUP(銷售總表!B5462,產品!$A$2:$H$61,8,FALSE)</f>
        <v>8700</v>
      </c>
      <c r="J5462" s="20">
        <f t="shared" si="85"/>
        <v>0.3258426966292135</v>
      </c>
    </row>
    <row r="5463" spans="1:10" x14ac:dyDescent="0.3">
      <c r="A5463" s="33">
        <v>5462</v>
      </c>
      <c r="B5463" s="4">
        <v>37</v>
      </c>
      <c r="C5463" s="15">
        <v>267</v>
      </c>
      <c r="D5463" s="16">
        <v>5</v>
      </c>
      <c r="E5463" s="22">
        <v>44857</v>
      </c>
      <c r="F5463" s="19">
        <v>6</v>
      </c>
      <c r="G5463" s="18">
        <v>0.12</v>
      </c>
      <c r="H5463">
        <f>F5463*VLOOKUP(B5463,產品!$A$2:$H$61,7,FALSE)*(1-銷售總表!G5463)</f>
        <v>63360</v>
      </c>
      <c r="I5463" s="35">
        <f>H5463-F5463*VLOOKUP(銷售總表!B5463,產品!$A$2:$H$61,8,FALSE)</f>
        <v>16560</v>
      </c>
      <c r="J5463" s="20">
        <f t="shared" si="85"/>
        <v>0.26136363636363635</v>
      </c>
    </row>
    <row r="5464" spans="1:10" x14ac:dyDescent="0.3">
      <c r="A5464" s="33">
        <v>5463</v>
      </c>
      <c r="B5464" s="4">
        <v>39</v>
      </c>
      <c r="C5464" s="15">
        <v>120</v>
      </c>
      <c r="D5464" s="16">
        <v>6</v>
      </c>
      <c r="E5464" s="22">
        <v>44857</v>
      </c>
      <c r="F5464" s="19">
        <v>9</v>
      </c>
      <c r="G5464" s="18">
        <v>0.09</v>
      </c>
      <c r="H5464">
        <f>F5464*VLOOKUP(B5464,產品!$A$2:$H$61,7,FALSE)*(1-銷售總表!G5464)</f>
        <v>147420</v>
      </c>
      <c r="I5464" s="35">
        <f>H5464-F5464*VLOOKUP(銷售總表!B5464,產品!$A$2:$H$61,8,FALSE)</f>
        <v>42120</v>
      </c>
      <c r="J5464" s="20">
        <f t="shared" si="85"/>
        <v>0.2857142857142857</v>
      </c>
    </row>
    <row r="5465" spans="1:10" x14ac:dyDescent="0.3">
      <c r="A5465" s="33">
        <v>5464</v>
      </c>
      <c r="B5465" s="4">
        <v>58</v>
      </c>
      <c r="C5465" s="15">
        <v>263</v>
      </c>
      <c r="D5465" s="16">
        <v>7</v>
      </c>
      <c r="E5465" s="23">
        <v>44857</v>
      </c>
      <c r="F5465">
        <v>11</v>
      </c>
      <c r="G5465" s="20">
        <v>0.19</v>
      </c>
      <c r="H5465">
        <f>F5465*VLOOKUP(B5465,產品!$A$2:$H$61,7,FALSE)*(1-銷售總表!G5465)</f>
        <v>187110</v>
      </c>
      <c r="I5465" s="35">
        <f>H5465-F5465*VLOOKUP(銷售總表!B5465,產品!$A$2:$H$61,8,FALSE)</f>
        <v>25410.000000000029</v>
      </c>
      <c r="J5465" s="20">
        <f t="shared" si="85"/>
        <v>0.13580246913580263</v>
      </c>
    </row>
    <row r="5466" spans="1:10" x14ac:dyDescent="0.3">
      <c r="A5466" s="33">
        <v>5465</v>
      </c>
      <c r="B5466" s="4">
        <v>14</v>
      </c>
      <c r="C5466" s="15">
        <v>276</v>
      </c>
      <c r="D5466" s="16">
        <v>10</v>
      </c>
      <c r="E5466" s="22">
        <v>44857</v>
      </c>
      <c r="F5466" s="19">
        <v>12</v>
      </c>
      <c r="G5466" s="18">
        <v>0.2</v>
      </c>
      <c r="H5466">
        <f>F5466*VLOOKUP(B5466,產品!$A$2:$H$61,7,FALSE)*(1-銷售總表!G5466)</f>
        <v>17280</v>
      </c>
      <c r="I5466" s="35">
        <f>H5466-F5466*VLOOKUP(銷售總表!B5466,產品!$A$2:$H$61,8,FALSE)</f>
        <v>8640</v>
      </c>
      <c r="J5466" s="20">
        <f t="shared" si="85"/>
        <v>0.5</v>
      </c>
    </row>
    <row r="5467" spans="1:10" x14ac:dyDescent="0.3">
      <c r="A5467" s="33">
        <v>5466</v>
      </c>
      <c r="B5467" s="4">
        <v>5</v>
      </c>
      <c r="C5467" s="15">
        <v>120</v>
      </c>
      <c r="D5467" s="16">
        <v>1</v>
      </c>
      <c r="E5467" s="22">
        <v>44857</v>
      </c>
      <c r="F5467" s="19">
        <v>150</v>
      </c>
      <c r="G5467" s="18">
        <v>0.15</v>
      </c>
      <c r="H5467">
        <f>F5467*VLOOKUP(B5467,產品!$A$2:$H$61,7,FALSE)*(1-銷售總表!G5467)</f>
        <v>127500</v>
      </c>
      <c r="I5467" s="35">
        <f>H5467-F5467*VLOOKUP(銷售總表!B5467,產品!$A$2:$H$61,8,FALSE)</f>
        <v>67500</v>
      </c>
      <c r="J5467" s="20">
        <f t="shared" si="85"/>
        <v>0.52941176470588236</v>
      </c>
    </row>
    <row r="5468" spans="1:10" x14ac:dyDescent="0.3">
      <c r="A5468" s="33">
        <v>5467</v>
      </c>
      <c r="B5468" s="4">
        <v>36</v>
      </c>
      <c r="C5468" s="15">
        <v>118</v>
      </c>
      <c r="D5468" s="16">
        <v>3</v>
      </c>
      <c r="E5468" s="22">
        <v>44858</v>
      </c>
      <c r="F5468" s="19">
        <v>3</v>
      </c>
      <c r="G5468" s="18">
        <v>7.0000000000000007E-2</v>
      </c>
      <c r="H5468">
        <f>F5468*VLOOKUP(B5468,產品!$A$2:$H$61,7,FALSE)*(1-銷售總表!G5468)</f>
        <v>25110</v>
      </c>
      <c r="I5468" s="35">
        <f>H5468-F5468*VLOOKUP(銷售總表!B5468,產品!$A$2:$H$61,8,FALSE)</f>
        <v>8910</v>
      </c>
      <c r="J5468" s="20">
        <f t="shared" si="85"/>
        <v>0.35483870967741937</v>
      </c>
    </row>
    <row r="5469" spans="1:10" x14ac:dyDescent="0.3">
      <c r="A5469" s="33">
        <v>5468</v>
      </c>
      <c r="B5469" s="4">
        <v>39</v>
      </c>
      <c r="C5469" s="15">
        <v>115</v>
      </c>
      <c r="D5469" s="16">
        <v>2</v>
      </c>
      <c r="E5469" s="22">
        <v>44858</v>
      </c>
      <c r="F5469" s="19">
        <v>4</v>
      </c>
      <c r="G5469" s="18">
        <v>0.13</v>
      </c>
      <c r="H5469">
        <f>F5469*VLOOKUP(B5469,產品!$A$2:$H$61,7,FALSE)*(1-銷售總表!G5469)</f>
        <v>62640</v>
      </c>
      <c r="I5469" s="35">
        <f>H5469-F5469*VLOOKUP(銷售總表!B5469,產品!$A$2:$H$61,8,FALSE)</f>
        <v>15840</v>
      </c>
      <c r="J5469" s="20">
        <f t="shared" si="85"/>
        <v>0.25287356321839083</v>
      </c>
    </row>
    <row r="5470" spans="1:10" x14ac:dyDescent="0.3">
      <c r="A5470" s="33">
        <v>5469</v>
      </c>
      <c r="B5470" s="4">
        <v>51</v>
      </c>
      <c r="C5470" s="15">
        <v>283</v>
      </c>
      <c r="D5470" s="16">
        <v>8</v>
      </c>
      <c r="E5470" s="22">
        <v>44858</v>
      </c>
      <c r="F5470" s="19">
        <v>4</v>
      </c>
      <c r="G5470" s="18">
        <v>0.12</v>
      </c>
      <c r="H5470">
        <f>F5470*VLOOKUP(B5470,產品!$A$2:$H$61,7,FALSE)*(1-銷售總表!G5470)</f>
        <v>70400</v>
      </c>
      <c r="I5470" s="35">
        <f>H5470-F5470*VLOOKUP(銷售總表!B5470,產品!$A$2:$H$61,8,FALSE)</f>
        <v>14400</v>
      </c>
      <c r="J5470" s="20">
        <f t="shared" si="85"/>
        <v>0.20454545454545456</v>
      </c>
    </row>
    <row r="5471" spans="1:10" x14ac:dyDescent="0.3">
      <c r="A5471" s="33">
        <v>5470</v>
      </c>
      <c r="B5471" s="4">
        <v>27</v>
      </c>
      <c r="C5471" s="15">
        <v>8</v>
      </c>
      <c r="D5471" s="16">
        <v>6</v>
      </c>
      <c r="E5471" s="22">
        <v>44858</v>
      </c>
      <c r="F5471" s="19">
        <v>10</v>
      </c>
      <c r="G5471" s="18">
        <v>0.11</v>
      </c>
      <c r="H5471">
        <f>F5471*VLOOKUP(B5471,產品!$A$2:$H$61,7,FALSE)*(1-銷售總表!G5471)</f>
        <v>62300</v>
      </c>
      <c r="I5471" s="35">
        <f>H5471-F5471*VLOOKUP(銷售總表!B5471,產品!$A$2:$H$61,8,FALSE)</f>
        <v>20300</v>
      </c>
      <c r="J5471" s="20">
        <f t="shared" si="85"/>
        <v>0.3258426966292135</v>
      </c>
    </row>
    <row r="5472" spans="1:10" x14ac:dyDescent="0.3">
      <c r="A5472" s="33">
        <v>5471</v>
      </c>
      <c r="B5472" s="4">
        <v>60</v>
      </c>
      <c r="C5472" s="15">
        <v>114</v>
      </c>
      <c r="D5472" s="16">
        <v>1</v>
      </c>
      <c r="E5472" s="22">
        <v>44859</v>
      </c>
      <c r="F5472" s="19">
        <v>3</v>
      </c>
      <c r="G5472" s="18">
        <v>0.14000000000000001</v>
      </c>
      <c r="H5472">
        <f>F5472*VLOOKUP(B5472,產品!$A$2:$H$61,7,FALSE)*(1-銷售總表!G5472)</f>
        <v>64500</v>
      </c>
      <c r="I5472" s="35">
        <f>H5472-F5472*VLOOKUP(銷售總表!B5472,產品!$A$2:$H$61,8,FALSE)</f>
        <v>12000</v>
      </c>
      <c r="J5472" s="20">
        <f t="shared" si="85"/>
        <v>0.18604651162790697</v>
      </c>
    </row>
    <row r="5473" spans="1:10" x14ac:dyDescent="0.3">
      <c r="A5473" s="33">
        <v>5472</v>
      </c>
      <c r="B5473" s="4">
        <v>42</v>
      </c>
      <c r="C5473" s="15">
        <v>272</v>
      </c>
      <c r="D5473" s="16">
        <v>5</v>
      </c>
      <c r="E5473" s="22">
        <v>44859</v>
      </c>
      <c r="F5473" s="19">
        <v>3</v>
      </c>
      <c r="G5473" s="18">
        <v>0.17</v>
      </c>
      <c r="H5473">
        <f>F5473*VLOOKUP(B5473,產品!$A$2:$H$61,7,FALSE)*(1-銷售總表!G5473)</f>
        <v>37350</v>
      </c>
      <c r="I5473" s="35">
        <f>H5473-F5473*VLOOKUP(銷售總表!B5473,產品!$A$2:$H$61,8,FALSE)</f>
        <v>8100</v>
      </c>
      <c r="J5473" s="20">
        <f t="shared" si="85"/>
        <v>0.21686746987951808</v>
      </c>
    </row>
    <row r="5474" spans="1:10" x14ac:dyDescent="0.3">
      <c r="A5474" s="33">
        <v>5473</v>
      </c>
      <c r="B5474" s="4">
        <v>58</v>
      </c>
      <c r="C5474" s="15">
        <v>10</v>
      </c>
      <c r="D5474" s="16">
        <v>10</v>
      </c>
      <c r="E5474" s="22">
        <v>44859</v>
      </c>
      <c r="F5474" s="19">
        <v>5</v>
      </c>
      <c r="G5474" s="18">
        <v>0.2</v>
      </c>
      <c r="H5474">
        <f>F5474*VLOOKUP(B5474,產品!$A$2:$H$61,7,FALSE)*(1-銷售總表!G5474)</f>
        <v>84000</v>
      </c>
      <c r="I5474" s="35">
        <f>H5474-F5474*VLOOKUP(銷售總表!B5474,產品!$A$2:$H$61,8,FALSE)</f>
        <v>10500.000000000015</v>
      </c>
      <c r="J5474" s="20">
        <f t="shared" si="85"/>
        <v>0.12500000000000017</v>
      </c>
    </row>
    <row r="5475" spans="1:10" x14ac:dyDescent="0.3">
      <c r="A5475" s="33">
        <v>5474</v>
      </c>
      <c r="B5475" s="4">
        <v>59</v>
      </c>
      <c r="C5475" s="15">
        <v>272</v>
      </c>
      <c r="D5475" s="16">
        <v>5</v>
      </c>
      <c r="E5475" s="22">
        <v>44859</v>
      </c>
      <c r="F5475" s="19">
        <v>9</v>
      </c>
      <c r="G5475" s="18">
        <v>0.09</v>
      </c>
      <c r="H5475">
        <f>F5475*VLOOKUP(B5475,產品!$A$2:$H$61,7,FALSE)*(1-銷售總表!G5475)</f>
        <v>196560</v>
      </c>
      <c r="I5475" s="35">
        <f>H5475-F5475*VLOOKUP(銷售總表!B5475,產品!$A$2:$H$61,8,FALSE)</f>
        <v>45360</v>
      </c>
      <c r="J5475" s="20">
        <f t="shared" si="85"/>
        <v>0.23076923076923078</v>
      </c>
    </row>
    <row r="5476" spans="1:10" x14ac:dyDescent="0.3">
      <c r="A5476" s="33">
        <v>5475</v>
      </c>
      <c r="B5476" s="4">
        <v>51</v>
      </c>
      <c r="C5476" s="15">
        <v>5</v>
      </c>
      <c r="D5476" s="16">
        <v>3</v>
      </c>
      <c r="E5476" s="22">
        <v>44859</v>
      </c>
      <c r="F5476" s="19">
        <v>9</v>
      </c>
      <c r="G5476" s="18">
        <v>7.0000000000000007E-2</v>
      </c>
      <c r="H5476">
        <f>F5476*VLOOKUP(B5476,產品!$A$2:$H$61,7,FALSE)*(1-銷售總表!G5476)</f>
        <v>167400</v>
      </c>
      <c r="I5476" s="35">
        <f>H5476-F5476*VLOOKUP(銷售總表!B5476,產品!$A$2:$H$61,8,FALSE)</f>
        <v>41400</v>
      </c>
      <c r="J5476" s="20">
        <f t="shared" si="85"/>
        <v>0.24731182795698925</v>
      </c>
    </row>
    <row r="5477" spans="1:10" x14ac:dyDescent="0.3">
      <c r="A5477" s="33">
        <v>5476</v>
      </c>
      <c r="B5477" s="4">
        <v>49</v>
      </c>
      <c r="C5477" s="15">
        <v>4</v>
      </c>
      <c r="D5477" s="16">
        <v>5</v>
      </c>
      <c r="E5477" s="23">
        <v>44859</v>
      </c>
      <c r="F5477">
        <v>13</v>
      </c>
      <c r="G5477" s="20">
        <v>0.15</v>
      </c>
      <c r="H5477">
        <f>F5477*VLOOKUP(B5477,產品!$A$2:$H$61,7,FALSE)*(1-銷售總表!G5477)</f>
        <v>165750</v>
      </c>
      <c r="I5477" s="35">
        <f>H5477-F5477*VLOOKUP(銷售總表!B5477,產品!$A$2:$H$61,8,FALSE)</f>
        <v>29250</v>
      </c>
      <c r="J5477" s="20">
        <f t="shared" si="85"/>
        <v>0.17647058823529413</v>
      </c>
    </row>
    <row r="5478" spans="1:10" x14ac:dyDescent="0.3">
      <c r="A5478" s="33">
        <v>5477</v>
      </c>
      <c r="B5478" s="4">
        <v>7</v>
      </c>
      <c r="C5478" s="15">
        <v>271</v>
      </c>
      <c r="D5478" s="16">
        <v>1</v>
      </c>
      <c r="E5478" s="22">
        <v>44859</v>
      </c>
      <c r="F5478" s="19">
        <v>18</v>
      </c>
      <c r="G5478" s="18">
        <v>0.13</v>
      </c>
      <c r="H5478">
        <f>F5478*VLOOKUP(B5478,產品!$A$2:$H$61,7,FALSE)*(1-銷售總表!G5478)</f>
        <v>15660</v>
      </c>
      <c r="I5478" s="35">
        <f>H5478-F5478*VLOOKUP(銷售總表!B5478,產品!$A$2:$H$61,8,FALSE)</f>
        <v>8460</v>
      </c>
      <c r="J5478" s="20">
        <f t="shared" si="85"/>
        <v>0.54022988505747127</v>
      </c>
    </row>
    <row r="5479" spans="1:10" x14ac:dyDescent="0.3">
      <c r="A5479" s="33">
        <v>5478</v>
      </c>
      <c r="B5479" s="4">
        <v>41</v>
      </c>
      <c r="C5479" s="15">
        <v>5</v>
      </c>
      <c r="D5479" s="16">
        <v>6</v>
      </c>
      <c r="E5479" s="22">
        <v>44860</v>
      </c>
      <c r="F5479" s="19">
        <v>5</v>
      </c>
      <c r="G5479" s="18">
        <v>0.06</v>
      </c>
      <c r="H5479">
        <f>F5479*VLOOKUP(B5479,產品!$A$2:$H$61,7,FALSE)*(1-銷售總表!G5479)</f>
        <v>56400</v>
      </c>
      <c r="I5479" s="35">
        <f>H5479-F5479*VLOOKUP(銷售總表!B5479,產品!$A$2:$H$61,8,FALSE)</f>
        <v>17400</v>
      </c>
      <c r="J5479" s="20">
        <f t="shared" si="85"/>
        <v>0.30851063829787234</v>
      </c>
    </row>
    <row r="5480" spans="1:10" x14ac:dyDescent="0.3">
      <c r="A5480" s="33">
        <v>5479</v>
      </c>
      <c r="B5480" s="4">
        <v>50</v>
      </c>
      <c r="C5480" s="15">
        <v>9</v>
      </c>
      <c r="D5480" s="16">
        <v>9</v>
      </c>
      <c r="E5480" s="22">
        <v>44861</v>
      </c>
      <c r="F5480" s="19">
        <v>2</v>
      </c>
      <c r="G5480" s="18">
        <v>0.12</v>
      </c>
      <c r="H5480">
        <f>F5480*VLOOKUP(B5480,產品!$A$2:$H$61,7,FALSE)*(1-銷售總表!G5480)</f>
        <v>31680</v>
      </c>
      <c r="I5480" s="35">
        <f>H5480-F5480*VLOOKUP(銷售總表!B5480,產品!$A$2:$H$61,8,FALSE)</f>
        <v>6480</v>
      </c>
      <c r="J5480" s="20">
        <f t="shared" si="85"/>
        <v>0.20454545454545456</v>
      </c>
    </row>
    <row r="5481" spans="1:10" x14ac:dyDescent="0.3">
      <c r="A5481" s="33">
        <v>5480</v>
      </c>
      <c r="B5481" s="4">
        <v>55</v>
      </c>
      <c r="C5481" s="15">
        <v>293</v>
      </c>
      <c r="D5481" s="16">
        <v>2</v>
      </c>
      <c r="E5481" s="22">
        <v>44861</v>
      </c>
      <c r="F5481" s="19">
        <v>6</v>
      </c>
      <c r="G5481" s="18">
        <v>0.06</v>
      </c>
      <c r="H5481">
        <f>F5481*VLOOKUP(B5481,產品!$A$2:$H$61,7,FALSE)*(1-銷售總表!G5481)</f>
        <v>112800</v>
      </c>
      <c r="I5481" s="35">
        <f>H5481-F5481*VLOOKUP(銷售總表!B5481,產品!$A$2:$H$61,8,FALSE)</f>
        <v>28800</v>
      </c>
      <c r="J5481" s="20">
        <f t="shared" si="85"/>
        <v>0.25531914893617019</v>
      </c>
    </row>
    <row r="5482" spans="1:10" x14ac:dyDescent="0.3">
      <c r="A5482" s="33">
        <v>5481</v>
      </c>
      <c r="B5482" s="4">
        <v>45</v>
      </c>
      <c r="C5482" s="15">
        <v>115</v>
      </c>
      <c r="D5482" s="16">
        <v>7</v>
      </c>
      <c r="E5482" s="23">
        <v>44861</v>
      </c>
      <c r="F5482">
        <v>6</v>
      </c>
      <c r="G5482" s="20">
        <v>0.1</v>
      </c>
      <c r="H5482">
        <f>F5482*VLOOKUP(B5482,產品!$A$2:$H$61,7,FALSE)*(1-銷售總表!G5482)</f>
        <v>75600</v>
      </c>
      <c r="I5482" s="35">
        <f>H5482-F5482*VLOOKUP(銷售總表!B5482,產品!$A$2:$H$61,8,FALSE)</f>
        <v>21000</v>
      </c>
      <c r="J5482" s="20">
        <f t="shared" si="85"/>
        <v>0.27777777777777779</v>
      </c>
    </row>
    <row r="5483" spans="1:10" x14ac:dyDescent="0.3">
      <c r="A5483" s="33">
        <v>5482</v>
      </c>
      <c r="B5483" s="4">
        <v>42</v>
      </c>
      <c r="C5483" s="15">
        <v>140</v>
      </c>
      <c r="D5483" s="16">
        <v>4</v>
      </c>
      <c r="E5483" s="22">
        <v>44861</v>
      </c>
      <c r="F5483" s="19">
        <v>7</v>
      </c>
      <c r="G5483" s="18">
        <v>0.15</v>
      </c>
      <c r="H5483">
        <f>F5483*VLOOKUP(B5483,產品!$A$2:$H$61,7,FALSE)*(1-銷售總表!G5483)</f>
        <v>89250</v>
      </c>
      <c r="I5483" s="35">
        <f>H5483-F5483*VLOOKUP(銷售總表!B5483,產品!$A$2:$H$61,8,FALSE)</f>
        <v>21000</v>
      </c>
      <c r="J5483" s="20">
        <f t="shared" si="85"/>
        <v>0.23529411764705882</v>
      </c>
    </row>
    <row r="5484" spans="1:10" x14ac:dyDescent="0.3">
      <c r="A5484" s="33">
        <v>5483</v>
      </c>
      <c r="B5484" s="4">
        <v>26</v>
      </c>
      <c r="C5484" s="15">
        <v>258</v>
      </c>
      <c r="D5484" s="16">
        <v>1</v>
      </c>
      <c r="E5484" s="22">
        <v>44861</v>
      </c>
      <c r="F5484" s="19">
        <v>10</v>
      </c>
      <c r="G5484" s="18">
        <v>0.12</v>
      </c>
      <c r="H5484">
        <f>F5484*VLOOKUP(B5484,產品!$A$2:$H$61,7,FALSE)*(1-銷售總表!G5484)</f>
        <v>57200</v>
      </c>
      <c r="I5484" s="35">
        <f>H5484-F5484*VLOOKUP(銷售總表!B5484,產品!$A$2:$H$61,8,FALSE)</f>
        <v>18200</v>
      </c>
      <c r="J5484" s="20">
        <f t="shared" si="85"/>
        <v>0.31818181818181818</v>
      </c>
    </row>
    <row r="5485" spans="1:10" x14ac:dyDescent="0.3">
      <c r="A5485" s="33">
        <v>5484</v>
      </c>
      <c r="B5485" s="4">
        <v>41</v>
      </c>
      <c r="C5485" s="15">
        <v>116</v>
      </c>
      <c r="D5485" s="16">
        <v>7</v>
      </c>
      <c r="E5485" s="22">
        <v>44861</v>
      </c>
      <c r="F5485" s="19">
        <v>20</v>
      </c>
      <c r="G5485" s="18">
        <v>0.1</v>
      </c>
      <c r="H5485">
        <f>F5485*VLOOKUP(B5485,產品!$A$2:$H$61,7,FALSE)*(1-銷售總表!G5485)</f>
        <v>216000</v>
      </c>
      <c r="I5485" s="35">
        <f>H5485-F5485*VLOOKUP(銷售總表!B5485,產品!$A$2:$H$61,8,FALSE)</f>
        <v>60000</v>
      </c>
      <c r="J5485" s="20">
        <f t="shared" si="85"/>
        <v>0.27777777777777779</v>
      </c>
    </row>
    <row r="5486" spans="1:10" x14ac:dyDescent="0.3">
      <c r="A5486" s="33">
        <v>5485</v>
      </c>
      <c r="B5486" s="4">
        <v>23</v>
      </c>
      <c r="C5486" s="15">
        <v>116</v>
      </c>
      <c r="D5486" s="16">
        <v>9</v>
      </c>
      <c r="E5486" s="22">
        <v>44861</v>
      </c>
      <c r="F5486" s="19">
        <v>50</v>
      </c>
      <c r="G5486" s="18">
        <v>0.08</v>
      </c>
      <c r="H5486">
        <f>F5486*VLOOKUP(B5486,產品!$A$2:$H$61,7,FALSE)*(1-銷售總表!G5486)</f>
        <v>82800</v>
      </c>
      <c r="I5486" s="35">
        <f>H5486-F5486*VLOOKUP(銷售總表!B5486,產品!$A$2:$H$61,8,FALSE)</f>
        <v>46800</v>
      </c>
      <c r="J5486" s="20">
        <f t="shared" si="85"/>
        <v>0.56521739130434778</v>
      </c>
    </row>
    <row r="5487" spans="1:10" x14ac:dyDescent="0.3">
      <c r="A5487" s="33">
        <v>5486</v>
      </c>
      <c r="B5487" s="4">
        <v>1</v>
      </c>
      <c r="C5487" s="15">
        <v>272</v>
      </c>
      <c r="D5487" s="16">
        <v>3</v>
      </c>
      <c r="E5487" s="22">
        <v>44861</v>
      </c>
      <c r="F5487" s="19">
        <v>60</v>
      </c>
      <c r="G5487" s="18">
        <v>0.05</v>
      </c>
      <c r="H5487">
        <f>F5487*VLOOKUP(B5487,產品!$A$2:$H$61,7,FALSE)*(1-銷售總表!G5487)</f>
        <v>57000</v>
      </c>
      <c r="I5487" s="35">
        <f>H5487-F5487*VLOOKUP(銷售總表!B5487,產品!$A$2:$H$61,8,FALSE)</f>
        <v>33000</v>
      </c>
      <c r="J5487" s="20">
        <f t="shared" si="85"/>
        <v>0.57894736842105265</v>
      </c>
    </row>
    <row r="5488" spans="1:10" x14ac:dyDescent="0.3">
      <c r="A5488" s="33">
        <v>5487</v>
      </c>
      <c r="B5488" s="4">
        <v>14</v>
      </c>
      <c r="C5488" s="15">
        <v>112</v>
      </c>
      <c r="D5488" s="16">
        <v>5</v>
      </c>
      <c r="E5488" s="22">
        <v>44861</v>
      </c>
      <c r="F5488" s="19">
        <v>100</v>
      </c>
      <c r="G5488" s="18">
        <v>0.17</v>
      </c>
      <c r="H5488">
        <f>F5488*VLOOKUP(B5488,產品!$A$2:$H$61,7,FALSE)*(1-銷售總表!G5488)</f>
        <v>149400</v>
      </c>
      <c r="I5488" s="35">
        <f>H5488-F5488*VLOOKUP(銷售總表!B5488,產品!$A$2:$H$61,8,FALSE)</f>
        <v>77400</v>
      </c>
      <c r="J5488" s="20">
        <f t="shared" si="85"/>
        <v>0.51807228915662651</v>
      </c>
    </row>
    <row r="5489" spans="1:10" x14ac:dyDescent="0.3">
      <c r="A5489" s="33">
        <v>5488</v>
      </c>
      <c r="B5489" s="4">
        <v>47</v>
      </c>
      <c r="C5489" s="15">
        <v>114</v>
      </c>
      <c r="D5489" s="16">
        <v>1</v>
      </c>
      <c r="E5489" s="22">
        <v>44862</v>
      </c>
      <c r="F5489" s="19">
        <v>2</v>
      </c>
      <c r="G5489" s="18">
        <v>0.12</v>
      </c>
      <c r="H5489">
        <f>F5489*VLOOKUP(B5489,產品!$A$2:$H$61,7,FALSE)*(1-銷售總表!G5489)</f>
        <v>35200</v>
      </c>
      <c r="I5489" s="35">
        <f>H5489-F5489*VLOOKUP(銷售總表!B5489,產品!$A$2:$H$61,8,FALSE)</f>
        <v>9200</v>
      </c>
      <c r="J5489" s="20">
        <f t="shared" si="85"/>
        <v>0.26136363636363635</v>
      </c>
    </row>
    <row r="5490" spans="1:10" x14ac:dyDescent="0.3">
      <c r="A5490" s="33">
        <v>5489</v>
      </c>
      <c r="B5490" s="4">
        <v>40</v>
      </c>
      <c r="C5490" s="15">
        <v>282</v>
      </c>
      <c r="D5490" s="16">
        <v>6</v>
      </c>
      <c r="E5490" s="22">
        <v>44862</v>
      </c>
      <c r="F5490" s="19">
        <v>7</v>
      </c>
      <c r="G5490" s="18">
        <v>0.11</v>
      </c>
      <c r="H5490">
        <f>F5490*VLOOKUP(B5490,產品!$A$2:$H$61,7,FALSE)*(1-銷售總表!G5490)</f>
        <v>124600</v>
      </c>
      <c r="I5490" s="35">
        <f>H5490-F5490*VLOOKUP(銷售總表!B5490,產品!$A$2:$H$61,8,FALSE)</f>
        <v>33600</v>
      </c>
      <c r="J5490" s="20">
        <f t="shared" si="85"/>
        <v>0.2696629213483146</v>
      </c>
    </row>
    <row r="5491" spans="1:10" x14ac:dyDescent="0.3">
      <c r="A5491" s="33">
        <v>5490</v>
      </c>
      <c r="B5491" s="4">
        <v>57</v>
      </c>
      <c r="C5491" s="15">
        <v>136</v>
      </c>
      <c r="D5491" s="16">
        <v>7</v>
      </c>
      <c r="E5491" s="23">
        <v>44862</v>
      </c>
      <c r="F5491">
        <v>8</v>
      </c>
      <c r="G5491" s="20">
        <v>0.08</v>
      </c>
      <c r="H5491">
        <f>F5491*VLOOKUP(B5491,產品!$A$2:$H$61,7,FALSE)*(1-銷售總表!G5491)</f>
        <v>132480</v>
      </c>
      <c r="I5491" s="35">
        <f>H5491-F5491*VLOOKUP(銷售總表!B5491,產品!$A$2:$H$61,8,FALSE)</f>
        <v>31680</v>
      </c>
      <c r="J5491" s="20">
        <f t="shared" si="85"/>
        <v>0.2391304347826087</v>
      </c>
    </row>
    <row r="5492" spans="1:10" x14ac:dyDescent="0.3">
      <c r="A5492" s="33">
        <v>5491</v>
      </c>
      <c r="B5492" s="4">
        <v>13</v>
      </c>
      <c r="C5492" s="15">
        <v>12</v>
      </c>
      <c r="D5492" s="16">
        <v>2</v>
      </c>
      <c r="E5492" s="23">
        <v>44862</v>
      </c>
      <c r="F5492">
        <v>11</v>
      </c>
      <c r="G5492" s="20">
        <v>7.0000000000000007E-2</v>
      </c>
      <c r="H5492">
        <f>F5492*VLOOKUP(B5492,產品!$A$2:$H$61,7,FALSE)*(1-銷售總表!G5492)</f>
        <v>18414</v>
      </c>
      <c r="I5492" s="35">
        <f>H5492-F5492*VLOOKUP(銷售總表!B5492,產品!$A$2:$H$61,8,FALSE)</f>
        <v>10494</v>
      </c>
      <c r="J5492" s="20">
        <f t="shared" si="85"/>
        <v>0.56989247311827962</v>
      </c>
    </row>
    <row r="5493" spans="1:10" x14ac:dyDescent="0.3">
      <c r="A5493" s="33">
        <v>5492</v>
      </c>
      <c r="B5493" s="4">
        <v>30</v>
      </c>
      <c r="C5493" s="15">
        <v>1</v>
      </c>
      <c r="D5493" s="16">
        <v>1</v>
      </c>
      <c r="E5493" s="22">
        <v>44862</v>
      </c>
      <c r="F5493" s="19">
        <v>30</v>
      </c>
      <c r="G5493" s="18">
        <v>0.14000000000000001</v>
      </c>
      <c r="H5493">
        <f>F5493*VLOOKUP(B5493,產品!$A$2:$H$61,7,FALSE)*(1-銷售總表!G5493)</f>
        <v>167700</v>
      </c>
      <c r="I5493" s="35">
        <f>H5493-F5493*VLOOKUP(銷售總表!B5493,產品!$A$2:$H$61,8,FALSE)</f>
        <v>50700</v>
      </c>
      <c r="J5493" s="20">
        <f t="shared" si="85"/>
        <v>0.30232558139534882</v>
      </c>
    </row>
    <row r="5494" spans="1:10" x14ac:dyDescent="0.3">
      <c r="A5494" s="33">
        <v>5493</v>
      </c>
      <c r="B5494" s="4">
        <v>21</v>
      </c>
      <c r="C5494" s="15">
        <v>136</v>
      </c>
      <c r="D5494" s="16">
        <v>4</v>
      </c>
      <c r="E5494" s="22">
        <v>44862</v>
      </c>
      <c r="F5494" s="19">
        <v>60</v>
      </c>
      <c r="G5494" s="18">
        <v>0.11</v>
      </c>
      <c r="H5494">
        <f>F5494*VLOOKUP(B5494,產品!$A$2:$H$61,7,FALSE)*(1-銷售總表!G5494)</f>
        <v>96120</v>
      </c>
      <c r="I5494" s="35">
        <f>H5494-F5494*VLOOKUP(銷售總表!B5494,產品!$A$2:$H$61,8,FALSE)</f>
        <v>52920</v>
      </c>
      <c r="J5494" s="20">
        <f t="shared" si="85"/>
        <v>0.550561797752809</v>
      </c>
    </row>
    <row r="5495" spans="1:10" x14ac:dyDescent="0.3">
      <c r="A5495" s="33">
        <v>5494</v>
      </c>
      <c r="B5495" s="4">
        <v>15</v>
      </c>
      <c r="C5495" s="15">
        <v>113</v>
      </c>
      <c r="D5495" s="16">
        <v>10</v>
      </c>
      <c r="E5495" s="23">
        <v>44862</v>
      </c>
      <c r="F5495">
        <v>60</v>
      </c>
      <c r="G5495" s="20">
        <v>0.19</v>
      </c>
      <c r="H5495">
        <f>F5495*VLOOKUP(B5495,產品!$A$2:$H$61,7,FALSE)*(1-銷售總表!G5495)</f>
        <v>87480</v>
      </c>
      <c r="I5495" s="35">
        <f>H5495-F5495*VLOOKUP(銷售總表!B5495,產品!$A$2:$H$61,8,FALSE)</f>
        <v>44280</v>
      </c>
      <c r="J5495" s="20">
        <f t="shared" si="85"/>
        <v>0.50617283950617287</v>
      </c>
    </row>
    <row r="5496" spans="1:10" x14ac:dyDescent="0.3">
      <c r="A5496" s="33">
        <v>5495</v>
      </c>
      <c r="B5496" s="4">
        <v>37</v>
      </c>
      <c r="C5496" s="15">
        <v>114</v>
      </c>
      <c r="D5496" s="16">
        <v>2</v>
      </c>
      <c r="E5496" s="22">
        <v>44863</v>
      </c>
      <c r="F5496" s="19">
        <v>5</v>
      </c>
      <c r="G5496" s="18">
        <v>0.15</v>
      </c>
      <c r="H5496">
        <f>F5496*VLOOKUP(B5496,產品!$A$2:$H$61,7,FALSE)*(1-銷售總表!G5496)</f>
        <v>51000</v>
      </c>
      <c r="I5496" s="35">
        <f>H5496-F5496*VLOOKUP(銷售總表!B5496,產品!$A$2:$H$61,8,FALSE)</f>
        <v>12000</v>
      </c>
      <c r="J5496" s="20">
        <f t="shared" si="85"/>
        <v>0.23529411764705882</v>
      </c>
    </row>
    <row r="5497" spans="1:10" x14ac:dyDescent="0.3">
      <c r="A5497" s="33">
        <v>5496</v>
      </c>
      <c r="B5497" s="4">
        <v>52</v>
      </c>
      <c r="C5497" s="15">
        <v>260</v>
      </c>
      <c r="D5497" s="16">
        <v>10</v>
      </c>
      <c r="E5497" s="22">
        <v>44863</v>
      </c>
      <c r="F5497" s="19">
        <v>12</v>
      </c>
      <c r="G5497" s="18">
        <v>0.08</v>
      </c>
      <c r="H5497">
        <f>F5497*VLOOKUP(B5497,產品!$A$2:$H$61,7,FALSE)*(1-銷售總表!G5497)</f>
        <v>242880</v>
      </c>
      <c r="I5497" s="35">
        <f>H5497-F5497*VLOOKUP(銷售總表!B5497,產品!$A$2:$H$61,8,FALSE)</f>
        <v>58080.000000000029</v>
      </c>
      <c r="J5497" s="20">
        <f t="shared" si="85"/>
        <v>0.23913043478260881</v>
      </c>
    </row>
    <row r="5498" spans="1:10" x14ac:dyDescent="0.3">
      <c r="A5498" s="33">
        <v>5497</v>
      </c>
      <c r="B5498" s="4">
        <v>16</v>
      </c>
      <c r="C5498" s="15">
        <v>114</v>
      </c>
      <c r="D5498" s="16">
        <v>9</v>
      </c>
      <c r="E5498" s="22">
        <v>44863</v>
      </c>
      <c r="F5498" s="19">
        <v>80</v>
      </c>
      <c r="G5498" s="18">
        <v>0.05</v>
      </c>
      <c r="H5498">
        <f>F5498*VLOOKUP(B5498,產品!$A$2:$H$61,7,FALSE)*(1-銷售總表!G5498)</f>
        <v>136800</v>
      </c>
      <c r="I5498" s="35">
        <f>H5498-F5498*VLOOKUP(銷售總表!B5498,產品!$A$2:$H$61,8,FALSE)</f>
        <v>79200</v>
      </c>
      <c r="J5498" s="20">
        <f t="shared" si="85"/>
        <v>0.57894736842105265</v>
      </c>
    </row>
    <row r="5499" spans="1:10" x14ac:dyDescent="0.3">
      <c r="A5499" s="33">
        <v>5498</v>
      </c>
      <c r="B5499" s="4">
        <v>42</v>
      </c>
      <c r="C5499" s="15">
        <v>259</v>
      </c>
      <c r="D5499" s="16">
        <v>10</v>
      </c>
      <c r="E5499" s="22">
        <v>44864</v>
      </c>
      <c r="F5499" s="19">
        <v>1</v>
      </c>
      <c r="G5499" s="18">
        <v>0.2</v>
      </c>
      <c r="H5499">
        <f>F5499*VLOOKUP(B5499,產品!$A$2:$H$61,7,FALSE)*(1-銷售總表!G5499)</f>
        <v>12000</v>
      </c>
      <c r="I5499" s="35">
        <f>H5499-F5499*VLOOKUP(銷售總表!B5499,產品!$A$2:$H$61,8,FALSE)</f>
        <v>2250</v>
      </c>
      <c r="J5499" s="20">
        <f t="shared" si="85"/>
        <v>0.1875</v>
      </c>
    </row>
    <row r="5500" spans="1:10" x14ac:dyDescent="0.3">
      <c r="A5500" s="33">
        <v>5499</v>
      </c>
      <c r="B5500" s="4">
        <v>48</v>
      </c>
      <c r="C5500" s="15">
        <v>273</v>
      </c>
      <c r="D5500" s="16">
        <v>10</v>
      </c>
      <c r="E5500" s="22">
        <v>44864</v>
      </c>
      <c r="F5500" s="19">
        <v>3</v>
      </c>
      <c r="G5500" s="18">
        <v>0.09</v>
      </c>
      <c r="H5500">
        <f>F5500*VLOOKUP(B5500,產品!$A$2:$H$61,7,FALSE)*(1-銷售總表!G5500)</f>
        <v>60060</v>
      </c>
      <c r="I5500" s="35">
        <f>H5500-F5500*VLOOKUP(銷售總表!B5500,產品!$A$2:$H$61,8,FALSE)</f>
        <v>17160</v>
      </c>
      <c r="J5500" s="20">
        <f t="shared" si="85"/>
        <v>0.2857142857142857</v>
      </c>
    </row>
    <row r="5501" spans="1:10" x14ac:dyDescent="0.3">
      <c r="A5501" s="33">
        <v>5500</v>
      </c>
      <c r="B5501" s="4">
        <v>25</v>
      </c>
      <c r="C5501" s="15">
        <v>10</v>
      </c>
      <c r="D5501" s="16">
        <v>4</v>
      </c>
      <c r="E5501" s="22">
        <v>44864</v>
      </c>
      <c r="F5501" s="19">
        <v>7</v>
      </c>
      <c r="G5501" s="18">
        <v>0.17</v>
      </c>
      <c r="H5501">
        <f>F5501*VLOOKUP(B5501,產品!$A$2:$H$61,7,FALSE)*(1-銷售總表!G5501)</f>
        <v>34860</v>
      </c>
      <c r="I5501" s="35">
        <f>H5501-F5501*VLOOKUP(銷售總表!B5501,產品!$A$2:$H$61,8,FALSE)</f>
        <v>9660</v>
      </c>
      <c r="J5501" s="20">
        <f t="shared" si="85"/>
        <v>0.27710843373493976</v>
      </c>
    </row>
    <row r="5502" spans="1:10" x14ac:dyDescent="0.3">
      <c r="A5502" s="33">
        <v>5501</v>
      </c>
      <c r="B5502" s="4">
        <v>34</v>
      </c>
      <c r="C5502" s="15">
        <v>8</v>
      </c>
      <c r="D5502" s="16">
        <v>1</v>
      </c>
      <c r="E5502" s="23">
        <v>44865</v>
      </c>
      <c r="F5502">
        <v>5</v>
      </c>
      <c r="G5502" s="20">
        <v>0.14000000000000001</v>
      </c>
      <c r="H5502">
        <f>F5502*VLOOKUP(B5502,產品!$A$2:$H$61,7,FALSE)*(1-銷售總表!G5502)</f>
        <v>34400</v>
      </c>
      <c r="I5502" s="35">
        <f>H5502-F5502*VLOOKUP(銷售總表!B5502,產品!$A$2:$H$61,8,FALSE)</f>
        <v>10400</v>
      </c>
      <c r="J5502" s="20">
        <f t="shared" si="85"/>
        <v>0.30232558139534882</v>
      </c>
    </row>
    <row r="5503" spans="1:10" x14ac:dyDescent="0.3">
      <c r="A5503" s="33">
        <v>5502</v>
      </c>
      <c r="B5503" s="4">
        <v>26</v>
      </c>
      <c r="C5503" s="15">
        <v>267</v>
      </c>
      <c r="D5503" s="16">
        <v>10</v>
      </c>
      <c r="E5503" s="23">
        <v>44865</v>
      </c>
      <c r="F5503">
        <v>6</v>
      </c>
      <c r="G5503" s="20">
        <v>0.13</v>
      </c>
      <c r="H5503">
        <f>F5503*VLOOKUP(B5503,產品!$A$2:$H$61,7,FALSE)*(1-銷售總表!G5503)</f>
        <v>33930</v>
      </c>
      <c r="I5503" s="35">
        <f>H5503-F5503*VLOOKUP(銷售總表!B5503,產品!$A$2:$H$61,8,FALSE)</f>
        <v>10530</v>
      </c>
      <c r="J5503" s="20">
        <f t="shared" si="85"/>
        <v>0.31034482758620691</v>
      </c>
    </row>
    <row r="5504" spans="1:10" x14ac:dyDescent="0.3">
      <c r="A5504" s="33">
        <v>5503</v>
      </c>
      <c r="B5504" s="4">
        <v>52</v>
      </c>
      <c r="C5504" s="15">
        <v>260</v>
      </c>
      <c r="D5504" s="16">
        <v>3</v>
      </c>
      <c r="E5504" s="22">
        <v>44865</v>
      </c>
      <c r="F5504" s="19">
        <v>7</v>
      </c>
      <c r="G5504" s="18">
        <v>7.0000000000000007E-2</v>
      </c>
      <c r="H5504">
        <f>F5504*VLOOKUP(B5504,產品!$A$2:$H$61,7,FALSE)*(1-銷售總表!G5504)</f>
        <v>143220</v>
      </c>
      <c r="I5504" s="35">
        <f>H5504-F5504*VLOOKUP(銷售總表!B5504,產品!$A$2:$H$61,8,FALSE)</f>
        <v>35420.000000000015</v>
      </c>
      <c r="J5504" s="20">
        <f t="shared" si="85"/>
        <v>0.24731182795698936</v>
      </c>
    </row>
    <row r="5505" spans="1:10" x14ac:dyDescent="0.3">
      <c r="A5505" s="33">
        <v>5504</v>
      </c>
      <c r="B5505" s="4">
        <v>13</v>
      </c>
      <c r="C5505" s="15">
        <v>290</v>
      </c>
      <c r="D5505" s="16">
        <v>7</v>
      </c>
      <c r="E5505" s="22">
        <v>44865</v>
      </c>
      <c r="F5505" s="19">
        <v>10</v>
      </c>
      <c r="G5505" s="18">
        <v>7.0000000000000007E-2</v>
      </c>
      <c r="H5505">
        <f>F5505*VLOOKUP(B5505,產品!$A$2:$H$61,7,FALSE)*(1-銷售總表!G5505)</f>
        <v>16740</v>
      </c>
      <c r="I5505" s="35">
        <f>H5505-F5505*VLOOKUP(銷售總表!B5505,產品!$A$2:$H$61,8,FALSE)</f>
        <v>9540</v>
      </c>
      <c r="J5505" s="20">
        <f t="shared" si="85"/>
        <v>0.56989247311827962</v>
      </c>
    </row>
    <row r="5506" spans="1:10" x14ac:dyDescent="0.3">
      <c r="A5506" s="33">
        <v>5505</v>
      </c>
      <c r="B5506" s="4">
        <v>28</v>
      </c>
      <c r="C5506" s="15">
        <v>4</v>
      </c>
      <c r="D5506" s="16">
        <v>8</v>
      </c>
      <c r="E5506" s="22">
        <v>44865</v>
      </c>
      <c r="F5506" s="19">
        <v>18</v>
      </c>
      <c r="G5506" s="18">
        <v>0.11</v>
      </c>
      <c r="H5506">
        <f>F5506*VLOOKUP(B5506,產品!$A$2:$H$61,7,FALSE)*(1-銷售總表!G5506)</f>
        <v>120150</v>
      </c>
      <c r="I5506" s="35">
        <f>H5506-F5506*VLOOKUP(銷售總表!B5506,產品!$A$2:$H$61,8,FALSE)</f>
        <v>39150</v>
      </c>
      <c r="J5506" s="20">
        <f t="shared" si="85"/>
        <v>0.3258426966292135</v>
      </c>
    </row>
    <row r="5507" spans="1:10" x14ac:dyDescent="0.3">
      <c r="A5507" s="33">
        <v>5506</v>
      </c>
      <c r="B5507" s="4">
        <v>5</v>
      </c>
      <c r="C5507" s="15">
        <v>262</v>
      </c>
      <c r="D5507" s="16">
        <v>3</v>
      </c>
      <c r="E5507" s="22">
        <v>44865</v>
      </c>
      <c r="F5507" s="19">
        <v>30</v>
      </c>
      <c r="G5507" s="18">
        <v>0.1</v>
      </c>
      <c r="H5507">
        <f>F5507*VLOOKUP(B5507,產品!$A$2:$H$61,7,FALSE)*(1-銷售總表!G5507)</f>
        <v>27000</v>
      </c>
      <c r="I5507" s="35">
        <f>H5507-F5507*VLOOKUP(銷售總表!B5507,產品!$A$2:$H$61,8,FALSE)</f>
        <v>15000</v>
      </c>
      <c r="J5507" s="20">
        <f t="shared" ref="J5507:J5570" si="86">I5507/H5507</f>
        <v>0.55555555555555558</v>
      </c>
    </row>
    <row r="5508" spans="1:10" x14ac:dyDescent="0.3">
      <c r="A5508" s="33">
        <v>5507</v>
      </c>
      <c r="B5508" s="4">
        <v>15</v>
      </c>
      <c r="C5508" s="15">
        <v>5</v>
      </c>
      <c r="D5508" s="16">
        <v>2</v>
      </c>
      <c r="E5508" s="22">
        <v>44865</v>
      </c>
      <c r="F5508" s="19">
        <v>40</v>
      </c>
      <c r="G5508" s="18">
        <v>0.16</v>
      </c>
      <c r="H5508">
        <f>F5508*VLOOKUP(B5508,產品!$A$2:$H$61,7,FALSE)*(1-銷售總表!G5508)</f>
        <v>60480</v>
      </c>
      <c r="I5508" s="35">
        <f>H5508-F5508*VLOOKUP(銷售總表!B5508,產品!$A$2:$H$61,8,FALSE)</f>
        <v>31680</v>
      </c>
      <c r="J5508" s="20">
        <f t="shared" si="86"/>
        <v>0.52380952380952384</v>
      </c>
    </row>
    <row r="5509" spans="1:10" x14ac:dyDescent="0.3">
      <c r="A5509" s="33">
        <v>5508</v>
      </c>
      <c r="B5509" s="4">
        <v>22</v>
      </c>
      <c r="C5509" s="15">
        <v>284</v>
      </c>
      <c r="D5509" s="16">
        <v>8</v>
      </c>
      <c r="E5509" s="23">
        <v>44865</v>
      </c>
      <c r="F5509">
        <v>70</v>
      </c>
      <c r="G5509" s="20">
        <v>0.1</v>
      </c>
      <c r="H5509">
        <f>F5509*VLOOKUP(B5509,產品!$A$2:$H$61,7,FALSE)*(1-銷售總表!G5509)</f>
        <v>113400</v>
      </c>
      <c r="I5509" s="35">
        <f>H5509-F5509*VLOOKUP(銷售總表!B5509,產品!$A$2:$H$61,8,FALSE)</f>
        <v>63000</v>
      </c>
      <c r="J5509" s="20">
        <f t="shared" si="86"/>
        <v>0.55555555555555558</v>
      </c>
    </row>
    <row r="5510" spans="1:10" x14ac:dyDescent="0.3">
      <c r="A5510" s="33">
        <v>5509</v>
      </c>
      <c r="B5510" s="4">
        <v>11</v>
      </c>
      <c r="C5510" s="15">
        <v>258</v>
      </c>
      <c r="D5510" s="16">
        <v>5</v>
      </c>
      <c r="E5510" s="22">
        <v>44865</v>
      </c>
      <c r="F5510" s="19">
        <v>200</v>
      </c>
      <c r="G5510" s="18">
        <v>0.14000000000000001</v>
      </c>
      <c r="H5510">
        <f>F5510*VLOOKUP(B5510,產品!$A$2:$H$61,7,FALSE)*(1-銷售總表!G5510)</f>
        <v>172000</v>
      </c>
      <c r="I5510" s="35">
        <f>H5510-F5510*VLOOKUP(銷售總表!B5510,產品!$A$2:$H$61,8,FALSE)</f>
        <v>92000</v>
      </c>
      <c r="J5510" s="20">
        <f t="shared" si="86"/>
        <v>0.53488372093023251</v>
      </c>
    </row>
    <row r="5511" spans="1:10" x14ac:dyDescent="0.3">
      <c r="A5511" s="33">
        <v>5510</v>
      </c>
      <c r="B5511" s="4">
        <v>27</v>
      </c>
      <c r="C5511" s="15">
        <v>258</v>
      </c>
      <c r="D5511" s="16">
        <v>2</v>
      </c>
      <c r="E5511" s="22">
        <v>44866</v>
      </c>
      <c r="F5511" s="19">
        <v>6</v>
      </c>
      <c r="G5511" s="18">
        <v>0.09</v>
      </c>
      <c r="H5511">
        <f>F5511*VLOOKUP(B5511,產品!$A$2:$H$61,7,FALSE)*(1-銷售總表!G5511)</f>
        <v>38220</v>
      </c>
      <c r="I5511" s="35">
        <f>H5511-F5511*VLOOKUP(銷售總表!B5511,產品!$A$2:$H$61,8,FALSE)</f>
        <v>13020</v>
      </c>
      <c r="J5511" s="20">
        <f t="shared" si="86"/>
        <v>0.34065934065934067</v>
      </c>
    </row>
    <row r="5512" spans="1:10" x14ac:dyDescent="0.3">
      <c r="A5512" s="33">
        <v>5511</v>
      </c>
      <c r="B5512" s="4">
        <v>26</v>
      </c>
      <c r="C5512" s="15">
        <v>11</v>
      </c>
      <c r="D5512" s="16">
        <v>9</v>
      </c>
      <c r="E5512" s="22">
        <v>44866</v>
      </c>
      <c r="F5512" s="19">
        <v>9</v>
      </c>
      <c r="G5512" s="18">
        <v>0.17</v>
      </c>
      <c r="H5512">
        <f>F5512*VLOOKUP(B5512,產品!$A$2:$H$61,7,FALSE)*(1-銷售總表!G5512)</f>
        <v>48555</v>
      </c>
      <c r="I5512" s="35">
        <f>H5512-F5512*VLOOKUP(銷售總表!B5512,產品!$A$2:$H$61,8,FALSE)</f>
        <v>13455</v>
      </c>
      <c r="J5512" s="20">
        <f t="shared" si="86"/>
        <v>0.27710843373493976</v>
      </c>
    </row>
    <row r="5513" spans="1:10" x14ac:dyDescent="0.3">
      <c r="A5513" s="33">
        <v>5512</v>
      </c>
      <c r="B5513" s="4">
        <v>33</v>
      </c>
      <c r="C5513" s="15">
        <v>291</v>
      </c>
      <c r="D5513" s="16">
        <v>3</v>
      </c>
      <c r="E5513" s="22">
        <v>44866</v>
      </c>
      <c r="F5513" s="19">
        <v>13</v>
      </c>
      <c r="G5513" s="18">
        <v>0.16</v>
      </c>
      <c r="H5513">
        <f>F5513*VLOOKUP(B5513,產品!$A$2:$H$61,7,FALSE)*(1-銷售總表!G5513)</f>
        <v>81900</v>
      </c>
      <c r="I5513" s="35">
        <f>H5513-F5513*VLOOKUP(銷售總表!B5513,產品!$A$2:$H$61,8,FALSE)</f>
        <v>23400</v>
      </c>
      <c r="J5513" s="20">
        <f t="shared" si="86"/>
        <v>0.2857142857142857</v>
      </c>
    </row>
    <row r="5514" spans="1:10" x14ac:dyDescent="0.3">
      <c r="A5514" s="33">
        <v>5513</v>
      </c>
      <c r="B5514" s="4">
        <v>14</v>
      </c>
      <c r="C5514" s="15">
        <v>276</v>
      </c>
      <c r="D5514" s="16">
        <v>4</v>
      </c>
      <c r="E5514" s="22">
        <v>44866</v>
      </c>
      <c r="F5514" s="19">
        <v>50</v>
      </c>
      <c r="G5514" s="18">
        <v>0.15</v>
      </c>
      <c r="H5514">
        <f>F5514*VLOOKUP(B5514,產品!$A$2:$H$61,7,FALSE)*(1-銷售總表!G5514)</f>
        <v>76500</v>
      </c>
      <c r="I5514" s="35">
        <f>H5514-F5514*VLOOKUP(銷售總表!B5514,產品!$A$2:$H$61,8,FALSE)</f>
        <v>40500</v>
      </c>
      <c r="J5514" s="20">
        <f t="shared" si="86"/>
        <v>0.52941176470588236</v>
      </c>
    </row>
    <row r="5515" spans="1:10" x14ac:dyDescent="0.3">
      <c r="A5515" s="33">
        <v>5514</v>
      </c>
      <c r="B5515" s="4">
        <v>28</v>
      </c>
      <c r="C5515" s="15">
        <v>271</v>
      </c>
      <c r="D5515" s="16">
        <v>2</v>
      </c>
      <c r="E5515" s="22">
        <v>44867</v>
      </c>
      <c r="F5515" s="19">
        <v>6</v>
      </c>
      <c r="G5515" s="18">
        <v>0.17</v>
      </c>
      <c r="H5515">
        <f>F5515*VLOOKUP(B5515,產品!$A$2:$H$61,7,FALSE)*(1-銷售總表!G5515)</f>
        <v>37350</v>
      </c>
      <c r="I5515" s="35">
        <f>H5515-F5515*VLOOKUP(銷售總表!B5515,產品!$A$2:$H$61,8,FALSE)</f>
        <v>10350</v>
      </c>
      <c r="J5515" s="20">
        <f t="shared" si="86"/>
        <v>0.27710843373493976</v>
      </c>
    </row>
    <row r="5516" spans="1:10" x14ac:dyDescent="0.3">
      <c r="A5516" s="33">
        <v>5515</v>
      </c>
      <c r="B5516" s="4">
        <v>46</v>
      </c>
      <c r="C5516" s="15">
        <v>117</v>
      </c>
      <c r="D5516" s="16">
        <v>7</v>
      </c>
      <c r="E5516" s="22">
        <v>44867</v>
      </c>
      <c r="F5516" s="19">
        <v>7</v>
      </c>
      <c r="G5516" s="18">
        <v>0.18</v>
      </c>
      <c r="H5516">
        <f>F5516*VLOOKUP(B5516,產品!$A$2:$H$61,7,FALSE)*(1-銷售總表!G5516)</f>
        <v>97580.000000000015</v>
      </c>
      <c r="I5516" s="35">
        <f>H5516-F5516*VLOOKUP(銷售總表!B5516,產品!$A$2:$H$61,8,FALSE)</f>
        <v>20230.000000000015</v>
      </c>
      <c r="J5516" s="20">
        <f t="shared" si="86"/>
        <v>0.20731707317073184</v>
      </c>
    </row>
    <row r="5517" spans="1:10" x14ac:dyDescent="0.3">
      <c r="A5517" s="33">
        <v>5516</v>
      </c>
      <c r="B5517" s="4">
        <v>46</v>
      </c>
      <c r="C5517" s="15">
        <v>257</v>
      </c>
      <c r="D5517" s="16">
        <v>9</v>
      </c>
      <c r="E5517" s="23">
        <v>44867</v>
      </c>
      <c r="F5517">
        <v>15</v>
      </c>
      <c r="G5517" s="20">
        <v>0.06</v>
      </c>
      <c r="H5517">
        <f>F5517*VLOOKUP(B5517,產品!$A$2:$H$61,7,FALSE)*(1-銷售總表!G5517)</f>
        <v>239700</v>
      </c>
      <c r="I5517" s="35">
        <f>H5517-F5517*VLOOKUP(銷售總表!B5517,產品!$A$2:$H$61,8,FALSE)</f>
        <v>73950</v>
      </c>
      <c r="J5517" s="20">
        <f t="shared" si="86"/>
        <v>0.30851063829787234</v>
      </c>
    </row>
    <row r="5518" spans="1:10" x14ac:dyDescent="0.3">
      <c r="A5518" s="33">
        <v>5517</v>
      </c>
      <c r="B5518" s="4">
        <v>11</v>
      </c>
      <c r="C5518" s="15">
        <v>119</v>
      </c>
      <c r="D5518" s="16">
        <v>1</v>
      </c>
      <c r="E5518" s="22">
        <v>44867</v>
      </c>
      <c r="F5518" s="19">
        <v>40</v>
      </c>
      <c r="G5518" s="18">
        <v>0.17</v>
      </c>
      <c r="H5518">
        <f>F5518*VLOOKUP(B5518,產品!$A$2:$H$61,7,FALSE)*(1-銷售總表!G5518)</f>
        <v>33200</v>
      </c>
      <c r="I5518" s="35">
        <f>H5518-F5518*VLOOKUP(銷售總表!B5518,產品!$A$2:$H$61,8,FALSE)</f>
        <v>17200</v>
      </c>
      <c r="J5518" s="20">
        <f t="shared" si="86"/>
        <v>0.51807228915662651</v>
      </c>
    </row>
    <row r="5519" spans="1:10" x14ac:dyDescent="0.3">
      <c r="A5519" s="33">
        <v>5518</v>
      </c>
      <c r="B5519" s="4">
        <v>16</v>
      </c>
      <c r="C5519" s="15">
        <v>268</v>
      </c>
      <c r="D5519" s="16">
        <v>8</v>
      </c>
      <c r="E5519" s="23">
        <v>44867</v>
      </c>
      <c r="F5519">
        <v>50</v>
      </c>
      <c r="G5519" s="20">
        <v>0.16</v>
      </c>
      <c r="H5519">
        <f>F5519*VLOOKUP(B5519,產品!$A$2:$H$61,7,FALSE)*(1-銷售總表!G5519)</f>
        <v>75600</v>
      </c>
      <c r="I5519" s="35">
        <f>H5519-F5519*VLOOKUP(銷售總表!B5519,產品!$A$2:$H$61,8,FALSE)</f>
        <v>39600</v>
      </c>
      <c r="J5519" s="20">
        <f t="shared" si="86"/>
        <v>0.52380952380952384</v>
      </c>
    </row>
    <row r="5520" spans="1:10" x14ac:dyDescent="0.3">
      <c r="A5520" s="33">
        <v>5519</v>
      </c>
      <c r="B5520" s="4">
        <v>26</v>
      </c>
      <c r="C5520" s="15">
        <v>121</v>
      </c>
      <c r="D5520" s="16">
        <v>6</v>
      </c>
      <c r="E5520" s="22">
        <v>44867</v>
      </c>
      <c r="F5520" s="19">
        <v>55</v>
      </c>
      <c r="G5520" s="18">
        <v>0.19</v>
      </c>
      <c r="H5520">
        <f>F5520*VLOOKUP(B5520,產品!$A$2:$H$61,7,FALSE)*(1-銷售總表!G5520)</f>
        <v>289575</v>
      </c>
      <c r="I5520" s="35">
        <f>H5520-F5520*VLOOKUP(銷售總表!B5520,產品!$A$2:$H$61,8,FALSE)</f>
        <v>75075</v>
      </c>
      <c r="J5520" s="20">
        <f t="shared" si="86"/>
        <v>0.25925925925925924</v>
      </c>
    </row>
    <row r="5521" spans="1:10" x14ac:dyDescent="0.3">
      <c r="A5521" s="33">
        <v>5520</v>
      </c>
      <c r="B5521" s="4">
        <v>13</v>
      </c>
      <c r="C5521" s="15">
        <v>124</v>
      </c>
      <c r="D5521" s="16">
        <v>9</v>
      </c>
      <c r="E5521" s="22">
        <v>44867</v>
      </c>
      <c r="F5521" s="19">
        <v>80</v>
      </c>
      <c r="G5521" s="18">
        <v>0.1</v>
      </c>
      <c r="H5521">
        <f>F5521*VLOOKUP(B5521,產品!$A$2:$H$61,7,FALSE)*(1-銷售總表!G5521)</f>
        <v>129600</v>
      </c>
      <c r="I5521" s="35">
        <f>H5521-F5521*VLOOKUP(銷售總表!B5521,產品!$A$2:$H$61,8,FALSE)</f>
        <v>72000</v>
      </c>
      <c r="J5521" s="20">
        <f t="shared" si="86"/>
        <v>0.55555555555555558</v>
      </c>
    </row>
    <row r="5522" spans="1:10" x14ac:dyDescent="0.3">
      <c r="A5522" s="33">
        <v>5521</v>
      </c>
      <c r="B5522" s="4">
        <v>59</v>
      </c>
      <c r="C5522" s="15">
        <v>257</v>
      </c>
      <c r="D5522" s="16">
        <v>5</v>
      </c>
      <c r="E5522" s="23">
        <v>44868</v>
      </c>
      <c r="F5522">
        <v>1</v>
      </c>
      <c r="G5522" s="20">
        <v>0.15</v>
      </c>
      <c r="H5522">
        <f>F5522*VLOOKUP(B5522,產品!$A$2:$H$61,7,FALSE)*(1-銷售總表!G5522)</f>
        <v>20400</v>
      </c>
      <c r="I5522" s="35">
        <f>H5522-F5522*VLOOKUP(銷售總表!B5522,產品!$A$2:$H$61,8,FALSE)</f>
        <v>3600</v>
      </c>
      <c r="J5522" s="20">
        <f t="shared" si="86"/>
        <v>0.17647058823529413</v>
      </c>
    </row>
    <row r="5523" spans="1:10" x14ac:dyDescent="0.3">
      <c r="A5523" s="33">
        <v>5522</v>
      </c>
      <c r="B5523" s="4">
        <v>38</v>
      </c>
      <c r="C5523" s="15">
        <v>1</v>
      </c>
      <c r="D5523" s="16">
        <v>5</v>
      </c>
      <c r="E5523" s="22">
        <v>44868</v>
      </c>
      <c r="F5523" s="19">
        <v>4</v>
      </c>
      <c r="G5523" s="18">
        <v>0.19</v>
      </c>
      <c r="H5523">
        <f>F5523*VLOOKUP(B5523,產品!$A$2:$H$61,7,FALSE)*(1-銷售總表!G5523)</f>
        <v>48600</v>
      </c>
      <c r="I5523" s="35">
        <f>H5523-F5523*VLOOKUP(銷售總表!B5523,產品!$A$2:$H$61,8,FALSE)</f>
        <v>9600</v>
      </c>
      <c r="J5523" s="20">
        <f t="shared" si="86"/>
        <v>0.19753086419753085</v>
      </c>
    </row>
    <row r="5524" spans="1:10" x14ac:dyDescent="0.3">
      <c r="A5524" s="33">
        <v>5523</v>
      </c>
      <c r="B5524" s="4">
        <v>38</v>
      </c>
      <c r="C5524" s="15">
        <v>257</v>
      </c>
      <c r="D5524" s="16">
        <v>10</v>
      </c>
      <c r="E5524" s="22">
        <v>44868</v>
      </c>
      <c r="F5524" s="19">
        <v>4</v>
      </c>
      <c r="G5524" s="18">
        <v>0.19</v>
      </c>
      <c r="H5524">
        <f>F5524*VLOOKUP(B5524,產品!$A$2:$H$61,7,FALSE)*(1-銷售總表!G5524)</f>
        <v>48600</v>
      </c>
      <c r="I5524" s="35">
        <f>H5524-F5524*VLOOKUP(銷售總表!B5524,產品!$A$2:$H$61,8,FALSE)</f>
        <v>9600</v>
      </c>
      <c r="J5524" s="20">
        <f t="shared" si="86"/>
        <v>0.19753086419753085</v>
      </c>
    </row>
    <row r="5525" spans="1:10" x14ac:dyDescent="0.3">
      <c r="A5525" s="33">
        <v>5524</v>
      </c>
      <c r="B5525" s="4">
        <v>56</v>
      </c>
      <c r="C5525" s="15">
        <v>140</v>
      </c>
      <c r="D5525" s="16">
        <v>3</v>
      </c>
      <c r="E5525" s="23">
        <v>44868</v>
      </c>
      <c r="F5525">
        <v>7</v>
      </c>
      <c r="G5525" s="20">
        <v>0.1</v>
      </c>
      <c r="H5525">
        <f>F5525*VLOOKUP(B5525,產品!$A$2:$H$61,7,FALSE)*(1-銷售總表!G5525)</f>
        <v>138600</v>
      </c>
      <c r="I5525" s="35">
        <f>H5525-F5525*VLOOKUP(銷售總表!B5525,產品!$A$2:$H$61,8,FALSE)</f>
        <v>30800.000000000015</v>
      </c>
      <c r="J5525" s="20">
        <f t="shared" si="86"/>
        <v>0.22222222222222232</v>
      </c>
    </row>
    <row r="5526" spans="1:10" x14ac:dyDescent="0.3">
      <c r="A5526" s="33">
        <v>5525</v>
      </c>
      <c r="B5526" s="4">
        <v>1</v>
      </c>
      <c r="C5526" s="15">
        <v>285</v>
      </c>
      <c r="D5526" s="16">
        <v>9</v>
      </c>
      <c r="E5526" s="22">
        <v>44868</v>
      </c>
      <c r="F5526" s="19">
        <v>20</v>
      </c>
      <c r="G5526" s="18">
        <v>0.06</v>
      </c>
      <c r="H5526">
        <f>F5526*VLOOKUP(B5526,產品!$A$2:$H$61,7,FALSE)*(1-銷售總表!G5526)</f>
        <v>18800</v>
      </c>
      <c r="I5526" s="35">
        <f>H5526-F5526*VLOOKUP(銷售總表!B5526,產品!$A$2:$H$61,8,FALSE)</f>
        <v>10800</v>
      </c>
      <c r="J5526" s="20">
        <f t="shared" si="86"/>
        <v>0.57446808510638303</v>
      </c>
    </row>
    <row r="5527" spans="1:10" x14ac:dyDescent="0.3">
      <c r="A5527" s="33">
        <v>5526</v>
      </c>
      <c r="B5527" s="4">
        <v>35</v>
      </c>
      <c r="C5527" s="15">
        <v>286</v>
      </c>
      <c r="D5527" s="16">
        <v>4</v>
      </c>
      <c r="E5527" s="22">
        <v>44868</v>
      </c>
      <c r="F5527" s="19">
        <v>30</v>
      </c>
      <c r="G5527" s="18">
        <v>7.0000000000000007E-2</v>
      </c>
      <c r="H5527">
        <f>F5527*VLOOKUP(B5527,產品!$A$2:$H$61,7,FALSE)*(1-銷售總表!G5527)</f>
        <v>237149.99999999997</v>
      </c>
      <c r="I5527" s="35">
        <f>H5527-F5527*VLOOKUP(銷售總表!B5527,產品!$A$2:$H$61,8,FALSE)</f>
        <v>84149.999999999971</v>
      </c>
      <c r="J5527" s="20">
        <f t="shared" si="86"/>
        <v>0.35483870967741926</v>
      </c>
    </row>
    <row r="5528" spans="1:10" x14ac:dyDescent="0.3">
      <c r="A5528" s="33">
        <v>5527</v>
      </c>
      <c r="B5528" s="4">
        <v>5</v>
      </c>
      <c r="C5528" s="15">
        <v>287</v>
      </c>
      <c r="D5528" s="16">
        <v>9</v>
      </c>
      <c r="E5528" s="22">
        <v>44868</v>
      </c>
      <c r="F5528" s="19">
        <v>40</v>
      </c>
      <c r="G5528" s="18">
        <v>0.05</v>
      </c>
      <c r="H5528">
        <f>F5528*VLOOKUP(B5528,產品!$A$2:$H$61,7,FALSE)*(1-銷售總表!G5528)</f>
        <v>38000</v>
      </c>
      <c r="I5528" s="35">
        <f>H5528-F5528*VLOOKUP(銷售總表!B5528,產品!$A$2:$H$61,8,FALSE)</f>
        <v>22000</v>
      </c>
      <c r="J5528" s="20">
        <f t="shared" si="86"/>
        <v>0.57894736842105265</v>
      </c>
    </row>
    <row r="5529" spans="1:10" x14ac:dyDescent="0.3">
      <c r="A5529" s="33">
        <v>5528</v>
      </c>
      <c r="B5529" s="4">
        <v>22</v>
      </c>
      <c r="C5529" s="15">
        <v>1</v>
      </c>
      <c r="D5529" s="16">
        <v>10</v>
      </c>
      <c r="E5529" s="22">
        <v>44868</v>
      </c>
      <c r="F5529" s="19">
        <v>125</v>
      </c>
      <c r="G5529" s="18">
        <v>0.16</v>
      </c>
      <c r="H5529">
        <f>F5529*VLOOKUP(B5529,產品!$A$2:$H$61,7,FALSE)*(1-銷售總表!G5529)</f>
        <v>189000</v>
      </c>
      <c r="I5529" s="35">
        <f>H5529-F5529*VLOOKUP(銷售總表!B5529,產品!$A$2:$H$61,8,FALSE)</f>
        <v>99000</v>
      </c>
      <c r="J5529" s="20">
        <f t="shared" si="86"/>
        <v>0.52380952380952384</v>
      </c>
    </row>
    <row r="5530" spans="1:10" x14ac:dyDescent="0.3">
      <c r="A5530" s="33">
        <v>5529</v>
      </c>
      <c r="B5530" s="4">
        <v>32</v>
      </c>
      <c r="C5530" s="15">
        <v>1</v>
      </c>
      <c r="D5530" s="16">
        <v>5</v>
      </c>
      <c r="E5530" s="23">
        <v>44869</v>
      </c>
      <c r="F5530">
        <v>1</v>
      </c>
      <c r="G5530" s="20">
        <v>0.05</v>
      </c>
      <c r="H5530">
        <f>F5530*VLOOKUP(B5530,產品!$A$2:$H$61,7,FALSE)*(1-銷售總表!G5530)</f>
        <v>7125</v>
      </c>
      <c r="I5530" s="35">
        <f>H5530-F5530*VLOOKUP(銷售總表!B5530,產品!$A$2:$H$61,8,FALSE)</f>
        <v>2625</v>
      </c>
      <c r="J5530" s="20">
        <f t="shared" si="86"/>
        <v>0.36842105263157893</v>
      </c>
    </row>
    <row r="5531" spans="1:10" x14ac:dyDescent="0.3">
      <c r="A5531" s="33">
        <v>5530</v>
      </c>
      <c r="B5531" s="4">
        <v>43</v>
      </c>
      <c r="C5531" s="15">
        <v>137</v>
      </c>
      <c r="D5531" s="16">
        <v>4</v>
      </c>
      <c r="E5531" s="23">
        <v>44869</v>
      </c>
      <c r="F5531">
        <v>4</v>
      </c>
      <c r="G5531" s="20">
        <v>0.11</v>
      </c>
      <c r="H5531">
        <f>F5531*VLOOKUP(B5531,產品!$A$2:$H$61,7,FALSE)*(1-銷售總表!G5531)</f>
        <v>64080</v>
      </c>
      <c r="I5531" s="35">
        <f>H5531-F5531*VLOOKUP(銷售總表!B5531,產品!$A$2:$H$61,8,FALSE)</f>
        <v>17280</v>
      </c>
      <c r="J5531" s="20">
        <f t="shared" si="86"/>
        <v>0.2696629213483146</v>
      </c>
    </row>
    <row r="5532" spans="1:10" x14ac:dyDescent="0.3">
      <c r="A5532" s="33">
        <v>5531</v>
      </c>
      <c r="B5532" s="4">
        <v>27</v>
      </c>
      <c r="C5532" s="15">
        <v>262</v>
      </c>
      <c r="D5532" s="16">
        <v>9</v>
      </c>
      <c r="E5532" s="22">
        <v>44869</v>
      </c>
      <c r="F5532" s="19">
        <v>4</v>
      </c>
      <c r="G5532" s="18">
        <v>0.16</v>
      </c>
      <c r="H5532">
        <f>F5532*VLOOKUP(B5532,產品!$A$2:$H$61,7,FALSE)*(1-銷售總表!G5532)</f>
        <v>23520</v>
      </c>
      <c r="I5532" s="35">
        <f>H5532-F5532*VLOOKUP(銷售總表!B5532,產品!$A$2:$H$61,8,FALSE)</f>
        <v>6720</v>
      </c>
      <c r="J5532" s="20">
        <f t="shared" si="86"/>
        <v>0.2857142857142857</v>
      </c>
    </row>
    <row r="5533" spans="1:10" x14ac:dyDescent="0.3">
      <c r="A5533" s="33">
        <v>5532</v>
      </c>
      <c r="B5533" s="4">
        <v>23</v>
      </c>
      <c r="C5533" s="15">
        <v>270</v>
      </c>
      <c r="D5533" s="16">
        <v>2</v>
      </c>
      <c r="E5533" s="22">
        <v>44869</v>
      </c>
      <c r="F5533" s="19">
        <v>60</v>
      </c>
      <c r="G5533" s="18">
        <v>0.12</v>
      </c>
      <c r="H5533">
        <f>F5533*VLOOKUP(B5533,產品!$A$2:$H$61,7,FALSE)*(1-銷售總表!G5533)</f>
        <v>95040</v>
      </c>
      <c r="I5533" s="35">
        <f>H5533-F5533*VLOOKUP(銷售總表!B5533,產品!$A$2:$H$61,8,FALSE)</f>
        <v>51840</v>
      </c>
      <c r="J5533" s="20">
        <f t="shared" si="86"/>
        <v>0.54545454545454541</v>
      </c>
    </row>
    <row r="5534" spans="1:10" x14ac:dyDescent="0.3">
      <c r="A5534" s="33">
        <v>5533</v>
      </c>
      <c r="B5534" s="4">
        <v>40</v>
      </c>
      <c r="C5534" s="15">
        <v>3</v>
      </c>
      <c r="D5534" s="16">
        <v>5</v>
      </c>
      <c r="E5534" s="23">
        <v>44870</v>
      </c>
      <c r="F5534">
        <v>5</v>
      </c>
      <c r="G5534" s="20">
        <v>0.18</v>
      </c>
      <c r="H5534">
        <f>F5534*VLOOKUP(B5534,產品!$A$2:$H$61,7,FALSE)*(1-銷售總表!G5534)</f>
        <v>82000</v>
      </c>
      <c r="I5534" s="35">
        <f>H5534-F5534*VLOOKUP(銷售總表!B5534,產品!$A$2:$H$61,8,FALSE)</f>
        <v>17000</v>
      </c>
      <c r="J5534" s="20">
        <f t="shared" si="86"/>
        <v>0.2073170731707317</v>
      </c>
    </row>
    <row r="5535" spans="1:10" x14ac:dyDescent="0.3">
      <c r="A5535" s="33">
        <v>5534</v>
      </c>
      <c r="B5535" s="4">
        <v>50</v>
      </c>
      <c r="C5535" s="15">
        <v>114</v>
      </c>
      <c r="D5535" s="16">
        <v>1</v>
      </c>
      <c r="E5535" s="23">
        <v>44870</v>
      </c>
      <c r="F5535">
        <v>13</v>
      </c>
      <c r="G5535" s="20">
        <v>7.0000000000000007E-2</v>
      </c>
      <c r="H5535">
        <f>F5535*VLOOKUP(B5535,產品!$A$2:$H$61,7,FALSE)*(1-銷售總表!G5535)</f>
        <v>217620</v>
      </c>
      <c r="I5535" s="35">
        <f>H5535-F5535*VLOOKUP(銷售總表!B5535,產品!$A$2:$H$61,8,FALSE)</f>
        <v>53820</v>
      </c>
      <c r="J5535" s="20">
        <f t="shared" si="86"/>
        <v>0.24731182795698925</v>
      </c>
    </row>
    <row r="5536" spans="1:10" x14ac:dyDescent="0.3">
      <c r="A5536" s="33">
        <v>5535</v>
      </c>
      <c r="B5536" s="4">
        <v>22</v>
      </c>
      <c r="C5536" s="15">
        <v>9</v>
      </c>
      <c r="D5536" s="16">
        <v>3</v>
      </c>
      <c r="E5536" s="22">
        <v>44870</v>
      </c>
      <c r="F5536" s="19">
        <v>40</v>
      </c>
      <c r="G5536" s="18">
        <v>0.11</v>
      </c>
      <c r="H5536">
        <f>F5536*VLOOKUP(B5536,產品!$A$2:$H$61,7,FALSE)*(1-銷售總表!G5536)</f>
        <v>64080</v>
      </c>
      <c r="I5536" s="35">
        <f>H5536-F5536*VLOOKUP(銷售總表!B5536,產品!$A$2:$H$61,8,FALSE)</f>
        <v>35280</v>
      </c>
      <c r="J5536" s="20">
        <f t="shared" si="86"/>
        <v>0.550561797752809</v>
      </c>
    </row>
    <row r="5537" spans="1:10" x14ac:dyDescent="0.3">
      <c r="A5537" s="33">
        <v>5536</v>
      </c>
      <c r="B5537" s="4">
        <v>10</v>
      </c>
      <c r="C5537" s="15">
        <v>262</v>
      </c>
      <c r="D5537" s="16">
        <v>3</v>
      </c>
      <c r="E5537" s="22">
        <v>44870</v>
      </c>
      <c r="F5537" s="19">
        <v>90</v>
      </c>
      <c r="G5537" s="18">
        <v>0.14000000000000001</v>
      </c>
      <c r="H5537">
        <f>F5537*VLOOKUP(B5537,產品!$A$2:$H$61,7,FALSE)*(1-銷售總表!G5537)</f>
        <v>77400</v>
      </c>
      <c r="I5537" s="35">
        <f>H5537-F5537*VLOOKUP(銷售總表!B5537,產品!$A$2:$H$61,8,FALSE)</f>
        <v>41400</v>
      </c>
      <c r="J5537" s="20">
        <f t="shared" si="86"/>
        <v>0.53488372093023251</v>
      </c>
    </row>
    <row r="5538" spans="1:10" x14ac:dyDescent="0.3">
      <c r="A5538" s="33">
        <v>5537</v>
      </c>
      <c r="B5538" s="4">
        <v>33</v>
      </c>
      <c r="C5538" s="15">
        <v>280</v>
      </c>
      <c r="D5538" s="16">
        <v>9</v>
      </c>
      <c r="E5538" s="22">
        <v>44871</v>
      </c>
      <c r="F5538" s="19">
        <v>6</v>
      </c>
      <c r="G5538" s="18">
        <v>0.12</v>
      </c>
      <c r="H5538">
        <f>F5538*VLOOKUP(B5538,產品!$A$2:$H$61,7,FALSE)*(1-銷售總表!G5538)</f>
        <v>39600</v>
      </c>
      <c r="I5538" s="35">
        <f>H5538-F5538*VLOOKUP(銷售總表!B5538,產品!$A$2:$H$61,8,FALSE)</f>
        <v>12600</v>
      </c>
      <c r="J5538" s="20">
        <f t="shared" si="86"/>
        <v>0.31818181818181818</v>
      </c>
    </row>
    <row r="5539" spans="1:10" x14ac:dyDescent="0.3">
      <c r="A5539" s="33">
        <v>5538</v>
      </c>
      <c r="B5539" s="4">
        <v>59</v>
      </c>
      <c r="C5539" s="15">
        <v>276</v>
      </c>
      <c r="D5539" s="16">
        <v>5</v>
      </c>
      <c r="E5539" s="22">
        <v>44871</v>
      </c>
      <c r="F5539" s="19">
        <v>8</v>
      </c>
      <c r="G5539" s="18">
        <v>0.18</v>
      </c>
      <c r="H5539">
        <f>F5539*VLOOKUP(B5539,產品!$A$2:$H$61,7,FALSE)*(1-銷售總表!G5539)</f>
        <v>157440</v>
      </c>
      <c r="I5539" s="35">
        <f>H5539-F5539*VLOOKUP(銷售總表!B5539,產品!$A$2:$H$61,8,FALSE)</f>
        <v>23040</v>
      </c>
      <c r="J5539" s="20">
        <f t="shared" si="86"/>
        <v>0.14634146341463414</v>
      </c>
    </row>
    <row r="5540" spans="1:10" x14ac:dyDescent="0.3">
      <c r="A5540" s="33">
        <v>5539</v>
      </c>
      <c r="B5540" s="4">
        <v>15</v>
      </c>
      <c r="C5540" s="15">
        <v>124</v>
      </c>
      <c r="D5540" s="16">
        <v>8</v>
      </c>
      <c r="E5540" s="22">
        <v>44871</v>
      </c>
      <c r="F5540" s="19">
        <v>50</v>
      </c>
      <c r="G5540" s="18">
        <v>0.06</v>
      </c>
      <c r="H5540">
        <f>F5540*VLOOKUP(B5540,產品!$A$2:$H$61,7,FALSE)*(1-銷售總表!G5540)</f>
        <v>84600</v>
      </c>
      <c r="I5540" s="35">
        <f>H5540-F5540*VLOOKUP(銷售總表!B5540,產品!$A$2:$H$61,8,FALSE)</f>
        <v>48600</v>
      </c>
      <c r="J5540" s="20">
        <f t="shared" si="86"/>
        <v>0.57446808510638303</v>
      </c>
    </row>
    <row r="5541" spans="1:10" x14ac:dyDescent="0.3">
      <c r="A5541" s="33">
        <v>5540</v>
      </c>
      <c r="B5541" s="4">
        <v>10</v>
      </c>
      <c r="C5541" s="15">
        <v>263</v>
      </c>
      <c r="D5541" s="16">
        <v>9</v>
      </c>
      <c r="E5541" s="22">
        <v>44871</v>
      </c>
      <c r="F5541" s="19">
        <v>70</v>
      </c>
      <c r="G5541" s="18">
        <v>0.12</v>
      </c>
      <c r="H5541">
        <f>F5541*VLOOKUP(B5541,產品!$A$2:$H$61,7,FALSE)*(1-銷售總表!G5541)</f>
        <v>61600</v>
      </c>
      <c r="I5541" s="35">
        <f>H5541-F5541*VLOOKUP(銷售總表!B5541,產品!$A$2:$H$61,8,FALSE)</f>
        <v>33600</v>
      </c>
      <c r="J5541" s="20">
        <f t="shared" si="86"/>
        <v>0.54545454545454541</v>
      </c>
    </row>
    <row r="5542" spans="1:10" x14ac:dyDescent="0.3">
      <c r="A5542" s="33">
        <v>5541</v>
      </c>
      <c r="B5542" s="4">
        <v>12</v>
      </c>
      <c r="C5542" s="15">
        <v>5</v>
      </c>
      <c r="D5542" s="16">
        <v>7</v>
      </c>
      <c r="E5542" s="22">
        <v>44871</v>
      </c>
      <c r="F5542" s="19">
        <v>90</v>
      </c>
      <c r="G5542" s="18">
        <v>0.15</v>
      </c>
      <c r="H5542">
        <f>F5542*VLOOKUP(B5542,產品!$A$2:$H$61,7,FALSE)*(1-銷售總表!G5542)</f>
        <v>76500</v>
      </c>
      <c r="I5542" s="35">
        <f>H5542-F5542*VLOOKUP(銷售總表!B5542,產品!$A$2:$H$61,8,FALSE)</f>
        <v>40500</v>
      </c>
      <c r="J5542" s="20">
        <f t="shared" si="86"/>
        <v>0.52941176470588236</v>
      </c>
    </row>
    <row r="5543" spans="1:10" x14ac:dyDescent="0.3">
      <c r="A5543" s="33">
        <v>5542</v>
      </c>
      <c r="B5543" s="4">
        <v>5</v>
      </c>
      <c r="C5543" s="15">
        <v>119</v>
      </c>
      <c r="D5543" s="16">
        <v>8</v>
      </c>
      <c r="E5543" s="22">
        <v>44871</v>
      </c>
      <c r="F5543" s="19">
        <v>200</v>
      </c>
      <c r="G5543" s="18">
        <v>0.2</v>
      </c>
      <c r="H5543">
        <f>F5543*VLOOKUP(B5543,產品!$A$2:$H$61,7,FALSE)*(1-銷售總表!G5543)</f>
        <v>160000</v>
      </c>
      <c r="I5543" s="35">
        <f>H5543-F5543*VLOOKUP(銷售總表!B5543,產品!$A$2:$H$61,8,FALSE)</f>
        <v>80000</v>
      </c>
      <c r="J5543" s="20">
        <f t="shared" si="86"/>
        <v>0.5</v>
      </c>
    </row>
    <row r="5544" spans="1:10" x14ac:dyDescent="0.3">
      <c r="A5544" s="33">
        <v>5543</v>
      </c>
      <c r="B5544" s="4">
        <v>27</v>
      </c>
      <c r="C5544" s="15">
        <v>261</v>
      </c>
      <c r="D5544" s="16">
        <v>7</v>
      </c>
      <c r="E5544" s="22">
        <v>44872</v>
      </c>
      <c r="F5544" s="19">
        <v>9</v>
      </c>
      <c r="G5544" s="18">
        <v>0.08</v>
      </c>
      <c r="H5544">
        <f>F5544*VLOOKUP(B5544,產品!$A$2:$H$61,7,FALSE)*(1-銷售總表!G5544)</f>
        <v>57960</v>
      </c>
      <c r="I5544" s="35">
        <f>H5544-F5544*VLOOKUP(銷售總表!B5544,產品!$A$2:$H$61,8,FALSE)</f>
        <v>20160</v>
      </c>
      <c r="J5544" s="20">
        <f t="shared" si="86"/>
        <v>0.34782608695652173</v>
      </c>
    </row>
    <row r="5545" spans="1:10" x14ac:dyDescent="0.3">
      <c r="A5545" s="33">
        <v>5544</v>
      </c>
      <c r="B5545" s="4">
        <v>59</v>
      </c>
      <c r="C5545" s="15">
        <v>288</v>
      </c>
      <c r="D5545" s="16">
        <v>1</v>
      </c>
      <c r="E5545" s="22">
        <v>44872</v>
      </c>
      <c r="F5545" s="19">
        <v>10</v>
      </c>
      <c r="G5545" s="18">
        <v>0.06</v>
      </c>
      <c r="H5545">
        <f>F5545*VLOOKUP(B5545,產品!$A$2:$H$61,7,FALSE)*(1-銷售總表!G5545)</f>
        <v>225600</v>
      </c>
      <c r="I5545" s="35">
        <f>H5545-F5545*VLOOKUP(銷售總表!B5545,產品!$A$2:$H$61,8,FALSE)</f>
        <v>57600</v>
      </c>
      <c r="J5545" s="20">
        <f t="shared" si="86"/>
        <v>0.25531914893617019</v>
      </c>
    </row>
    <row r="5546" spans="1:10" x14ac:dyDescent="0.3">
      <c r="A5546" s="33">
        <v>5545</v>
      </c>
      <c r="B5546" s="4">
        <v>17</v>
      </c>
      <c r="C5546" s="15">
        <v>1</v>
      </c>
      <c r="D5546" s="16">
        <v>4</v>
      </c>
      <c r="E5546" s="23">
        <v>44872</v>
      </c>
      <c r="F5546">
        <v>12</v>
      </c>
      <c r="G5546" s="20">
        <v>0.08</v>
      </c>
      <c r="H5546">
        <f>F5546*VLOOKUP(B5546,產品!$A$2:$H$61,7,FALSE)*(1-銷售總表!G5546)</f>
        <v>19872</v>
      </c>
      <c r="I5546" s="35">
        <f>H5546-F5546*VLOOKUP(銷售總表!B5546,產品!$A$2:$H$61,8,FALSE)</f>
        <v>11232</v>
      </c>
      <c r="J5546" s="20">
        <f t="shared" si="86"/>
        <v>0.56521739130434778</v>
      </c>
    </row>
    <row r="5547" spans="1:10" x14ac:dyDescent="0.3">
      <c r="A5547" s="33">
        <v>5546</v>
      </c>
      <c r="B5547" s="4">
        <v>52</v>
      </c>
      <c r="C5547" s="15">
        <v>5</v>
      </c>
      <c r="D5547" s="16">
        <v>1</v>
      </c>
      <c r="E5547" s="22">
        <v>44872</v>
      </c>
      <c r="F5547" s="19">
        <v>13</v>
      </c>
      <c r="G5547" s="18">
        <v>0.1</v>
      </c>
      <c r="H5547">
        <f>F5547*VLOOKUP(B5547,產品!$A$2:$H$61,7,FALSE)*(1-銷售總表!G5547)</f>
        <v>257400</v>
      </c>
      <c r="I5547" s="35">
        <f>H5547-F5547*VLOOKUP(銷售總表!B5547,產品!$A$2:$H$61,8,FALSE)</f>
        <v>57200.000000000029</v>
      </c>
      <c r="J5547" s="20">
        <f t="shared" si="86"/>
        <v>0.22222222222222235</v>
      </c>
    </row>
    <row r="5548" spans="1:10" x14ac:dyDescent="0.3">
      <c r="A5548" s="33">
        <v>5547</v>
      </c>
      <c r="B5548" s="4">
        <v>14</v>
      </c>
      <c r="C5548" s="15">
        <v>267</v>
      </c>
      <c r="D5548" s="16">
        <v>8</v>
      </c>
      <c r="E5548" s="22">
        <v>44872</v>
      </c>
      <c r="F5548" s="19">
        <v>50</v>
      </c>
      <c r="G5548" s="18">
        <v>0.17</v>
      </c>
      <c r="H5548">
        <f>F5548*VLOOKUP(B5548,產品!$A$2:$H$61,7,FALSE)*(1-銷售總表!G5548)</f>
        <v>74700</v>
      </c>
      <c r="I5548" s="35">
        <f>H5548-F5548*VLOOKUP(銷售總表!B5548,產品!$A$2:$H$61,8,FALSE)</f>
        <v>38700</v>
      </c>
      <c r="J5548" s="20">
        <f t="shared" si="86"/>
        <v>0.51807228915662651</v>
      </c>
    </row>
    <row r="5549" spans="1:10" x14ac:dyDescent="0.3">
      <c r="A5549" s="33">
        <v>5548</v>
      </c>
      <c r="B5549" s="4">
        <v>2</v>
      </c>
      <c r="C5549" s="15">
        <v>287</v>
      </c>
      <c r="D5549" s="16">
        <v>6</v>
      </c>
      <c r="E5549" s="22">
        <v>44872</v>
      </c>
      <c r="F5549" s="19">
        <v>175</v>
      </c>
      <c r="G5549" s="18">
        <v>0.08</v>
      </c>
      <c r="H5549">
        <f>F5549*VLOOKUP(B5549,產品!$A$2:$H$61,7,FALSE)*(1-銷售總表!G5549)</f>
        <v>161000</v>
      </c>
      <c r="I5549" s="35">
        <f>H5549-F5549*VLOOKUP(銷售總表!B5549,產品!$A$2:$H$61,8,FALSE)</f>
        <v>91000</v>
      </c>
      <c r="J5549" s="20">
        <f t="shared" si="86"/>
        <v>0.56521739130434778</v>
      </c>
    </row>
    <row r="5550" spans="1:10" x14ac:dyDescent="0.3">
      <c r="A5550" s="33">
        <v>5549</v>
      </c>
      <c r="B5550" s="4">
        <v>56</v>
      </c>
      <c r="C5550" s="15">
        <v>12</v>
      </c>
      <c r="D5550" s="16">
        <v>10</v>
      </c>
      <c r="E5550" s="22">
        <v>44873</v>
      </c>
      <c r="F5550" s="19">
        <v>3</v>
      </c>
      <c r="G5550" s="18">
        <v>0.15</v>
      </c>
      <c r="H5550">
        <f>F5550*VLOOKUP(B5550,產品!$A$2:$H$61,7,FALSE)*(1-銷售總表!G5550)</f>
        <v>56100</v>
      </c>
      <c r="I5550" s="35">
        <f>H5550-F5550*VLOOKUP(銷售總表!B5550,產品!$A$2:$H$61,8,FALSE)</f>
        <v>9900.0000000000073</v>
      </c>
      <c r="J5550" s="20">
        <f t="shared" si="86"/>
        <v>0.17647058823529424</v>
      </c>
    </row>
    <row r="5551" spans="1:10" x14ac:dyDescent="0.3">
      <c r="A5551" s="33">
        <v>5550</v>
      </c>
      <c r="B5551" s="4">
        <v>53</v>
      </c>
      <c r="C5551" s="15">
        <v>2</v>
      </c>
      <c r="D5551" s="16">
        <v>6</v>
      </c>
      <c r="E5551" s="23">
        <v>44873</v>
      </c>
      <c r="F5551">
        <v>4</v>
      </c>
      <c r="G5551" s="20">
        <v>7.0000000000000007E-2</v>
      </c>
      <c r="H5551">
        <f>F5551*VLOOKUP(B5551,產品!$A$2:$H$61,7,FALSE)*(1-銷售總表!G5551)</f>
        <v>55799.999999999993</v>
      </c>
      <c r="I5551" s="35">
        <f>H5551-F5551*VLOOKUP(銷售總表!B5551,產品!$A$2:$H$61,8,FALSE)</f>
        <v>13799.999999999993</v>
      </c>
      <c r="J5551" s="20">
        <f t="shared" si="86"/>
        <v>0.24731182795698914</v>
      </c>
    </row>
    <row r="5552" spans="1:10" x14ac:dyDescent="0.3">
      <c r="A5552" s="33">
        <v>5551</v>
      </c>
      <c r="B5552" s="4">
        <v>50</v>
      </c>
      <c r="C5552" s="15">
        <v>291</v>
      </c>
      <c r="D5552" s="16">
        <v>7</v>
      </c>
      <c r="E5552" s="22">
        <v>44873</v>
      </c>
      <c r="F5552" s="19">
        <v>4</v>
      </c>
      <c r="G5552" s="18">
        <v>0.14000000000000001</v>
      </c>
      <c r="H5552">
        <f>F5552*VLOOKUP(B5552,產品!$A$2:$H$61,7,FALSE)*(1-銷售總表!G5552)</f>
        <v>61920</v>
      </c>
      <c r="I5552" s="35">
        <f>H5552-F5552*VLOOKUP(銷售總表!B5552,產品!$A$2:$H$61,8,FALSE)</f>
        <v>11520</v>
      </c>
      <c r="J5552" s="20">
        <f t="shared" si="86"/>
        <v>0.18604651162790697</v>
      </c>
    </row>
    <row r="5553" spans="1:10" x14ac:dyDescent="0.3">
      <c r="A5553" s="33">
        <v>5552</v>
      </c>
      <c r="B5553" s="4">
        <v>37</v>
      </c>
      <c r="C5553" s="15">
        <v>116</v>
      </c>
      <c r="D5553" s="16">
        <v>8</v>
      </c>
      <c r="E5553" s="23">
        <v>44873</v>
      </c>
      <c r="F5553">
        <v>5</v>
      </c>
      <c r="G5553" s="20">
        <v>7.0000000000000007E-2</v>
      </c>
      <c r="H5553">
        <f>F5553*VLOOKUP(B5553,產品!$A$2:$H$61,7,FALSE)*(1-銷售總表!G5553)</f>
        <v>55799.999999999993</v>
      </c>
      <c r="I5553" s="35">
        <f>H5553-F5553*VLOOKUP(銷售總表!B5553,產品!$A$2:$H$61,8,FALSE)</f>
        <v>16799.999999999993</v>
      </c>
      <c r="J5553" s="20">
        <f t="shared" si="86"/>
        <v>0.3010752688172042</v>
      </c>
    </row>
    <row r="5554" spans="1:10" x14ac:dyDescent="0.3">
      <c r="A5554" s="33">
        <v>5553</v>
      </c>
      <c r="B5554" s="4">
        <v>57</v>
      </c>
      <c r="C5554" s="15">
        <v>7</v>
      </c>
      <c r="D5554" s="16">
        <v>3</v>
      </c>
      <c r="E5554" s="22">
        <v>44873</v>
      </c>
      <c r="F5554" s="19">
        <v>7</v>
      </c>
      <c r="G5554" s="18">
        <v>7.0000000000000007E-2</v>
      </c>
      <c r="H5554">
        <f>F5554*VLOOKUP(B5554,產品!$A$2:$H$61,7,FALSE)*(1-銷售總表!G5554)</f>
        <v>117179.99999999999</v>
      </c>
      <c r="I5554" s="35">
        <f>H5554-F5554*VLOOKUP(銷售總表!B5554,產品!$A$2:$H$61,8,FALSE)</f>
        <v>28979.999999999985</v>
      </c>
      <c r="J5554" s="20">
        <f t="shared" si="86"/>
        <v>0.24731182795698917</v>
      </c>
    </row>
    <row r="5555" spans="1:10" x14ac:dyDescent="0.3">
      <c r="A5555" s="33">
        <v>5554</v>
      </c>
      <c r="B5555" s="4">
        <v>56</v>
      </c>
      <c r="C5555" s="15">
        <v>257</v>
      </c>
      <c r="D5555" s="16">
        <v>1</v>
      </c>
      <c r="E5555" s="22">
        <v>44873</v>
      </c>
      <c r="F5555" s="19">
        <v>11</v>
      </c>
      <c r="G5555" s="18">
        <v>0.06</v>
      </c>
      <c r="H5555">
        <f>F5555*VLOOKUP(B5555,產品!$A$2:$H$61,7,FALSE)*(1-銷售總表!G5555)</f>
        <v>227480</v>
      </c>
      <c r="I5555" s="35">
        <f>H5555-F5555*VLOOKUP(銷售總表!B5555,產品!$A$2:$H$61,8,FALSE)</f>
        <v>58080.000000000029</v>
      </c>
      <c r="J5555" s="20">
        <f t="shared" si="86"/>
        <v>0.25531914893617036</v>
      </c>
    </row>
    <row r="5556" spans="1:10" x14ac:dyDescent="0.3">
      <c r="A5556" s="33">
        <v>5555</v>
      </c>
      <c r="B5556" s="4">
        <v>16</v>
      </c>
      <c r="C5556" s="15">
        <v>120</v>
      </c>
      <c r="D5556" s="16">
        <v>5</v>
      </c>
      <c r="E5556" s="22">
        <v>44873</v>
      </c>
      <c r="F5556" s="19">
        <v>125</v>
      </c>
      <c r="G5556" s="18">
        <v>0.11</v>
      </c>
      <c r="H5556">
        <f>F5556*VLOOKUP(B5556,產品!$A$2:$H$61,7,FALSE)*(1-銷售總表!G5556)</f>
        <v>200250</v>
      </c>
      <c r="I5556" s="35">
        <f>H5556-F5556*VLOOKUP(銷售總表!B5556,產品!$A$2:$H$61,8,FALSE)</f>
        <v>110250</v>
      </c>
      <c r="J5556" s="20">
        <f t="shared" si="86"/>
        <v>0.550561797752809</v>
      </c>
    </row>
    <row r="5557" spans="1:10" x14ac:dyDescent="0.3">
      <c r="A5557" s="33">
        <v>5556</v>
      </c>
      <c r="B5557" s="4">
        <v>56</v>
      </c>
      <c r="C5557" s="15">
        <v>116</v>
      </c>
      <c r="D5557" s="16">
        <v>7</v>
      </c>
      <c r="E5557" s="22">
        <v>44874</v>
      </c>
      <c r="F5557" s="19">
        <v>2</v>
      </c>
      <c r="G5557" s="18">
        <v>0.08</v>
      </c>
      <c r="H5557">
        <f>F5557*VLOOKUP(B5557,產品!$A$2:$H$61,7,FALSE)*(1-銷售總表!G5557)</f>
        <v>40480</v>
      </c>
      <c r="I5557" s="35">
        <f>H5557-F5557*VLOOKUP(銷售總表!B5557,產品!$A$2:$H$61,8,FALSE)</f>
        <v>9680.0000000000036</v>
      </c>
      <c r="J5557" s="20">
        <f t="shared" si="86"/>
        <v>0.23913043478260879</v>
      </c>
    </row>
    <row r="5558" spans="1:10" x14ac:dyDescent="0.3">
      <c r="A5558" s="33">
        <v>5557</v>
      </c>
      <c r="B5558" s="4">
        <v>51</v>
      </c>
      <c r="C5558" s="15">
        <v>269</v>
      </c>
      <c r="D5558" s="16">
        <v>1</v>
      </c>
      <c r="E5558" s="22">
        <v>44874</v>
      </c>
      <c r="F5558" s="19">
        <v>3</v>
      </c>
      <c r="G5558" s="18">
        <v>7.0000000000000007E-2</v>
      </c>
      <c r="H5558">
        <f>F5558*VLOOKUP(B5558,產品!$A$2:$H$61,7,FALSE)*(1-銷售總表!G5558)</f>
        <v>55799.999999999993</v>
      </c>
      <c r="I5558" s="35">
        <f>H5558-F5558*VLOOKUP(銷售總表!B5558,產品!$A$2:$H$61,8,FALSE)</f>
        <v>13799.999999999993</v>
      </c>
      <c r="J5558" s="20">
        <f t="shared" si="86"/>
        <v>0.24731182795698914</v>
      </c>
    </row>
    <row r="5559" spans="1:10" x14ac:dyDescent="0.3">
      <c r="A5559" s="33">
        <v>5558</v>
      </c>
      <c r="B5559" s="4">
        <v>29</v>
      </c>
      <c r="C5559" s="15">
        <v>262</v>
      </c>
      <c r="D5559" s="16">
        <v>10</v>
      </c>
      <c r="E5559" s="22">
        <v>44874</v>
      </c>
      <c r="F5559" s="19">
        <v>5</v>
      </c>
      <c r="G5559" s="18">
        <v>0.12</v>
      </c>
      <c r="H5559">
        <f>F5559*VLOOKUP(B5559,產品!$A$2:$H$61,7,FALSE)*(1-銷售總表!G5559)</f>
        <v>26400</v>
      </c>
      <c r="I5559" s="35">
        <f>H5559-F5559*VLOOKUP(銷售總表!B5559,產品!$A$2:$H$61,8,FALSE)</f>
        <v>8400</v>
      </c>
      <c r="J5559" s="20">
        <f t="shared" si="86"/>
        <v>0.31818181818181818</v>
      </c>
    </row>
    <row r="5560" spans="1:10" x14ac:dyDescent="0.3">
      <c r="A5560" s="33">
        <v>5559</v>
      </c>
      <c r="B5560" s="4">
        <v>48</v>
      </c>
      <c r="C5560" s="15">
        <v>294</v>
      </c>
      <c r="D5560" s="16">
        <v>3</v>
      </c>
      <c r="E5560" s="23">
        <v>44874</v>
      </c>
      <c r="F5560">
        <v>6</v>
      </c>
      <c r="G5560" s="20">
        <v>0.13</v>
      </c>
      <c r="H5560">
        <f>F5560*VLOOKUP(B5560,產品!$A$2:$H$61,7,FALSE)*(1-銷售總表!G5560)</f>
        <v>114840</v>
      </c>
      <c r="I5560" s="35">
        <f>H5560-F5560*VLOOKUP(銷售總表!B5560,產品!$A$2:$H$61,8,FALSE)</f>
        <v>29040</v>
      </c>
      <c r="J5560" s="20">
        <f t="shared" si="86"/>
        <v>0.25287356321839083</v>
      </c>
    </row>
    <row r="5561" spans="1:10" x14ac:dyDescent="0.3">
      <c r="A5561" s="33">
        <v>5560</v>
      </c>
      <c r="B5561" s="4">
        <v>55</v>
      </c>
      <c r="C5561" s="15">
        <v>257</v>
      </c>
      <c r="D5561" s="16">
        <v>6</v>
      </c>
      <c r="E5561" s="22">
        <v>44874</v>
      </c>
      <c r="F5561" s="19">
        <v>13</v>
      </c>
      <c r="G5561" s="18">
        <v>7.0000000000000007E-2</v>
      </c>
      <c r="H5561">
        <f>F5561*VLOOKUP(B5561,產品!$A$2:$H$61,7,FALSE)*(1-銷售總表!G5561)</f>
        <v>241799.99999999997</v>
      </c>
      <c r="I5561" s="35">
        <f>H5561-F5561*VLOOKUP(銷售總表!B5561,產品!$A$2:$H$61,8,FALSE)</f>
        <v>59799.999999999971</v>
      </c>
      <c r="J5561" s="20">
        <f t="shared" si="86"/>
        <v>0.24731182795698917</v>
      </c>
    </row>
    <row r="5562" spans="1:10" x14ac:dyDescent="0.3">
      <c r="A5562" s="33">
        <v>5561</v>
      </c>
      <c r="B5562" s="4">
        <v>49</v>
      </c>
      <c r="C5562" s="15">
        <v>9</v>
      </c>
      <c r="D5562" s="16">
        <v>2</v>
      </c>
      <c r="E5562" s="22">
        <v>44874</v>
      </c>
      <c r="F5562" s="19">
        <v>19</v>
      </c>
      <c r="G5562" s="18">
        <v>0.16</v>
      </c>
      <c r="H5562">
        <f>F5562*VLOOKUP(B5562,產品!$A$2:$H$61,7,FALSE)*(1-銷售總表!G5562)</f>
        <v>239400</v>
      </c>
      <c r="I5562" s="35">
        <f>H5562-F5562*VLOOKUP(銷售總表!B5562,產品!$A$2:$H$61,8,FALSE)</f>
        <v>39900</v>
      </c>
      <c r="J5562" s="20">
        <f t="shared" si="86"/>
        <v>0.16666666666666666</v>
      </c>
    </row>
    <row r="5563" spans="1:10" x14ac:dyDescent="0.3">
      <c r="A5563" s="33">
        <v>5562</v>
      </c>
      <c r="B5563" s="4">
        <v>9</v>
      </c>
      <c r="C5563" s="15">
        <v>116</v>
      </c>
      <c r="D5563" s="16">
        <v>3</v>
      </c>
      <c r="E5563" s="22">
        <v>44874</v>
      </c>
      <c r="F5563" s="19">
        <v>21</v>
      </c>
      <c r="G5563" s="18">
        <v>0.08</v>
      </c>
      <c r="H5563">
        <f>F5563*VLOOKUP(B5563,產品!$A$2:$H$61,7,FALSE)*(1-銷售總表!G5563)</f>
        <v>19320</v>
      </c>
      <c r="I5563" s="35">
        <f>H5563-F5563*VLOOKUP(銷售總表!B5563,產品!$A$2:$H$61,8,FALSE)</f>
        <v>10920</v>
      </c>
      <c r="J5563" s="20">
        <f t="shared" si="86"/>
        <v>0.56521739130434778</v>
      </c>
    </row>
    <row r="5564" spans="1:10" x14ac:dyDescent="0.3">
      <c r="A5564" s="33">
        <v>5563</v>
      </c>
      <c r="B5564" s="4">
        <v>31</v>
      </c>
      <c r="C5564" s="15">
        <v>112</v>
      </c>
      <c r="D5564" s="16">
        <v>1</v>
      </c>
      <c r="E5564" s="22">
        <v>44874</v>
      </c>
      <c r="F5564" s="19">
        <v>30</v>
      </c>
      <c r="G5564" s="18">
        <v>0.2</v>
      </c>
      <c r="H5564">
        <f>F5564*VLOOKUP(B5564,產品!$A$2:$H$61,7,FALSE)*(1-銷售總表!G5564)</f>
        <v>168000</v>
      </c>
      <c r="I5564" s="35">
        <f>H5564-F5564*VLOOKUP(銷售總表!B5564,產品!$A$2:$H$61,8,FALSE)</f>
        <v>42000</v>
      </c>
      <c r="J5564" s="20">
        <f t="shared" si="86"/>
        <v>0.25</v>
      </c>
    </row>
    <row r="5565" spans="1:10" x14ac:dyDescent="0.3">
      <c r="A5565" s="33">
        <v>5564</v>
      </c>
      <c r="B5565" s="4">
        <v>3</v>
      </c>
      <c r="C5565" s="15">
        <v>275</v>
      </c>
      <c r="D5565" s="16">
        <v>8</v>
      </c>
      <c r="E5565" s="22">
        <v>44874</v>
      </c>
      <c r="F5565" s="19">
        <v>70</v>
      </c>
      <c r="G5565" s="18">
        <v>0.11</v>
      </c>
      <c r="H5565">
        <f>F5565*VLOOKUP(B5565,產品!$A$2:$H$61,7,FALSE)*(1-銷售總表!G5565)</f>
        <v>62300</v>
      </c>
      <c r="I5565" s="35">
        <f>H5565-F5565*VLOOKUP(銷售總表!B5565,產品!$A$2:$H$61,8,FALSE)</f>
        <v>34300</v>
      </c>
      <c r="J5565" s="20">
        <f t="shared" si="86"/>
        <v>0.550561797752809</v>
      </c>
    </row>
    <row r="5566" spans="1:10" x14ac:dyDescent="0.3">
      <c r="A5566" s="33">
        <v>5565</v>
      </c>
      <c r="B5566" s="4">
        <v>24</v>
      </c>
      <c r="C5566" s="15">
        <v>6</v>
      </c>
      <c r="D5566" s="16">
        <v>7</v>
      </c>
      <c r="E5566" s="22">
        <v>44874</v>
      </c>
      <c r="F5566" s="19">
        <v>75</v>
      </c>
      <c r="G5566" s="18">
        <v>0.19</v>
      </c>
      <c r="H5566">
        <f>F5566*VLOOKUP(B5566,產品!$A$2:$H$61,7,FALSE)*(1-銷售總表!G5566)</f>
        <v>109350</v>
      </c>
      <c r="I5566" s="35">
        <f>H5566-F5566*VLOOKUP(銷售總表!B5566,產品!$A$2:$H$61,8,FALSE)</f>
        <v>55350</v>
      </c>
      <c r="J5566" s="20">
        <f t="shared" si="86"/>
        <v>0.50617283950617287</v>
      </c>
    </row>
    <row r="5567" spans="1:10" x14ac:dyDescent="0.3">
      <c r="A5567" s="33">
        <v>5566</v>
      </c>
      <c r="B5567" s="4">
        <v>12</v>
      </c>
      <c r="C5567" s="15">
        <v>9</v>
      </c>
      <c r="D5567" s="16">
        <v>6</v>
      </c>
      <c r="E5567" s="22">
        <v>44874</v>
      </c>
      <c r="F5567" s="19">
        <v>200</v>
      </c>
      <c r="G5567" s="18">
        <v>7.0000000000000007E-2</v>
      </c>
      <c r="H5567">
        <f>F5567*VLOOKUP(B5567,產品!$A$2:$H$61,7,FALSE)*(1-銷售總表!G5567)</f>
        <v>186000</v>
      </c>
      <c r="I5567" s="35">
        <f>H5567-F5567*VLOOKUP(銷售總表!B5567,產品!$A$2:$H$61,8,FALSE)</f>
        <v>106000</v>
      </c>
      <c r="J5567" s="20">
        <f t="shared" si="86"/>
        <v>0.56989247311827962</v>
      </c>
    </row>
    <row r="5568" spans="1:10" x14ac:dyDescent="0.3">
      <c r="A5568" s="33">
        <v>5567</v>
      </c>
      <c r="B5568" s="4">
        <v>28</v>
      </c>
      <c r="C5568" s="15">
        <v>140</v>
      </c>
      <c r="D5568" s="16">
        <v>3</v>
      </c>
      <c r="E5568" s="22">
        <v>44875</v>
      </c>
      <c r="F5568" s="19">
        <v>9</v>
      </c>
      <c r="G5568" s="18">
        <v>0.16</v>
      </c>
      <c r="H5568">
        <f>F5568*VLOOKUP(B5568,產品!$A$2:$H$61,7,FALSE)*(1-銷售總表!G5568)</f>
        <v>56700</v>
      </c>
      <c r="I5568" s="35">
        <f>H5568-F5568*VLOOKUP(銷售總表!B5568,產品!$A$2:$H$61,8,FALSE)</f>
        <v>16200</v>
      </c>
      <c r="J5568" s="20">
        <f t="shared" si="86"/>
        <v>0.2857142857142857</v>
      </c>
    </row>
    <row r="5569" spans="1:10" x14ac:dyDescent="0.3">
      <c r="A5569" s="33">
        <v>5568</v>
      </c>
      <c r="B5569" s="4">
        <v>58</v>
      </c>
      <c r="C5569" s="15">
        <v>264</v>
      </c>
      <c r="D5569" s="16">
        <v>6</v>
      </c>
      <c r="E5569" s="23">
        <v>44875</v>
      </c>
      <c r="F5569">
        <v>17</v>
      </c>
      <c r="G5569" s="20">
        <v>0.17</v>
      </c>
      <c r="H5569">
        <f>F5569*VLOOKUP(B5569,產品!$A$2:$H$61,7,FALSE)*(1-銷售總表!G5569)</f>
        <v>296310</v>
      </c>
      <c r="I5569" s="35">
        <f>H5569-F5569*VLOOKUP(銷售總表!B5569,產品!$A$2:$H$61,8,FALSE)</f>
        <v>46410.000000000029</v>
      </c>
      <c r="J5569" s="20">
        <f t="shared" si="86"/>
        <v>0.15662650602409647</v>
      </c>
    </row>
    <row r="5570" spans="1:10" x14ac:dyDescent="0.3">
      <c r="A5570" s="33">
        <v>5569</v>
      </c>
      <c r="B5570" s="4">
        <v>1</v>
      </c>
      <c r="C5570" s="15">
        <v>8</v>
      </c>
      <c r="D5570" s="16">
        <v>5</v>
      </c>
      <c r="E5570" s="22">
        <v>44875</v>
      </c>
      <c r="F5570" s="19">
        <v>20</v>
      </c>
      <c r="G5570" s="18">
        <v>0.16</v>
      </c>
      <c r="H5570">
        <f>F5570*VLOOKUP(B5570,產品!$A$2:$H$61,7,FALSE)*(1-銷售總表!G5570)</f>
        <v>16800</v>
      </c>
      <c r="I5570" s="35">
        <f>H5570-F5570*VLOOKUP(銷售總表!B5570,產品!$A$2:$H$61,8,FALSE)</f>
        <v>8800</v>
      </c>
      <c r="J5570" s="20">
        <f t="shared" si="86"/>
        <v>0.52380952380952384</v>
      </c>
    </row>
    <row r="5571" spans="1:10" x14ac:dyDescent="0.3">
      <c r="A5571" s="33">
        <v>5570</v>
      </c>
      <c r="B5571" s="4">
        <v>9</v>
      </c>
      <c r="C5571" s="15">
        <v>257</v>
      </c>
      <c r="D5571" s="16">
        <v>7</v>
      </c>
      <c r="E5571" s="22">
        <v>44875</v>
      </c>
      <c r="F5571" s="19">
        <v>20</v>
      </c>
      <c r="G5571" s="18">
        <v>0.2</v>
      </c>
      <c r="H5571">
        <f>F5571*VLOOKUP(B5571,產品!$A$2:$H$61,7,FALSE)*(1-銷售總表!G5571)</f>
        <v>16000</v>
      </c>
      <c r="I5571" s="35">
        <f>H5571-F5571*VLOOKUP(銷售總表!B5571,產品!$A$2:$H$61,8,FALSE)</f>
        <v>8000</v>
      </c>
      <c r="J5571" s="20">
        <f t="shared" ref="J5571:J5634" si="87">I5571/H5571</f>
        <v>0.5</v>
      </c>
    </row>
    <row r="5572" spans="1:10" x14ac:dyDescent="0.3">
      <c r="A5572" s="33">
        <v>5571</v>
      </c>
      <c r="B5572" s="4">
        <v>21</v>
      </c>
      <c r="C5572" s="15">
        <v>3</v>
      </c>
      <c r="D5572" s="16">
        <v>8</v>
      </c>
      <c r="E5572" s="22">
        <v>44875</v>
      </c>
      <c r="F5572" s="19">
        <v>40</v>
      </c>
      <c r="G5572" s="18">
        <v>0.13</v>
      </c>
      <c r="H5572">
        <f>F5572*VLOOKUP(B5572,產品!$A$2:$H$61,7,FALSE)*(1-銷售總表!G5572)</f>
        <v>62640</v>
      </c>
      <c r="I5572" s="35">
        <f>H5572-F5572*VLOOKUP(銷售總表!B5572,產品!$A$2:$H$61,8,FALSE)</f>
        <v>33840</v>
      </c>
      <c r="J5572" s="20">
        <f t="shared" si="87"/>
        <v>0.54022988505747127</v>
      </c>
    </row>
    <row r="5573" spans="1:10" x14ac:dyDescent="0.3">
      <c r="A5573" s="33">
        <v>5572</v>
      </c>
      <c r="B5573" s="4">
        <v>12</v>
      </c>
      <c r="C5573" s="15">
        <v>7</v>
      </c>
      <c r="D5573" s="16">
        <v>2</v>
      </c>
      <c r="E5573" s="23">
        <v>44876</v>
      </c>
      <c r="F5573">
        <v>80</v>
      </c>
      <c r="G5573" s="20">
        <v>0.19</v>
      </c>
      <c r="H5573">
        <f>F5573*VLOOKUP(B5573,產品!$A$2:$H$61,7,FALSE)*(1-銷售總表!G5573)</f>
        <v>64800.000000000007</v>
      </c>
      <c r="I5573" s="35">
        <f>H5573-F5573*VLOOKUP(銷售總表!B5573,產品!$A$2:$H$61,8,FALSE)</f>
        <v>32800.000000000007</v>
      </c>
      <c r="J5573" s="20">
        <f t="shared" si="87"/>
        <v>0.50617283950617287</v>
      </c>
    </row>
    <row r="5574" spans="1:10" x14ac:dyDescent="0.3">
      <c r="A5574" s="33">
        <v>5573</v>
      </c>
      <c r="B5574" s="4">
        <v>29</v>
      </c>
      <c r="C5574" s="15">
        <v>262</v>
      </c>
      <c r="D5574" s="16">
        <v>1</v>
      </c>
      <c r="E5574" s="22">
        <v>44877</v>
      </c>
      <c r="F5574" s="19">
        <v>1</v>
      </c>
      <c r="G5574" s="18">
        <v>7.0000000000000007E-2</v>
      </c>
      <c r="H5574">
        <f>F5574*VLOOKUP(B5574,產品!$A$2:$H$61,7,FALSE)*(1-銷售總表!G5574)</f>
        <v>5580</v>
      </c>
      <c r="I5574" s="35">
        <f>H5574-F5574*VLOOKUP(銷售總表!B5574,產品!$A$2:$H$61,8,FALSE)</f>
        <v>1980</v>
      </c>
      <c r="J5574" s="20">
        <f t="shared" si="87"/>
        <v>0.35483870967741937</v>
      </c>
    </row>
    <row r="5575" spans="1:10" x14ac:dyDescent="0.3">
      <c r="A5575" s="33">
        <v>5574</v>
      </c>
      <c r="B5575" s="4">
        <v>52</v>
      </c>
      <c r="C5575" s="15">
        <v>126</v>
      </c>
      <c r="D5575" s="16">
        <v>6</v>
      </c>
      <c r="E5575" s="22">
        <v>44877</v>
      </c>
      <c r="F5575" s="19">
        <v>3</v>
      </c>
      <c r="G5575" s="18">
        <v>0.08</v>
      </c>
      <c r="H5575">
        <f>F5575*VLOOKUP(B5575,產品!$A$2:$H$61,7,FALSE)*(1-銷售總表!G5575)</f>
        <v>60720</v>
      </c>
      <c r="I5575" s="35">
        <f>H5575-F5575*VLOOKUP(銷售總表!B5575,產品!$A$2:$H$61,8,FALSE)</f>
        <v>14520.000000000007</v>
      </c>
      <c r="J5575" s="20">
        <f t="shared" si="87"/>
        <v>0.23913043478260881</v>
      </c>
    </row>
    <row r="5576" spans="1:10" x14ac:dyDescent="0.3">
      <c r="A5576" s="33">
        <v>5575</v>
      </c>
      <c r="B5576" s="4">
        <v>45</v>
      </c>
      <c r="C5576" s="15">
        <v>262</v>
      </c>
      <c r="D5576" s="16">
        <v>5</v>
      </c>
      <c r="E5576" s="23">
        <v>44877</v>
      </c>
      <c r="F5576">
        <v>3</v>
      </c>
      <c r="G5576" s="20">
        <v>0.19</v>
      </c>
      <c r="H5576">
        <f>F5576*VLOOKUP(B5576,產品!$A$2:$H$61,7,FALSE)*(1-銷售總表!G5576)</f>
        <v>34020</v>
      </c>
      <c r="I5576" s="35">
        <f>H5576-F5576*VLOOKUP(銷售總表!B5576,產品!$A$2:$H$61,8,FALSE)</f>
        <v>6720</v>
      </c>
      <c r="J5576" s="20">
        <f t="shared" si="87"/>
        <v>0.19753086419753085</v>
      </c>
    </row>
    <row r="5577" spans="1:10" x14ac:dyDescent="0.3">
      <c r="A5577" s="33">
        <v>5576</v>
      </c>
      <c r="B5577" s="4">
        <v>2</v>
      </c>
      <c r="C5577" s="15">
        <v>278</v>
      </c>
      <c r="D5577" s="16">
        <v>8</v>
      </c>
      <c r="E5577" s="22">
        <v>44877</v>
      </c>
      <c r="F5577" s="19">
        <v>10</v>
      </c>
      <c r="G5577" s="18">
        <v>0.19</v>
      </c>
      <c r="H5577">
        <f>F5577*VLOOKUP(B5577,產品!$A$2:$H$61,7,FALSE)*(1-銷售總表!G5577)</f>
        <v>8100.0000000000009</v>
      </c>
      <c r="I5577" s="35">
        <f>H5577-F5577*VLOOKUP(銷售總表!B5577,產品!$A$2:$H$61,8,FALSE)</f>
        <v>4100.0000000000009</v>
      </c>
      <c r="J5577" s="20">
        <f t="shared" si="87"/>
        <v>0.50617283950617287</v>
      </c>
    </row>
    <row r="5578" spans="1:10" x14ac:dyDescent="0.3">
      <c r="A5578" s="33">
        <v>5577</v>
      </c>
      <c r="B5578" s="4">
        <v>32</v>
      </c>
      <c r="C5578" s="15">
        <v>284</v>
      </c>
      <c r="D5578" s="16">
        <v>10</v>
      </c>
      <c r="E5578" s="23">
        <v>44877</v>
      </c>
      <c r="F5578">
        <v>30</v>
      </c>
      <c r="G5578" s="20">
        <v>0.09</v>
      </c>
      <c r="H5578">
        <f>F5578*VLOOKUP(B5578,產品!$A$2:$H$61,7,FALSE)*(1-銷售總表!G5578)</f>
        <v>204750</v>
      </c>
      <c r="I5578" s="35">
        <f>H5578-F5578*VLOOKUP(銷售總表!B5578,產品!$A$2:$H$61,8,FALSE)</f>
        <v>69750</v>
      </c>
      <c r="J5578" s="20">
        <f t="shared" si="87"/>
        <v>0.34065934065934067</v>
      </c>
    </row>
    <row r="5579" spans="1:10" x14ac:dyDescent="0.3">
      <c r="A5579" s="33">
        <v>5578</v>
      </c>
      <c r="B5579" s="4">
        <v>5</v>
      </c>
      <c r="C5579" s="15">
        <v>275</v>
      </c>
      <c r="D5579" s="16">
        <v>9</v>
      </c>
      <c r="E5579" s="23">
        <v>44877</v>
      </c>
      <c r="F5579">
        <v>60</v>
      </c>
      <c r="G5579" s="20">
        <v>0.08</v>
      </c>
      <c r="H5579">
        <f>F5579*VLOOKUP(B5579,產品!$A$2:$H$61,7,FALSE)*(1-銷售總表!G5579)</f>
        <v>55200</v>
      </c>
      <c r="I5579" s="35">
        <f>H5579-F5579*VLOOKUP(銷售總表!B5579,產品!$A$2:$H$61,8,FALSE)</f>
        <v>31200</v>
      </c>
      <c r="J5579" s="20">
        <f t="shared" si="87"/>
        <v>0.56521739130434778</v>
      </c>
    </row>
    <row r="5580" spans="1:10" x14ac:dyDescent="0.3">
      <c r="A5580" s="33">
        <v>5579</v>
      </c>
      <c r="B5580" s="4">
        <v>4</v>
      </c>
      <c r="C5580" s="15">
        <v>12</v>
      </c>
      <c r="D5580" s="16">
        <v>10</v>
      </c>
      <c r="E5580" s="22">
        <v>44877</v>
      </c>
      <c r="F5580" s="19">
        <v>60</v>
      </c>
      <c r="G5580" s="18">
        <v>0.17</v>
      </c>
      <c r="H5580">
        <f>F5580*VLOOKUP(B5580,產品!$A$2:$H$61,7,FALSE)*(1-銷售總表!G5580)</f>
        <v>49800</v>
      </c>
      <c r="I5580" s="35">
        <f>H5580-F5580*VLOOKUP(銷售總表!B5580,產品!$A$2:$H$61,8,FALSE)</f>
        <v>25800</v>
      </c>
      <c r="J5580" s="20">
        <f t="shared" si="87"/>
        <v>0.51807228915662651</v>
      </c>
    </row>
    <row r="5581" spans="1:10" x14ac:dyDescent="0.3">
      <c r="A5581" s="33">
        <v>5580</v>
      </c>
      <c r="B5581" s="4">
        <v>23</v>
      </c>
      <c r="C5581" s="15">
        <v>285</v>
      </c>
      <c r="D5581" s="16">
        <v>1</v>
      </c>
      <c r="E5581" s="23">
        <v>44877</v>
      </c>
      <c r="F5581">
        <v>70</v>
      </c>
      <c r="G5581" s="20">
        <v>0.15</v>
      </c>
      <c r="H5581">
        <f>F5581*VLOOKUP(B5581,產品!$A$2:$H$61,7,FALSE)*(1-銷售總表!G5581)</f>
        <v>107100</v>
      </c>
      <c r="I5581" s="35">
        <f>H5581-F5581*VLOOKUP(銷售總表!B5581,產品!$A$2:$H$61,8,FALSE)</f>
        <v>56700</v>
      </c>
      <c r="J5581" s="20">
        <f t="shared" si="87"/>
        <v>0.52941176470588236</v>
      </c>
    </row>
    <row r="5582" spans="1:10" x14ac:dyDescent="0.3">
      <c r="A5582" s="33">
        <v>5581</v>
      </c>
      <c r="B5582" s="4">
        <v>28</v>
      </c>
      <c r="C5582" s="15">
        <v>277</v>
      </c>
      <c r="D5582" s="16">
        <v>5</v>
      </c>
      <c r="E5582" s="22">
        <v>44878</v>
      </c>
      <c r="F5582" s="19">
        <v>5</v>
      </c>
      <c r="G5582" s="18">
        <v>0.13</v>
      </c>
      <c r="H5582">
        <f>F5582*VLOOKUP(B5582,產品!$A$2:$H$61,7,FALSE)*(1-銷售總表!G5582)</f>
        <v>32625</v>
      </c>
      <c r="I5582" s="35">
        <f>H5582-F5582*VLOOKUP(銷售總表!B5582,產品!$A$2:$H$61,8,FALSE)</f>
        <v>10125</v>
      </c>
      <c r="J5582" s="20">
        <f t="shared" si="87"/>
        <v>0.31034482758620691</v>
      </c>
    </row>
    <row r="5583" spans="1:10" x14ac:dyDescent="0.3">
      <c r="A5583" s="33">
        <v>5582</v>
      </c>
      <c r="B5583" s="4">
        <v>46</v>
      </c>
      <c r="C5583" s="15">
        <v>124</v>
      </c>
      <c r="D5583" s="16">
        <v>2</v>
      </c>
      <c r="E5583" s="23">
        <v>44879</v>
      </c>
      <c r="F5583">
        <v>6</v>
      </c>
      <c r="G5583" s="20">
        <v>0.11</v>
      </c>
      <c r="H5583">
        <f>F5583*VLOOKUP(B5583,產品!$A$2:$H$61,7,FALSE)*(1-銷售總表!G5583)</f>
        <v>90780</v>
      </c>
      <c r="I5583" s="35">
        <f>H5583-F5583*VLOOKUP(銷售總表!B5583,產品!$A$2:$H$61,8,FALSE)</f>
        <v>24480</v>
      </c>
      <c r="J5583" s="20">
        <f t="shared" si="87"/>
        <v>0.2696629213483146</v>
      </c>
    </row>
    <row r="5584" spans="1:10" x14ac:dyDescent="0.3">
      <c r="A5584" s="33">
        <v>5583</v>
      </c>
      <c r="B5584" s="4">
        <v>36</v>
      </c>
      <c r="C5584" s="15">
        <v>291</v>
      </c>
      <c r="D5584" s="16">
        <v>10</v>
      </c>
      <c r="E5584" s="22">
        <v>44879</v>
      </c>
      <c r="F5584" s="19">
        <v>9</v>
      </c>
      <c r="G5584" s="18">
        <v>0.2</v>
      </c>
      <c r="H5584">
        <f>F5584*VLOOKUP(B5584,產品!$A$2:$H$61,7,FALSE)*(1-銷售總表!G5584)</f>
        <v>64800</v>
      </c>
      <c r="I5584" s="35">
        <f>H5584-F5584*VLOOKUP(銷售總表!B5584,產品!$A$2:$H$61,8,FALSE)</f>
        <v>16200</v>
      </c>
      <c r="J5584" s="20">
        <f t="shared" si="87"/>
        <v>0.25</v>
      </c>
    </row>
    <row r="5585" spans="1:10" x14ac:dyDescent="0.3">
      <c r="A5585" s="33">
        <v>5584</v>
      </c>
      <c r="B5585" s="4">
        <v>15</v>
      </c>
      <c r="C5585" s="15">
        <v>267</v>
      </c>
      <c r="D5585" s="16">
        <v>8</v>
      </c>
      <c r="E5585" s="22">
        <v>44879</v>
      </c>
      <c r="F5585" s="19">
        <v>17</v>
      </c>
      <c r="G5585" s="18">
        <v>0.12</v>
      </c>
      <c r="H5585">
        <f>F5585*VLOOKUP(B5585,產品!$A$2:$H$61,7,FALSE)*(1-銷售總表!G5585)</f>
        <v>26928</v>
      </c>
      <c r="I5585" s="35">
        <f>H5585-F5585*VLOOKUP(銷售總表!B5585,產品!$A$2:$H$61,8,FALSE)</f>
        <v>14688</v>
      </c>
      <c r="J5585" s="20">
        <f t="shared" si="87"/>
        <v>0.54545454545454541</v>
      </c>
    </row>
    <row r="5586" spans="1:10" x14ac:dyDescent="0.3">
      <c r="A5586" s="33">
        <v>5585</v>
      </c>
      <c r="B5586" s="4">
        <v>26</v>
      </c>
      <c r="C5586" s="15">
        <v>120</v>
      </c>
      <c r="D5586" s="16">
        <v>3</v>
      </c>
      <c r="E5586" s="22">
        <v>44879</v>
      </c>
      <c r="F5586" s="19">
        <v>20</v>
      </c>
      <c r="G5586" s="18">
        <v>0.08</v>
      </c>
      <c r="H5586">
        <f>F5586*VLOOKUP(B5586,產品!$A$2:$H$61,7,FALSE)*(1-銷售總表!G5586)</f>
        <v>119600</v>
      </c>
      <c r="I5586" s="35">
        <f>H5586-F5586*VLOOKUP(銷售總表!B5586,產品!$A$2:$H$61,8,FALSE)</f>
        <v>41600</v>
      </c>
      <c r="J5586" s="20">
        <f t="shared" si="87"/>
        <v>0.34782608695652173</v>
      </c>
    </row>
    <row r="5587" spans="1:10" x14ac:dyDescent="0.3">
      <c r="A5587" s="33">
        <v>5586</v>
      </c>
      <c r="B5587" s="4">
        <v>16</v>
      </c>
      <c r="C5587" s="15">
        <v>291</v>
      </c>
      <c r="D5587" s="16">
        <v>7</v>
      </c>
      <c r="E5587" s="22">
        <v>44879</v>
      </c>
      <c r="F5587" s="19">
        <v>20</v>
      </c>
      <c r="G5587" s="18">
        <v>0.13</v>
      </c>
      <c r="H5587">
        <f>F5587*VLOOKUP(B5587,產品!$A$2:$H$61,7,FALSE)*(1-銷售總表!G5587)</f>
        <v>31320</v>
      </c>
      <c r="I5587" s="35">
        <f>H5587-F5587*VLOOKUP(銷售總表!B5587,產品!$A$2:$H$61,8,FALSE)</f>
        <v>16920</v>
      </c>
      <c r="J5587" s="20">
        <f t="shared" si="87"/>
        <v>0.54022988505747127</v>
      </c>
    </row>
    <row r="5588" spans="1:10" x14ac:dyDescent="0.3">
      <c r="A5588" s="33">
        <v>5587</v>
      </c>
      <c r="B5588" s="4">
        <v>9</v>
      </c>
      <c r="C5588" s="15">
        <v>286</v>
      </c>
      <c r="D5588" s="16">
        <v>6</v>
      </c>
      <c r="E5588" s="22">
        <v>44879</v>
      </c>
      <c r="F5588" s="19">
        <v>30</v>
      </c>
      <c r="G5588" s="18">
        <v>0.18</v>
      </c>
      <c r="H5588">
        <f>F5588*VLOOKUP(B5588,產品!$A$2:$H$61,7,FALSE)*(1-銷售總表!G5588)</f>
        <v>24600.000000000004</v>
      </c>
      <c r="I5588" s="35">
        <f>H5588-F5588*VLOOKUP(銷售總表!B5588,產品!$A$2:$H$61,8,FALSE)</f>
        <v>12600.000000000004</v>
      </c>
      <c r="J5588" s="20">
        <f t="shared" si="87"/>
        <v>0.51219512195121963</v>
      </c>
    </row>
    <row r="5589" spans="1:10" x14ac:dyDescent="0.3">
      <c r="A5589" s="33">
        <v>5588</v>
      </c>
      <c r="B5589" s="4">
        <v>16</v>
      </c>
      <c r="C5589" s="15">
        <v>135</v>
      </c>
      <c r="D5589" s="16">
        <v>4</v>
      </c>
      <c r="E5589" s="22">
        <v>44879</v>
      </c>
      <c r="F5589" s="19">
        <v>45</v>
      </c>
      <c r="G5589" s="18">
        <v>0.13</v>
      </c>
      <c r="H5589">
        <f>F5589*VLOOKUP(B5589,產品!$A$2:$H$61,7,FALSE)*(1-銷售總表!G5589)</f>
        <v>70470</v>
      </c>
      <c r="I5589" s="35">
        <f>H5589-F5589*VLOOKUP(銷售總表!B5589,產品!$A$2:$H$61,8,FALSE)</f>
        <v>38070</v>
      </c>
      <c r="J5589" s="20">
        <f t="shared" si="87"/>
        <v>0.54022988505747127</v>
      </c>
    </row>
    <row r="5590" spans="1:10" x14ac:dyDescent="0.3">
      <c r="A5590" s="33">
        <v>5589</v>
      </c>
      <c r="B5590" s="4">
        <v>18</v>
      </c>
      <c r="C5590" s="15">
        <v>118</v>
      </c>
      <c r="D5590" s="16">
        <v>7</v>
      </c>
      <c r="E5590" s="22">
        <v>44879</v>
      </c>
      <c r="F5590" s="19">
        <v>50</v>
      </c>
      <c r="G5590" s="18">
        <v>0.19</v>
      </c>
      <c r="H5590">
        <f>F5590*VLOOKUP(B5590,產品!$A$2:$H$61,7,FALSE)*(1-銷售總表!G5590)</f>
        <v>72900</v>
      </c>
      <c r="I5590" s="35">
        <f>H5590-F5590*VLOOKUP(銷售總表!B5590,產品!$A$2:$H$61,8,FALSE)</f>
        <v>36900</v>
      </c>
      <c r="J5590" s="20">
        <f t="shared" si="87"/>
        <v>0.50617283950617287</v>
      </c>
    </row>
    <row r="5591" spans="1:10" x14ac:dyDescent="0.3">
      <c r="A5591" s="33">
        <v>5590</v>
      </c>
      <c r="B5591" s="4">
        <v>18</v>
      </c>
      <c r="C5591" s="15">
        <v>121</v>
      </c>
      <c r="D5591" s="16">
        <v>9</v>
      </c>
      <c r="E5591" s="22">
        <v>44879</v>
      </c>
      <c r="F5591" s="19">
        <v>50</v>
      </c>
      <c r="G5591" s="18">
        <v>0.2</v>
      </c>
      <c r="H5591">
        <f>F5591*VLOOKUP(B5591,產品!$A$2:$H$61,7,FALSE)*(1-銷售總表!G5591)</f>
        <v>72000</v>
      </c>
      <c r="I5591" s="35">
        <f>H5591-F5591*VLOOKUP(銷售總表!B5591,產品!$A$2:$H$61,8,FALSE)</f>
        <v>36000</v>
      </c>
      <c r="J5591" s="20">
        <f t="shared" si="87"/>
        <v>0.5</v>
      </c>
    </row>
    <row r="5592" spans="1:10" x14ac:dyDescent="0.3">
      <c r="A5592" s="33">
        <v>5591</v>
      </c>
      <c r="B5592" s="4">
        <v>13</v>
      </c>
      <c r="C5592" s="15">
        <v>276</v>
      </c>
      <c r="D5592" s="16">
        <v>9</v>
      </c>
      <c r="E5592" s="23">
        <v>44879</v>
      </c>
      <c r="F5592">
        <v>100</v>
      </c>
      <c r="G5592" s="20">
        <v>0.13</v>
      </c>
      <c r="H5592">
        <f>F5592*VLOOKUP(B5592,產品!$A$2:$H$61,7,FALSE)*(1-銷售總表!G5592)</f>
        <v>156600</v>
      </c>
      <c r="I5592" s="35">
        <f>H5592-F5592*VLOOKUP(銷售總表!B5592,產品!$A$2:$H$61,8,FALSE)</f>
        <v>84600</v>
      </c>
      <c r="J5592" s="20">
        <f t="shared" si="87"/>
        <v>0.54022988505747127</v>
      </c>
    </row>
    <row r="5593" spans="1:10" x14ac:dyDescent="0.3">
      <c r="A5593" s="33">
        <v>5592</v>
      </c>
      <c r="B5593" s="4">
        <v>55</v>
      </c>
      <c r="C5593" s="15">
        <v>4</v>
      </c>
      <c r="D5593" s="16">
        <v>10</v>
      </c>
      <c r="E5593" s="22">
        <v>44880</v>
      </c>
      <c r="F5593" s="19">
        <v>2</v>
      </c>
      <c r="G5593" s="18">
        <v>0.1</v>
      </c>
      <c r="H5593">
        <f>F5593*VLOOKUP(B5593,產品!$A$2:$H$61,7,FALSE)*(1-銷售總表!G5593)</f>
        <v>36000</v>
      </c>
      <c r="I5593" s="35">
        <f>H5593-F5593*VLOOKUP(銷售總表!B5593,產品!$A$2:$H$61,8,FALSE)</f>
        <v>8000</v>
      </c>
      <c r="J5593" s="20">
        <f t="shared" si="87"/>
        <v>0.22222222222222221</v>
      </c>
    </row>
    <row r="5594" spans="1:10" x14ac:dyDescent="0.3">
      <c r="A5594" s="33">
        <v>5593</v>
      </c>
      <c r="B5594" s="4">
        <v>35</v>
      </c>
      <c r="C5594" s="15">
        <v>3</v>
      </c>
      <c r="D5594" s="16">
        <v>10</v>
      </c>
      <c r="E5594" s="22">
        <v>44880</v>
      </c>
      <c r="F5594" s="19">
        <v>3</v>
      </c>
      <c r="G5594" s="18">
        <v>0.17</v>
      </c>
      <c r="H5594">
        <f>F5594*VLOOKUP(B5594,產品!$A$2:$H$61,7,FALSE)*(1-銷售總表!G5594)</f>
        <v>21165</v>
      </c>
      <c r="I5594" s="35">
        <f>H5594-F5594*VLOOKUP(銷售總表!B5594,產品!$A$2:$H$61,8,FALSE)</f>
        <v>5865</v>
      </c>
      <c r="J5594" s="20">
        <f t="shared" si="87"/>
        <v>0.27710843373493976</v>
      </c>
    </row>
    <row r="5595" spans="1:10" x14ac:dyDescent="0.3">
      <c r="A5595" s="33">
        <v>5594</v>
      </c>
      <c r="B5595" s="4">
        <v>47</v>
      </c>
      <c r="C5595" s="15">
        <v>259</v>
      </c>
      <c r="D5595" s="16">
        <v>1</v>
      </c>
      <c r="E5595" s="22">
        <v>44880</v>
      </c>
      <c r="F5595" s="19">
        <v>5</v>
      </c>
      <c r="G5595" s="18">
        <v>0.08</v>
      </c>
      <c r="H5595">
        <f>F5595*VLOOKUP(B5595,產品!$A$2:$H$61,7,FALSE)*(1-銷售總表!G5595)</f>
        <v>92000</v>
      </c>
      <c r="I5595" s="35">
        <f>H5595-F5595*VLOOKUP(銷售總表!B5595,產品!$A$2:$H$61,8,FALSE)</f>
        <v>27000</v>
      </c>
      <c r="J5595" s="20">
        <f t="shared" si="87"/>
        <v>0.29347826086956524</v>
      </c>
    </row>
    <row r="5596" spans="1:10" x14ac:dyDescent="0.3">
      <c r="A5596" s="33">
        <v>5595</v>
      </c>
      <c r="B5596" s="4">
        <v>28</v>
      </c>
      <c r="C5596" s="15">
        <v>257</v>
      </c>
      <c r="D5596" s="16">
        <v>7</v>
      </c>
      <c r="E5596" s="23">
        <v>44880</v>
      </c>
      <c r="F5596">
        <v>8</v>
      </c>
      <c r="G5596" s="20">
        <v>0.2</v>
      </c>
      <c r="H5596">
        <f>F5596*VLOOKUP(B5596,產品!$A$2:$H$61,7,FALSE)*(1-銷售總表!G5596)</f>
        <v>48000</v>
      </c>
      <c r="I5596" s="35">
        <f>H5596-F5596*VLOOKUP(銷售總表!B5596,產品!$A$2:$H$61,8,FALSE)</f>
        <v>12000</v>
      </c>
      <c r="J5596" s="20">
        <f t="shared" si="87"/>
        <v>0.25</v>
      </c>
    </row>
    <row r="5597" spans="1:10" x14ac:dyDescent="0.3">
      <c r="A5597" s="33">
        <v>5596</v>
      </c>
      <c r="B5597" s="4">
        <v>55</v>
      </c>
      <c r="C5597" s="15">
        <v>140</v>
      </c>
      <c r="D5597" s="16">
        <v>7</v>
      </c>
      <c r="E5597" s="22">
        <v>44880</v>
      </c>
      <c r="F5597" s="19">
        <v>9</v>
      </c>
      <c r="G5597" s="18">
        <v>0.13</v>
      </c>
      <c r="H5597">
        <f>F5597*VLOOKUP(B5597,產品!$A$2:$H$61,7,FALSE)*(1-銷售總表!G5597)</f>
        <v>156600</v>
      </c>
      <c r="I5597" s="35">
        <f>H5597-F5597*VLOOKUP(銷售總表!B5597,產品!$A$2:$H$61,8,FALSE)</f>
        <v>30600</v>
      </c>
      <c r="J5597" s="20">
        <f t="shared" si="87"/>
        <v>0.19540229885057472</v>
      </c>
    </row>
    <row r="5598" spans="1:10" x14ac:dyDescent="0.3">
      <c r="A5598" s="33">
        <v>5597</v>
      </c>
      <c r="B5598" s="4">
        <v>46</v>
      </c>
      <c r="C5598" s="15">
        <v>124</v>
      </c>
      <c r="D5598" s="16">
        <v>3</v>
      </c>
      <c r="E5598" s="22">
        <v>44880</v>
      </c>
      <c r="F5598" s="19">
        <v>11</v>
      </c>
      <c r="G5598" s="18">
        <v>0.2</v>
      </c>
      <c r="H5598">
        <f>F5598*VLOOKUP(B5598,產品!$A$2:$H$61,7,FALSE)*(1-銷售總表!G5598)</f>
        <v>149600</v>
      </c>
      <c r="I5598" s="35">
        <f>H5598-F5598*VLOOKUP(銷售總表!B5598,產品!$A$2:$H$61,8,FALSE)</f>
        <v>28050</v>
      </c>
      <c r="J5598" s="20">
        <f t="shared" si="87"/>
        <v>0.1875</v>
      </c>
    </row>
    <row r="5599" spans="1:10" x14ac:dyDescent="0.3">
      <c r="A5599" s="33">
        <v>5598</v>
      </c>
      <c r="B5599" s="4">
        <v>39</v>
      </c>
      <c r="C5599" s="15">
        <v>3</v>
      </c>
      <c r="D5599" s="16">
        <v>2</v>
      </c>
      <c r="E5599" s="22">
        <v>44880</v>
      </c>
      <c r="F5599" s="19">
        <v>13</v>
      </c>
      <c r="G5599" s="18">
        <v>0.19</v>
      </c>
      <c r="H5599">
        <f>F5599*VLOOKUP(B5599,產品!$A$2:$H$61,7,FALSE)*(1-銷售總表!G5599)</f>
        <v>189540</v>
      </c>
      <c r="I5599" s="35">
        <f>H5599-F5599*VLOOKUP(銷售總表!B5599,產品!$A$2:$H$61,8,FALSE)</f>
        <v>37440</v>
      </c>
      <c r="J5599" s="20">
        <f t="shared" si="87"/>
        <v>0.19753086419753085</v>
      </c>
    </row>
    <row r="5600" spans="1:10" x14ac:dyDescent="0.3">
      <c r="A5600" s="33">
        <v>5599</v>
      </c>
      <c r="B5600" s="4">
        <v>36</v>
      </c>
      <c r="C5600" s="15">
        <v>284</v>
      </c>
      <c r="D5600" s="16">
        <v>4</v>
      </c>
      <c r="E5600" s="23">
        <v>44880</v>
      </c>
      <c r="F5600">
        <v>20</v>
      </c>
      <c r="G5600" s="20">
        <v>0.06</v>
      </c>
      <c r="H5600">
        <f>F5600*VLOOKUP(B5600,產品!$A$2:$H$61,7,FALSE)*(1-銷售總表!G5600)</f>
        <v>169200</v>
      </c>
      <c r="I5600" s="35">
        <f>H5600-F5600*VLOOKUP(銷售總表!B5600,產品!$A$2:$H$61,8,FALSE)</f>
        <v>61200</v>
      </c>
      <c r="J5600" s="20">
        <f t="shared" si="87"/>
        <v>0.36170212765957449</v>
      </c>
    </row>
    <row r="5601" spans="1:10" x14ac:dyDescent="0.3">
      <c r="A5601" s="33">
        <v>5600</v>
      </c>
      <c r="B5601" s="4">
        <v>27</v>
      </c>
      <c r="C5601" s="15">
        <v>275</v>
      </c>
      <c r="D5601" s="16">
        <v>9</v>
      </c>
      <c r="E5601" s="23">
        <v>44880</v>
      </c>
      <c r="F5601">
        <v>20</v>
      </c>
      <c r="G5601" s="20">
        <v>0.13</v>
      </c>
      <c r="H5601">
        <f>F5601*VLOOKUP(B5601,產品!$A$2:$H$61,7,FALSE)*(1-銷售總表!G5601)</f>
        <v>121800</v>
      </c>
      <c r="I5601" s="35">
        <f>H5601-F5601*VLOOKUP(銷售總表!B5601,產品!$A$2:$H$61,8,FALSE)</f>
        <v>37800</v>
      </c>
      <c r="J5601" s="20">
        <f t="shared" si="87"/>
        <v>0.31034482758620691</v>
      </c>
    </row>
    <row r="5602" spans="1:10" x14ac:dyDescent="0.3">
      <c r="A5602" s="33">
        <v>5601</v>
      </c>
      <c r="B5602" s="4">
        <v>1</v>
      </c>
      <c r="C5602" s="15">
        <v>7</v>
      </c>
      <c r="D5602" s="16">
        <v>5</v>
      </c>
      <c r="E5602" s="22">
        <v>44880</v>
      </c>
      <c r="F5602" s="19">
        <v>40</v>
      </c>
      <c r="G5602" s="18">
        <v>0.13</v>
      </c>
      <c r="H5602">
        <f>F5602*VLOOKUP(B5602,產品!$A$2:$H$61,7,FALSE)*(1-銷售總表!G5602)</f>
        <v>34800</v>
      </c>
      <c r="I5602" s="35">
        <f>H5602-F5602*VLOOKUP(銷售總表!B5602,產品!$A$2:$H$61,8,FALSE)</f>
        <v>18800</v>
      </c>
      <c r="J5602" s="20">
        <f t="shared" si="87"/>
        <v>0.54022988505747127</v>
      </c>
    </row>
    <row r="5603" spans="1:10" x14ac:dyDescent="0.3">
      <c r="A5603" s="33">
        <v>5602</v>
      </c>
      <c r="B5603" s="4">
        <v>15</v>
      </c>
      <c r="C5603" s="15">
        <v>126</v>
      </c>
      <c r="D5603" s="16">
        <v>10</v>
      </c>
      <c r="E5603" s="23">
        <v>44880</v>
      </c>
      <c r="F5603">
        <v>50</v>
      </c>
      <c r="G5603" s="20">
        <v>0.19</v>
      </c>
      <c r="H5603">
        <f>F5603*VLOOKUP(B5603,產品!$A$2:$H$61,7,FALSE)*(1-銷售總表!G5603)</f>
        <v>72900</v>
      </c>
      <c r="I5603" s="35">
        <f>H5603-F5603*VLOOKUP(銷售總表!B5603,產品!$A$2:$H$61,8,FALSE)</f>
        <v>36900</v>
      </c>
      <c r="J5603" s="20">
        <f t="shared" si="87"/>
        <v>0.50617283950617287</v>
      </c>
    </row>
    <row r="5604" spans="1:10" x14ac:dyDescent="0.3">
      <c r="A5604" s="33">
        <v>5603</v>
      </c>
      <c r="B5604" s="4">
        <v>48</v>
      </c>
      <c r="C5604" s="15">
        <v>1</v>
      </c>
      <c r="D5604" s="16">
        <v>6</v>
      </c>
      <c r="E5604" s="22">
        <v>44881</v>
      </c>
      <c r="F5604" s="19">
        <v>3</v>
      </c>
      <c r="G5604" s="18">
        <v>0.17</v>
      </c>
      <c r="H5604">
        <f>F5604*VLOOKUP(B5604,產品!$A$2:$H$61,7,FALSE)*(1-銷售總表!G5604)</f>
        <v>54780</v>
      </c>
      <c r="I5604" s="35">
        <f>H5604-F5604*VLOOKUP(銷售總表!B5604,產品!$A$2:$H$61,8,FALSE)</f>
        <v>11880</v>
      </c>
      <c r="J5604" s="20">
        <f t="shared" si="87"/>
        <v>0.21686746987951808</v>
      </c>
    </row>
    <row r="5605" spans="1:10" x14ac:dyDescent="0.3">
      <c r="A5605" s="33">
        <v>5604</v>
      </c>
      <c r="B5605" s="4">
        <v>38</v>
      </c>
      <c r="C5605" s="15">
        <v>289</v>
      </c>
      <c r="D5605" s="16">
        <v>5</v>
      </c>
      <c r="E5605" s="22">
        <v>44881</v>
      </c>
      <c r="F5605" s="19">
        <v>8</v>
      </c>
      <c r="G5605" s="18">
        <v>0.12</v>
      </c>
      <c r="H5605">
        <f>F5605*VLOOKUP(B5605,產品!$A$2:$H$61,7,FALSE)*(1-銷售總表!G5605)</f>
        <v>105600</v>
      </c>
      <c r="I5605" s="35">
        <f>H5605-F5605*VLOOKUP(銷售總表!B5605,產品!$A$2:$H$61,8,FALSE)</f>
        <v>27600</v>
      </c>
      <c r="J5605" s="20">
        <f t="shared" si="87"/>
        <v>0.26136363636363635</v>
      </c>
    </row>
    <row r="5606" spans="1:10" x14ac:dyDescent="0.3">
      <c r="A5606" s="33">
        <v>5605</v>
      </c>
      <c r="B5606" s="4">
        <v>38</v>
      </c>
      <c r="C5606" s="15">
        <v>283</v>
      </c>
      <c r="D5606" s="16">
        <v>6</v>
      </c>
      <c r="E5606" s="22">
        <v>44881</v>
      </c>
      <c r="F5606" s="19">
        <v>9</v>
      </c>
      <c r="G5606" s="18">
        <v>0.18</v>
      </c>
      <c r="H5606">
        <f>F5606*VLOOKUP(B5606,產品!$A$2:$H$61,7,FALSE)*(1-銷售總表!G5606)</f>
        <v>110700.00000000001</v>
      </c>
      <c r="I5606" s="35">
        <f>H5606-F5606*VLOOKUP(銷售總表!B5606,產品!$A$2:$H$61,8,FALSE)</f>
        <v>22950.000000000015</v>
      </c>
      <c r="J5606" s="20">
        <f t="shared" si="87"/>
        <v>0.20731707317073181</v>
      </c>
    </row>
    <row r="5607" spans="1:10" x14ac:dyDescent="0.3">
      <c r="A5607" s="33">
        <v>5606</v>
      </c>
      <c r="B5607" s="4">
        <v>28</v>
      </c>
      <c r="C5607" s="15">
        <v>263</v>
      </c>
      <c r="D5607" s="16">
        <v>9</v>
      </c>
      <c r="E5607" s="22">
        <v>44881</v>
      </c>
      <c r="F5607" s="19">
        <v>11</v>
      </c>
      <c r="G5607" s="18">
        <v>0.05</v>
      </c>
      <c r="H5607">
        <f>F5607*VLOOKUP(B5607,產品!$A$2:$H$61,7,FALSE)*(1-銷售總表!G5607)</f>
        <v>78375</v>
      </c>
      <c r="I5607" s="35">
        <f>H5607-F5607*VLOOKUP(銷售總表!B5607,產品!$A$2:$H$61,8,FALSE)</f>
        <v>28875</v>
      </c>
      <c r="J5607" s="20">
        <f t="shared" si="87"/>
        <v>0.36842105263157893</v>
      </c>
    </row>
    <row r="5608" spans="1:10" x14ac:dyDescent="0.3">
      <c r="A5608" s="33">
        <v>5607</v>
      </c>
      <c r="B5608" s="4">
        <v>10</v>
      </c>
      <c r="C5608" s="15">
        <v>112</v>
      </c>
      <c r="D5608" s="16">
        <v>2</v>
      </c>
      <c r="E5608" s="22">
        <v>44881</v>
      </c>
      <c r="F5608" s="19">
        <v>70</v>
      </c>
      <c r="G5608" s="18">
        <v>0.05</v>
      </c>
      <c r="H5608">
        <f>F5608*VLOOKUP(B5608,產品!$A$2:$H$61,7,FALSE)*(1-銷售總表!G5608)</f>
        <v>66500</v>
      </c>
      <c r="I5608" s="35">
        <f>H5608-F5608*VLOOKUP(銷售總表!B5608,產品!$A$2:$H$61,8,FALSE)</f>
        <v>38500</v>
      </c>
      <c r="J5608" s="20">
        <f t="shared" si="87"/>
        <v>0.57894736842105265</v>
      </c>
    </row>
    <row r="5609" spans="1:10" x14ac:dyDescent="0.3">
      <c r="A5609" s="33">
        <v>5608</v>
      </c>
      <c r="B5609" s="4">
        <v>22</v>
      </c>
      <c r="C5609" s="15">
        <v>123</v>
      </c>
      <c r="D5609" s="16">
        <v>10</v>
      </c>
      <c r="E5609" s="23">
        <v>44881</v>
      </c>
      <c r="F5609">
        <v>100</v>
      </c>
      <c r="G5609" s="20">
        <v>0.09</v>
      </c>
      <c r="H5609">
        <f>F5609*VLOOKUP(B5609,產品!$A$2:$H$61,7,FALSE)*(1-銷售總表!G5609)</f>
        <v>163800</v>
      </c>
      <c r="I5609" s="35">
        <f>H5609-F5609*VLOOKUP(銷售總表!B5609,產品!$A$2:$H$61,8,FALSE)</f>
        <v>91800</v>
      </c>
      <c r="J5609" s="20">
        <f t="shared" si="87"/>
        <v>0.56043956043956045</v>
      </c>
    </row>
    <row r="5610" spans="1:10" x14ac:dyDescent="0.3">
      <c r="A5610" s="33">
        <v>5609</v>
      </c>
      <c r="B5610" s="4">
        <v>16</v>
      </c>
      <c r="C5610" s="15">
        <v>8</v>
      </c>
      <c r="D5610" s="16">
        <v>10</v>
      </c>
      <c r="E5610" s="22">
        <v>44881</v>
      </c>
      <c r="F5610" s="19">
        <v>100</v>
      </c>
      <c r="G5610" s="18">
        <v>0.1</v>
      </c>
      <c r="H5610">
        <f>F5610*VLOOKUP(B5610,產品!$A$2:$H$61,7,FALSE)*(1-銷售總表!G5610)</f>
        <v>162000</v>
      </c>
      <c r="I5610" s="35">
        <f>H5610-F5610*VLOOKUP(銷售總表!B5610,產品!$A$2:$H$61,8,FALSE)</f>
        <v>90000</v>
      </c>
      <c r="J5610" s="20">
        <f t="shared" si="87"/>
        <v>0.55555555555555558</v>
      </c>
    </row>
    <row r="5611" spans="1:10" x14ac:dyDescent="0.3">
      <c r="A5611" s="33">
        <v>5610</v>
      </c>
      <c r="B5611" s="4">
        <v>26</v>
      </c>
      <c r="C5611" s="15">
        <v>136</v>
      </c>
      <c r="D5611" s="16">
        <v>2</v>
      </c>
      <c r="E5611" s="22">
        <v>44882</v>
      </c>
      <c r="F5611" s="19">
        <v>2</v>
      </c>
      <c r="G5611" s="18">
        <v>0.18</v>
      </c>
      <c r="H5611">
        <f>F5611*VLOOKUP(B5611,產品!$A$2:$H$61,7,FALSE)*(1-銷售總表!G5611)</f>
        <v>10660</v>
      </c>
      <c r="I5611" s="35">
        <f>H5611-F5611*VLOOKUP(銷售總表!B5611,產品!$A$2:$H$61,8,FALSE)</f>
        <v>2860</v>
      </c>
      <c r="J5611" s="20">
        <f t="shared" si="87"/>
        <v>0.26829268292682928</v>
      </c>
    </row>
    <row r="5612" spans="1:10" x14ac:dyDescent="0.3">
      <c r="A5612" s="33">
        <v>5611</v>
      </c>
      <c r="B5612" s="4">
        <v>34</v>
      </c>
      <c r="C5612" s="15">
        <v>293</v>
      </c>
      <c r="D5612" s="16">
        <v>7</v>
      </c>
      <c r="E5612" s="22">
        <v>44882</v>
      </c>
      <c r="F5612" s="19">
        <v>7</v>
      </c>
      <c r="G5612" s="18">
        <v>0.09</v>
      </c>
      <c r="H5612">
        <f>F5612*VLOOKUP(B5612,產品!$A$2:$H$61,7,FALSE)*(1-銷售總表!G5612)</f>
        <v>50960</v>
      </c>
      <c r="I5612" s="35">
        <f>H5612-F5612*VLOOKUP(銷售總表!B5612,產品!$A$2:$H$61,8,FALSE)</f>
        <v>17360</v>
      </c>
      <c r="J5612" s="20">
        <f t="shared" si="87"/>
        <v>0.34065934065934067</v>
      </c>
    </row>
    <row r="5613" spans="1:10" x14ac:dyDescent="0.3">
      <c r="A5613" s="33">
        <v>5612</v>
      </c>
      <c r="B5613" s="4">
        <v>46</v>
      </c>
      <c r="C5613" s="15">
        <v>262</v>
      </c>
      <c r="D5613" s="16">
        <v>2</v>
      </c>
      <c r="E5613" s="23">
        <v>44882</v>
      </c>
      <c r="F5613">
        <v>12</v>
      </c>
      <c r="G5613" s="20">
        <v>0.19</v>
      </c>
      <c r="H5613">
        <f>F5613*VLOOKUP(B5613,產品!$A$2:$H$61,7,FALSE)*(1-銷售總表!G5613)</f>
        <v>165240</v>
      </c>
      <c r="I5613" s="35">
        <f>H5613-F5613*VLOOKUP(銷售總表!B5613,產品!$A$2:$H$61,8,FALSE)</f>
        <v>32640</v>
      </c>
      <c r="J5613" s="20">
        <f t="shared" si="87"/>
        <v>0.19753086419753085</v>
      </c>
    </row>
    <row r="5614" spans="1:10" x14ac:dyDescent="0.3">
      <c r="A5614" s="33">
        <v>5613</v>
      </c>
      <c r="B5614" s="4">
        <v>38</v>
      </c>
      <c r="C5614" s="15">
        <v>8</v>
      </c>
      <c r="D5614" s="16">
        <v>4</v>
      </c>
      <c r="E5614" s="22">
        <v>44882</v>
      </c>
      <c r="F5614" s="19">
        <v>15</v>
      </c>
      <c r="G5614" s="18">
        <v>0.13</v>
      </c>
      <c r="H5614">
        <f>F5614*VLOOKUP(B5614,產品!$A$2:$H$61,7,FALSE)*(1-銷售總表!G5614)</f>
        <v>195750</v>
      </c>
      <c r="I5614" s="35">
        <f>H5614-F5614*VLOOKUP(銷售總表!B5614,產品!$A$2:$H$61,8,FALSE)</f>
        <v>49500</v>
      </c>
      <c r="J5614" s="20">
        <f t="shared" si="87"/>
        <v>0.25287356321839083</v>
      </c>
    </row>
    <row r="5615" spans="1:10" x14ac:dyDescent="0.3">
      <c r="A5615" s="33">
        <v>5614</v>
      </c>
      <c r="B5615" s="4">
        <v>22</v>
      </c>
      <c r="C5615" s="15">
        <v>284</v>
      </c>
      <c r="D5615" s="16">
        <v>10</v>
      </c>
      <c r="E5615" s="22">
        <v>44882</v>
      </c>
      <c r="F5615" s="19">
        <v>40</v>
      </c>
      <c r="G5615" s="18">
        <v>0.15</v>
      </c>
      <c r="H5615">
        <f>F5615*VLOOKUP(B5615,產品!$A$2:$H$61,7,FALSE)*(1-銷售總表!G5615)</f>
        <v>61200</v>
      </c>
      <c r="I5615" s="35">
        <f>H5615-F5615*VLOOKUP(銷售總表!B5615,產品!$A$2:$H$61,8,FALSE)</f>
        <v>32400</v>
      </c>
      <c r="J5615" s="20">
        <f t="shared" si="87"/>
        <v>0.52941176470588236</v>
      </c>
    </row>
    <row r="5616" spans="1:10" x14ac:dyDescent="0.3">
      <c r="A5616" s="33">
        <v>5615</v>
      </c>
      <c r="B5616" s="4">
        <v>12</v>
      </c>
      <c r="C5616" s="15">
        <v>3</v>
      </c>
      <c r="D5616" s="16">
        <v>5</v>
      </c>
      <c r="E5616" s="22">
        <v>44882</v>
      </c>
      <c r="F5616" s="19">
        <v>150</v>
      </c>
      <c r="G5616" s="18">
        <v>7.0000000000000007E-2</v>
      </c>
      <c r="H5616">
        <f>F5616*VLOOKUP(B5616,產品!$A$2:$H$61,7,FALSE)*(1-銷售總表!G5616)</f>
        <v>139500</v>
      </c>
      <c r="I5616" s="35">
        <f>H5616-F5616*VLOOKUP(銷售總表!B5616,產品!$A$2:$H$61,8,FALSE)</f>
        <v>79500</v>
      </c>
      <c r="J5616" s="20">
        <f t="shared" si="87"/>
        <v>0.56989247311827962</v>
      </c>
    </row>
    <row r="5617" spans="1:10" x14ac:dyDescent="0.3">
      <c r="A5617" s="33">
        <v>5616</v>
      </c>
      <c r="B5617" s="4">
        <v>55</v>
      </c>
      <c r="C5617" s="15">
        <v>114</v>
      </c>
      <c r="D5617" s="16">
        <v>7</v>
      </c>
      <c r="E5617" s="22">
        <v>44883</v>
      </c>
      <c r="F5617" s="19">
        <v>3</v>
      </c>
      <c r="G5617" s="18">
        <v>0.15</v>
      </c>
      <c r="H5617">
        <f>F5617*VLOOKUP(B5617,產品!$A$2:$H$61,7,FALSE)*(1-銷售總表!G5617)</f>
        <v>51000</v>
      </c>
      <c r="I5617" s="35">
        <f>H5617-F5617*VLOOKUP(銷售總表!B5617,產品!$A$2:$H$61,8,FALSE)</f>
        <v>9000</v>
      </c>
      <c r="J5617" s="20">
        <f t="shared" si="87"/>
        <v>0.17647058823529413</v>
      </c>
    </row>
    <row r="5618" spans="1:10" x14ac:dyDescent="0.3">
      <c r="A5618" s="33">
        <v>5617</v>
      </c>
      <c r="B5618" s="4">
        <v>25</v>
      </c>
      <c r="C5618" s="15">
        <v>2</v>
      </c>
      <c r="D5618" s="16">
        <v>7</v>
      </c>
      <c r="E5618" s="22">
        <v>44883</v>
      </c>
      <c r="F5618" s="19">
        <v>7</v>
      </c>
      <c r="G5618" s="18">
        <v>0.09</v>
      </c>
      <c r="H5618">
        <f>F5618*VLOOKUP(B5618,產品!$A$2:$H$61,7,FALSE)*(1-銷售總表!G5618)</f>
        <v>38220</v>
      </c>
      <c r="I5618" s="35">
        <f>H5618-F5618*VLOOKUP(銷售總表!B5618,產品!$A$2:$H$61,8,FALSE)</f>
        <v>13020</v>
      </c>
      <c r="J5618" s="20">
        <f t="shared" si="87"/>
        <v>0.34065934065934067</v>
      </c>
    </row>
    <row r="5619" spans="1:10" x14ac:dyDescent="0.3">
      <c r="A5619" s="33">
        <v>5618</v>
      </c>
      <c r="B5619" s="4">
        <v>53</v>
      </c>
      <c r="C5619" s="15">
        <v>135</v>
      </c>
      <c r="D5619" s="16">
        <v>9</v>
      </c>
      <c r="E5619" s="22">
        <v>44883</v>
      </c>
      <c r="F5619" s="19">
        <v>9</v>
      </c>
      <c r="G5619" s="18">
        <v>0.14000000000000001</v>
      </c>
      <c r="H5619">
        <f>F5619*VLOOKUP(B5619,產品!$A$2:$H$61,7,FALSE)*(1-銷售總表!G5619)</f>
        <v>116100</v>
      </c>
      <c r="I5619" s="35">
        <f>H5619-F5619*VLOOKUP(銷售總表!B5619,產品!$A$2:$H$61,8,FALSE)</f>
        <v>21600</v>
      </c>
      <c r="J5619" s="20">
        <f t="shared" si="87"/>
        <v>0.18604651162790697</v>
      </c>
    </row>
    <row r="5620" spans="1:10" x14ac:dyDescent="0.3">
      <c r="A5620" s="33">
        <v>5619</v>
      </c>
      <c r="B5620" s="4">
        <v>49</v>
      </c>
      <c r="C5620" s="15">
        <v>265</v>
      </c>
      <c r="D5620" s="16">
        <v>8</v>
      </c>
      <c r="E5620" s="22">
        <v>44883</v>
      </c>
      <c r="F5620" s="19">
        <v>11</v>
      </c>
      <c r="G5620" s="18">
        <v>0.19</v>
      </c>
      <c r="H5620">
        <f>F5620*VLOOKUP(B5620,產品!$A$2:$H$61,7,FALSE)*(1-銷售總表!G5620)</f>
        <v>133650</v>
      </c>
      <c r="I5620" s="35">
        <f>H5620-F5620*VLOOKUP(銷售總表!B5620,產品!$A$2:$H$61,8,FALSE)</f>
        <v>18150</v>
      </c>
      <c r="J5620" s="20">
        <f t="shared" si="87"/>
        <v>0.13580246913580246</v>
      </c>
    </row>
    <row r="5621" spans="1:10" x14ac:dyDescent="0.3">
      <c r="A5621" s="33">
        <v>5620</v>
      </c>
      <c r="B5621" s="4">
        <v>34</v>
      </c>
      <c r="C5621" s="15">
        <v>116</v>
      </c>
      <c r="D5621" s="16">
        <v>1</v>
      </c>
      <c r="E5621" s="22">
        <v>44883</v>
      </c>
      <c r="F5621" s="19">
        <v>14</v>
      </c>
      <c r="G5621" s="18">
        <v>0.13</v>
      </c>
      <c r="H5621">
        <f>F5621*VLOOKUP(B5621,產品!$A$2:$H$61,7,FALSE)*(1-銷售總表!G5621)</f>
        <v>97440</v>
      </c>
      <c r="I5621" s="35">
        <f>H5621-F5621*VLOOKUP(銷售總表!B5621,產品!$A$2:$H$61,8,FALSE)</f>
        <v>30240</v>
      </c>
      <c r="J5621" s="20">
        <f t="shared" si="87"/>
        <v>0.31034482758620691</v>
      </c>
    </row>
    <row r="5622" spans="1:10" x14ac:dyDescent="0.3">
      <c r="A5622" s="33">
        <v>5621</v>
      </c>
      <c r="B5622" s="4">
        <v>24</v>
      </c>
      <c r="C5622" s="15">
        <v>272</v>
      </c>
      <c r="D5622" s="16">
        <v>9</v>
      </c>
      <c r="E5622" s="22">
        <v>44883</v>
      </c>
      <c r="F5622" s="19">
        <v>60</v>
      </c>
      <c r="G5622" s="18">
        <v>0.14000000000000001</v>
      </c>
      <c r="H5622">
        <f>F5622*VLOOKUP(B5622,產品!$A$2:$H$61,7,FALSE)*(1-銷售總表!G5622)</f>
        <v>92880</v>
      </c>
      <c r="I5622" s="35">
        <f>H5622-F5622*VLOOKUP(銷售總表!B5622,產品!$A$2:$H$61,8,FALSE)</f>
        <v>49680</v>
      </c>
      <c r="J5622" s="20">
        <f t="shared" si="87"/>
        <v>0.53488372093023251</v>
      </c>
    </row>
    <row r="5623" spans="1:10" x14ac:dyDescent="0.3">
      <c r="A5623" s="33">
        <v>5622</v>
      </c>
      <c r="B5623" s="4">
        <v>17</v>
      </c>
      <c r="C5623" s="15">
        <v>136</v>
      </c>
      <c r="D5623" s="16">
        <v>7</v>
      </c>
      <c r="E5623" s="22">
        <v>44883</v>
      </c>
      <c r="F5623" s="19">
        <v>80</v>
      </c>
      <c r="G5623" s="18">
        <v>0.17</v>
      </c>
      <c r="H5623">
        <f>F5623*VLOOKUP(B5623,產品!$A$2:$H$61,7,FALSE)*(1-銷售總表!G5623)</f>
        <v>119520</v>
      </c>
      <c r="I5623" s="35">
        <f>H5623-F5623*VLOOKUP(銷售總表!B5623,產品!$A$2:$H$61,8,FALSE)</f>
        <v>61920</v>
      </c>
      <c r="J5623" s="20">
        <f t="shared" si="87"/>
        <v>0.51807228915662651</v>
      </c>
    </row>
    <row r="5624" spans="1:10" x14ac:dyDescent="0.3">
      <c r="A5624" s="33">
        <v>5623</v>
      </c>
      <c r="B5624" s="4">
        <v>47</v>
      </c>
      <c r="C5624" s="15">
        <v>258</v>
      </c>
      <c r="D5624" s="16">
        <v>3</v>
      </c>
      <c r="E5624" s="22">
        <v>44884</v>
      </c>
      <c r="F5624" s="19">
        <v>2</v>
      </c>
      <c r="G5624" s="18">
        <v>7.0000000000000007E-2</v>
      </c>
      <c r="H5624">
        <f>F5624*VLOOKUP(B5624,產品!$A$2:$H$61,7,FALSE)*(1-銷售總表!G5624)</f>
        <v>37200</v>
      </c>
      <c r="I5624" s="35">
        <f>H5624-F5624*VLOOKUP(銷售總表!B5624,產品!$A$2:$H$61,8,FALSE)</f>
        <v>11200</v>
      </c>
      <c r="J5624" s="20">
        <f t="shared" si="87"/>
        <v>0.30107526881720431</v>
      </c>
    </row>
    <row r="5625" spans="1:10" x14ac:dyDescent="0.3">
      <c r="A5625" s="33">
        <v>5624</v>
      </c>
      <c r="B5625" s="4">
        <v>46</v>
      </c>
      <c r="C5625" s="15">
        <v>136</v>
      </c>
      <c r="D5625" s="16">
        <v>4</v>
      </c>
      <c r="E5625" s="22">
        <v>44884</v>
      </c>
      <c r="F5625" s="19">
        <v>7</v>
      </c>
      <c r="G5625" s="18">
        <v>7.0000000000000007E-2</v>
      </c>
      <c r="H5625">
        <f>F5625*VLOOKUP(B5625,產品!$A$2:$H$61,7,FALSE)*(1-銷售總表!G5625)</f>
        <v>110669.99999999999</v>
      </c>
      <c r="I5625" s="35">
        <f>H5625-F5625*VLOOKUP(銷售總表!B5625,產品!$A$2:$H$61,8,FALSE)</f>
        <v>33319.999999999985</v>
      </c>
      <c r="J5625" s="20">
        <f t="shared" si="87"/>
        <v>0.3010752688172042</v>
      </c>
    </row>
    <row r="5626" spans="1:10" x14ac:dyDescent="0.3">
      <c r="A5626" s="33">
        <v>5625</v>
      </c>
      <c r="B5626" s="4">
        <v>58</v>
      </c>
      <c r="C5626" s="15">
        <v>257</v>
      </c>
      <c r="D5626" s="16">
        <v>10</v>
      </c>
      <c r="E5626" s="22">
        <v>44884</v>
      </c>
      <c r="F5626" s="19">
        <v>8</v>
      </c>
      <c r="G5626" s="18">
        <v>0.12</v>
      </c>
      <c r="H5626">
        <f>F5626*VLOOKUP(B5626,產品!$A$2:$H$61,7,FALSE)*(1-銷售總表!G5626)</f>
        <v>147840</v>
      </c>
      <c r="I5626" s="35">
        <f>H5626-F5626*VLOOKUP(銷售總表!B5626,產品!$A$2:$H$61,8,FALSE)</f>
        <v>30240.000000000015</v>
      </c>
      <c r="J5626" s="20">
        <f t="shared" si="87"/>
        <v>0.20454545454545464</v>
      </c>
    </row>
    <row r="5627" spans="1:10" x14ac:dyDescent="0.3">
      <c r="A5627" s="33">
        <v>5626</v>
      </c>
      <c r="B5627" s="4">
        <v>10</v>
      </c>
      <c r="C5627" s="15">
        <v>124</v>
      </c>
      <c r="D5627" s="16">
        <v>3</v>
      </c>
      <c r="E5627" s="23">
        <v>44884</v>
      </c>
      <c r="F5627">
        <v>11</v>
      </c>
      <c r="G5627" s="20">
        <v>0.1</v>
      </c>
      <c r="H5627">
        <f>F5627*VLOOKUP(B5627,產品!$A$2:$H$61,7,FALSE)*(1-銷售總表!G5627)</f>
        <v>9900</v>
      </c>
      <c r="I5627" s="35">
        <f>H5627-F5627*VLOOKUP(銷售總表!B5627,產品!$A$2:$H$61,8,FALSE)</f>
        <v>5500</v>
      </c>
      <c r="J5627" s="20">
        <f t="shared" si="87"/>
        <v>0.55555555555555558</v>
      </c>
    </row>
    <row r="5628" spans="1:10" x14ac:dyDescent="0.3">
      <c r="A5628" s="33">
        <v>5627</v>
      </c>
      <c r="B5628" s="4">
        <v>27</v>
      </c>
      <c r="C5628" s="15">
        <v>135</v>
      </c>
      <c r="D5628" s="16">
        <v>10</v>
      </c>
      <c r="E5628" s="22">
        <v>44884</v>
      </c>
      <c r="F5628" s="19">
        <v>12</v>
      </c>
      <c r="G5628" s="18">
        <v>0.13</v>
      </c>
      <c r="H5628">
        <f>F5628*VLOOKUP(B5628,產品!$A$2:$H$61,7,FALSE)*(1-銷售總表!G5628)</f>
        <v>73080</v>
      </c>
      <c r="I5628" s="35">
        <f>H5628-F5628*VLOOKUP(銷售總表!B5628,產品!$A$2:$H$61,8,FALSE)</f>
        <v>22680</v>
      </c>
      <c r="J5628" s="20">
        <f t="shared" si="87"/>
        <v>0.31034482758620691</v>
      </c>
    </row>
    <row r="5629" spans="1:10" x14ac:dyDescent="0.3">
      <c r="A5629" s="33">
        <v>5628</v>
      </c>
      <c r="B5629" s="4">
        <v>20</v>
      </c>
      <c r="C5629" s="15">
        <v>280</v>
      </c>
      <c r="D5629" s="16">
        <v>4</v>
      </c>
      <c r="E5629" s="22">
        <v>44884</v>
      </c>
      <c r="F5629" s="19">
        <v>30</v>
      </c>
      <c r="G5629" s="18">
        <v>0.08</v>
      </c>
      <c r="H5629">
        <f>F5629*VLOOKUP(B5629,產品!$A$2:$H$61,7,FALSE)*(1-銷售總表!G5629)</f>
        <v>49680</v>
      </c>
      <c r="I5629" s="35">
        <f>H5629-F5629*VLOOKUP(銷售總表!B5629,產品!$A$2:$H$61,8,FALSE)</f>
        <v>28080</v>
      </c>
      <c r="J5629" s="20">
        <f t="shared" si="87"/>
        <v>0.56521739130434778</v>
      </c>
    </row>
    <row r="5630" spans="1:10" x14ac:dyDescent="0.3">
      <c r="A5630" s="33">
        <v>5629</v>
      </c>
      <c r="B5630" s="4">
        <v>17</v>
      </c>
      <c r="C5630" s="15">
        <v>4</v>
      </c>
      <c r="D5630" s="16">
        <v>7</v>
      </c>
      <c r="E5630" s="22">
        <v>44884</v>
      </c>
      <c r="F5630" s="19">
        <v>80</v>
      </c>
      <c r="G5630" s="18">
        <v>0.05</v>
      </c>
      <c r="H5630">
        <f>F5630*VLOOKUP(B5630,產品!$A$2:$H$61,7,FALSE)*(1-銷售總表!G5630)</f>
        <v>136800</v>
      </c>
      <c r="I5630" s="35">
        <f>H5630-F5630*VLOOKUP(銷售總表!B5630,產品!$A$2:$H$61,8,FALSE)</f>
        <v>79200</v>
      </c>
      <c r="J5630" s="20">
        <f t="shared" si="87"/>
        <v>0.57894736842105265</v>
      </c>
    </row>
    <row r="5631" spans="1:10" x14ac:dyDescent="0.3">
      <c r="A5631" s="33">
        <v>5630</v>
      </c>
      <c r="B5631" s="4">
        <v>42</v>
      </c>
      <c r="C5631" s="15">
        <v>7</v>
      </c>
      <c r="D5631" s="16">
        <v>7</v>
      </c>
      <c r="E5631" s="22">
        <v>44885</v>
      </c>
      <c r="F5631" s="19">
        <v>1</v>
      </c>
      <c r="G5631" s="18">
        <v>0.11</v>
      </c>
      <c r="H5631">
        <f>F5631*VLOOKUP(B5631,產品!$A$2:$H$61,7,FALSE)*(1-銷售總表!G5631)</f>
        <v>13350</v>
      </c>
      <c r="I5631" s="35">
        <f>H5631-F5631*VLOOKUP(銷售總表!B5631,產品!$A$2:$H$61,8,FALSE)</f>
        <v>3600</v>
      </c>
      <c r="J5631" s="20">
        <f t="shared" si="87"/>
        <v>0.2696629213483146</v>
      </c>
    </row>
    <row r="5632" spans="1:10" x14ac:dyDescent="0.3">
      <c r="A5632" s="33">
        <v>5631</v>
      </c>
      <c r="B5632" s="4">
        <v>55</v>
      </c>
      <c r="C5632" s="15">
        <v>6</v>
      </c>
      <c r="D5632" s="16">
        <v>6</v>
      </c>
      <c r="E5632" s="22">
        <v>44885</v>
      </c>
      <c r="F5632" s="19">
        <v>8</v>
      </c>
      <c r="G5632" s="18">
        <v>0.13</v>
      </c>
      <c r="H5632">
        <f>F5632*VLOOKUP(B5632,產品!$A$2:$H$61,7,FALSE)*(1-銷售總表!G5632)</f>
        <v>139200</v>
      </c>
      <c r="I5632" s="35">
        <f>H5632-F5632*VLOOKUP(銷售總表!B5632,產品!$A$2:$H$61,8,FALSE)</f>
        <v>27200</v>
      </c>
      <c r="J5632" s="20">
        <f t="shared" si="87"/>
        <v>0.19540229885057472</v>
      </c>
    </row>
    <row r="5633" spans="1:10" x14ac:dyDescent="0.3">
      <c r="A5633" s="33">
        <v>5632</v>
      </c>
      <c r="B5633" s="4">
        <v>39</v>
      </c>
      <c r="C5633" s="15">
        <v>8</v>
      </c>
      <c r="D5633" s="16">
        <v>10</v>
      </c>
      <c r="E5633" s="22">
        <v>44885</v>
      </c>
      <c r="F5633" s="19">
        <v>10</v>
      </c>
      <c r="G5633" s="18">
        <v>0.1</v>
      </c>
      <c r="H5633">
        <f>F5633*VLOOKUP(B5633,產品!$A$2:$H$61,7,FALSE)*(1-銷售總表!G5633)</f>
        <v>162000</v>
      </c>
      <c r="I5633" s="35">
        <f>H5633-F5633*VLOOKUP(銷售總表!B5633,產品!$A$2:$H$61,8,FALSE)</f>
        <v>45000</v>
      </c>
      <c r="J5633" s="20">
        <f t="shared" si="87"/>
        <v>0.27777777777777779</v>
      </c>
    </row>
    <row r="5634" spans="1:10" x14ac:dyDescent="0.3">
      <c r="A5634" s="33">
        <v>5633</v>
      </c>
      <c r="B5634" s="4">
        <v>26</v>
      </c>
      <c r="C5634" s="15">
        <v>9</v>
      </c>
      <c r="D5634" s="16">
        <v>6</v>
      </c>
      <c r="E5634" s="22">
        <v>44886</v>
      </c>
      <c r="F5634" s="19">
        <v>4</v>
      </c>
      <c r="G5634" s="18">
        <v>0.1</v>
      </c>
      <c r="H5634">
        <f>F5634*VLOOKUP(B5634,產品!$A$2:$H$61,7,FALSE)*(1-銷售總表!G5634)</f>
        <v>23400</v>
      </c>
      <c r="I5634" s="35">
        <f>H5634-F5634*VLOOKUP(銷售總表!B5634,產品!$A$2:$H$61,8,FALSE)</f>
        <v>7800</v>
      </c>
      <c r="J5634" s="20">
        <f t="shared" si="87"/>
        <v>0.33333333333333331</v>
      </c>
    </row>
    <row r="5635" spans="1:10" x14ac:dyDescent="0.3">
      <c r="A5635" s="33">
        <v>5634</v>
      </c>
      <c r="B5635" s="4">
        <v>38</v>
      </c>
      <c r="C5635" s="15">
        <v>282</v>
      </c>
      <c r="D5635" s="16">
        <v>6</v>
      </c>
      <c r="E5635" s="22">
        <v>44886</v>
      </c>
      <c r="F5635" s="19">
        <v>10</v>
      </c>
      <c r="G5635" s="18">
        <v>0.19</v>
      </c>
      <c r="H5635">
        <f>F5635*VLOOKUP(B5635,產品!$A$2:$H$61,7,FALSE)*(1-銷售總表!G5635)</f>
        <v>121500.00000000001</v>
      </c>
      <c r="I5635" s="35">
        <f>H5635-F5635*VLOOKUP(銷售總表!B5635,產品!$A$2:$H$61,8,FALSE)</f>
        <v>24000.000000000015</v>
      </c>
      <c r="J5635" s="20">
        <f t="shared" ref="J5635:J5698" si="88">I5635/H5635</f>
        <v>0.19753086419753096</v>
      </c>
    </row>
    <row r="5636" spans="1:10" x14ac:dyDescent="0.3">
      <c r="A5636" s="33">
        <v>5635</v>
      </c>
      <c r="B5636" s="4">
        <v>38</v>
      </c>
      <c r="C5636" s="15">
        <v>125</v>
      </c>
      <c r="D5636" s="16">
        <v>4</v>
      </c>
      <c r="E5636" s="22">
        <v>44886</v>
      </c>
      <c r="F5636" s="19">
        <v>11</v>
      </c>
      <c r="G5636" s="18">
        <v>0.2</v>
      </c>
      <c r="H5636">
        <f>F5636*VLOOKUP(B5636,產品!$A$2:$H$61,7,FALSE)*(1-銷售總表!G5636)</f>
        <v>132000</v>
      </c>
      <c r="I5636" s="35">
        <f>H5636-F5636*VLOOKUP(銷售總表!B5636,產品!$A$2:$H$61,8,FALSE)</f>
        <v>24750</v>
      </c>
      <c r="J5636" s="20">
        <f t="shared" si="88"/>
        <v>0.1875</v>
      </c>
    </row>
    <row r="5637" spans="1:10" x14ac:dyDescent="0.3">
      <c r="A5637" s="33">
        <v>5636</v>
      </c>
      <c r="B5637" s="4">
        <v>20</v>
      </c>
      <c r="C5637" s="15">
        <v>135</v>
      </c>
      <c r="D5637" s="16">
        <v>1</v>
      </c>
      <c r="E5637" s="22">
        <v>44886</v>
      </c>
      <c r="F5637" s="19">
        <v>50</v>
      </c>
      <c r="G5637" s="18">
        <v>0.2</v>
      </c>
      <c r="H5637">
        <f>F5637*VLOOKUP(B5637,產品!$A$2:$H$61,7,FALSE)*(1-銷售總表!G5637)</f>
        <v>72000</v>
      </c>
      <c r="I5637" s="35">
        <f>H5637-F5637*VLOOKUP(銷售總表!B5637,產品!$A$2:$H$61,8,FALSE)</f>
        <v>36000</v>
      </c>
      <c r="J5637" s="20">
        <f t="shared" si="88"/>
        <v>0.5</v>
      </c>
    </row>
    <row r="5638" spans="1:10" x14ac:dyDescent="0.3">
      <c r="A5638" s="33">
        <v>5637</v>
      </c>
      <c r="B5638" s="4">
        <v>14</v>
      </c>
      <c r="C5638" s="15">
        <v>279</v>
      </c>
      <c r="D5638" s="16">
        <v>2</v>
      </c>
      <c r="E5638" s="22">
        <v>44886</v>
      </c>
      <c r="F5638" s="19">
        <v>60</v>
      </c>
      <c r="G5638" s="18">
        <v>0.17</v>
      </c>
      <c r="H5638">
        <f>F5638*VLOOKUP(B5638,產品!$A$2:$H$61,7,FALSE)*(1-銷售總表!G5638)</f>
        <v>89640</v>
      </c>
      <c r="I5638" s="35">
        <f>H5638-F5638*VLOOKUP(銷售總表!B5638,產品!$A$2:$H$61,8,FALSE)</f>
        <v>46440</v>
      </c>
      <c r="J5638" s="20">
        <f t="shared" si="88"/>
        <v>0.51807228915662651</v>
      </c>
    </row>
    <row r="5639" spans="1:10" x14ac:dyDescent="0.3">
      <c r="A5639" s="33">
        <v>5638</v>
      </c>
      <c r="B5639" s="4">
        <v>28</v>
      </c>
      <c r="C5639" s="15">
        <v>283</v>
      </c>
      <c r="D5639" s="16">
        <v>7</v>
      </c>
      <c r="E5639" s="22">
        <v>44887</v>
      </c>
      <c r="F5639" s="19">
        <v>3</v>
      </c>
      <c r="G5639" s="18">
        <v>0.1</v>
      </c>
      <c r="H5639">
        <f>F5639*VLOOKUP(B5639,產品!$A$2:$H$61,7,FALSE)*(1-銷售總表!G5639)</f>
        <v>20250</v>
      </c>
      <c r="I5639" s="35">
        <f>H5639-F5639*VLOOKUP(銷售總表!B5639,產品!$A$2:$H$61,8,FALSE)</f>
        <v>6750</v>
      </c>
      <c r="J5639" s="20">
        <f t="shared" si="88"/>
        <v>0.33333333333333331</v>
      </c>
    </row>
    <row r="5640" spans="1:10" x14ac:dyDescent="0.3">
      <c r="A5640" s="33">
        <v>5639</v>
      </c>
      <c r="B5640" s="4">
        <v>29</v>
      </c>
      <c r="C5640" s="15">
        <v>259</v>
      </c>
      <c r="D5640" s="16">
        <v>4</v>
      </c>
      <c r="E5640" s="22">
        <v>44887</v>
      </c>
      <c r="F5640" s="19">
        <v>3</v>
      </c>
      <c r="G5640" s="18">
        <v>0.2</v>
      </c>
      <c r="H5640">
        <f>F5640*VLOOKUP(B5640,產品!$A$2:$H$61,7,FALSE)*(1-銷售總表!G5640)</f>
        <v>14400</v>
      </c>
      <c r="I5640" s="35">
        <f>H5640-F5640*VLOOKUP(銷售總表!B5640,產品!$A$2:$H$61,8,FALSE)</f>
        <v>3600</v>
      </c>
      <c r="J5640" s="20">
        <f t="shared" si="88"/>
        <v>0.25</v>
      </c>
    </row>
    <row r="5641" spans="1:10" x14ac:dyDescent="0.3">
      <c r="A5641" s="33">
        <v>5640</v>
      </c>
      <c r="B5641" s="4">
        <v>38</v>
      </c>
      <c r="C5641" s="15">
        <v>118</v>
      </c>
      <c r="D5641" s="16">
        <v>4</v>
      </c>
      <c r="E5641" s="22">
        <v>44887</v>
      </c>
      <c r="F5641" s="19">
        <v>4</v>
      </c>
      <c r="G5641" s="18">
        <v>7.0000000000000007E-2</v>
      </c>
      <c r="H5641">
        <f>F5641*VLOOKUP(B5641,產品!$A$2:$H$61,7,FALSE)*(1-銷售總表!G5641)</f>
        <v>55799.999999999993</v>
      </c>
      <c r="I5641" s="35">
        <f>H5641-F5641*VLOOKUP(銷售總表!B5641,產品!$A$2:$H$61,8,FALSE)</f>
        <v>16799.999999999993</v>
      </c>
      <c r="J5641" s="20">
        <f t="shared" si="88"/>
        <v>0.3010752688172042</v>
      </c>
    </row>
    <row r="5642" spans="1:10" x14ac:dyDescent="0.3">
      <c r="A5642" s="33">
        <v>5641</v>
      </c>
      <c r="B5642" s="4">
        <v>57</v>
      </c>
      <c r="C5642" s="15">
        <v>1</v>
      </c>
      <c r="D5642" s="16">
        <v>8</v>
      </c>
      <c r="E5642" s="22">
        <v>44887</v>
      </c>
      <c r="F5642" s="19">
        <v>4</v>
      </c>
      <c r="G5642" s="18">
        <v>0.13</v>
      </c>
      <c r="H5642">
        <f>F5642*VLOOKUP(B5642,產品!$A$2:$H$61,7,FALSE)*(1-銷售總表!G5642)</f>
        <v>62640</v>
      </c>
      <c r="I5642" s="35">
        <f>H5642-F5642*VLOOKUP(銷售總表!B5642,產品!$A$2:$H$61,8,FALSE)</f>
        <v>12240</v>
      </c>
      <c r="J5642" s="20">
        <f t="shared" si="88"/>
        <v>0.19540229885057472</v>
      </c>
    </row>
    <row r="5643" spans="1:10" x14ac:dyDescent="0.3">
      <c r="A5643" s="33">
        <v>5642</v>
      </c>
      <c r="B5643" s="4">
        <v>11</v>
      </c>
      <c r="C5643" s="15">
        <v>8</v>
      </c>
      <c r="D5643" s="16">
        <v>1</v>
      </c>
      <c r="E5643" s="22">
        <v>44887</v>
      </c>
      <c r="F5643" s="19">
        <v>70</v>
      </c>
      <c r="G5643" s="18">
        <v>0.1</v>
      </c>
      <c r="H5643">
        <f>F5643*VLOOKUP(B5643,產品!$A$2:$H$61,7,FALSE)*(1-銷售總表!G5643)</f>
        <v>63000</v>
      </c>
      <c r="I5643" s="35">
        <f>H5643-F5643*VLOOKUP(銷售總表!B5643,產品!$A$2:$H$61,8,FALSE)</f>
        <v>35000</v>
      </c>
      <c r="J5643" s="20">
        <f t="shared" si="88"/>
        <v>0.55555555555555558</v>
      </c>
    </row>
    <row r="5644" spans="1:10" x14ac:dyDescent="0.3">
      <c r="A5644" s="33">
        <v>5643</v>
      </c>
      <c r="B5644" s="4">
        <v>57</v>
      </c>
      <c r="C5644" s="15">
        <v>287</v>
      </c>
      <c r="D5644" s="16">
        <v>5</v>
      </c>
      <c r="E5644" s="22">
        <v>44888</v>
      </c>
      <c r="F5644" s="19">
        <v>4</v>
      </c>
      <c r="G5644" s="18">
        <v>0.05</v>
      </c>
      <c r="H5644">
        <f>F5644*VLOOKUP(B5644,產品!$A$2:$H$61,7,FALSE)*(1-銷售總表!G5644)</f>
        <v>68400</v>
      </c>
      <c r="I5644" s="35">
        <f>H5644-F5644*VLOOKUP(銷售總表!B5644,產品!$A$2:$H$61,8,FALSE)</f>
        <v>18000</v>
      </c>
      <c r="J5644" s="20">
        <f t="shared" si="88"/>
        <v>0.26315789473684209</v>
      </c>
    </row>
    <row r="5645" spans="1:10" x14ac:dyDescent="0.3">
      <c r="A5645" s="33">
        <v>5644</v>
      </c>
      <c r="B5645" s="4">
        <v>44</v>
      </c>
      <c r="C5645" s="15">
        <v>138</v>
      </c>
      <c r="D5645" s="16">
        <v>7</v>
      </c>
      <c r="E5645" s="23">
        <v>44888</v>
      </c>
      <c r="F5645">
        <v>5</v>
      </c>
      <c r="G5645" s="20">
        <v>0.15</v>
      </c>
      <c r="H5645">
        <f>F5645*VLOOKUP(B5645,產品!$A$2:$H$61,7,FALSE)*(1-銷售總表!G5645)</f>
        <v>85000</v>
      </c>
      <c r="I5645" s="35">
        <f>H5645-F5645*VLOOKUP(銷售總表!B5645,產品!$A$2:$H$61,8,FALSE)</f>
        <v>20000</v>
      </c>
      <c r="J5645" s="20">
        <f t="shared" si="88"/>
        <v>0.23529411764705882</v>
      </c>
    </row>
    <row r="5646" spans="1:10" x14ac:dyDescent="0.3">
      <c r="A5646" s="33">
        <v>5645</v>
      </c>
      <c r="B5646" s="4">
        <v>25</v>
      </c>
      <c r="C5646" s="15">
        <v>10</v>
      </c>
      <c r="D5646" s="16">
        <v>9</v>
      </c>
      <c r="E5646" s="22">
        <v>44888</v>
      </c>
      <c r="F5646" s="19">
        <v>6</v>
      </c>
      <c r="G5646" s="18">
        <v>0.12</v>
      </c>
      <c r="H5646">
        <f>F5646*VLOOKUP(B5646,產品!$A$2:$H$61,7,FALSE)*(1-銷售總表!G5646)</f>
        <v>31680</v>
      </c>
      <c r="I5646" s="35">
        <f>H5646-F5646*VLOOKUP(銷售總表!B5646,產品!$A$2:$H$61,8,FALSE)</f>
        <v>10080</v>
      </c>
      <c r="J5646" s="20">
        <f t="shared" si="88"/>
        <v>0.31818181818181818</v>
      </c>
    </row>
    <row r="5647" spans="1:10" x14ac:dyDescent="0.3">
      <c r="A5647" s="33">
        <v>5646</v>
      </c>
      <c r="B5647" s="4">
        <v>11</v>
      </c>
      <c r="C5647" s="15">
        <v>257</v>
      </c>
      <c r="D5647" s="16">
        <v>3</v>
      </c>
      <c r="E5647" s="22">
        <v>44888</v>
      </c>
      <c r="F5647" s="19">
        <v>12</v>
      </c>
      <c r="G5647" s="18">
        <v>7.0000000000000007E-2</v>
      </c>
      <c r="H5647">
        <f>F5647*VLOOKUP(B5647,產品!$A$2:$H$61,7,FALSE)*(1-銷售總表!G5647)</f>
        <v>11160</v>
      </c>
      <c r="I5647" s="35">
        <f>H5647-F5647*VLOOKUP(銷售總表!B5647,產品!$A$2:$H$61,8,FALSE)</f>
        <v>6360</v>
      </c>
      <c r="J5647" s="20">
        <f t="shared" si="88"/>
        <v>0.56989247311827962</v>
      </c>
    </row>
    <row r="5648" spans="1:10" x14ac:dyDescent="0.3">
      <c r="A5648" s="33">
        <v>5647</v>
      </c>
      <c r="B5648" s="4">
        <v>12</v>
      </c>
      <c r="C5648" s="15">
        <v>276</v>
      </c>
      <c r="D5648" s="16">
        <v>2</v>
      </c>
      <c r="E5648" s="22">
        <v>44888</v>
      </c>
      <c r="F5648" s="19">
        <v>12</v>
      </c>
      <c r="G5648" s="18">
        <v>0.11</v>
      </c>
      <c r="H5648">
        <f>F5648*VLOOKUP(B5648,產品!$A$2:$H$61,7,FALSE)*(1-銷售總表!G5648)</f>
        <v>10680</v>
      </c>
      <c r="I5648" s="35">
        <f>H5648-F5648*VLOOKUP(銷售總表!B5648,產品!$A$2:$H$61,8,FALSE)</f>
        <v>5880</v>
      </c>
      <c r="J5648" s="20">
        <f t="shared" si="88"/>
        <v>0.550561797752809</v>
      </c>
    </row>
    <row r="5649" spans="1:10" x14ac:dyDescent="0.3">
      <c r="A5649" s="33">
        <v>5648</v>
      </c>
      <c r="B5649" s="4">
        <v>12</v>
      </c>
      <c r="C5649" s="15">
        <v>138</v>
      </c>
      <c r="D5649" s="16">
        <v>9</v>
      </c>
      <c r="E5649" s="22">
        <v>44888</v>
      </c>
      <c r="F5649" s="19">
        <v>15</v>
      </c>
      <c r="G5649" s="18">
        <v>0.2</v>
      </c>
      <c r="H5649">
        <f>F5649*VLOOKUP(B5649,產品!$A$2:$H$61,7,FALSE)*(1-銷售總表!G5649)</f>
        <v>12000</v>
      </c>
      <c r="I5649" s="35">
        <f>H5649-F5649*VLOOKUP(銷售總表!B5649,產品!$A$2:$H$61,8,FALSE)</f>
        <v>6000</v>
      </c>
      <c r="J5649" s="20">
        <f t="shared" si="88"/>
        <v>0.5</v>
      </c>
    </row>
    <row r="5650" spans="1:10" x14ac:dyDescent="0.3">
      <c r="A5650" s="33">
        <v>5649</v>
      </c>
      <c r="B5650" s="4">
        <v>10</v>
      </c>
      <c r="C5650" s="15">
        <v>280</v>
      </c>
      <c r="D5650" s="16">
        <v>10</v>
      </c>
      <c r="E5650" s="22">
        <v>44888</v>
      </c>
      <c r="F5650" s="19">
        <v>20</v>
      </c>
      <c r="G5650" s="18">
        <v>0.15</v>
      </c>
      <c r="H5650">
        <f>F5650*VLOOKUP(B5650,產品!$A$2:$H$61,7,FALSE)*(1-銷售總表!G5650)</f>
        <v>17000</v>
      </c>
      <c r="I5650" s="35">
        <f>H5650-F5650*VLOOKUP(銷售總表!B5650,產品!$A$2:$H$61,8,FALSE)</f>
        <v>9000</v>
      </c>
      <c r="J5650" s="20">
        <f t="shared" si="88"/>
        <v>0.52941176470588236</v>
      </c>
    </row>
    <row r="5651" spans="1:10" x14ac:dyDescent="0.3">
      <c r="A5651" s="33">
        <v>5650</v>
      </c>
      <c r="B5651" s="4">
        <v>7</v>
      </c>
      <c r="C5651" s="15">
        <v>6</v>
      </c>
      <c r="D5651" s="16">
        <v>4</v>
      </c>
      <c r="E5651" s="22">
        <v>44888</v>
      </c>
      <c r="F5651" s="19">
        <v>35</v>
      </c>
      <c r="G5651" s="18">
        <v>0.16</v>
      </c>
      <c r="H5651">
        <f>F5651*VLOOKUP(B5651,產品!$A$2:$H$61,7,FALSE)*(1-銷售總表!G5651)</f>
        <v>29400</v>
      </c>
      <c r="I5651" s="35">
        <f>H5651-F5651*VLOOKUP(銷售總表!B5651,產品!$A$2:$H$61,8,FALSE)</f>
        <v>15400</v>
      </c>
      <c r="J5651" s="20">
        <f t="shared" si="88"/>
        <v>0.52380952380952384</v>
      </c>
    </row>
    <row r="5652" spans="1:10" x14ac:dyDescent="0.3">
      <c r="A5652" s="33">
        <v>5651</v>
      </c>
      <c r="B5652" s="4">
        <v>7</v>
      </c>
      <c r="C5652" s="15">
        <v>280</v>
      </c>
      <c r="D5652" s="16">
        <v>10</v>
      </c>
      <c r="E5652" s="22">
        <v>44888</v>
      </c>
      <c r="F5652" s="19">
        <v>60</v>
      </c>
      <c r="G5652" s="18">
        <v>0.15</v>
      </c>
      <c r="H5652">
        <f>F5652*VLOOKUP(B5652,產品!$A$2:$H$61,7,FALSE)*(1-銷售總表!G5652)</f>
        <v>51000</v>
      </c>
      <c r="I5652" s="35">
        <f>H5652-F5652*VLOOKUP(銷售總表!B5652,產品!$A$2:$H$61,8,FALSE)</f>
        <v>27000</v>
      </c>
      <c r="J5652" s="20">
        <f t="shared" si="88"/>
        <v>0.52941176470588236</v>
      </c>
    </row>
    <row r="5653" spans="1:10" x14ac:dyDescent="0.3">
      <c r="A5653" s="33">
        <v>5652</v>
      </c>
      <c r="B5653" s="4">
        <v>16</v>
      </c>
      <c r="C5653" s="15">
        <v>273</v>
      </c>
      <c r="D5653" s="16">
        <v>8</v>
      </c>
      <c r="E5653" s="22">
        <v>44888</v>
      </c>
      <c r="F5653" s="19">
        <v>125</v>
      </c>
      <c r="G5653" s="18">
        <v>0.15</v>
      </c>
      <c r="H5653">
        <f>F5653*VLOOKUP(B5653,產品!$A$2:$H$61,7,FALSE)*(1-銷售總表!G5653)</f>
        <v>191250</v>
      </c>
      <c r="I5653" s="35">
        <f>H5653-F5653*VLOOKUP(銷售總表!B5653,產品!$A$2:$H$61,8,FALSE)</f>
        <v>101250</v>
      </c>
      <c r="J5653" s="20">
        <f t="shared" si="88"/>
        <v>0.52941176470588236</v>
      </c>
    </row>
    <row r="5654" spans="1:10" x14ac:dyDescent="0.3">
      <c r="A5654" s="33">
        <v>5653</v>
      </c>
      <c r="B5654" s="4">
        <v>37</v>
      </c>
      <c r="C5654" s="15">
        <v>11</v>
      </c>
      <c r="D5654" s="16">
        <v>8</v>
      </c>
      <c r="E5654" s="22">
        <v>44889</v>
      </c>
      <c r="F5654" s="19">
        <v>6</v>
      </c>
      <c r="G5654" s="18">
        <v>0.13</v>
      </c>
      <c r="H5654">
        <f>F5654*VLOOKUP(B5654,產品!$A$2:$H$61,7,FALSE)*(1-銷售總表!G5654)</f>
        <v>62640</v>
      </c>
      <c r="I5654" s="35">
        <f>H5654-F5654*VLOOKUP(銷售總表!B5654,產品!$A$2:$H$61,8,FALSE)</f>
        <v>15840</v>
      </c>
      <c r="J5654" s="20">
        <f t="shared" si="88"/>
        <v>0.25287356321839083</v>
      </c>
    </row>
    <row r="5655" spans="1:10" x14ac:dyDescent="0.3">
      <c r="A5655" s="33">
        <v>5654</v>
      </c>
      <c r="B5655" s="4">
        <v>9</v>
      </c>
      <c r="C5655" s="15">
        <v>280</v>
      </c>
      <c r="D5655" s="16">
        <v>9</v>
      </c>
      <c r="E5655" s="22">
        <v>44889</v>
      </c>
      <c r="F5655" s="19">
        <v>11</v>
      </c>
      <c r="G5655" s="18">
        <v>0.08</v>
      </c>
      <c r="H5655">
        <f>F5655*VLOOKUP(B5655,產品!$A$2:$H$61,7,FALSE)*(1-銷售總表!G5655)</f>
        <v>10120</v>
      </c>
      <c r="I5655" s="35">
        <f>H5655-F5655*VLOOKUP(銷售總表!B5655,產品!$A$2:$H$61,8,FALSE)</f>
        <v>5720</v>
      </c>
      <c r="J5655" s="20">
        <f t="shared" si="88"/>
        <v>0.56521739130434778</v>
      </c>
    </row>
    <row r="5656" spans="1:10" x14ac:dyDescent="0.3">
      <c r="A5656" s="33">
        <v>5655</v>
      </c>
      <c r="B5656" s="4">
        <v>21</v>
      </c>
      <c r="C5656" s="15">
        <v>291</v>
      </c>
      <c r="D5656" s="16">
        <v>7</v>
      </c>
      <c r="E5656" s="22">
        <v>44889</v>
      </c>
      <c r="F5656" s="19">
        <v>20</v>
      </c>
      <c r="G5656" s="18">
        <v>0.2</v>
      </c>
      <c r="H5656">
        <f>F5656*VLOOKUP(B5656,產品!$A$2:$H$61,7,FALSE)*(1-銷售總表!G5656)</f>
        <v>28800</v>
      </c>
      <c r="I5656" s="35">
        <f>H5656-F5656*VLOOKUP(銷售總表!B5656,產品!$A$2:$H$61,8,FALSE)</f>
        <v>14400</v>
      </c>
      <c r="J5656" s="20">
        <f t="shared" si="88"/>
        <v>0.5</v>
      </c>
    </row>
    <row r="5657" spans="1:10" x14ac:dyDescent="0.3">
      <c r="A5657" s="33">
        <v>5656</v>
      </c>
      <c r="B5657" s="4">
        <v>14</v>
      </c>
      <c r="C5657" s="15">
        <v>3</v>
      </c>
      <c r="D5657" s="16">
        <v>4</v>
      </c>
      <c r="E5657" s="22">
        <v>44889</v>
      </c>
      <c r="F5657" s="19">
        <v>45</v>
      </c>
      <c r="G5657" s="18">
        <v>0.16</v>
      </c>
      <c r="H5657">
        <f>F5657*VLOOKUP(B5657,產品!$A$2:$H$61,7,FALSE)*(1-銷售總表!G5657)</f>
        <v>68040</v>
      </c>
      <c r="I5657" s="35">
        <f>H5657-F5657*VLOOKUP(銷售總表!B5657,產品!$A$2:$H$61,8,FALSE)</f>
        <v>35640</v>
      </c>
      <c r="J5657" s="20">
        <f t="shared" si="88"/>
        <v>0.52380952380952384</v>
      </c>
    </row>
    <row r="5658" spans="1:10" x14ac:dyDescent="0.3">
      <c r="A5658" s="33">
        <v>5657</v>
      </c>
      <c r="B5658" s="4">
        <v>8</v>
      </c>
      <c r="C5658" s="15">
        <v>125</v>
      </c>
      <c r="D5658" s="16">
        <v>9</v>
      </c>
      <c r="E5658" s="23">
        <v>44889</v>
      </c>
      <c r="F5658">
        <v>120</v>
      </c>
      <c r="G5658" s="20">
        <v>0.13</v>
      </c>
      <c r="H5658">
        <f>F5658*VLOOKUP(B5658,產品!$A$2:$H$61,7,FALSE)*(1-銷售總表!G5658)</f>
        <v>104400</v>
      </c>
      <c r="I5658" s="35">
        <f>H5658-F5658*VLOOKUP(銷售總表!B5658,產品!$A$2:$H$61,8,FALSE)</f>
        <v>56400</v>
      </c>
      <c r="J5658" s="20">
        <f t="shared" si="88"/>
        <v>0.54022988505747127</v>
      </c>
    </row>
    <row r="5659" spans="1:10" x14ac:dyDescent="0.3">
      <c r="A5659" s="33">
        <v>5658</v>
      </c>
      <c r="B5659" s="4">
        <v>27</v>
      </c>
      <c r="C5659" s="15">
        <v>11</v>
      </c>
      <c r="D5659" s="16">
        <v>5</v>
      </c>
      <c r="E5659" s="22">
        <v>44890</v>
      </c>
      <c r="F5659" s="19">
        <v>2</v>
      </c>
      <c r="G5659" s="18">
        <v>0.14000000000000001</v>
      </c>
      <c r="H5659">
        <f>F5659*VLOOKUP(B5659,產品!$A$2:$H$61,7,FALSE)*(1-銷售總表!G5659)</f>
        <v>12040</v>
      </c>
      <c r="I5659" s="35">
        <f>H5659-F5659*VLOOKUP(銷售總表!B5659,產品!$A$2:$H$61,8,FALSE)</f>
        <v>3640</v>
      </c>
      <c r="J5659" s="20">
        <f t="shared" si="88"/>
        <v>0.30232558139534882</v>
      </c>
    </row>
    <row r="5660" spans="1:10" x14ac:dyDescent="0.3">
      <c r="A5660" s="33">
        <v>5659</v>
      </c>
      <c r="B5660" s="4">
        <v>49</v>
      </c>
      <c r="C5660" s="15">
        <v>5</v>
      </c>
      <c r="D5660" s="16">
        <v>10</v>
      </c>
      <c r="E5660" s="22">
        <v>44890</v>
      </c>
      <c r="F5660" s="19">
        <v>3</v>
      </c>
      <c r="G5660" s="18">
        <v>0.15</v>
      </c>
      <c r="H5660">
        <f>F5660*VLOOKUP(B5660,產品!$A$2:$H$61,7,FALSE)*(1-銷售總表!G5660)</f>
        <v>38250</v>
      </c>
      <c r="I5660" s="35">
        <f>H5660-F5660*VLOOKUP(銷售總表!B5660,產品!$A$2:$H$61,8,FALSE)</f>
        <v>6750</v>
      </c>
      <c r="J5660" s="20">
        <f t="shared" si="88"/>
        <v>0.17647058823529413</v>
      </c>
    </row>
    <row r="5661" spans="1:10" x14ac:dyDescent="0.3">
      <c r="A5661" s="33">
        <v>5660</v>
      </c>
      <c r="B5661" s="4">
        <v>44</v>
      </c>
      <c r="C5661" s="15">
        <v>140</v>
      </c>
      <c r="D5661" s="16">
        <v>2</v>
      </c>
      <c r="E5661" s="22">
        <v>44890</v>
      </c>
      <c r="F5661" s="19">
        <v>4</v>
      </c>
      <c r="G5661" s="18">
        <v>0.11</v>
      </c>
      <c r="H5661">
        <f>F5661*VLOOKUP(B5661,產品!$A$2:$H$61,7,FALSE)*(1-銷售總表!G5661)</f>
        <v>71200</v>
      </c>
      <c r="I5661" s="35">
        <f>H5661-F5661*VLOOKUP(銷售總表!B5661,產品!$A$2:$H$61,8,FALSE)</f>
        <v>19200</v>
      </c>
      <c r="J5661" s="20">
        <f t="shared" si="88"/>
        <v>0.2696629213483146</v>
      </c>
    </row>
    <row r="5662" spans="1:10" x14ac:dyDescent="0.3">
      <c r="A5662" s="33">
        <v>5661</v>
      </c>
      <c r="B5662" s="4">
        <v>38</v>
      </c>
      <c r="C5662" s="15">
        <v>6</v>
      </c>
      <c r="D5662" s="16">
        <v>8</v>
      </c>
      <c r="E5662" s="22">
        <v>44890</v>
      </c>
      <c r="F5662" s="19">
        <v>5</v>
      </c>
      <c r="G5662" s="18">
        <v>0.19</v>
      </c>
      <c r="H5662">
        <f>F5662*VLOOKUP(B5662,產品!$A$2:$H$61,7,FALSE)*(1-銷售總表!G5662)</f>
        <v>60750.000000000007</v>
      </c>
      <c r="I5662" s="35">
        <f>H5662-F5662*VLOOKUP(銷售總表!B5662,產品!$A$2:$H$61,8,FALSE)</f>
        <v>12000.000000000007</v>
      </c>
      <c r="J5662" s="20">
        <f t="shared" si="88"/>
        <v>0.19753086419753096</v>
      </c>
    </row>
    <row r="5663" spans="1:10" x14ac:dyDescent="0.3">
      <c r="A5663" s="33">
        <v>5662</v>
      </c>
      <c r="B5663" s="4">
        <v>60</v>
      </c>
      <c r="C5663" s="15">
        <v>4</v>
      </c>
      <c r="D5663" s="16">
        <v>9</v>
      </c>
      <c r="E5663" s="22">
        <v>44890</v>
      </c>
      <c r="F5663" s="19">
        <v>6</v>
      </c>
      <c r="G5663" s="18">
        <v>0.05</v>
      </c>
      <c r="H5663">
        <f>F5663*VLOOKUP(B5663,產品!$A$2:$H$61,7,FALSE)*(1-銷售總表!G5663)</f>
        <v>142500</v>
      </c>
      <c r="I5663" s="35">
        <f>H5663-F5663*VLOOKUP(銷售總表!B5663,產品!$A$2:$H$61,8,FALSE)</f>
        <v>37500</v>
      </c>
      <c r="J5663" s="20">
        <f t="shared" si="88"/>
        <v>0.26315789473684209</v>
      </c>
    </row>
    <row r="5664" spans="1:10" x14ac:dyDescent="0.3">
      <c r="A5664" s="33">
        <v>5663</v>
      </c>
      <c r="B5664" s="4">
        <v>50</v>
      </c>
      <c r="C5664" s="15">
        <v>121</v>
      </c>
      <c r="D5664" s="16">
        <v>3</v>
      </c>
      <c r="E5664" s="22">
        <v>44890</v>
      </c>
      <c r="F5664" s="19">
        <v>7</v>
      </c>
      <c r="G5664" s="18">
        <v>0.19</v>
      </c>
      <c r="H5664">
        <f>F5664*VLOOKUP(B5664,產品!$A$2:$H$61,7,FALSE)*(1-銷售總表!G5664)</f>
        <v>102060</v>
      </c>
      <c r="I5664" s="35">
        <f>H5664-F5664*VLOOKUP(銷售總表!B5664,產品!$A$2:$H$61,8,FALSE)</f>
        <v>13860</v>
      </c>
      <c r="J5664" s="20">
        <f t="shared" si="88"/>
        <v>0.13580246913580246</v>
      </c>
    </row>
    <row r="5665" spans="1:10" x14ac:dyDescent="0.3">
      <c r="A5665" s="33">
        <v>5664</v>
      </c>
      <c r="B5665" s="4">
        <v>48</v>
      </c>
      <c r="C5665" s="15">
        <v>289</v>
      </c>
      <c r="D5665" s="16">
        <v>10</v>
      </c>
      <c r="E5665" s="22">
        <v>44890</v>
      </c>
      <c r="F5665" s="19">
        <v>10</v>
      </c>
      <c r="G5665" s="18">
        <v>0.14000000000000001</v>
      </c>
      <c r="H5665">
        <f>F5665*VLOOKUP(B5665,產品!$A$2:$H$61,7,FALSE)*(1-銷售總表!G5665)</f>
        <v>189200</v>
      </c>
      <c r="I5665" s="35">
        <f>H5665-F5665*VLOOKUP(銷售總表!B5665,產品!$A$2:$H$61,8,FALSE)</f>
        <v>46200</v>
      </c>
      <c r="J5665" s="20">
        <f t="shared" si="88"/>
        <v>0.2441860465116279</v>
      </c>
    </row>
    <row r="5666" spans="1:10" x14ac:dyDescent="0.3">
      <c r="A5666" s="33">
        <v>5665</v>
      </c>
      <c r="B5666" s="4">
        <v>27</v>
      </c>
      <c r="C5666" s="15">
        <v>260</v>
      </c>
      <c r="D5666" s="16">
        <v>2</v>
      </c>
      <c r="E5666" s="22">
        <v>44890</v>
      </c>
      <c r="F5666" s="19">
        <v>17</v>
      </c>
      <c r="G5666" s="18">
        <v>0.14000000000000001</v>
      </c>
      <c r="H5666">
        <f>F5666*VLOOKUP(B5666,產品!$A$2:$H$61,7,FALSE)*(1-銷售總表!G5666)</f>
        <v>102340</v>
      </c>
      <c r="I5666" s="35">
        <f>H5666-F5666*VLOOKUP(銷售總表!B5666,產品!$A$2:$H$61,8,FALSE)</f>
        <v>30940</v>
      </c>
      <c r="J5666" s="20">
        <f t="shared" si="88"/>
        <v>0.30232558139534882</v>
      </c>
    </row>
    <row r="5667" spans="1:10" x14ac:dyDescent="0.3">
      <c r="A5667" s="33">
        <v>5666</v>
      </c>
      <c r="B5667" s="4">
        <v>10</v>
      </c>
      <c r="C5667" s="15">
        <v>280</v>
      </c>
      <c r="D5667" s="16">
        <v>10</v>
      </c>
      <c r="E5667" s="22">
        <v>44890</v>
      </c>
      <c r="F5667" s="19">
        <v>40</v>
      </c>
      <c r="G5667" s="18">
        <v>0.12</v>
      </c>
      <c r="H5667">
        <f>F5667*VLOOKUP(B5667,產品!$A$2:$H$61,7,FALSE)*(1-銷售總表!G5667)</f>
        <v>35200</v>
      </c>
      <c r="I5667" s="35">
        <f>H5667-F5667*VLOOKUP(銷售總表!B5667,產品!$A$2:$H$61,8,FALSE)</f>
        <v>19200</v>
      </c>
      <c r="J5667" s="20">
        <f t="shared" si="88"/>
        <v>0.54545454545454541</v>
      </c>
    </row>
    <row r="5668" spans="1:10" x14ac:dyDescent="0.3">
      <c r="A5668" s="33">
        <v>5667</v>
      </c>
      <c r="B5668" s="4">
        <v>25</v>
      </c>
      <c r="C5668" s="15">
        <v>9</v>
      </c>
      <c r="D5668" s="16">
        <v>8</v>
      </c>
      <c r="E5668" s="22">
        <v>44891</v>
      </c>
      <c r="F5668" s="19">
        <v>3</v>
      </c>
      <c r="G5668" s="18">
        <v>0.16</v>
      </c>
      <c r="H5668">
        <f>F5668*VLOOKUP(B5668,產品!$A$2:$H$61,7,FALSE)*(1-銷售總表!G5668)</f>
        <v>15120</v>
      </c>
      <c r="I5668" s="35">
        <f>H5668-F5668*VLOOKUP(銷售總表!B5668,產品!$A$2:$H$61,8,FALSE)</f>
        <v>4320</v>
      </c>
      <c r="J5668" s="20">
        <f t="shared" si="88"/>
        <v>0.2857142857142857</v>
      </c>
    </row>
    <row r="5669" spans="1:10" x14ac:dyDescent="0.3">
      <c r="A5669" s="33">
        <v>5668</v>
      </c>
      <c r="B5669" s="4">
        <v>31</v>
      </c>
      <c r="C5669" s="15">
        <v>284</v>
      </c>
      <c r="D5669" s="16">
        <v>2</v>
      </c>
      <c r="E5669" s="22">
        <v>44891</v>
      </c>
      <c r="F5669" s="19">
        <v>5</v>
      </c>
      <c r="G5669" s="18">
        <v>0.13</v>
      </c>
      <c r="H5669">
        <f>F5669*VLOOKUP(B5669,產品!$A$2:$H$61,7,FALSE)*(1-銷售總表!G5669)</f>
        <v>30450</v>
      </c>
      <c r="I5669" s="35">
        <f>H5669-F5669*VLOOKUP(銷售總表!B5669,產品!$A$2:$H$61,8,FALSE)</f>
        <v>9450</v>
      </c>
      <c r="J5669" s="20">
        <f t="shared" si="88"/>
        <v>0.31034482758620691</v>
      </c>
    </row>
    <row r="5670" spans="1:10" x14ac:dyDescent="0.3">
      <c r="A5670" s="33">
        <v>5669</v>
      </c>
      <c r="B5670" s="4">
        <v>56</v>
      </c>
      <c r="C5670" s="15">
        <v>271</v>
      </c>
      <c r="D5670" s="16">
        <v>8</v>
      </c>
      <c r="E5670" s="22">
        <v>44891</v>
      </c>
      <c r="F5670" s="19">
        <v>6</v>
      </c>
      <c r="G5670" s="18">
        <v>0.05</v>
      </c>
      <c r="H5670">
        <f>F5670*VLOOKUP(B5670,產品!$A$2:$H$61,7,FALSE)*(1-銷售總表!G5670)</f>
        <v>125400</v>
      </c>
      <c r="I5670" s="35">
        <f>H5670-F5670*VLOOKUP(銷售總表!B5670,產品!$A$2:$H$61,8,FALSE)</f>
        <v>33000.000000000015</v>
      </c>
      <c r="J5670" s="20">
        <f t="shared" si="88"/>
        <v>0.2631578947368422</v>
      </c>
    </row>
    <row r="5671" spans="1:10" x14ac:dyDescent="0.3">
      <c r="A5671" s="33">
        <v>5670</v>
      </c>
      <c r="B5671" s="4">
        <v>42</v>
      </c>
      <c r="C5671" s="15">
        <v>276</v>
      </c>
      <c r="D5671" s="16">
        <v>8</v>
      </c>
      <c r="E5671" s="22">
        <v>44891</v>
      </c>
      <c r="F5671" s="19">
        <v>14</v>
      </c>
      <c r="G5671" s="18">
        <v>7.0000000000000007E-2</v>
      </c>
      <c r="H5671">
        <f>F5671*VLOOKUP(B5671,產品!$A$2:$H$61,7,FALSE)*(1-銷售總表!G5671)</f>
        <v>195300</v>
      </c>
      <c r="I5671" s="35">
        <f>H5671-F5671*VLOOKUP(銷售總表!B5671,產品!$A$2:$H$61,8,FALSE)</f>
        <v>58800</v>
      </c>
      <c r="J5671" s="20">
        <f t="shared" si="88"/>
        <v>0.30107526881720431</v>
      </c>
    </row>
    <row r="5672" spans="1:10" x14ac:dyDescent="0.3">
      <c r="A5672" s="33">
        <v>5671</v>
      </c>
      <c r="B5672" s="4">
        <v>6</v>
      </c>
      <c r="C5672" s="15">
        <v>278</v>
      </c>
      <c r="D5672" s="16">
        <v>6</v>
      </c>
      <c r="E5672" s="22">
        <v>44891</v>
      </c>
      <c r="F5672" s="19">
        <v>40</v>
      </c>
      <c r="G5672" s="18">
        <v>0.1</v>
      </c>
      <c r="H5672">
        <f>F5672*VLOOKUP(B5672,產品!$A$2:$H$61,7,FALSE)*(1-銷售總表!G5672)</f>
        <v>36000</v>
      </c>
      <c r="I5672" s="35">
        <f>H5672-F5672*VLOOKUP(銷售總表!B5672,產品!$A$2:$H$61,8,FALSE)</f>
        <v>20000</v>
      </c>
      <c r="J5672" s="20">
        <f t="shared" si="88"/>
        <v>0.55555555555555558</v>
      </c>
    </row>
    <row r="5673" spans="1:10" x14ac:dyDescent="0.3">
      <c r="A5673" s="33">
        <v>5672</v>
      </c>
      <c r="B5673" s="4">
        <v>17</v>
      </c>
      <c r="C5673" s="15">
        <v>134</v>
      </c>
      <c r="D5673" s="16">
        <v>9</v>
      </c>
      <c r="E5673" s="22">
        <v>44891</v>
      </c>
      <c r="F5673" s="19">
        <v>100</v>
      </c>
      <c r="G5673" s="18">
        <v>0.18</v>
      </c>
      <c r="H5673">
        <f>F5673*VLOOKUP(B5673,產品!$A$2:$H$61,7,FALSE)*(1-銷售總表!G5673)</f>
        <v>147600</v>
      </c>
      <c r="I5673" s="35">
        <f>H5673-F5673*VLOOKUP(銷售總表!B5673,產品!$A$2:$H$61,8,FALSE)</f>
        <v>75600</v>
      </c>
      <c r="J5673" s="20">
        <f t="shared" si="88"/>
        <v>0.51219512195121952</v>
      </c>
    </row>
    <row r="5674" spans="1:10" x14ac:dyDescent="0.3">
      <c r="A5674" s="33">
        <v>5673</v>
      </c>
      <c r="B5674" s="4">
        <v>48</v>
      </c>
      <c r="C5674" s="15">
        <v>114</v>
      </c>
      <c r="D5674" s="16">
        <v>3</v>
      </c>
      <c r="E5674" s="22">
        <v>44892</v>
      </c>
      <c r="F5674" s="19">
        <v>7</v>
      </c>
      <c r="G5674" s="18">
        <v>0.13</v>
      </c>
      <c r="H5674">
        <f>F5674*VLOOKUP(B5674,產品!$A$2:$H$61,7,FALSE)*(1-銷售總表!G5674)</f>
        <v>133980</v>
      </c>
      <c r="I5674" s="35">
        <f>H5674-F5674*VLOOKUP(銷售總表!B5674,產品!$A$2:$H$61,8,FALSE)</f>
        <v>33880</v>
      </c>
      <c r="J5674" s="20">
        <f t="shared" si="88"/>
        <v>0.25287356321839083</v>
      </c>
    </row>
    <row r="5675" spans="1:10" x14ac:dyDescent="0.3">
      <c r="A5675" s="33">
        <v>5674</v>
      </c>
      <c r="B5675" s="4">
        <v>9</v>
      </c>
      <c r="C5675" s="15">
        <v>11</v>
      </c>
      <c r="D5675" s="16">
        <v>8</v>
      </c>
      <c r="E5675" s="22">
        <v>44892</v>
      </c>
      <c r="F5675" s="19">
        <v>10</v>
      </c>
      <c r="G5675" s="18">
        <v>0.13</v>
      </c>
      <c r="H5675">
        <f>F5675*VLOOKUP(B5675,產品!$A$2:$H$61,7,FALSE)*(1-銷售總表!G5675)</f>
        <v>8700</v>
      </c>
      <c r="I5675" s="35">
        <f>H5675-F5675*VLOOKUP(銷售總表!B5675,產品!$A$2:$H$61,8,FALSE)</f>
        <v>4700</v>
      </c>
      <c r="J5675" s="20">
        <f t="shared" si="88"/>
        <v>0.54022988505747127</v>
      </c>
    </row>
    <row r="5676" spans="1:10" x14ac:dyDescent="0.3">
      <c r="A5676" s="33">
        <v>5675</v>
      </c>
      <c r="B5676" s="4">
        <v>31</v>
      </c>
      <c r="C5676" s="15">
        <v>258</v>
      </c>
      <c r="D5676" s="16">
        <v>5</v>
      </c>
      <c r="E5676" s="22">
        <v>44892</v>
      </c>
      <c r="F5676" s="19">
        <v>10</v>
      </c>
      <c r="G5676" s="18">
        <v>0.05</v>
      </c>
      <c r="H5676">
        <f>F5676*VLOOKUP(B5676,產品!$A$2:$H$61,7,FALSE)*(1-銷售總表!G5676)</f>
        <v>66500</v>
      </c>
      <c r="I5676" s="35">
        <f>H5676-F5676*VLOOKUP(銷售總表!B5676,產品!$A$2:$H$61,8,FALSE)</f>
        <v>24500</v>
      </c>
      <c r="J5676" s="20">
        <f t="shared" si="88"/>
        <v>0.36842105263157893</v>
      </c>
    </row>
    <row r="5677" spans="1:10" x14ac:dyDescent="0.3">
      <c r="A5677" s="33">
        <v>5676</v>
      </c>
      <c r="B5677" s="4">
        <v>55</v>
      </c>
      <c r="C5677" s="15">
        <v>2</v>
      </c>
      <c r="D5677" s="16">
        <v>6</v>
      </c>
      <c r="E5677" s="22">
        <v>44892</v>
      </c>
      <c r="F5677" s="19">
        <v>15</v>
      </c>
      <c r="G5677" s="18">
        <v>0.13</v>
      </c>
      <c r="H5677">
        <f>F5677*VLOOKUP(B5677,產品!$A$2:$H$61,7,FALSE)*(1-銷售總表!G5677)</f>
        <v>261000</v>
      </c>
      <c r="I5677" s="35">
        <f>H5677-F5677*VLOOKUP(銷售總表!B5677,產品!$A$2:$H$61,8,FALSE)</f>
        <v>51000</v>
      </c>
      <c r="J5677" s="20">
        <f t="shared" si="88"/>
        <v>0.19540229885057472</v>
      </c>
    </row>
    <row r="5678" spans="1:10" x14ac:dyDescent="0.3">
      <c r="A5678" s="33">
        <v>5677</v>
      </c>
      <c r="B5678" s="4">
        <v>18</v>
      </c>
      <c r="C5678" s="15">
        <v>6</v>
      </c>
      <c r="D5678" s="16">
        <v>7</v>
      </c>
      <c r="E5678" s="22">
        <v>44892</v>
      </c>
      <c r="F5678" s="19">
        <v>45</v>
      </c>
      <c r="G5678" s="18">
        <v>0.09</v>
      </c>
      <c r="H5678">
        <f>F5678*VLOOKUP(B5678,產品!$A$2:$H$61,7,FALSE)*(1-銷售總表!G5678)</f>
        <v>73710</v>
      </c>
      <c r="I5678" s="35">
        <f>H5678-F5678*VLOOKUP(銷售總表!B5678,產品!$A$2:$H$61,8,FALSE)</f>
        <v>41310</v>
      </c>
      <c r="J5678" s="20">
        <f t="shared" si="88"/>
        <v>0.56043956043956045</v>
      </c>
    </row>
    <row r="5679" spans="1:10" x14ac:dyDescent="0.3">
      <c r="A5679" s="33">
        <v>5678</v>
      </c>
      <c r="B5679" s="4">
        <v>60</v>
      </c>
      <c r="C5679" s="15">
        <v>262</v>
      </c>
      <c r="D5679" s="16">
        <v>6</v>
      </c>
      <c r="E5679" s="22">
        <v>44893</v>
      </c>
      <c r="F5679" s="19">
        <v>3</v>
      </c>
      <c r="G5679" s="18">
        <v>0.09</v>
      </c>
      <c r="H5679">
        <f>F5679*VLOOKUP(B5679,產品!$A$2:$H$61,7,FALSE)*(1-銷售總表!G5679)</f>
        <v>68250</v>
      </c>
      <c r="I5679" s="35">
        <f>H5679-F5679*VLOOKUP(銷售總表!B5679,產品!$A$2:$H$61,8,FALSE)</f>
        <v>15750</v>
      </c>
      <c r="J5679" s="20">
        <f t="shared" si="88"/>
        <v>0.23076923076923078</v>
      </c>
    </row>
    <row r="5680" spans="1:10" x14ac:dyDescent="0.3">
      <c r="A5680" s="33">
        <v>5679</v>
      </c>
      <c r="B5680" s="4">
        <v>50</v>
      </c>
      <c r="C5680" s="15">
        <v>135</v>
      </c>
      <c r="D5680" s="16">
        <v>1</v>
      </c>
      <c r="E5680" s="22">
        <v>44893</v>
      </c>
      <c r="F5680" s="19">
        <v>4</v>
      </c>
      <c r="G5680" s="18">
        <v>0.19</v>
      </c>
      <c r="H5680">
        <f>F5680*VLOOKUP(B5680,產品!$A$2:$H$61,7,FALSE)*(1-銷售總表!G5680)</f>
        <v>58320.000000000007</v>
      </c>
      <c r="I5680" s="35">
        <f>H5680-F5680*VLOOKUP(銷售總表!B5680,產品!$A$2:$H$61,8,FALSE)</f>
        <v>7920.0000000000073</v>
      </c>
      <c r="J5680" s="20">
        <f t="shared" si="88"/>
        <v>0.13580246913580257</v>
      </c>
    </row>
    <row r="5681" spans="1:10" x14ac:dyDescent="0.3">
      <c r="A5681" s="33">
        <v>5680</v>
      </c>
      <c r="B5681" s="4">
        <v>28</v>
      </c>
      <c r="C5681" s="15">
        <v>265</v>
      </c>
      <c r="D5681" s="16">
        <v>9</v>
      </c>
      <c r="E5681" s="22">
        <v>44893</v>
      </c>
      <c r="F5681" s="19">
        <v>7</v>
      </c>
      <c r="G5681" s="18">
        <v>0.06</v>
      </c>
      <c r="H5681">
        <f>F5681*VLOOKUP(B5681,產品!$A$2:$H$61,7,FALSE)*(1-銷售總表!G5681)</f>
        <v>49350</v>
      </c>
      <c r="I5681" s="35">
        <f>H5681-F5681*VLOOKUP(銷售總表!B5681,產品!$A$2:$H$61,8,FALSE)</f>
        <v>17850</v>
      </c>
      <c r="J5681" s="20">
        <f t="shared" si="88"/>
        <v>0.36170212765957449</v>
      </c>
    </row>
    <row r="5682" spans="1:10" x14ac:dyDescent="0.3">
      <c r="A5682" s="33">
        <v>5681</v>
      </c>
      <c r="B5682" s="4">
        <v>38</v>
      </c>
      <c r="C5682" s="15">
        <v>121</v>
      </c>
      <c r="D5682" s="16">
        <v>4</v>
      </c>
      <c r="E5682" s="23">
        <v>44893</v>
      </c>
      <c r="F5682">
        <v>9</v>
      </c>
      <c r="G5682" s="20">
        <v>0.06</v>
      </c>
      <c r="H5682">
        <f>F5682*VLOOKUP(B5682,產品!$A$2:$H$61,7,FALSE)*(1-銷售總表!G5682)</f>
        <v>126900</v>
      </c>
      <c r="I5682" s="35">
        <f>H5682-F5682*VLOOKUP(銷售總表!B5682,產品!$A$2:$H$61,8,FALSE)</f>
        <v>39150</v>
      </c>
      <c r="J5682" s="20">
        <f t="shared" si="88"/>
        <v>0.30851063829787234</v>
      </c>
    </row>
    <row r="5683" spans="1:10" x14ac:dyDescent="0.3">
      <c r="A5683" s="33">
        <v>5682</v>
      </c>
      <c r="B5683" s="4">
        <v>33</v>
      </c>
      <c r="C5683" s="15">
        <v>5</v>
      </c>
      <c r="D5683" s="16">
        <v>3</v>
      </c>
      <c r="E5683" s="22">
        <v>44893</v>
      </c>
      <c r="F5683" s="19">
        <v>10</v>
      </c>
      <c r="G5683" s="18">
        <v>0.05</v>
      </c>
      <c r="H5683">
        <f>F5683*VLOOKUP(B5683,產品!$A$2:$H$61,7,FALSE)*(1-銷售總表!G5683)</f>
        <v>71250</v>
      </c>
      <c r="I5683" s="35">
        <f>H5683-F5683*VLOOKUP(銷售總表!B5683,產品!$A$2:$H$61,8,FALSE)</f>
        <v>26250</v>
      </c>
      <c r="J5683" s="20">
        <f t="shared" si="88"/>
        <v>0.36842105263157893</v>
      </c>
    </row>
    <row r="5684" spans="1:10" x14ac:dyDescent="0.3">
      <c r="A5684" s="33">
        <v>5683</v>
      </c>
      <c r="B5684" s="4">
        <v>10</v>
      </c>
      <c r="C5684" s="15">
        <v>126</v>
      </c>
      <c r="D5684" s="16">
        <v>7</v>
      </c>
      <c r="E5684" s="23">
        <v>44893</v>
      </c>
      <c r="F5684">
        <v>10</v>
      </c>
      <c r="G5684" s="20">
        <v>0.05</v>
      </c>
      <c r="H5684">
        <f>F5684*VLOOKUP(B5684,產品!$A$2:$H$61,7,FALSE)*(1-銷售總表!G5684)</f>
        <v>9500</v>
      </c>
      <c r="I5684" s="35">
        <f>H5684-F5684*VLOOKUP(銷售總表!B5684,產品!$A$2:$H$61,8,FALSE)</f>
        <v>5500</v>
      </c>
      <c r="J5684" s="20">
        <f t="shared" si="88"/>
        <v>0.57894736842105265</v>
      </c>
    </row>
    <row r="5685" spans="1:10" x14ac:dyDescent="0.3">
      <c r="A5685" s="33">
        <v>5684</v>
      </c>
      <c r="B5685" s="4">
        <v>30</v>
      </c>
      <c r="C5685" s="15">
        <v>12</v>
      </c>
      <c r="D5685" s="16">
        <v>5</v>
      </c>
      <c r="E5685" s="22">
        <v>44893</v>
      </c>
      <c r="F5685" s="19">
        <v>11</v>
      </c>
      <c r="G5685" s="18">
        <v>0.19</v>
      </c>
      <c r="H5685">
        <f>F5685*VLOOKUP(B5685,產品!$A$2:$H$61,7,FALSE)*(1-銷售總表!G5685)</f>
        <v>57915.000000000007</v>
      </c>
      <c r="I5685" s="35">
        <f>H5685-F5685*VLOOKUP(銷售總表!B5685,產品!$A$2:$H$61,8,FALSE)</f>
        <v>15015.000000000007</v>
      </c>
      <c r="J5685" s="20">
        <f t="shared" si="88"/>
        <v>0.25925925925925936</v>
      </c>
    </row>
    <row r="5686" spans="1:10" x14ac:dyDescent="0.3">
      <c r="A5686" s="33">
        <v>5685</v>
      </c>
      <c r="B5686" s="4">
        <v>13</v>
      </c>
      <c r="C5686" s="15">
        <v>5</v>
      </c>
      <c r="D5686" s="16">
        <v>4</v>
      </c>
      <c r="E5686" s="22">
        <v>44893</v>
      </c>
      <c r="F5686" s="19">
        <v>40</v>
      </c>
      <c r="G5686" s="18">
        <v>0.06</v>
      </c>
      <c r="H5686">
        <f>F5686*VLOOKUP(B5686,產品!$A$2:$H$61,7,FALSE)*(1-銷售總表!G5686)</f>
        <v>67680</v>
      </c>
      <c r="I5686" s="35">
        <f>H5686-F5686*VLOOKUP(銷售總表!B5686,產品!$A$2:$H$61,8,FALSE)</f>
        <v>38880</v>
      </c>
      <c r="J5686" s="20">
        <f t="shared" si="88"/>
        <v>0.57446808510638303</v>
      </c>
    </row>
    <row r="5687" spans="1:10" x14ac:dyDescent="0.3">
      <c r="A5687" s="33">
        <v>5686</v>
      </c>
      <c r="B5687" s="4">
        <v>12</v>
      </c>
      <c r="C5687" s="15">
        <v>7</v>
      </c>
      <c r="D5687" s="16">
        <v>4</v>
      </c>
      <c r="E5687" s="22">
        <v>44893</v>
      </c>
      <c r="F5687" s="19">
        <v>60</v>
      </c>
      <c r="G5687" s="18">
        <v>0.09</v>
      </c>
      <c r="H5687">
        <f>F5687*VLOOKUP(B5687,產品!$A$2:$H$61,7,FALSE)*(1-銷售總表!G5687)</f>
        <v>54600</v>
      </c>
      <c r="I5687" s="35">
        <f>H5687-F5687*VLOOKUP(銷售總表!B5687,產品!$A$2:$H$61,8,FALSE)</f>
        <v>30600</v>
      </c>
      <c r="J5687" s="20">
        <f t="shared" si="88"/>
        <v>0.56043956043956045</v>
      </c>
    </row>
    <row r="5688" spans="1:10" x14ac:dyDescent="0.3">
      <c r="A5688" s="33">
        <v>5687</v>
      </c>
      <c r="B5688" s="4">
        <v>2</v>
      </c>
      <c r="C5688" s="15">
        <v>112</v>
      </c>
      <c r="D5688" s="16">
        <v>9</v>
      </c>
      <c r="E5688" s="22">
        <v>44893</v>
      </c>
      <c r="F5688" s="19">
        <v>135</v>
      </c>
      <c r="G5688" s="18">
        <v>0.1</v>
      </c>
      <c r="H5688">
        <f>F5688*VLOOKUP(B5688,產品!$A$2:$H$61,7,FALSE)*(1-銷售總表!G5688)</f>
        <v>121500</v>
      </c>
      <c r="I5688" s="35">
        <f>H5688-F5688*VLOOKUP(銷售總表!B5688,產品!$A$2:$H$61,8,FALSE)</f>
        <v>67500</v>
      </c>
      <c r="J5688" s="20">
        <f t="shared" si="88"/>
        <v>0.55555555555555558</v>
      </c>
    </row>
    <row r="5689" spans="1:10" x14ac:dyDescent="0.3">
      <c r="A5689" s="33">
        <v>5688</v>
      </c>
      <c r="B5689" s="4">
        <v>36</v>
      </c>
      <c r="C5689" s="15">
        <v>125</v>
      </c>
      <c r="D5689" s="16">
        <v>9</v>
      </c>
      <c r="E5689" s="22">
        <v>44894</v>
      </c>
      <c r="F5689" s="19">
        <v>10</v>
      </c>
      <c r="G5689" s="18">
        <v>0.12</v>
      </c>
      <c r="H5689">
        <f>F5689*VLOOKUP(B5689,產品!$A$2:$H$61,7,FALSE)*(1-銷售總表!G5689)</f>
        <v>79200</v>
      </c>
      <c r="I5689" s="35">
        <f>H5689-F5689*VLOOKUP(銷售總表!B5689,產品!$A$2:$H$61,8,FALSE)</f>
        <v>25200</v>
      </c>
      <c r="J5689" s="20">
        <f t="shared" si="88"/>
        <v>0.31818181818181818</v>
      </c>
    </row>
    <row r="5690" spans="1:10" x14ac:dyDescent="0.3">
      <c r="A5690" s="33">
        <v>5689</v>
      </c>
      <c r="B5690" s="4">
        <v>10</v>
      </c>
      <c r="C5690" s="15">
        <v>6</v>
      </c>
      <c r="D5690" s="16">
        <v>4</v>
      </c>
      <c r="E5690" s="22">
        <v>44894</v>
      </c>
      <c r="F5690" s="19">
        <v>30</v>
      </c>
      <c r="G5690" s="18">
        <v>0.1</v>
      </c>
      <c r="H5690">
        <f>F5690*VLOOKUP(B5690,產品!$A$2:$H$61,7,FALSE)*(1-銷售總表!G5690)</f>
        <v>27000</v>
      </c>
      <c r="I5690" s="35">
        <f>H5690-F5690*VLOOKUP(銷售總表!B5690,產品!$A$2:$H$61,8,FALSE)</f>
        <v>15000</v>
      </c>
      <c r="J5690" s="20">
        <f t="shared" si="88"/>
        <v>0.55555555555555558</v>
      </c>
    </row>
    <row r="5691" spans="1:10" x14ac:dyDescent="0.3">
      <c r="A5691" s="33">
        <v>5690</v>
      </c>
      <c r="B5691" s="4">
        <v>27</v>
      </c>
      <c r="C5691" s="15">
        <v>5</v>
      </c>
      <c r="D5691" s="16">
        <v>9</v>
      </c>
      <c r="E5691" s="22">
        <v>44895</v>
      </c>
      <c r="F5691" s="19">
        <v>1</v>
      </c>
      <c r="G5691" s="18">
        <v>0.14000000000000001</v>
      </c>
      <c r="H5691">
        <f>F5691*VLOOKUP(B5691,產品!$A$2:$H$61,7,FALSE)*(1-銷售總表!G5691)</f>
        <v>6020</v>
      </c>
      <c r="I5691" s="35">
        <f>H5691-F5691*VLOOKUP(銷售總表!B5691,產品!$A$2:$H$61,8,FALSE)</f>
        <v>1820</v>
      </c>
      <c r="J5691" s="20">
        <f t="shared" si="88"/>
        <v>0.30232558139534882</v>
      </c>
    </row>
    <row r="5692" spans="1:10" x14ac:dyDescent="0.3">
      <c r="A5692" s="33">
        <v>5691</v>
      </c>
      <c r="B5692" s="4">
        <v>12</v>
      </c>
      <c r="C5692" s="15">
        <v>120</v>
      </c>
      <c r="D5692" s="16">
        <v>4</v>
      </c>
      <c r="E5692" s="22">
        <v>44895</v>
      </c>
      <c r="F5692" s="19">
        <v>2</v>
      </c>
      <c r="G5692" s="18">
        <v>0.11</v>
      </c>
      <c r="H5692">
        <f>F5692*VLOOKUP(B5692,產品!$A$2:$H$61,7,FALSE)*(1-銷售總表!G5692)</f>
        <v>1780</v>
      </c>
      <c r="I5692" s="35">
        <f>H5692-F5692*VLOOKUP(銷售總表!B5692,產品!$A$2:$H$61,8,FALSE)</f>
        <v>980</v>
      </c>
      <c r="J5692" s="20">
        <f t="shared" si="88"/>
        <v>0.550561797752809</v>
      </c>
    </row>
    <row r="5693" spans="1:10" x14ac:dyDescent="0.3">
      <c r="A5693" s="33">
        <v>5692</v>
      </c>
      <c r="B5693" s="4">
        <v>49</v>
      </c>
      <c r="C5693" s="15">
        <v>12</v>
      </c>
      <c r="D5693" s="16">
        <v>3</v>
      </c>
      <c r="E5693" s="22">
        <v>44895</v>
      </c>
      <c r="F5693" s="19">
        <v>9</v>
      </c>
      <c r="G5693" s="18">
        <v>0.09</v>
      </c>
      <c r="H5693">
        <f>F5693*VLOOKUP(B5693,產品!$A$2:$H$61,7,FALSE)*(1-銷售總表!G5693)</f>
        <v>122850</v>
      </c>
      <c r="I5693" s="35">
        <f>H5693-F5693*VLOOKUP(銷售總表!B5693,產品!$A$2:$H$61,8,FALSE)</f>
        <v>28350</v>
      </c>
      <c r="J5693" s="20">
        <f t="shared" si="88"/>
        <v>0.23076923076923078</v>
      </c>
    </row>
    <row r="5694" spans="1:10" x14ac:dyDescent="0.3">
      <c r="A5694" s="33">
        <v>5693</v>
      </c>
      <c r="B5694" s="4">
        <v>5</v>
      </c>
      <c r="C5694" s="15">
        <v>126</v>
      </c>
      <c r="D5694" s="16">
        <v>2</v>
      </c>
      <c r="E5694" s="22">
        <v>44895</v>
      </c>
      <c r="F5694" s="19">
        <v>20</v>
      </c>
      <c r="G5694" s="18">
        <v>0.11</v>
      </c>
      <c r="H5694">
        <f>F5694*VLOOKUP(B5694,產品!$A$2:$H$61,7,FALSE)*(1-銷售總表!G5694)</f>
        <v>17800</v>
      </c>
      <c r="I5694" s="35">
        <f>H5694-F5694*VLOOKUP(銷售總表!B5694,產品!$A$2:$H$61,8,FALSE)</f>
        <v>9800</v>
      </c>
      <c r="J5694" s="20">
        <f t="shared" si="88"/>
        <v>0.550561797752809</v>
      </c>
    </row>
    <row r="5695" spans="1:10" x14ac:dyDescent="0.3">
      <c r="A5695" s="33">
        <v>5694</v>
      </c>
      <c r="B5695" s="4">
        <v>6</v>
      </c>
      <c r="C5695" s="15">
        <v>257</v>
      </c>
      <c r="D5695" s="16">
        <v>10</v>
      </c>
      <c r="E5695" s="22">
        <v>44895</v>
      </c>
      <c r="F5695" s="19">
        <v>40</v>
      </c>
      <c r="G5695" s="18">
        <v>0.15</v>
      </c>
      <c r="H5695">
        <f>F5695*VLOOKUP(B5695,產品!$A$2:$H$61,7,FALSE)*(1-銷售總表!G5695)</f>
        <v>34000</v>
      </c>
      <c r="I5695" s="35">
        <f>H5695-F5695*VLOOKUP(銷售總表!B5695,產品!$A$2:$H$61,8,FALSE)</f>
        <v>18000</v>
      </c>
      <c r="J5695" s="20">
        <f t="shared" si="88"/>
        <v>0.52941176470588236</v>
      </c>
    </row>
    <row r="5696" spans="1:10" x14ac:dyDescent="0.3">
      <c r="A5696" s="33">
        <v>5695</v>
      </c>
      <c r="B5696" s="4">
        <v>38</v>
      </c>
      <c r="C5696" s="15">
        <v>7</v>
      </c>
      <c r="D5696" s="16">
        <v>8</v>
      </c>
      <c r="E5696" s="22">
        <v>44896</v>
      </c>
      <c r="F5696" s="19">
        <v>8</v>
      </c>
      <c r="G5696" s="18">
        <v>0.14000000000000001</v>
      </c>
      <c r="H5696">
        <f>F5696*VLOOKUP(B5696,產品!$A$2:$H$61,7,FALSE)*(1-銷售總表!G5696)</f>
        <v>103200</v>
      </c>
      <c r="I5696" s="35">
        <f>H5696-F5696*VLOOKUP(銷售總表!B5696,產品!$A$2:$H$61,8,FALSE)</f>
        <v>25200</v>
      </c>
      <c r="J5696" s="20">
        <f t="shared" si="88"/>
        <v>0.2441860465116279</v>
      </c>
    </row>
    <row r="5697" spans="1:10" x14ac:dyDescent="0.3">
      <c r="A5697" s="33">
        <v>5696</v>
      </c>
      <c r="B5697" s="4">
        <v>20</v>
      </c>
      <c r="C5697" s="15">
        <v>281</v>
      </c>
      <c r="D5697" s="16">
        <v>4</v>
      </c>
      <c r="E5697" s="22">
        <v>44896</v>
      </c>
      <c r="F5697" s="19">
        <v>40</v>
      </c>
      <c r="G5697" s="18">
        <v>0.13</v>
      </c>
      <c r="H5697">
        <f>F5697*VLOOKUP(B5697,產品!$A$2:$H$61,7,FALSE)*(1-銷售總表!G5697)</f>
        <v>62640</v>
      </c>
      <c r="I5697" s="35">
        <f>H5697-F5697*VLOOKUP(銷售總表!B5697,產品!$A$2:$H$61,8,FALSE)</f>
        <v>33840</v>
      </c>
      <c r="J5697" s="20">
        <f t="shared" si="88"/>
        <v>0.54022988505747127</v>
      </c>
    </row>
    <row r="5698" spans="1:10" x14ac:dyDescent="0.3">
      <c r="A5698" s="33">
        <v>5697</v>
      </c>
      <c r="B5698" s="4">
        <v>8</v>
      </c>
      <c r="C5698" s="15">
        <v>257</v>
      </c>
      <c r="D5698" s="16">
        <v>2</v>
      </c>
      <c r="E5698" s="22">
        <v>44896</v>
      </c>
      <c r="F5698" s="19">
        <v>250</v>
      </c>
      <c r="G5698" s="18">
        <v>0.14000000000000001</v>
      </c>
      <c r="H5698">
        <f>F5698*VLOOKUP(B5698,產品!$A$2:$H$61,7,FALSE)*(1-銷售總表!G5698)</f>
        <v>215000</v>
      </c>
      <c r="I5698" s="35">
        <f>H5698-F5698*VLOOKUP(銷售總表!B5698,產品!$A$2:$H$61,8,FALSE)</f>
        <v>115000</v>
      </c>
      <c r="J5698" s="20">
        <f t="shared" si="88"/>
        <v>0.53488372093023251</v>
      </c>
    </row>
    <row r="5699" spans="1:10" x14ac:dyDescent="0.3">
      <c r="A5699" s="33">
        <v>5698</v>
      </c>
      <c r="B5699" s="4">
        <v>50</v>
      </c>
      <c r="C5699" s="15">
        <v>9</v>
      </c>
      <c r="D5699" s="16">
        <v>8</v>
      </c>
      <c r="E5699" s="22">
        <v>44897</v>
      </c>
      <c r="F5699" s="19">
        <v>3</v>
      </c>
      <c r="G5699" s="18">
        <v>0.06</v>
      </c>
      <c r="H5699">
        <f>F5699*VLOOKUP(B5699,產品!$A$2:$H$61,7,FALSE)*(1-銷售總表!G5699)</f>
        <v>50760</v>
      </c>
      <c r="I5699" s="35">
        <f>H5699-F5699*VLOOKUP(銷售總表!B5699,產品!$A$2:$H$61,8,FALSE)</f>
        <v>12960</v>
      </c>
      <c r="J5699" s="20">
        <f t="shared" ref="J5699:J5762" si="89">I5699/H5699</f>
        <v>0.25531914893617019</v>
      </c>
    </row>
    <row r="5700" spans="1:10" x14ac:dyDescent="0.3">
      <c r="A5700" s="33">
        <v>5699</v>
      </c>
      <c r="B5700" s="4">
        <v>33</v>
      </c>
      <c r="C5700" s="15">
        <v>281</v>
      </c>
      <c r="D5700" s="16">
        <v>6</v>
      </c>
      <c r="E5700" s="22">
        <v>44897</v>
      </c>
      <c r="F5700" s="19">
        <v>4</v>
      </c>
      <c r="G5700" s="18">
        <v>0.1</v>
      </c>
      <c r="H5700">
        <f>F5700*VLOOKUP(B5700,產品!$A$2:$H$61,7,FALSE)*(1-銷售總表!G5700)</f>
        <v>27000</v>
      </c>
      <c r="I5700" s="35">
        <f>H5700-F5700*VLOOKUP(銷售總表!B5700,產品!$A$2:$H$61,8,FALSE)</f>
        <v>9000</v>
      </c>
      <c r="J5700" s="20">
        <f t="shared" si="89"/>
        <v>0.33333333333333331</v>
      </c>
    </row>
    <row r="5701" spans="1:10" x14ac:dyDescent="0.3">
      <c r="A5701" s="33">
        <v>5700</v>
      </c>
      <c r="B5701" s="4">
        <v>25</v>
      </c>
      <c r="C5701" s="15">
        <v>294</v>
      </c>
      <c r="D5701" s="16">
        <v>3</v>
      </c>
      <c r="E5701" s="22">
        <v>44897</v>
      </c>
      <c r="F5701" s="19">
        <v>5</v>
      </c>
      <c r="G5701" s="18">
        <v>0.11</v>
      </c>
      <c r="H5701">
        <f>F5701*VLOOKUP(B5701,產品!$A$2:$H$61,7,FALSE)*(1-銷售總表!G5701)</f>
        <v>26700</v>
      </c>
      <c r="I5701" s="35">
        <f>H5701-F5701*VLOOKUP(銷售總表!B5701,產品!$A$2:$H$61,8,FALSE)</f>
        <v>8700</v>
      </c>
      <c r="J5701" s="20">
        <f t="shared" si="89"/>
        <v>0.3258426966292135</v>
      </c>
    </row>
    <row r="5702" spans="1:10" x14ac:dyDescent="0.3">
      <c r="A5702" s="33">
        <v>5701</v>
      </c>
      <c r="B5702" s="4">
        <v>34</v>
      </c>
      <c r="C5702" s="15">
        <v>5</v>
      </c>
      <c r="D5702" s="16">
        <v>9</v>
      </c>
      <c r="E5702" s="22">
        <v>44897</v>
      </c>
      <c r="F5702" s="19">
        <v>9</v>
      </c>
      <c r="G5702" s="18">
        <v>0.16</v>
      </c>
      <c r="H5702">
        <f>F5702*VLOOKUP(B5702,產品!$A$2:$H$61,7,FALSE)*(1-銷售總表!G5702)</f>
        <v>60480</v>
      </c>
      <c r="I5702" s="35">
        <f>H5702-F5702*VLOOKUP(銷售總表!B5702,產品!$A$2:$H$61,8,FALSE)</f>
        <v>17280</v>
      </c>
      <c r="J5702" s="20">
        <f t="shared" si="89"/>
        <v>0.2857142857142857</v>
      </c>
    </row>
    <row r="5703" spans="1:10" x14ac:dyDescent="0.3">
      <c r="A5703" s="33">
        <v>5702</v>
      </c>
      <c r="B5703" s="4">
        <v>11</v>
      </c>
      <c r="C5703" s="15">
        <v>121</v>
      </c>
      <c r="D5703" s="16">
        <v>10</v>
      </c>
      <c r="E5703" s="22">
        <v>44897</v>
      </c>
      <c r="F5703" s="19">
        <v>40</v>
      </c>
      <c r="G5703" s="18">
        <v>0.15</v>
      </c>
      <c r="H5703">
        <f>F5703*VLOOKUP(B5703,產品!$A$2:$H$61,7,FALSE)*(1-銷售總表!G5703)</f>
        <v>34000</v>
      </c>
      <c r="I5703" s="35">
        <f>H5703-F5703*VLOOKUP(銷售總表!B5703,產品!$A$2:$H$61,8,FALSE)</f>
        <v>18000</v>
      </c>
      <c r="J5703" s="20">
        <f t="shared" si="89"/>
        <v>0.52941176470588236</v>
      </c>
    </row>
    <row r="5704" spans="1:10" x14ac:dyDescent="0.3">
      <c r="A5704" s="33">
        <v>5703</v>
      </c>
      <c r="B5704" s="4">
        <v>1</v>
      </c>
      <c r="C5704" s="15">
        <v>8</v>
      </c>
      <c r="D5704" s="16">
        <v>5</v>
      </c>
      <c r="E5704" s="22">
        <v>44897</v>
      </c>
      <c r="F5704" s="19">
        <v>50</v>
      </c>
      <c r="G5704" s="18">
        <v>0.18</v>
      </c>
      <c r="H5704">
        <f>F5704*VLOOKUP(B5704,產品!$A$2:$H$61,7,FALSE)*(1-銷售總表!G5704)</f>
        <v>41000</v>
      </c>
      <c r="I5704" s="35">
        <f>H5704-F5704*VLOOKUP(銷售總表!B5704,產品!$A$2:$H$61,8,FALSE)</f>
        <v>21000</v>
      </c>
      <c r="J5704" s="20">
        <f t="shared" si="89"/>
        <v>0.51219512195121952</v>
      </c>
    </row>
    <row r="5705" spans="1:10" x14ac:dyDescent="0.3">
      <c r="A5705" s="33">
        <v>5704</v>
      </c>
      <c r="B5705" s="4">
        <v>6</v>
      </c>
      <c r="C5705" s="15">
        <v>259</v>
      </c>
      <c r="D5705" s="16">
        <v>1</v>
      </c>
      <c r="E5705" s="22">
        <v>44897</v>
      </c>
      <c r="F5705" s="19">
        <v>200</v>
      </c>
      <c r="G5705" s="18">
        <v>0.18</v>
      </c>
      <c r="H5705">
        <f>F5705*VLOOKUP(B5705,產品!$A$2:$H$61,7,FALSE)*(1-銷售總表!G5705)</f>
        <v>164000</v>
      </c>
      <c r="I5705" s="35">
        <f>H5705-F5705*VLOOKUP(銷售總表!B5705,產品!$A$2:$H$61,8,FALSE)</f>
        <v>84000</v>
      </c>
      <c r="J5705" s="20">
        <f t="shared" si="89"/>
        <v>0.51219512195121952</v>
      </c>
    </row>
    <row r="5706" spans="1:10" x14ac:dyDescent="0.3">
      <c r="A5706" s="33">
        <v>5705</v>
      </c>
      <c r="B5706" s="4">
        <v>60</v>
      </c>
      <c r="C5706" s="15">
        <v>276</v>
      </c>
      <c r="D5706" s="16">
        <v>3</v>
      </c>
      <c r="E5706" s="22">
        <v>44898</v>
      </c>
      <c r="F5706" s="19">
        <v>4</v>
      </c>
      <c r="G5706" s="18">
        <v>0.12</v>
      </c>
      <c r="H5706">
        <f>F5706*VLOOKUP(B5706,產品!$A$2:$H$61,7,FALSE)*(1-銷售總表!G5706)</f>
        <v>88000</v>
      </c>
      <c r="I5706" s="35">
        <f>H5706-F5706*VLOOKUP(銷售總表!B5706,產品!$A$2:$H$61,8,FALSE)</f>
        <v>18000</v>
      </c>
      <c r="J5706" s="20">
        <f t="shared" si="89"/>
        <v>0.20454545454545456</v>
      </c>
    </row>
    <row r="5707" spans="1:10" x14ac:dyDescent="0.3">
      <c r="A5707" s="33">
        <v>5706</v>
      </c>
      <c r="B5707" s="4">
        <v>60</v>
      </c>
      <c r="C5707" s="15">
        <v>9</v>
      </c>
      <c r="D5707" s="16">
        <v>3</v>
      </c>
      <c r="E5707" s="22">
        <v>44898</v>
      </c>
      <c r="F5707" s="19">
        <v>7</v>
      </c>
      <c r="G5707" s="18">
        <v>0.1</v>
      </c>
      <c r="H5707">
        <f>F5707*VLOOKUP(B5707,產品!$A$2:$H$61,7,FALSE)*(1-銷售總表!G5707)</f>
        <v>157500</v>
      </c>
      <c r="I5707" s="35">
        <f>H5707-F5707*VLOOKUP(銷售總表!B5707,產品!$A$2:$H$61,8,FALSE)</f>
        <v>35000</v>
      </c>
      <c r="J5707" s="20">
        <f t="shared" si="89"/>
        <v>0.22222222222222221</v>
      </c>
    </row>
    <row r="5708" spans="1:10" x14ac:dyDescent="0.3">
      <c r="A5708" s="33">
        <v>5707</v>
      </c>
      <c r="B5708" s="4">
        <v>44</v>
      </c>
      <c r="C5708" s="15">
        <v>284</v>
      </c>
      <c r="D5708" s="16">
        <v>1</v>
      </c>
      <c r="E5708" s="23">
        <v>44899</v>
      </c>
      <c r="F5708">
        <v>9</v>
      </c>
      <c r="G5708" s="20">
        <v>0.11</v>
      </c>
      <c r="H5708">
        <f>F5708*VLOOKUP(B5708,產品!$A$2:$H$61,7,FALSE)*(1-銷售總表!G5708)</f>
        <v>160200</v>
      </c>
      <c r="I5708" s="35">
        <f>H5708-F5708*VLOOKUP(銷售總表!B5708,產品!$A$2:$H$61,8,FALSE)</f>
        <v>43200</v>
      </c>
      <c r="J5708" s="20">
        <f t="shared" si="89"/>
        <v>0.2696629213483146</v>
      </c>
    </row>
    <row r="5709" spans="1:10" x14ac:dyDescent="0.3">
      <c r="A5709" s="33">
        <v>5708</v>
      </c>
      <c r="B5709" s="4">
        <v>40</v>
      </c>
      <c r="C5709" s="15">
        <v>285</v>
      </c>
      <c r="D5709" s="16">
        <v>1</v>
      </c>
      <c r="E5709" s="22">
        <v>44899</v>
      </c>
      <c r="F5709" s="19">
        <v>10</v>
      </c>
      <c r="G5709" s="18">
        <v>0.13</v>
      </c>
      <c r="H5709">
        <f>F5709*VLOOKUP(B5709,產品!$A$2:$H$61,7,FALSE)*(1-銷售總表!G5709)</f>
        <v>174000</v>
      </c>
      <c r="I5709" s="35">
        <f>H5709-F5709*VLOOKUP(銷售總表!B5709,產品!$A$2:$H$61,8,FALSE)</f>
        <v>44000</v>
      </c>
      <c r="J5709" s="20">
        <f t="shared" si="89"/>
        <v>0.25287356321839083</v>
      </c>
    </row>
    <row r="5710" spans="1:10" x14ac:dyDescent="0.3">
      <c r="A5710" s="33">
        <v>5709</v>
      </c>
      <c r="B5710" s="4">
        <v>28</v>
      </c>
      <c r="C5710" s="15">
        <v>2</v>
      </c>
      <c r="D5710" s="16">
        <v>4</v>
      </c>
      <c r="E5710" s="22">
        <v>44900</v>
      </c>
      <c r="F5710" s="19">
        <v>2</v>
      </c>
      <c r="G5710" s="18">
        <v>0.09</v>
      </c>
      <c r="H5710">
        <f>F5710*VLOOKUP(B5710,產品!$A$2:$H$61,7,FALSE)*(1-銷售總表!G5710)</f>
        <v>13650</v>
      </c>
      <c r="I5710" s="35">
        <f>H5710-F5710*VLOOKUP(銷售總表!B5710,產品!$A$2:$H$61,8,FALSE)</f>
        <v>4650</v>
      </c>
      <c r="J5710" s="20">
        <f t="shared" si="89"/>
        <v>0.34065934065934067</v>
      </c>
    </row>
    <row r="5711" spans="1:10" x14ac:dyDescent="0.3">
      <c r="A5711" s="33">
        <v>5710</v>
      </c>
      <c r="B5711" s="4">
        <v>25</v>
      </c>
      <c r="C5711" s="15">
        <v>4</v>
      </c>
      <c r="D5711" s="16">
        <v>6</v>
      </c>
      <c r="E5711" s="22">
        <v>44900</v>
      </c>
      <c r="F5711" s="19">
        <v>6</v>
      </c>
      <c r="G5711" s="18">
        <v>0.19</v>
      </c>
      <c r="H5711">
        <f>F5711*VLOOKUP(B5711,產品!$A$2:$H$61,7,FALSE)*(1-銷售總表!G5711)</f>
        <v>29160.000000000004</v>
      </c>
      <c r="I5711" s="35">
        <f>H5711-F5711*VLOOKUP(銷售總表!B5711,產品!$A$2:$H$61,8,FALSE)</f>
        <v>7560.0000000000036</v>
      </c>
      <c r="J5711" s="20">
        <f t="shared" si="89"/>
        <v>0.25925925925925936</v>
      </c>
    </row>
    <row r="5712" spans="1:10" x14ac:dyDescent="0.3">
      <c r="A5712" s="33">
        <v>5711</v>
      </c>
      <c r="B5712" s="4">
        <v>59</v>
      </c>
      <c r="C5712" s="15">
        <v>286</v>
      </c>
      <c r="D5712" s="16">
        <v>1</v>
      </c>
      <c r="E5712" s="22">
        <v>44900</v>
      </c>
      <c r="F5712" s="19">
        <v>7</v>
      </c>
      <c r="G5712" s="18">
        <v>0.18</v>
      </c>
      <c r="H5712">
        <f>F5712*VLOOKUP(B5712,產品!$A$2:$H$61,7,FALSE)*(1-銷售總表!G5712)</f>
        <v>137760</v>
      </c>
      <c r="I5712" s="35">
        <f>H5712-F5712*VLOOKUP(銷售總表!B5712,產品!$A$2:$H$61,8,FALSE)</f>
        <v>20160</v>
      </c>
      <c r="J5712" s="20">
        <f t="shared" si="89"/>
        <v>0.14634146341463414</v>
      </c>
    </row>
    <row r="5713" spans="1:10" x14ac:dyDescent="0.3">
      <c r="A5713" s="33">
        <v>5712</v>
      </c>
      <c r="B5713" s="4">
        <v>4</v>
      </c>
      <c r="C5713" s="15">
        <v>283</v>
      </c>
      <c r="D5713" s="16">
        <v>2</v>
      </c>
      <c r="E5713" s="23">
        <v>44900</v>
      </c>
      <c r="F5713">
        <v>60</v>
      </c>
      <c r="G5713" s="20">
        <v>0.18</v>
      </c>
      <c r="H5713">
        <f>F5713*VLOOKUP(B5713,產品!$A$2:$H$61,7,FALSE)*(1-銷售總表!G5713)</f>
        <v>49200.000000000007</v>
      </c>
      <c r="I5713" s="35">
        <f>H5713-F5713*VLOOKUP(銷售總表!B5713,產品!$A$2:$H$61,8,FALSE)</f>
        <v>25200.000000000007</v>
      </c>
      <c r="J5713" s="20">
        <f t="shared" si="89"/>
        <v>0.51219512195121963</v>
      </c>
    </row>
    <row r="5714" spans="1:10" x14ac:dyDescent="0.3">
      <c r="A5714" s="33">
        <v>5713</v>
      </c>
      <c r="B5714" s="4">
        <v>6</v>
      </c>
      <c r="C5714" s="15">
        <v>120</v>
      </c>
      <c r="D5714" s="16">
        <v>2</v>
      </c>
      <c r="E5714" s="22">
        <v>44900</v>
      </c>
      <c r="F5714" s="19">
        <v>200</v>
      </c>
      <c r="G5714" s="18">
        <v>0.19</v>
      </c>
      <c r="H5714">
        <f>F5714*VLOOKUP(B5714,產品!$A$2:$H$61,7,FALSE)*(1-銷售總表!G5714)</f>
        <v>162000</v>
      </c>
      <c r="I5714" s="35">
        <f>H5714-F5714*VLOOKUP(銷售總表!B5714,產品!$A$2:$H$61,8,FALSE)</f>
        <v>82000</v>
      </c>
      <c r="J5714" s="20">
        <f t="shared" si="89"/>
        <v>0.50617283950617287</v>
      </c>
    </row>
    <row r="5715" spans="1:10" x14ac:dyDescent="0.3">
      <c r="A5715" s="33">
        <v>5714</v>
      </c>
      <c r="B5715" s="4">
        <v>45</v>
      </c>
      <c r="C5715" s="15">
        <v>114</v>
      </c>
      <c r="D5715" s="16">
        <v>4</v>
      </c>
      <c r="E5715" s="23">
        <v>44901</v>
      </c>
      <c r="F5715">
        <v>1</v>
      </c>
      <c r="G5715" s="20">
        <v>0.08</v>
      </c>
      <c r="H5715">
        <f>F5715*VLOOKUP(B5715,產品!$A$2:$H$61,7,FALSE)*(1-銷售總表!G5715)</f>
        <v>12880</v>
      </c>
      <c r="I5715" s="35">
        <f>H5715-F5715*VLOOKUP(銷售總表!B5715,產品!$A$2:$H$61,8,FALSE)</f>
        <v>3780</v>
      </c>
      <c r="J5715" s="20">
        <f t="shared" si="89"/>
        <v>0.29347826086956524</v>
      </c>
    </row>
    <row r="5716" spans="1:10" x14ac:dyDescent="0.3">
      <c r="A5716" s="33">
        <v>5715</v>
      </c>
      <c r="B5716" s="4">
        <v>42</v>
      </c>
      <c r="C5716" s="15">
        <v>5</v>
      </c>
      <c r="D5716" s="16">
        <v>3</v>
      </c>
      <c r="E5716" s="23">
        <v>44901</v>
      </c>
      <c r="F5716">
        <v>8</v>
      </c>
      <c r="G5716" s="20">
        <v>0.11</v>
      </c>
      <c r="H5716">
        <f>F5716*VLOOKUP(B5716,產品!$A$2:$H$61,7,FALSE)*(1-銷售總表!G5716)</f>
        <v>106800</v>
      </c>
      <c r="I5716" s="35">
        <f>H5716-F5716*VLOOKUP(銷售總表!B5716,產品!$A$2:$H$61,8,FALSE)</f>
        <v>28800</v>
      </c>
      <c r="J5716" s="20">
        <f t="shared" si="89"/>
        <v>0.2696629213483146</v>
      </c>
    </row>
    <row r="5717" spans="1:10" x14ac:dyDescent="0.3">
      <c r="A5717" s="33">
        <v>5716</v>
      </c>
      <c r="B5717" s="4">
        <v>46</v>
      </c>
      <c r="C5717" s="15">
        <v>273</v>
      </c>
      <c r="D5717" s="16">
        <v>9</v>
      </c>
      <c r="E5717" s="22">
        <v>44901</v>
      </c>
      <c r="F5717" s="19">
        <v>8</v>
      </c>
      <c r="G5717" s="18">
        <v>0.16</v>
      </c>
      <c r="H5717">
        <f>F5717*VLOOKUP(B5717,產品!$A$2:$H$61,7,FALSE)*(1-銷售總表!G5717)</f>
        <v>114240</v>
      </c>
      <c r="I5717" s="35">
        <f>H5717-F5717*VLOOKUP(銷售總表!B5717,產品!$A$2:$H$61,8,FALSE)</f>
        <v>25840</v>
      </c>
      <c r="J5717" s="20">
        <f t="shared" si="89"/>
        <v>0.22619047619047619</v>
      </c>
    </row>
    <row r="5718" spans="1:10" x14ac:dyDescent="0.3">
      <c r="A5718" s="33">
        <v>5717</v>
      </c>
      <c r="B5718" s="4">
        <v>53</v>
      </c>
      <c r="C5718" s="15">
        <v>263</v>
      </c>
      <c r="D5718" s="16">
        <v>1</v>
      </c>
      <c r="E5718" s="22">
        <v>44901</v>
      </c>
      <c r="F5718" s="19">
        <v>8</v>
      </c>
      <c r="G5718" s="18">
        <v>0.18</v>
      </c>
      <c r="H5718">
        <f>F5718*VLOOKUP(B5718,產品!$A$2:$H$61,7,FALSE)*(1-銷售總表!G5718)</f>
        <v>98400.000000000015</v>
      </c>
      <c r="I5718" s="35">
        <f>H5718-F5718*VLOOKUP(銷售總表!B5718,產品!$A$2:$H$61,8,FALSE)</f>
        <v>14400.000000000015</v>
      </c>
      <c r="J5718" s="20">
        <f t="shared" si="89"/>
        <v>0.14634146341463428</v>
      </c>
    </row>
    <row r="5719" spans="1:10" x14ac:dyDescent="0.3">
      <c r="A5719" s="33">
        <v>5718</v>
      </c>
      <c r="B5719" s="4">
        <v>42</v>
      </c>
      <c r="C5719" s="15">
        <v>266</v>
      </c>
      <c r="D5719" s="16">
        <v>6</v>
      </c>
      <c r="E5719" s="22">
        <v>44901</v>
      </c>
      <c r="F5719" s="19">
        <v>10</v>
      </c>
      <c r="G5719" s="18">
        <v>7.0000000000000007E-2</v>
      </c>
      <c r="H5719">
        <f>F5719*VLOOKUP(B5719,產品!$A$2:$H$61,7,FALSE)*(1-銷售總表!G5719)</f>
        <v>139500</v>
      </c>
      <c r="I5719" s="35">
        <f>H5719-F5719*VLOOKUP(銷售總表!B5719,產品!$A$2:$H$61,8,FALSE)</f>
        <v>42000</v>
      </c>
      <c r="J5719" s="20">
        <f t="shared" si="89"/>
        <v>0.30107526881720431</v>
      </c>
    </row>
    <row r="5720" spans="1:10" x14ac:dyDescent="0.3">
      <c r="A5720" s="33">
        <v>5719</v>
      </c>
      <c r="B5720" s="4">
        <v>53</v>
      </c>
      <c r="C5720" s="15">
        <v>3</v>
      </c>
      <c r="D5720" s="16">
        <v>3</v>
      </c>
      <c r="E5720" s="22">
        <v>44901</v>
      </c>
      <c r="F5720" s="19">
        <v>10</v>
      </c>
      <c r="G5720" s="18">
        <v>0.15</v>
      </c>
      <c r="H5720">
        <f>F5720*VLOOKUP(B5720,產品!$A$2:$H$61,7,FALSE)*(1-銷售總表!G5720)</f>
        <v>127500</v>
      </c>
      <c r="I5720" s="35">
        <f>H5720-F5720*VLOOKUP(銷售總表!B5720,產品!$A$2:$H$61,8,FALSE)</f>
        <v>22500</v>
      </c>
      <c r="J5720" s="20">
        <f t="shared" si="89"/>
        <v>0.17647058823529413</v>
      </c>
    </row>
    <row r="5721" spans="1:10" x14ac:dyDescent="0.3">
      <c r="A5721" s="33">
        <v>5720</v>
      </c>
      <c r="B5721" s="4">
        <v>16</v>
      </c>
      <c r="C5721" s="15">
        <v>286</v>
      </c>
      <c r="D5721" s="16">
        <v>2</v>
      </c>
      <c r="E5721" s="22">
        <v>44901</v>
      </c>
      <c r="F5721" s="19">
        <v>10</v>
      </c>
      <c r="G5721" s="18">
        <v>0.15</v>
      </c>
      <c r="H5721">
        <f>F5721*VLOOKUP(B5721,產品!$A$2:$H$61,7,FALSE)*(1-銷售總表!G5721)</f>
        <v>15300</v>
      </c>
      <c r="I5721" s="35">
        <f>H5721-F5721*VLOOKUP(銷售總表!B5721,產品!$A$2:$H$61,8,FALSE)</f>
        <v>8100</v>
      </c>
      <c r="J5721" s="20">
        <f t="shared" si="89"/>
        <v>0.52941176470588236</v>
      </c>
    </row>
    <row r="5722" spans="1:10" x14ac:dyDescent="0.3">
      <c r="A5722" s="33">
        <v>5721</v>
      </c>
      <c r="B5722" s="4">
        <v>10</v>
      </c>
      <c r="C5722" s="15">
        <v>10</v>
      </c>
      <c r="D5722" s="16">
        <v>3</v>
      </c>
      <c r="E5722" s="23">
        <v>44901</v>
      </c>
      <c r="F5722">
        <v>13</v>
      </c>
      <c r="G5722" s="20">
        <v>0.19</v>
      </c>
      <c r="H5722">
        <f>F5722*VLOOKUP(B5722,產品!$A$2:$H$61,7,FALSE)*(1-銷售總表!G5722)</f>
        <v>10530</v>
      </c>
      <c r="I5722" s="35">
        <f>H5722-F5722*VLOOKUP(銷售總表!B5722,產品!$A$2:$H$61,8,FALSE)</f>
        <v>5330</v>
      </c>
      <c r="J5722" s="20">
        <f t="shared" si="89"/>
        <v>0.50617283950617287</v>
      </c>
    </row>
    <row r="5723" spans="1:10" x14ac:dyDescent="0.3">
      <c r="A5723" s="33">
        <v>5722</v>
      </c>
      <c r="B5723" s="4">
        <v>22</v>
      </c>
      <c r="C5723" s="15">
        <v>284</v>
      </c>
      <c r="D5723" s="16">
        <v>1</v>
      </c>
      <c r="E5723" s="22">
        <v>44901</v>
      </c>
      <c r="F5723" s="19">
        <v>15</v>
      </c>
      <c r="G5723" s="18">
        <v>0.18</v>
      </c>
      <c r="H5723">
        <f>F5723*VLOOKUP(B5723,產品!$A$2:$H$61,7,FALSE)*(1-銷售總表!G5723)</f>
        <v>22140</v>
      </c>
      <c r="I5723" s="35">
        <f>H5723-F5723*VLOOKUP(銷售總表!B5723,產品!$A$2:$H$61,8,FALSE)</f>
        <v>11340</v>
      </c>
      <c r="J5723" s="20">
        <f t="shared" si="89"/>
        <v>0.51219512195121952</v>
      </c>
    </row>
    <row r="5724" spans="1:10" x14ac:dyDescent="0.3">
      <c r="A5724" s="33">
        <v>5723</v>
      </c>
      <c r="B5724" s="4">
        <v>32</v>
      </c>
      <c r="C5724" s="15">
        <v>263</v>
      </c>
      <c r="D5724" s="16">
        <v>4</v>
      </c>
      <c r="E5724" s="22">
        <v>44901</v>
      </c>
      <c r="F5724" s="19">
        <v>25</v>
      </c>
      <c r="G5724" s="18">
        <v>7.0000000000000007E-2</v>
      </c>
      <c r="H5724">
        <f>F5724*VLOOKUP(B5724,產品!$A$2:$H$61,7,FALSE)*(1-銷售總表!G5724)</f>
        <v>174375</v>
      </c>
      <c r="I5724" s="35">
        <f>H5724-F5724*VLOOKUP(銷售總表!B5724,產品!$A$2:$H$61,8,FALSE)</f>
        <v>61875</v>
      </c>
      <c r="J5724" s="20">
        <f t="shared" si="89"/>
        <v>0.35483870967741937</v>
      </c>
    </row>
    <row r="5725" spans="1:10" x14ac:dyDescent="0.3">
      <c r="A5725" s="33">
        <v>5724</v>
      </c>
      <c r="B5725" s="4">
        <v>4</v>
      </c>
      <c r="C5725" s="15">
        <v>4</v>
      </c>
      <c r="D5725" s="16">
        <v>8</v>
      </c>
      <c r="E5725" s="22">
        <v>44901</v>
      </c>
      <c r="F5725" s="19">
        <v>105</v>
      </c>
      <c r="G5725" s="18">
        <v>0.11</v>
      </c>
      <c r="H5725">
        <f>F5725*VLOOKUP(B5725,產品!$A$2:$H$61,7,FALSE)*(1-銷售總表!G5725)</f>
        <v>93450</v>
      </c>
      <c r="I5725" s="35">
        <f>H5725-F5725*VLOOKUP(銷售總表!B5725,產品!$A$2:$H$61,8,FALSE)</f>
        <v>51450</v>
      </c>
      <c r="J5725" s="20">
        <f t="shared" si="89"/>
        <v>0.550561797752809</v>
      </c>
    </row>
    <row r="5726" spans="1:10" x14ac:dyDescent="0.3">
      <c r="A5726" s="33">
        <v>5725</v>
      </c>
      <c r="B5726" s="4">
        <v>29</v>
      </c>
      <c r="C5726" s="15">
        <v>285</v>
      </c>
      <c r="D5726" s="16">
        <v>9</v>
      </c>
      <c r="E5726" s="22">
        <v>44902</v>
      </c>
      <c r="F5726" s="19">
        <v>50</v>
      </c>
      <c r="G5726" s="18">
        <v>0.06</v>
      </c>
      <c r="H5726">
        <f>F5726*VLOOKUP(B5726,產品!$A$2:$H$61,7,FALSE)*(1-銷售總表!G5726)</f>
        <v>282000</v>
      </c>
      <c r="I5726" s="35">
        <f>H5726-F5726*VLOOKUP(銷售總表!B5726,產品!$A$2:$H$61,8,FALSE)</f>
        <v>102000</v>
      </c>
      <c r="J5726" s="20">
        <f t="shared" si="89"/>
        <v>0.36170212765957449</v>
      </c>
    </row>
    <row r="5727" spans="1:10" x14ac:dyDescent="0.3">
      <c r="A5727" s="33">
        <v>5726</v>
      </c>
      <c r="B5727" s="4">
        <v>15</v>
      </c>
      <c r="C5727" s="15">
        <v>258</v>
      </c>
      <c r="D5727" s="16">
        <v>2</v>
      </c>
      <c r="E5727" s="23">
        <v>44902</v>
      </c>
      <c r="F5727">
        <v>60</v>
      </c>
      <c r="G5727" s="20">
        <v>0.06</v>
      </c>
      <c r="H5727">
        <f>F5727*VLOOKUP(B5727,產品!$A$2:$H$61,7,FALSE)*(1-銷售總表!G5727)</f>
        <v>101520</v>
      </c>
      <c r="I5727" s="35">
        <f>H5727-F5727*VLOOKUP(銷售總表!B5727,產品!$A$2:$H$61,8,FALSE)</f>
        <v>58320</v>
      </c>
      <c r="J5727" s="20">
        <f t="shared" si="89"/>
        <v>0.57446808510638303</v>
      </c>
    </row>
    <row r="5728" spans="1:10" x14ac:dyDescent="0.3">
      <c r="A5728" s="33">
        <v>5727</v>
      </c>
      <c r="B5728" s="4">
        <v>22</v>
      </c>
      <c r="C5728" s="15">
        <v>116</v>
      </c>
      <c r="D5728" s="16">
        <v>9</v>
      </c>
      <c r="E5728" s="22">
        <v>44902</v>
      </c>
      <c r="F5728" s="19">
        <v>125</v>
      </c>
      <c r="G5728" s="18">
        <v>0.11</v>
      </c>
      <c r="H5728">
        <f>F5728*VLOOKUP(B5728,產品!$A$2:$H$61,7,FALSE)*(1-銷售總表!G5728)</f>
        <v>200250</v>
      </c>
      <c r="I5728" s="35">
        <f>H5728-F5728*VLOOKUP(銷售總表!B5728,產品!$A$2:$H$61,8,FALSE)</f>
        <v>110250</v>
      </c>
      <c r="J5728" s="20">
        <f t="shared" si="89"/>
        <v>0.550561797752809</v>
      </c>
    </row>
    <row r="5729" spans="1:10" x14ac:dyDescent="0.3">
      <c r="A5729" s="33">
        <v>5728</v>
      </c>
      <c r="B5729" s="4">
        <v>31</v>
      </c>
      <c r="C5729" s="15">
        <v>2</v>
      </c>
      <c r="D5729" s="16">
        <v>3</v>
      </c>
      <c r="E5729" s="22">
        <v>44903</v>
      </c>
      <c r="F5729" s="19">
        <v>3</v>
      </c>
      <c r="G5729" s="18">
        <v>0.11</v>
      </c>
      <c r="H5729">
        <f>F5729*VLOOKUP(B5729,產品!$A$2:$H$61,7,FALSE)*(1-銷售總表!G5729)</f>
        <v>18690</v>
      </c>
      <c r="I5729" s="35">
        <f>H5729-F5729*VLOOKUP(銷售總表!B5729,產品!$A$2:$H$61,8,FALSE)</f>
        <v>6090</v>
      </c>
      <c r="J5729" s="20">
        <f t="shared" si="89"/>
        <v>0.3258426966292135</v>
      </c>
    </row>
    <row r="5730" spans="1:10" x14ac:dyDescent="0.3">
      <c r="A5730" s="33">
        <v>5729</v>
      </c>
      <c r="B5730" s="4">
        <v>30</v>
      </c>
      <c r="C5730" s="15">
        <v>287</v>
      </c>
      <c r="D5730" s="16">
        <v>4</v>
      </c>
      <c r="E5730" s="22">
        <v>44903</v>
      </c>
      <c r="F5730" s="19">
        <v>30</v>
      </c>
      <c r="G5730" s="18">
        <v>0.2</v>
      </c>
      <c r="H5730">
        <f>F5730*VLOOKUP(B5730,產品!$A$2:$H$61,7,FALSE)*(1-銷售總表!G5730)</f>
        <v>156000</v>
      </c>
      <c r="I5730" s="35">
        <f>H5730-F5730*VLOOKUP(銷售總表!B5730,產品!$A$2:$H$61,8,FALSE)</f>
        <v>39000</v>
      </c>
      <c r="J5730" s="20">
        <f t="shared" si="89"/>
        <v>0.25</v>
      </c>
    </row>
    <row r="5731" spans="1:10" x14ac:dyDescent="0.3">
      <c r="A5731" s="33">
        <v>5730</v>
      </c>
      <c r="B5731" s="4">
        <v>44</v>
      </c>
      <c r="C5731" s="15">
        <v>269</v>
      </c>
      <c r="D5731" s="16">
        <v>9</v>
      </c>
      <c r="E5731" s="22">
        <v>44904</v>
      </c>
      <c r="F5731" s="19">
        <v>3</v>
      </c>
      <c r="G5731" s="18">
        <v>0.1</v>
      </c>
      <c r="H5731">
        <f>F5731*VLOOKUP(B5731,產品!$A$2:$H$61,7,FALSE)*(1-銷售總表!G5731)</f>
        <v>54000</v>
      </c>
      <c r="I5731" s="35">
        <f>H5731-F5731*VLOOKUP(銷售總表!B5731,產品!$A$2:$H$61,8,FALSE)</f>
        <v>15000</v>
      </c>
      <c r="J5731" s="20">
        <f t="shared" si="89"/>
        <v>0.27777777777777779</v>
      </c>
    </row>
    <row r="5732" spans="1:10" x14ac:dyDescent="0.3">
      <c r="A5732" s="33">
        <v>5731</v>
      </c>
      <c r="B5732" s="4">
        <v>50</v>
      </c>
      <c r="C5732" s="15">
        <v>265</v>
      </c>
      <c r="D5732" s="16">
        <v>1</v>
      </c>
      <c r="E5732" s="22">
        <v>44904</v>
      </c>
      <c r="F5732" s="19">
        <v>3</v>
      </c>
      <c r="G5732" s="18">
        <v>0.1</v>
      </c>
      <c r="H5732">
        <f>F5732*VLOOKUP(B5732,產品!$A$2:$H$61,7,FALSE)*(1-銷售總表!G5732)</f>
        <v>48600</v>
      </c>
      <c r="I5732" s="35">
        <f>H5732-F5732*VLOOKUP(銷售總表!B5732,產品!$A$2:$H$61,8,FALSE)</f>
        <v>10800</v>
      </c>
      <c r="J5732" s="20">
        <f t="shared" si="89"/>
        <v>0.22222222222222221</v>
      </c>
    </row>
    <row r="5733" spans="1:10" x14ac:dyDescent="0.3">
      <c r="A5733" s="33">
        <v>5732</v>
      </c>
      <c r="B5733" s="4">
        <v>58</v>
      </c>
      <c r="C5733" s="15">
        <v>112</v>
      </c>
      <c r="D5733" s="16">
        <v>9</v>
      </c>
      <c r="E5733" s="22">
        <v>44904</v>
      </c>
      <c r="F5733" s="19">
        <v>6</v>
      </c>
      <c r="G5733" s="18">
        <v>0.11</v>
      </c>
      <c r="H5733">
        <f>F5733*VLOOKUP(B5733,產品!$A$2:$H$61,7,FALSE)*(1-銷售總表!G5733)</f>
        <v>112140</v>
      </c>
      <c r="I5733" s="35">
        <f>H5733-F5733*VLOOKUP(銷售總表!B5733,產品!$A$2:$H$61,8,FALSE)</f>
        <v>23940.000000000015</v>
      </c>
      <c r="J5733" s="20">
        <f t="shared" si="89"/>
        <v>0.21348314606741586</v>
      </c>
    </row>
    <row r="5734" spans="1:10" x14ac:dyDescent="0.3">
      <c r="A5734" s="33">
        <v>5733</v>
      </c>
      <c r="B5734" s="4">
        <v>40</v>
      </c>
      <c r="C5734" s="15">
        <v>5</v>
      </c>
      <c r="D5734" s="16">
        <v>3</v>
      </c>
      <c r="E5734" s="22">
        <v>44904</v>
      </c>
      <c r="F5734" s="19">
        <v>7</v>
      </c>
      <c r="G5734" s="18">
        <v>7.0000000000000007E-2</v>
      </c>
      <c r="H5734">
        <f>F5734*VLOOKUP(B5734,產品!$A$2:$H$61,7,FALSE)*(1-銷售總表!G5734)</f>
        <v>130199.99999999999</v>
      </c>
      <c r="I5734" s="35">
        <f>H5734-F5734*VLOOKUP(銷售總表!B5734,產品!$A$2:$H$61,8,FALSE)</f>
        <v>39199.999999999985</v>
      </c>
      <c r="J5734" s="20">
        <f t="shared" si="89"/>
        <v>0.3010752688172042</v>
      </c>
    </row>
    <row r="5735" spans="1:10" x14ac:dyDescent="0.3">
      <c r="A5735" s="33">
        <v>5734</v>
      </c>
      <c r="B5735" s="4">
        <v>36</v>
      </c>
      <c r="C5735" s="15">
        <v>258</v>
      </c>
      <c r="D5735" s="16">
        <v>2</v>
      </c>
      <c r="E5735" s="23">
        <v>44904</v>
      </c>
      <c r="F5735">
        <v>7</v>
      </c>
      <c r="G5735" s="20">
        <v>0.13</v>
      </c>
      <c r="H5735">
        <f>F5735*VLOOKUP(B5735,產品!$A$2:$H$61,7,FALSE)*(1-銷售總表!G5735)</f>
        <v>54810</v>
      </c>
      <c r="I5735" s="35">
        <f>H5735-F5735*VLOOKUP(銷售總表!B5735,產品!$A$2:$H$61,8,FALSE)</f>
        <v>17010</v>
      </c>
      <c r="J5735" s="20">
        <f t="shared" si="89"/>
        <v>0.31034482758620691</v>
      </c>
    </row>
    <row r="5736" spans="1:10" x14ac:dyDescent="0.3">
      <c r="A5736" s="33">
        <v>5735</v>
      </c>
      <c r="B5736" s="4">
        <v>51</v>
      </c>
      <c r="C5736" s="15">
        <v>123</v>
      </c>
      <c r="D5736" s="16">
        <v>8</v>
      </c>
      <c r="E5736" s="23">
        <v>44904</v>
      </c>
      <c r="F5736">
        <v>7</v>
      </c>
      <c r="G5736" s="20">
        <v>0.19</v>
      </c>
      <c r="H5736">
        <f>F5736*VLOOKUP(B5736,產品!$A$2:$H$61,7,FALSE)*(1-銷售總表!G5736)</f>
        <v>113400.00000000001</v>
      </c>
      <c r="I5736" s="35">
        <f>H5736-F5736*VLOOKUP(銷售總表!B5736,產品!$A$2:$H$61,8,FALSE)</f>
        <v>15400.000000000015</v>
      </c>
      <c r="J5736" s="20">
        <f t="shared" si="89"/>
        <v>0.13580246913580257</v>
      </c>
    </row>
    <row r="5737" spans="1:10" x14ac:dyDescent="0.3">
      <c r="A5737" s="33">
        <v>5736</v>
      </c>
      <c r="B5737" s="4">
        <v>12</v>
      </c>
      <c r="C5737" s="15">
        <v>4</v>
      </c>
      <c r="D5737" s="16">
        <v>10</v>
      </c>
      <c r="E5737" s="22">
        <v>44904</v>
      </c>
      <c r="F5737" s="19">
        <v>50</v>
      </c>
      <c r="G5737" s="18">
        <v>0.06</v>
      </c>
      <c r="H5737">
        <f>F5737*VLOOKUP(B5737,產品!$A$2:$H$61,7,FALSE)*(1-銷售總表!G5737)</f>
        <v>47000</v>
      </c>
      <c r="I5737" s="35">
        <f>H5737-F5737*VLOOKUP(銷售總表!B5737,產品!$A$2:$H$61,8,FALSE)</f>
        <v>27000</v>
      </c>
      <c r="J5737" s="20">
        <f t="shared" si="89"/>
        <v>0.57446808510638303</v>
      </c>
    </row>
    <row r="5738" spans="1:10" x14ac:dyDescent="0.3">
      <c r="A5738" s="33">
        <v>5737</v>
      </c>
      <c r="B5738" s="4">
        <v>5</v>
      </c>
      <c r="C5738" s="15">
        <v>122</v>
      </c>
      <c r="D5738" s="16">
        <v>8</v>
      </c>
      <c r="E5738" s="22">
        <v>44905</v>
      </c>
      <c r="F5738" s="19">
        <v>20</v>
      </c>
      <c r="G5738" s="18">
        <v>0.06</v>
      </c>
      <c r="H5738">
        <f>F5738*VLOOKUP(B5738,產品!$A$2:$H$61,7,FALSE)*(1-銷售總表!G5738)</f>
        <v>18800</v>
      </c>
      <c r="I5738" s="35">
        <f>H5738-F5738*VLOOKUP(銷售總表!B5738,產品!$A$2:$H$61,8,FALSE)</f>
        <v>10800</v>
      </c>
      <c r="J5738" s="20">
        <f t="shared" si="89"/>
        <v>0.57446808510638303</v>
      </c>
    </row>
    <row r="5739" spans="1:10" x14ac:dyDescent="0.3">
      <c r="A5739" s="33">
        <v>5738</v>
      </c>
      <c r="B5739" s="4">
        <v>9</v>
      </c>
      <c r="C5739" s="15">
        <v>273</v>
      </c>
      <c r="D5739" s="16">
        <v>2</v>
      </c>
      <c r="E5739" s="23">
        <v>44905</v>
      </c>
      <c r="F5739">
        <v>50</v>
      </c>
      <c r="G5739" s="20">
        <v>7.0000000000000007E-2</v>
      </c>
      <c r="H5739">
        <f>F5739*VLOOKUP(B5739,產品!$A$2:$H$61,7,FALSE)*(1-銷售總表!G5739)</f>
        <v>46500</v>
      </c>
      <c r="I5739" s="35">
        <f>H5739-F5739*VLOOKUP(銷售總表!B5739,產品!$A$2:$H$61,8,FALSE)</f>
        <v>26500</v>
      </c>
      <c r="J5739" s="20">
        <f t="shared" si="89"/>
        <v>0.56989247311827962</v>
      </c>
    </row>
    <row r="5740" spans="1:10" x14ac:dyDescent="0.3">
      <c r="A5740" s="33">
        <v>5739</v>
      </c>
      <c r="B5740" s="4">
        <v>60</v>
      </c>
      <c r="C5740" s="15">
        <v>265</v>
      </c>
      <c r="D5740" s="16">
        <v>9</v>
      </c>
      <c r="E5740" s="22">
        <v>44906</v>
      </c>
      <c r="F5740" s="19">
        <v>6</v>
      </c>
      <c r="G5740" s="18">
        <v>0.05</v>
      </c>
      <c r="H5740">
        <f>F5740*VLOOKUP(B5740,產品!$A$2:$H$61,7,FALSE)*(1-銷售總表!G5740)</f>
        <v>142500</v>
      </c>
      <c r="I5740" s="35">
        <f>H5740-F5740*VLOOKUP(銷售總表!B5740,產品!$A$2:$H$61,8,FALSE)</f>
        <v>37500</v>
      </c>
      <c r="J5740" s="20">
        <f t="shared" si="89"/>
        <v>0.26315789473684209</v>
      </c>
    </row>
    <row r="5741" spans="1:10" x14ac:dyDescent="0.3">
      <c r="A5741" s="33">
        <v>5740</v>
      </c>
      <c r="B5741" s="4">
        <v>53</v>
      </c>
      <c r="C5741" s="15">
        <v>8</v>
      </c>
      <c r="D5741" s="16">
        <v>7</v>
      </c>
      <c r="E5741" s="23">
        <v>44906</v>
      </c>
      <c r="F5741">
        <v>7</v>
      </c>
      <c r="G5741" s="20">
        <v>0.16</v>
      </c>
      <c r="H5741">
        <f>F5741*VLOOKUP(B5741,產品!$A$2:$H$61,7,FALSE)*(1-銷售總表!G5741)</f>
        <v>88200</v>
      </c>
      <c r="I5741" s="35">
        <f>H5741-F5741*VLOOKUP(銷售總表!B5741,產品!$A$2:$H$61,8,FALSE)</f>
        <v>14700</v>
      </c>
      <c r="J5741" s="20">
        <f t="shared" si="89"/>
        <v>0.16666666666666666</v>
      </c>
    </row>
    <row r="5742" spans="1:10" x14ac:dyDescent="0.3">
      <c r="A5742" s="33">
        <v>5741</v>
      </c>
      <c r="B5742" s="4">
        <v>5</v>
      </c>
      <c r="C5742" s="15">
        <v>290</v>
      </c>
      <c r="D5742" s="16">
        <v>10</v>
      </c>
      <c r="E5742" s="22">
        <v>44906</v>
      </c>
      <c r="F5742" s="19">
        <v>200</v>
      </c>
      <c r="G5742" s="18">
        <v>0.18</v>
      </c>
      <c r="H5742">
        <f>F5742*VLOOKUP(B5742,產品!$A$2:$H$61,7,FALSE)*(1-銷售總表!G5742)</f>
        <v>164000</v>
      </c>
      <c r="I5742" s="35">
        <f>H5742-F5742*VLOOKUP(銷售總表!B5742,產品!$A$2:$H$61,8,FALSE)</f>
        <v>84000</v>
      </c>
      <c r="J5742" s="20">
        <f t="shared" si="89"/>
        <v>0.51219512195121952</v>
      </c>
    </row>
    <row r="5743" spans="1:10" x14ac:dyDescent="0.3">
      <c r="A5743" s="33">
        <v>5742</v>
      </c>
      <c r="B5743" s="4">
        <v>48</v>
      </c>
      <c r="C5743" s="15">
        <v>10</v>
      </c>
      <c r="D5743" s="16">
        <v>1</v>
      </c>
      <c r="E5743" s="22">
        <v>44907</v>
      </c>
      <c r="F5743" s="19">
        <v>10</v>
      </c>
      <c r="G5743" s="18">
        <v>0.18</v>
      </c>
      <c r="H5743">
        <f>F5743*VLOOKUP(B5743,產品!$A$2:$H$61,7,FALSE)*(1-銷售總表!G5743)</f>
        <v>180400</v>
      </c>
      <c r="I5743" s="35">
        <f>H5743-F5743*VLOOKUP(銷售總表!B5743,產品!$A$2:$H$61,8,FALSE)</f>
        <v>37400</v>
      </c>
      <c r="J5743" s="20">
        <f t="shared" si="89"/>
        <v>0.2073170731707317</v>
      </c>
    </row>
    <row r="5744" spans="1:10" x14ac:dyDescent="0.3">
      <c r="A5744" s="33">
        <v>5743</v>
      </c>
      <c r="B5744" s="4">
        <v>18</v>
      </c>
      <c r="C5744" s="15">
        <v>276</v>
      </c>
      <c r="D5744" s="16">
        <v>6</v>
      </c>
      <c r="E5744" s="23">
        <v>44907</v>
      </c>
      <c r="F5744">
        <v>13</v>
      </c>
      <c r="G5744" s="20">
        <v>7.0000000000000007E-2</v>
      </c>
      <c r="H5744">
        <f>F5744*VLOOKUP(B5744,產品!$A$2:$H$61,7,FALSE)*(1-銷售總表!G5744)</f>
        <v>21762</v>
      </c>
      <c r="I5744" s="35">
        <f>H5744-F5744*VLOOKUP(銷售總表!B5744,產品!$A$2:$H$61,8,FALSE)</f>
        <v>12402</v>
      </c>
      <c r="J5744" s="20">
        <f t="shared" si="89"/>
        <v>0.56989247311827962</v>
      </c>
    </row>
    <row r="5745" spans="1:10" x14ac:dyDescent="0.3">
      <c r="A5745" s="33">
        <v>5744</v>
      </c>
      <c r="B5745" s="4">
        <v>40</v>
      </c>
      <c r="C5745" s="15">
        <v>278</v>
      </c>
      <c r="D5745" s="16">
        <v>10</v>
      </c>
      <c r="E5745" s="22">
        <v>44908</v>
      </c>
      <c r="F5745" s="19">
        <v>2</v>
      </c>
      <c r="G5745" s="18">
        <v>0.1</v>
      </c>
      <c r="H5745">
        <f>F5745*VLOOKUP(B5745,產品!$A$2:$H$61,7,FALSE)*(1-銷售總表!G5745)</f>
        <v>36000</v>
      </c>
      <c r="I5745" s="35">
        <f>H5745-F5745*VLOOKUP(銷售總表!B5745,產品!$A$2:$H$61,8,FALSE)</f>
        <v>10000</v>
      </c>
      <c r="J5745" s="20">
        <f t="shared" si="89"/>
        <v>0.27777777777777779</v>
      </c>
    </row>
    <row r="5746" spans="1:10" x14ac:dyDescent="0.3">
      <c r="A5746" s="33">
        <v>5745</v>
      </c>
      <c r="B5746" s="4">
        <v>48</v>
      </c>
      <c r="C5746" s="15">
        <v>9</v>
      </c>
      <c r="D5746" s="16">
        <v>3</v>
      </c>
      <c r="E5746" s="22">
        <v>44908</v>
      </c>
      <c r="F5746" s="19">
        <v>7</v>
      </c>
      <c r="G5746" s="18">
        <v>0.18</v>
      </c>
      <c r="H5746">
        <f>F5746*VLOOKUP(B5746,產品!$A$2:$H$61,7,FALSE)*(1-銷售總表!G5746)</f>
        <v>126280.00000000001</v>
      </c>
      <c r="I5746" s="35">
        <f>H5746-F5746*VLOOKUP(銷售總表!B5746,產品!$A$2:$H$61,8,FALSE)</f>
        <v>26180.000000000015</v>
      </c>
      <c r="J5746" s="20">
        <f t="shared" si="89"/>
        <v>0.20731707317073181</v>
      </c>
    </row>
    <row r="5747" spans="1:10" x14ac:dyDescent="0.3">
      <c r="A5747" s="33">
        <v>5746</v>
      </c>
      <c r="B5747" s="4">
        <v>60</v>
      </c>
      <c r="C5747" s="15">
        <v>5</v>
      </c>
      <c r="D5747" s="16">
        <v>5</v>
      </c>
      <c r="E5747" s="23">
        <v>44908</v>
      </c>
      <c r="F5747">
        <v>11</v>
      </c>
      <c r="G5747" s="20">
        <v>0.19</v>
      </c>
      <c r="H5747">
        <f>F5747*VLOOKUP(B5747,產品!$A$2:$H$61,7,FALSE)*(1-銷售總表!G5747)</f>
        <v>222750.00000000003</v>
      </c>
      <c r="I5747" s="35">
        <f>H5747-F5747*VLOOKUP(銷售總表!B5747,產品!$A$2:$H$61,8,FALSE)</f>
        <v>30250.000000000029</v>
      </c>
      <c r="J5747" s="20">
        <f t="shared" si="89"/>
        <v>0.13580246913580257</v>
      </c>
    </row>
    <row r="5748" spans="1:10" x14ac:dyDescent="0.3">
      <c r="A5748" s="33">
        <v>5747</v>
      </c>
      <c r="B5748" s="4">
        <v>49</v>
      </c>
      <c r="C5748" s="15">
        <v>123</v>
      </c>
      <c r="D5748" s="16">
        <v>3</v>
      </c>
      <c r="E5748" s="23">
        <v>44908</v>
      </c>
      <c r="F5748">
        <v>11</v>
      </c>
      <c r="G5748" s="20">
        <v>0.15</v>
      </c>
      <c r="H5748">
        <f>F5748*VLOOKUP(B5748,產品!$A$2:$H$61,7,FALSE)*(1-銷售總表!G5748)</f>
        <v>140250</v>
      </c>
      <c r="I5748" s="35">
        <f>H5748-F5748*VLOOKUP(銷售總表!B5748,產品!$A$2:$H$61,8,FALSE)</f>
        <v>24750</v>
      </c>
      <c r="J5748" s="20">
        <f t="shared" si="89"/>
        <v>0.17647058823529413</v>
      </c>
    </row>
    <row r="5749" spans="1:10" x14ac:dyDescent="0.3">
      <c r="A5749" s="33">
        <v>5748</v>
      </c>
      <c r="B5749" s="4">
        <v>23</v>
      </c>
      <c r="C5749" s="15">
        <v>5</v>
      </c>
      <c r="D5749" s="16">
        <v>9</v>
      </c>
      <c r="E5749" s="22">
        <v>44908</v>
      </c>
      <c r="F5749" s="19">
        <v>12</v>
      </c>
      <c r="G5749" s="18">
        <v>0.14000000000000001</v>
      </c>
      <c r="H5749">
        <f>F5749*VLOOKUP(B5749,產品!$A$2:$H$61,7,FALSE)*(1-銷售總表!G5749)</f>
        <v>18576</v>
      </c>
      <c r="I5749" s="35">
        <f>H5749-F5749*VLOOKUP(銷售總表!B5749,產品!$A$2:$H$61,8,FALSE)</f>
        <v>9936</v>
      </c>
      <c r="J5749" s="20">
        <f t="shared" si="89"/>
        <v>0.53488372093023251</v>
      </c>
    </row>
    <row r="5750" spans="1:10" x14ac:dyDescent="0.3">
      <c r="A5750" s="33">
        <v>5749</v>
      </c>
      <c r="B5750" s="4">
        <v>1</v>
      </c>
      <c r="C5750" s="15">
        <v>114</v>
      </c>
      <c r="D5750" s="16">
        <v>8</v>
      </c>
      <c r="E5750" s="22">
        <v>44908</v>
      </c>
      <c r="F5750" s="19">
        <v>14</v>
      </c>
      <c r="G5750" s="18">
        <v>0.15</v>
      </c>
      <c r="H5750">
        <f>F5750*VLOOKUP(B5750,產品!$A$2:$H$61,7,FALSE)*(1-銷售總表!G5750)</f>
        <v>11900</v>
      </c>
      <c r="I5750" s="35">
        <f>H5750-F5750*VLOOKUP(銷售總表!B5750,產品!$A$2:$H$61,8,FALSE)</f>
        <v>6300</v>
      </c>
      <c r="J5750" s="20">
        <f t="shared" si="89"/>
        <v>0.52941176470588236</v>
      </c>
    </row>
    <row r="5751" spans="1:10" x14ac:dyDescent="0.3">
      <c r="A5751" s="33">
        <v>5750</v>
      </c>
      <c r="B5751" s="4">
        <v>5</v>
      </c>
      <c r="C5751" s="15">
        <v>264</v>
      </c>
      <c r="D5751" s="16">
        <v>9</v>
      </c>
      <c r="E5751" s="22">
        <v>44908</v>
      </c>
      <c r="F5751" s="19">
        <v>16</v>
      </c>
      <c r="G5751" s="18">
        <v>0.13</v>
      </c>
      <c r="H5751">
        <f>F5751*VLOOKUP(B5751,產品!$A$2:$H$61,7,FALSE)*(1-銷售總表!G5751)</f>
        <v>13920</v>
      </c>
      <c r="I5751" s="35">
        <f>H5751-F5751*VLOOKUP(銷售總表!B5751,產品!$A$2:$H$61,8,FALSE)</f>
        <v>7520</v>
      </c>
      <c r="J5751" s="20">
        <f t="shared" si="89"/>
        <v>0.54022988505747127</v>
      </c>
    </row>
    <row r="5752" spans="1:10" x14ac:dyDescent="0.3">
      <c r="A5752" s="33">
        <v>5751</v>
      </c>
      <c r="B5752" s="4">
        <v>47</v>
      </c>
      <c r="C5752" s="15">
        <v>2</v>
      </c>
      <c r="D5752" s="16">
        <v>9</v>
      </c>
      <c r="E5752" s="23">
        <v>44908</v>
      </c>
      <c r="F5752">
        <v>17</v>
      </c>
      <c r="G5752" s="20">
        <v>0.15</v>
      </c>
      <c r="H5752">
        <f>F5752*VLOOKUP(B5752,產品!$A$2:$H$61,7,FALSE)*(1-銷售總表!G5752)</f>
        <v>289000</v>
      </c>
      <c r="I5752" s="35">
        <f>H5752-F5752*VLOOKUP(銷售總表!B5752,產品!$A$2:$H$61,8,FALSE)</f>
        <v>68000</v>
      </c>
      <c r="J5752" s="20">
        <f t="shared" si="89"/>
        <v>0.23529411764705882</v>
      </c>
    </row>
    <row r="5753" spans="1:10" x14ac:dyDescent="0.3">
      <c r="A5753" s="33">
        <v>5752</v>
      </c>
      <c r="B5753" s="4">
        <v>8</v>
      </c>
      <c r="C5753" s="15">
        <v>274</v>
      </c>
      <c r="D5753" s="16">
        <v>6</v>
      </c>
      <c r="E5753" s="22">
        <v>44908</v>
      </c>
      <c r="F5753" s="19">
        <v>80</v>
      </c>
      <c r="G5753" s="18">
        <v>0.12</v>
      </c>
      <c r="H5753">
        <f>F5753*VLOOKUP(B5753,產品!$A$2:$H$61,7,FALSE)*(1-銷售總表!G5753)</f>
        <v>70400</v>
      </c>
      <c r="I5753" s="35">
        <f>H5753-F5753*VLOOKUP(銷售總表!B5753,產品!$A$2:$H$61,8,FALSE)</f>
        <v>38400</v>
      </c>
      <c r="J5753" s="20">
        <f t="shared" si="89"/>
        <v>0.54545454545454541</v>
      </c>
    </row>
    <row r="5754" spans="1:10" x14ac:dyDescent="0.3">
      <c r="A5754" s="33">
        <v>5753</v>
      </c>
      <c r="B5754" s="4">
        <v>50</v>
      </c>
      <c r="C5754" s="15">
        <v>257</v>
      </c>
      <c r="D5754" s="16">
        <v>7</v>
      </c>
      <c r="E5754" s="23">
        <v>44909</v>
      </c>
      <c r="F5754">
        <v>8</v>
      </c>
      <c r="G5754" s="20">
        <v>0.05</v>
      </c>
      <c r="H5754">
        <f>F5754*VLOOKUP(B5754,產品!$A$2:$H$61,7,FALSE)*(1-銷售總表!G5754)</f>
        <v>136800</v>
      </c>
      <c r="I5754" s="35">
        <f>H5754-F5754*VLOOKUP(銷售總表!B5754,產品!$A$2:$H$61,8,FALSE)</f>
        <v>36000</v>
      </c>
      <c r="J5754" s="20">
        <f t="shared" si="89"/>
        <v>0.26315789473684209</v>
      </c>
    </row>
    <row r="5755" spans="1:10" x14ac:dyDescent="0.3">
      <c r="A5755" s="33">
        <v>5754</v>
      </c>
      <c r="B5755" s="4">
        <v>27</v>
      </c>
      <c r="C5755" s="15">
        <v>293</v>
      </c>
      <c r="D5755" s="16">
        <v>5</v>
      </c>
      <c r="E5755" s="22">
        <v>44909</v>
      </c>
      <c r="F5755" s="19">
        <v>20</v>
      </c>
      <c r="G5755" s="18">
        <v>0.17</v>
      </c>
      <c r="H5755">
        <f>F5755*VLOOKUP(B5755,產品!$A$2:$H$61,7,FALSE)*(1-銷售總表!G5755)</f>
        <v>116200</v>
      </c>
      <c r="I5755" s="35">
        <f>H5755-F5755*VLOOKUP(銷售總表!B5755,產品!$A$2:$H$61,8,FALSE)</f>
        <v>32200</v>
      </c>
      <c r="J5755" s="20">
        <f t="shared" si="89"/>
        <v>0.27710843373493976</v>
      </c>
    </row>
    <row r="5756" spans="1:10" x14ac:dyDescent="0.3">
      <c r="A5756" s="33">
        <v>5755</v>
      </c>
      <c r="B5756" s="4">
        <v>23</v>
      </c>
      <c r="C5756" s="15">
        <v>282</v>
      </c>
      <c r="D5756" s="16">
        <v>10</v>
      </c>
      <c r="E5756" s="22">
        <v>44909</v>
      </c>
      <c r="F5756" s="19">
        <v>50</v>
      </c>
      <c r="G5756" s="18">
        <v>0.09</v>
      </c>
      <c r="H5756">
        <f>F5756*VLOOKUP(B5756,產品!$A$2:$H$61,7,FALSE)*(1-銷售總表!G5756)</f>
        <v>81900</v>
      </c>
      <c r="I5756" s="35">
        <f>H5756-F5756*VLOOKUP(銷售總表!B5756,產品!$A$2:$H$61,8,FALSE)</f>
        <v>45900</v>
      </c>
      <c r="J5756" s="20">
        <f t="shared" si="89"/>
        <v>0.56043956043956045</v>
      </c>
    </row>
    <row r="5757" spans="1:10" x14ac:dyDescent="0.3">
      <c r="A5757" s="33">
        <v>5756</v>
      </c>
      <c r="B5757" s="4">
        <v>22</v>
      </c>
      <c r="C5757" s="15">
        <v>272</v>
      </c>
      <c r="D5757" s="16">
        <v>5</v>
      </c>
      <c r="E5757" s="22">
        <v>44909</v>
      </c>
      <c r="F5757" s="19">
        <v>70</v>
      </c>
      <c r="G5757" s="18">
        <v>0.05</v>
      </c>
      <c r="H5757">
        <f>F5757*VLOOKUP(B5757,產品!$A$2:$H$61,7,FALSE)*(1-銷售總表!G5757)</f>
        <v>119700</v>
      </c>
      <c r="I5757" s="35">
        <f>H5757-F5757*VLOOKUP(銷售總表!B5757,產品!$A$2:$H$61,8,FALSE)</f>
        <v>69300</v>
      </c>
      <c r="J5757" s="20">
        <f t="shared" si="89"/>
        <v>0.57894736842105265</v>
      </c>
    </row>
    <row r="5758" spans="1:10" x14ac:dyDescent="0.3">
      <c r="A5758" s="33">
        <v>5757</v>
      </c>
      <c r="B5758" s="4">
        <v>13</v>
      </c>
      <c r="C5758" s="15">
        <v>10</v>
      </c>
      <c r="D5758" s="16">
        <v>8</v>
      </c>
      <c r="E5758" s="22">
        <v>44909</v>
      </c>
      <c r="F5758" s="19">
        <v>125</v>
      </c>
      <c r="G5758" s="18">
        <v>0.13</v>
      </c>
      <c r="H5758">
        <f>F5758*VLOOKUP(B5758,產品!$A$2:$H$61,7,FALSE)*(1-銷售總表!G5758)</f>
        <v>195750</v>
      </c>
      <c r="I5758" s="35">
        <f>H5758-F5758*VLOOKUP(銷售總表!B5758,產品!$A$2:$H$61,8,FALSE)</f>
        <v>105750</v>
      </c>
      <c r="J5758" s="20">
        <f t="shared" si="89"/>
        <v>0.54022988505747127</v>
      </c>
    </row>
    <row r="5759" spans="1:10" x14ac:dyDescent="0.3">
      <c r="A5759" s="33">
        <v>5758</v>
      </c>
      <c r="B5759" s="4">
        <v>10</v>
      </c>
      <c r="C5759" s="15">
        <v>5</v>
      </c>
      <c r="D5759" s="16">
        <v>10</v>
      </c>
      <c r="E5759" s="22">
        <v>44909</v>
      </c>
      <c r="F5759" s="19">
        <v>225</v>
      </c>
      <c r="G5759" s="18">
        <v>0.1</v>
      </c>
      <c r="H5759">
        <f>F5759*VLOOKUP(B5759,產品!$A$2:$H$61,7,FALSE)*(1-銷售總表!G5759)</f>
        <v>202500</v>
      </c>
      <c r="I5759" s="35">
        <f>H5759-F5759*VLOOKUP(銷售總表!B5759,產品!$A$2:$H$61,8,FALSE)</f>
        <v>112500</v>
      </c>
      <c r="J5759" s="20">
        <f t="shared" si="89"/>
        <v>0.55555555555555558</v>
      </c>
    </row>
    <row r="5760" spans="1:10" x14ac:dyDescent="0.3">
      <c r="A5760" s="33">
        <v>5759</v>
      </c>
      <c r="B5760" s="4">
        <v>33</v>
      </c>
      <c r="C5760" s="15">
        <v>1</v>
      </c>
      <c r="D5760" s="16">
        <v>6</v>
      </c>
      <c r="E5760" s="23">
        <v>44910</v>
      </c>
      <c r="F5760">
        <v>1</v>
      </c>
      <c r="G5760" s="20">
        <v>0.19</v>
      </c>
      <c r="H5760">
        <f>F5760*VLOOKUP(B5760,產品!$A$2:$H$61,7,FALSE)*(1-銷售總表!G5760)</f>
        <v>6075</v>
      </c>
      <c r="I5760" s="35">
        <f>H5760-F5760*VLOOKUP(銷售總表!B5760,產品!$A$2:$H$61,8,FALSE)</f>
        <v>1575</v>
      </c>
      <c r="J5760" s="20">
        <f t="shared" si="89"/>
        <v>0.25925925925925924</v>
      </c>
    </row>
    <row r="5761" spans="1:10" x14ac:dyDescent="0.3">
      <c r="A5761" s="33">
        <v>5760</v>
      </c>
      <c r="B5761" s="4">
        <v>22</v>
      </c>
      <c r="C5761" s="15">
        <v>291</v>
      </c>
      <c r="D5761" s="16">
        <v>6</v>
      </c>
      <c r="E5761" s="23">
        <v>44910</v>
      </c>
      <c r="F5761">
        <v>9</v>
      </c>
      <c r="G5761" s="20">
        <v>0.15</v>
      </c>
      <c r="H5761">
        <f>F5761*VLOOKUP(B5761,產品!$A$2:$H$61,7,FALSE)*(1-銷售總表!G5761)</f>
        <v>13770</v>
      </c>
      <c r="I5761" s="35">
        <f>H5761-F5761*VLOOKUP(銷售總表!B5761,產品!$A$2:$H$61,8,FALSE)</f>
        <v>7290</v>
      </c>
      <c r="J5761" s="20">
        <f t="shared" si="89"/>
        <v>0.52941176470588236</v>
      </c>
    </row>
    <row r="5762" spans="1:10" x14ac:dyDescent="0.3">
      <c r="A5762" s="33">
        <v>5761</v>
      </c>
      <c r="B5762" s="4">
        <v>55</v>
      </c>
      <c r="C5762" s="15">
        <v>12</v>
      </c>
      <c r="D5762" s="16">
        <v>4</v>
      </c>
      <c r="E5762" s="23">
        <v>44910</v>
      </c>
      <c r="F5762">
        <v>10</v>
      </c>
      <c r="G5762" s="20">
        <v>0.06</v>
      </c>
      <c r="H5762">
        <f>F5762*VLOOKUP(B5762,產品!$A$2:$H$61,7,FALSE)*(1-銷售總表!G5762)</f>
        <v>188000</v>
      </c>
      <c r="I5762" s="35">
        <f>H5762-F5762*VLOOKUP(銷售總表!B5762,產品!$A$2:$H$61,8,FALSE)</f>
        <v>48000</v>
      </c>
      <c r="J5762" s="20">
        <f t="shared" si="89"/>
        <v>0.25531914893617019</v>
      </c>
    </row>
    <row r="5763" spans="1:10" x14ac:dyDescent="0.3">
      <c r="A5763" s="33">
        <v>5762</v>
      </c>
      <c r="B5763" s="4">
        <v>33</v>
      </c>
      <c r="C5763" s="15">
        <v>12</v>
      </c>
      <c r="D5763" s="16">
        <v>6</v>
      </c>
      <c r="E5763" s="22">
        <v>44910</v>
      </c>
      <c r="F5763" s="19">
        <v>12</v>
      </c>
      <c r="G5763" s="18">
        <v>7.0000000000000007E-2</v>
      </c>
      <c r="H5763">
        <f>F5763*VLOOKUP(B5763,產品!$A$2:$H$61,7,FALSE)*(1-銷售總表!G5763)</f>
        <v>83700</v>
      </c>
      <c r="I5763" s="35">
        <f>H5763-F5763*VLOOKUP(銷售總表!B5763,產品!$A$2:$H$61,8,FALSE)</f>
        <v>29700</v>
      </c>
      <c r="J5763" s="20">
        <f t="shared" ref="J5763:J5826" si="90">I5763/H5763</f>
        <v>0.35483870967741937</v>
      </c>
    </row>
    <row r="5764" spans="1:10" x14ac:dyDescent="0.3">
      <c r="A5764" s="33">
        <v>5763</v>
      </c>
      <c r="B5764" s="4">
        <v>19</v>
      </c>
      <c r="C5764" s="15">
        <v>257</v>
      </c>
      <c r="D5764" s="16">
        <v>2</v>
      </c>
      <c r="E5764" s="22">
        <v>44910</v>
      </c>
      <c r="F5764" s="19">
        <v>100</v>
      </c>
      <c r="G5764" s="18">
        <v>0.14000000000000001</v>
      </c>
      <c r="H5764">
        <f>F5764*VLOOKUP(B5764,產品!$A$2:$H$61,7,FALSE)*(1-銷售總表!G5764)</f>
        <v>154800</v>
      </c>
      <c r="I5764" s="35">
        <f>H5764-F5764*VLOOKUP(銷售總表!B5764,產品!$A$2:$H$61,8,FALSE)</f>
        <v>82800</v>
      </c>
      <c r="J5764" s="20">
        <f t="shared" si="90"/>
        <v>0.53488372093023251</v>
      </c>
    </row>
    <row r="5765" spans="1:10" x14ac:dyDescent="0.3">
      <c r="A5765" s="33">
        <v>5764</v>
      </c>
      <c r="B5765" s="4">
        <v>33</v>
      </c>
      <c r="C5765" s="15">
        <v>289</v>
      </c>
      <c r="D5765" s="16">
        <v>5</v>
      </c>
      <c r="E5765" s="22">
        <v>44911</v>
      </c>
      <c r="F5765" s="19">
        <v>2</v>
      </c>
      <c r="G5765" s="18">
        <v>0.16</v>
      </c>
      <c r="H5765">
        <f>F5765*VLOOKUP(B5765,產品!$A$2:$H$61,7,FALSE)*(1-銷售總表!G5765)</f>
        <v>12600</v>
      </c>
      <c r="I5765" s="35">
        <f>H5765-F5765*VLOOKUP(銷售總表!B5765,產品!$A$2:$H$61,8,FALSE)</f>
        <v>3600</v>
      </c>
      <c r="J5765" s="20">
        <f t="shared" si="90"/>
        <v>0.2857142857142857</v>
      </c>
    </row>
    <row r="5766" spans="1:10" x14ac:dyDescent="0.3">
      <c r="A5766" s="33">
        <v>5765</v>
      </c>
      <c r="B5766" s="4">
        <v>33</v>
      </c>
      <c r="C5766" s="15">
        <v>284</v>
      </c>
      <c r="D5766" s="16">
        <v>6</v>
      </c>
      <c r="E5766" s="22">
        <v>44911</v>
      </c>
      <c r="F5766" s="19">
        <v>7</v>
      </c>
      <c r="G5766" s="18">
        <v>0.06</v>
      </c>
      <c r="H5766">
        <f>F5766*VLOOKUP(B5766,產品!$A$2:$H$61,7,FALSE)*(1-銷售總表!G5766)</f>
        <v>49350</v>
      </c>
      <c r="I5766" s="35">
        <f>H5766-F5766*VLOOKUP(銷售總表!B5766,產品!$A$2:$H$61,8,FALSE)</f>
        <v>17850</v>
      </c>
      <c r="J5766" s="20">
        <f t="shared" si="90"/>
        <v>0.36170212765957449</v>
      </c>
    </row>
    <row r="5767" spans="1:10" x14ac:dyDescent="0.3">
      <c r="A5767" s="33">
        <v>5766</v>
      </c>
      <c r="B5767" s="4">
        <v>2</v>
      </c>
      <c r="C5767" s="15">
        <v>3</v>
      </c>
      <c r="D5767" s="16">
        <v>8</v>
      </c>
      <c r="E5767" s="22">
        <v>44911</v>
      </c>
      <c r="F5767" s="19">
        <v>30</v>
      </c>
      <c r="G5767" s="18">
        <v>0.1</v>
      </c>
      <c r="H5767">
        <f>F5767*VLOOKUP(B5767,產品!$A$2:$H$61,7,FALSE)*(1-銷售總表!G5767)</f>
        <v>27000</v>
      </c>
      <c r="I5767" s="35">
        <f>H5767-F5767*VLOOKUP(銷售總表!B5767,產品!$A$2:$H$61,8,FALSE)</f>
        <v>15000</v>
      </c>
      <c r="J5767" s="20">
        <f t="shared" si="90"/>
        <v>0.55555555555555558</v>
      </c>
    </row>
    <row r="5768" spans="1:10" x14ac:dyDescent="0.3">
      <c r="A5768" s="33">
        <v>5767</v>
      </c>
      <c r="B5768" s="4">
        <v>53</v>
      </c>
      <c r="C5768" s="15">
        <v>293</v>
      </c>
      <c r="D5768" s="16">
        <v>10</v>
      </c>
      <c r="E5768" s="22">
        <v>44912</v>
      </c>
      <c r="F5768" s="19">
        <v>9</v>
      </c>
      <c r="G5768" s="18">
        <v>0.19</v>
      </c>
      <c r="H5768">
        <f>F5768*VLOOKUP(B5768,產品!$A$2:$H$61,7,FALSE)*(1-銷售總表!G5768)</f>
        <v>109350</v>
      </c>
      <c r="I5768" s="35">
        <f>H5768-F5768*VLOOKUP(銷售總表!B5768,產品!$A$2:$H$61,8,FALSE)</f>
        <v>14850</v>
      </c>
      <c r="J5768" s="20">
        <f t="shared" si="90"/>
        <v>0.13580246913580246</v>
      </c>
    </row>
    <row r="5769" spans="1:10" x14ac:dyDescent="0.3">
      <c r="A5769" s="33">
        <v>5768</v>
      </c>
      <c r="B5769" s="4">
        <v>46</v>
      </c>
      <c r="C5769" s="15">
        <v>279</v>
      </c>
      <c r="D5769" s="16">
        <v>7</v>
      </c>
      <c r="E5769" s="22">
        <v>44912</v>
      </c>
      <c r="F5769" s="19">
        <v>12</v>
      </c>
      <c r="G5769" s="18">
        <v>0.16</v>
      </c>
      <c r="H5769">
        <f>F5769*VLOOKUP(B5769,產品!$A$2:$H$61,7,FALSE)*(1-銷售總表!G5769)</f>
        <v>171360</v>
      </c>
      <c r="I5769" s="35">
        <f>H5769-F5769*VLOOKUP(銷售總表!B5769,產品!$A$2:$H$61,8,FALSE)</f>
        <v>38760</v>
      </c>
      <c r="J5769" s="20">
        <f t="shared" si="90"/>
        <v>0.22619047619047619</v>
      </c>
    </row>
    <row r="5770" spans="1:10" x14ac:dyDescent="0.3">
      <c r="A5770" s="33">
        <v>5769</v>
      </c>
      <c r="B5770" s="4">
        <v>12</v>
      </c>
      <c r="C5770" s="15">
        <v>289</v>
      </c>
      <c r="D5770" s="16">
        <v>5</v>
      </c>
      <c r="E5770" s="22">
        <v>44912</v>
      </c>
      <c r="F5770" s="19">
        <v>200</v>
      </c>
      <c r="G5770" s="18">
        <v>0.15</v>
      </c>
      <c r="H5770">
        <f>F5770*VLOOKUP(B5770,產品!$A$2:$H$61,7,FALSE)*(1-銷售總表!G5770)</f>
        <v>170000</v>
      </c>
      <c r="I5770" s="35">
        <f>H5770-F5770*VLOOKUP(銷售總表!B5770,產品!$A$2:$H$61,8,FALSE)</f>
        <v>90000</v>
      </c>
      <c r="J5770" s="20">
        <f t="shared" si="90"/>
        <v>0.52941176470588236</v>
      </c>
    </row>
    <row r="5771" spans="1:10" x14ac:dyDescent="0.3">
      <c r="A5771" s="33">
        <v>5770</v>
      </c>
      <c r="B5771" s="4">
        <v>55</v>
      </c>
      <c r="C5771" s="15">
        <v>261</v>
      </c>
      <c r="D5771" s="16">
        <v>4</v>
      </c>
      <c r="E5771" s="22">
        <v>44913</v>
      </c>
      <c r="F5771" s="19">
        <v>10</v>
      </c>
      <c r="G5771" s="18">
        <v>0.09</v>
      </c>
      <c r="H5771">
        <f>F5771*VLOOKUP(B5771,產品!$A$2:$H$61,7,FALSE)*(1-銷售總表!G5771)</f>
        <v>182000</v>
      </c>
      <c r="I5771" s="35">
        <f>H5771-F5771*VLOOKUP(銷售總表!B5771,產品!$A$2:$H$61,8,FALSE)</f>
        <v>42000</v>
      </c>
      <c r="J5771" s="20">
        <f t="shared" si="90"/>
        <v>0.23076923076923078</v>
      </c>
    </row>
    <row r="5772" spans="1:10" x14ac:dyDescent="0.3">
      <c r="A5772" s="33">
        <v>5771</v>
      </c>
      <c r="B5772" s="4">
        <v>23</v>
      </c>
      <c r="C5772" s="15">
        <v>257</v>
      </c>
      <c r="D5772" s="16">
        <v>9</v>
      </c>
      <c r="E5772" s="22">
        <v>44913</v>
      </c>
      <c r="F5772" s="19">
        <v>15</v>
      </c>
      <c r="G5772" s="18">
        <v>0.17</v>
      </c>
      <c r="H5772">
        <f>F5772*VLOOKUP(B5772,產品!$A$2:$H$61,7,FALSE)*(1-銷售總表!G5772)</f>
        <v>22410</v>
      </c>
      <c r="I5772" s="35">
        <f>H5772-F5772*VLOOKUP(銷售總表!B5772,產品!$A$2:$H$61,8,FALSE)</f>
        <v>11610</v>
      </c>
      <c r="J5772" s="20">
        <f t="shared" si="90"/>
        <v>0.51807228915662651</v>
      </c>
    </row>
    <row r="5773" spans="1:10" x14ac:dyDescent="0.3">
      <c r="A5773" s="33">
        <v>5772</v>
      </c>
      <c r="B5773" s="4">
        <v>23</v>
      </c>
      <c r="C5773" s="15">
        <v>285</v>
      </c>
      <c r="D5773" s="16">
        <v>5</v>
      </c>
      <c r="E5773" s="23">
        <v>44913</v>
      </c>
      <c r="F5773">
        <v>40</v>
      </c>
      <c r="G5773" s="20">
        <v>0.14000000000000001</v>
      </c>
      <c r="H5773">
        <f>F5773*VLOOKUP(B5773,產品!$A$2:$H$61,7,FALSE)*(1-銷售總表!G5773)</f>
        <v>61920</v>
      </c>
      <c r="I5773" s="35">
        <f>H5773-F5773*VLOOKUP(銷售總表!B5773,產品!$A$2:$H$61,8,FALSE)</f>
        <v>33120</v>
      </c>
      <c r="J5773" s="20">
        <f t="shared" si="90"/>
        <v>0.53488372093023251</v>
      </c>
    </row>
    <row r="5774" spans="1:10" x14ac:dyDescent="0.3">
      <c r="A5774" s="33">
        <v>5773</v>
      </c>
      <c r="B5774" s="4">
        <v>16</v>
      </c>
      <c r="C5774" s="15">
        <v>126</v>
      </c>
      <c r="D5774" s="16">
        <v>10</v>
      </c>
      <c r="E5774" s="22">
        <v>44913</v>
      </c>
      <c r="F5774" s="19">
        <v>40</v>
      </c>
      <c r="G5774" s="18">
        <v>0.15</v>
      </c>
      <c r="H5774">
        <f>F5774*VLOOKUP(B5774,產品!$A$2:$H$61,7,FALSE)*(1-銷售總表!G5774)</f>
        <v>61200</v>
      </c>
      <c r="I5774" s="35">
        <f>H5774-F5774*VLOOKUP(銷售總表!B5774,產品!$A$2:$H$61,8,FALSE)</f>
        <v>32400</v>
      </c>
      <c r="J5774" s="20">
        <f t="shared" si="90"/>
        <v>0.52941176470588236</v>
      </c>
    </row>
    <row r="5775" spans="1:10" x14ac:dyDescent="0.3">
      <c r="A5775" s="33">
        <v>5774</v>
      </c>
      <c r="B5775" s="4">
        <v>15</v>
      </c>
      <c r="C5775" s="15">
        <v>275</v>
      </c>
      <c r="D5775" s="16">
        <v>3</v>
      </c>
      <c r="E5775" s="22">
        <v>44913</v>
      </c>
      <c r="F5775" s="19">
        <v>60</v>
      </c>
      <c r="G5775" s="18">
        <v>0.14000000000000001</v>
      </c>
      <c r="H5775">
        <f>F5775*VLOOKUP(B5775,產品!$A$2:$H$61,7,FALSE)*(1-銷售總表!G5775)</f>
        <v>92880</v>
      </c>
      <c r="I5775" s="35">
        <f>H5775-F5775*VLOOKUP(銷售總表!B5775,產品!$A$2:$H$61,8,FALSE)</f>
        <v>49680</v>
      </c>
      <c r="J5775" s="20">
        <f t="shared" si="90"/>
        <v>0.53488372093023251</v>
      </c>
    </row>
    <row r="5776" spans="1:10" x14ac:dyDescent="0.3">
      <c r="A5776" s="33">
        <v>5775</v>
      </c>
      <c r="B5776" s="4">
        <v>42</v>
      </c>
      <c r="C5776" s="15">
        <v>115</v>
      </c>
      <c r="D5776" s="16">
        <v>5</v>
      </c>
      <c r="E5776" s="22">
        <v>44914</v>
      </c>
      <c r="F5776" s="19">
        <v>3</v>
      </c>
      <c r="G5776" s="18">
        <v>7.0000000000000007E-2</v>
      </c>
      <c r="H5776">
        <f>F5776*VLOOKUP(B5776,產品!$A$2:$H$61,7,FALSE)*(1-銷售總表!G5776)</f>
        <v>41850</v>
      </c>
      <c r="I5776" s="35">
        <f>H5776-F5776*VLOOKUP(銷售總表!B5776,產品!$A$2:$H$61,8,FALSE)</f>
        <v>12600</v>
      </c>
      <c r="J5776" s="20">
        <f t="shared" si="90"/>
        <v>0.30107526881720431</v>
      </c>
    </row>
    <row r="5777" spans="1:10" x14ac:dyDescent="0.3">
      <c r="A5777" s="33">
        <v>5776</v>
      </c>
      <c r="B5777" s="4">
        <v>39</v>
      </c>
      <c r="C5777" s="15">
        <v>136</v>
      </c>
      <c r="D5777" s="16">
        <v>6</v>
      </c>
      <c r="E5777" s="22">
        <v>44914</v>
      </c>
      <c r="F5777" s="19">
        <v>4</v>
      </c>
      <c r="G5777" s="18">
        <v>0.17</v>
      </c>
      <c r="H5777">
        <f>F5777*VLOOKUP(B5777,產品!$A$2:$H$61,7,FALSE)*(1-銷售總表!G5777)</f>
        <v>59760</v>
      </c>
      <c r="I5777" s="35">
        <f>H5777-F5777*VLOOKUP(銷售總表!B5777,產品!$A$2:$H$61,8,FALSE)</f>
        <v>12960</v>
      </c>
      <c r="J5777" s="20">
        <f t="shared" si="90"/>
        <v>0.21686746987951808</v>
      </c>
    </row>
    <row r="5778" spans="1:10" x14ac:dyDescent="0.3">
      <c r="A5778" s="33">
        <v>5777</v>
      </c>
      <c r="B5778" s="4">
        <v>29</v>
      </c>
      <c r="C5778" s="15">
        <v>263</v>
      </c>
      <c r="D5778" s="16">
        <v>3</v>
      </c>
      <c r="E5778" s="22">
        <v>44914</v>
      </c>
      <c r="F5778" s="19">
        <v>6</v>
      </c>
      <c r="G5778" s="18">
        <v>0.14000000000000001</v>
      </c>
      <c r="H5778">
        <f>F5778*VLOOKUP(B5778,產品!$A$2:$H$61,7,FALSE)*(1-銷售總表!G5778)</f>
        <v>30960</v>
      </c>
      <c r="I5778" s="35">
        <f>H5778-F5778*VLOOKUP(銷售總表!B5778,產品!$A$2:$H$61,8,FALSE)</f>
        <v>9360</v>
      </c>
      <c r="J5778" s="20">
        <f t="shared" si="90"/>
        <v>0.30232558139534882</v>
      </c>
    </row>
    <row r="5779" spans="1:10" x14ac:dyDescent="0.3">
      <c r="A5779" s="33">
        <v>5778</v>
      </c>
      <c r="B5779" s="4">
        <v>43</v>
      </c>
      <c r="C5779" s="15">
        <v>276</v>
      </c>
      <c r="D5779" s="16">
        <v>4</v>
      </c>
      <c r="E5779" s="22">
        <v>44914</v>
      </c>
      <c r="F5779" s="19">
        <v>9</v>
      </c>
      <c r="G5779" s="18">
        <v>0.14000000000000001</v>
      </c>
      <c r="H5779">
        <f>F5779*VLOOKUP(B5779,產品!$A$2:$H$61,7,FALSE)*(1-銷售總表!G5779)</f>
        <v>139320</v>
      </c>
      <c r="I5779" s="35">
        <f>H5779-F5779*VLOOKUP(銷售總表!B5779,產品!$A$2:$H$61,8,FALSE)</f>
        <v>34020</v>
      </c>
      <c r="J5779" s="20">
        <f t="shared" si="90"/>
        <v>0.2441860465116279</v>
      </c>
    </row>
    <row r="5780" spans="1:10" x14ac:dyDescent="0.3">
      <c r="A5780" s="33">
        <v>5779</v>
      </c>
      <c r="B5780" s="4">
        <v>53</v>
      </c>
      <c r="C5780" s="15">
        <v>265</v>
      </c>
      <c r="D5780" s="16">
        <v>7</v>
      </c>
      <c r="E5780" s="23">
        <v>44914</v>
      </c>
      <c r="F5780">
        <v>10</v>
      </c>
      <c r="G5780" s="20">
        <v>0.2</v>
      </c>
      <c r="H5780">
        <f>F5780*VLOOKUP(B5780,產品!$A$2:$H$61,7,FALSE)*(1-銷售總表!G5780)</f>
        <v>120000</v>
      </c>
      <c r="I5780" s="35">
        <f>H5780-F5780*VLOOKUP(銷售總表!B5780,產品!$A$2:$H$61,8,FALSE)</f>
        <v>15000</v>
      </c>
      <c r="J5780" s="20">
        <f t="shared" si="90"/>
        <v>0.125</v>
      </c>
    </row>
    <row r="5781" spans="1:10" x14ac:dyDescent="0.3">
      <c r="A5781" s="33">
        <v>5780</v>
      </c>
      <c r="B5781" s="4">
        <v>46</v>
      </c>
      <c r="C5781" s="15">
        <v>258</v>
      </c>
      <c r="D5781" s="16">
        <v>2</v>
      </c>
      <c r="E5781" s="22">
        <v>44914</v>
      </c>
      <c r="F5781" s="19">
        <v>11</v>
      </c>
      <c r="G5781" s="18">
        <v>0.15</v>
      </c>
      <c r="H5781">
        <f>F5781*VLOOKUP(B5781,產品!$A$2:$H$61,7,FALSE)*(1-銷售總表!G5781)</f>
        <v>158950</v>
      </c>
      <c r="I5781" s="35">
        <f>H5781-F5781*VLOOKUP(銷售總表!B5781,產品!$A$2:$H$61,8,FALSE)</f>
        <v>37400</v>
      </c>
      <c r="J5781" s="20">
        <f t="shared" si="90"/>
        <v>0.23529411764705882</v>
      </c>
    </row>
    <row r="5782" spans="1:10" x14ac:dyDescent="0.3">
      <c r="A5782" s="33">
        <v>5781</v>
      </c>
      <c r="B5782" s="4">
        <v>33</v>
      </c>
      <c r="C5782" s="15">
        <v>275</v>
      </c>
      <c r="D5782" s="16">
        <v>9</v>
      </c>
      <c r="E5782" s="23">
        <v>44915</v>
      </c>
      <c r="F5782">
        <v>30</v>
      </c>
      <c r="G5782" s="20">
        <v>0.09</v>
      </c>
      <c r="H5782">
        <f>F5782*VLOOKUP(B5782,產品!$A$2:$H$61,7,FALSE)*(1-銷售總表!G5782)</f>
        <v>204750</v>
      </c>
      <c r="I5782" s="35">
        <f>H5782-F5782*VLOOKUP(銷售總表!B5782,產品!$A$2:$H$61,8,FALSE)</f>
        <v>69750</v>
      </c>
      <c r="J5782" s="20">
        <f t="shared" si="90"/>
        <v>0.34065934065934067</v>
      </c>
    </row>
    <row r="5783" spans="1:10" x14ac:dyDescent="0.3">
      <c r="A5783" s="33">
        <v>5782</v>
      </c>
      <c r="B5783" s="4">
        <v>58</v>
      </c>
      <c r="C5783" s="15">
        <v>273</v>
      </c>
      <c r="D5783" s="16">
        <v>6</v>
      </c>
      <c r="E5783" s="22">
        <v>44916</v>
      </c>
      <c r="F5783" s="19">
        <v>3</v>
      </c>
      <c r="G5783" s="18">
        <v>0.13</v>
      </c>
      <c r="H5783">
        <f>F5783*VLOOKUP(B5783,產品!$A$2:$H$61,7,FALSE)*(1-銷售總表!G5783)</f>
        <v>54810</v>
      </c>
      <c r="I5783" s="35">
        <f>H5783-F5783*VLOOKUP(銷售總表!B5783,產品!$A$2:$H$61,8,FALSE)</f>
        <v>10710.000000000007</v>
      </c>
      <c r="J5783" s="20">
        <f t="shared" si="90"/>
        <v>0.19540229885057483</v>
      </c>
    </row>
    <row r="5784" spans="1:10" x14ac:dyDescent="0.3">
      <c r="A5784" s="33">
        <v>5783</v>
      </c>
      <c r="B5784" s="4">
        <v>26</v>
      </c>
      <c r="C5784" s="15">
        <v>294</v>
      </c>
      <c r="D5784" s="16">
        <v>7</v>
      </c>
      <c r="E5784" s="22">
        <v>44916</v>
      </c>
      <c r="F5784" s="19">
        <v>4</v>
      </c>
      <c r="G5784" s="18">
        <v>0.08</v>
      </c>
      <c r="H5784">
        <f>F5784*VLOOKUP(B5784,產品!$A$2:$H$61,7,FALSE)*(1-銷售總表!G5784)</f>
        <v>23920</v>
      </c>
      <c r="I5784" s="35">
        <f>H5784-F5784*VLOOKUP(銷售總表!B5784,產品!$A$2:$H$61,8,FALSE)</f>
        <v>8320</v>
      </c>
      <c r="J5784" s="20">
        <f t="shared" si="90"/>
        <v>0.34782608695652173</v>
      </c>
    </row>
    <row r="5785" spans="1:10" x14ac:dyDescent="0.3">
      <c r="A5785" s="33">
        <v>5784</v>
      </c>
      <c r="B5785" s="4">
        <v>2</v>
      </c>
      <c r="C5785" s="15">
        <v>115</v>
      </c>
      <c r="D5785" s="16">
        <v>10</v>
      </c>
      <c r="E5785" s="23">
        <v>44916</v>
      </c>
      <c r="F5785">
        <v>40</v>
      </c>
      <c r="G5785" s="20">
        <v>0.13</v>
      </c>
      <c r="H5785">
        <f>F5785*VLOOKUP(B5785,產品!$A$2:$H$61,7,FALSE)*(1-銷售總表!G5785)</f>
        <v>34800</v>
      </c>
      <c r="I5785" s="35">
        <f>H5785-F5785*VLOOKUP(銷售總表!B5785,產品!$A$2:$H$61,8,FALSE)</f>
        <v>18800</v>
      </c>
      <c r="J5785" s="20">
        <f t="shared" si="90"/>
        <v>0.54022988505747127</v>
      </c>
    </row>
    <row r="5786" spans="1:10" x14ac:dyDescent="0.3">
      <c r="A5786" s="33">
        <v>5785</v>
      </c>
      <c r="B5786" s="4">
        <v>5</v>
      </c>
      <c r="C5786" s="15">
        <v>11</v>
      </c>
      <c r="D5786" s="16">
        <v>10</v>
      </c>
      <c r="E5786" s="22">
        <v>44916</v>
      </c>
      <c r="F5786" s="19">
        <v>60</v>
      </c>
      <c r="G5786" s="18">
        <v>0.1</v>
      </c>
      <c r="H5786">
        <f>F5786*VLOOKUP(B5786,產品!$A$2:$H$61,7,FALSE)*(1-銷售總表!G5786)</f>
        <v>54000</v>
      </c>
      <c r="I5786" s="35">
        <f>H5786-F5786*VLOOKUP(銷售總表!B5786,產品!$A$2:$H$61,8,FALSE)</f>
        <v>30000</v>
      </c>
      <c r="J5786" s="20">
        <f t="shared" si="90"/>
        <v>0.55555555555555558</v>
      </c>
    </row>
    <row r="5787" spans="1:10" x14ac:dyDescent="0.3">
      <c r="A5787" s="33">
        <v>5786</v>
      </c>
      <c r="B5787" s="4">
        <v>9</v>
      </c>
      <c r="C5787" s="15">
        <v>272</v>
      </c>
      <c r="D5787" s="16">
        <v>2</v>
      </c>
      <c r="E5787" s="22">
        <v>44916</v>
      </c>
      <c r="F5787" s="19">
        <v>60</v>
      </c>
      <c r="G5787" s="18">
        <v>0.18</v>
      </c>
      <c r="H5787">
        <f>F5787*VLOOKUP(B5787,產品!$A$2:$H$61,7,FALSE)*(1-銷售總表!G5787)</f>
        <v>49200.000000000007</v>
      </c>
      <c r="I5787" s="35">
        <f>H5787-F5787*VLOOKUP(銷售總表!B5787,產品!$A$2:$H$61,8,FALSE)</f>
        <v>25200.000000000007</v>
      </c>
      <c r="J5787" s="20">
        <f t="shared" si="90"/>
        <v>0.51219512195121963</v>
      </c>
    </row>
    <row r="5788" spans="1:10" x14ac:dyDescent="0.3">
      <c r="A5788" s="33">
        <v>5787</v>
      </c>
      <c r="B5788" s="4">
        <v>11</v>
      </c>
      <c r="C5788" s="15">
        <v>12</v>
      </c>
      <c r="D5788" s="16">
        <v>4</v>
      </c>
      <c r="E5788" s="22">
        <v>44916</v>
      </c>
      <c r="F5788" s="19">
        <v>90</v>
      </c>
      <c r="G5788" s="18">
        <v>0.15</v>
      </c>
      <c r="H5788">
        <f>F5788*VLOOKUP(B5788,產品!$A$2:$H$61,7,FALSE)*(1-銷售總表!G5788)</f>
        <v>76500</v>
      </c>
      <c r="I5788" s="35">
        <f>H5788-F5788*VLOOKUP(銷售總表!B5788,產品!$A$2:$H$61,8,FALSE)</f>
        <v>40500</v>
      </c>
      <c r="J5788" s="20">
        <f t="shared" si="90"/>
        <v>0.52941176470588236</v>
      </c>
    </row>
    <row r="5789" spans="1:10" x14ac:dyDescent="0.3">
      <c r="A5789" s="33">
        <v>5788</v>
      </c>
      <c r="B5789" s="4">
        <v>9</v>
      </c>
      <c r="C5789" s="15">
        <v>257</v>
      </c>
      <c r="D5789" s="16">
        <v>9</v>
      </c>
      <c r="E5789" s="23">
        <v>44916</v>
      </c>
      <c r="F5789">
        <v>250</v>
      </c>
      <c r="G5789" s="20">
        <v>0.2</v>
      </c>
      <c r="H5789">
        <f>F5789*VLOOKUP(B5789,產品!$A$2:$H$61,7,FALSE)*(1-銷售總表!G5789)</f>
        <v>200000</v>
      </c>
      <c r="I5789" s="35">
        <f>H5789-F5789*VLOOKUP(銷售總表!B5789,產品!$A$2:$H$61,8,FALSE)</f>
        <v>100000</v>
      </c>
      <c r="J5789" s="20">
        <f t="shared" si="90"/>
        <v>0.5</v>
      </c>
    </row>
    <row r="5790" spans="1:10" x14ac:dyDescent="0.3">
      <c r="A5790" s="33">
        <v>5789</v>
      </c>
      <c r="B5790" s="4">
        <v>50</v>
      </c>
      <c r="C5790" s="15">
        <v>126</v>
      </c>
      <c r="D5790" s="16">
        <v>6</v>
      </c>
      <c r="E5790" s="22">
        <v>44917</v>
      </c>
      <c r="F5790" s="19">
        <v>4</v>
      </c>
      <c r="G5790" s="18">
        <v>0.1</v>
      </c>
      <c r="H5790">
        <f>F5790*VLOOKUP(B5790,產品!$A$2:$H$61,7,FALSE)*(1-銷售總表!G5790)</f>
        <v>64800</v>
      </c>
      <c r="I5790" s="35">
        <f>H5790-F5790*VLOOKUP(銷售總表!B5790,產品!$A$2:$H$61,8,FALSE)</f>
        <v>14400</v>
      </c>
      <c r="J5790" s="20">
        <f t="shared" si="90"/>
        <v>0.22222222222222221</v>
      </c>
    </row>
    <row r="5791" spans="1:10" x14ac:dyDescent="0.3">
      <c r="A5791" s="33">
        <v>5790</v>
      </c>
      <c r="B5791" s="4">
        <v>30</v>
      </c>
      <c r="C5791" s="15">
        <v>285</v>
      </c>
      <c r="D5791" s="16">
        <v>4</v>
      </c>
      <c r="E5791" s="22">
        <v>44917</v>
      </c>
      <c r="F5791" s="19">
        <v>9</v>
      </c>
      <c r="G5791" s="18">
        <v>0.18</v>
      </c>
      <c r="H5791">
        <f>F5791*VLOOKUP(B5791,產品!$A$2:$H$61,7,FALSE)*(1-銷售總表!G5791)</f>
        <v>47970</v>
      </c>
      <c r="I5791" s="35">
        <f>H5791-F5791*VLOOKUP(銷售總表!B5791,產品!$A$2:$H$61,8,FALSE)</f>
        <v>12870</v>
      </c>
      <c r="J5791" s="20">
        <f t="shared" si="90"/>
        <v>0.26829268292682928</v>
      </c>
    </row>
    <row r="5792" spans="1:10" x14ac:dyDescent="0.3">
      <c r="A5792" s="33">
        <v>5791</v>
      </c>
      <c r="B5792" s="4">
        <v>24</v>
      </c>
      <c r="C5792" s="15">
        <v>269</v>
      </c>
      <c r="D5792" s="16">
        <v>9</v>
      </c>
      <c r="E5792" s="22">
        <v>44917</v>
      </c>
      <c r="F5792" s="19">
        <v>10</v>
      </c>
      <c r="G5792" s="18">
        <v>0.16</v>
      </c>
      <c r="H5792">
        <f>F5792*VLOOKUP(B5792,產品!$A$2:$H$61,7,FALSE)*(1-銷售總表!G5792)</f>
        <v>15120</v>
      </c>
      <c r="I5792" s="35">
        <f>H5792-F5792*VLOOKUP(銷售總表!B5792,產品!$A$2:$H$61,8,FALSE)</f>
        <v>7920</v>
      </c>
      <c r="J5792" s="20">
        <f t="shared" si="90"/>
        <v>0.52380952380952384</v>
      </c>
    </row>
    <row r="5793" spans="1:10" x14ac:dyDescent="0.3">
      <c r="A5793" s="33">
        <v>5792</v>
      </c>
      <c r="B5793" s="4">
        <v>51</v>
      </c>
      <c r="C5793" s="15">
        <v>116</v>
      </c>
      <c r="D5793" s="16">
        <v>4</v>
      </c>
      <c r="E5793" s="22">
        <v>44917</v>
      </c>
      <c r="F5793" s="19">
        <v>10</v>
      </c>
      <c r="G5793" s="18">
        <v>0.09</v>
      </c>
      <c r="H5793">
        <f>F5793*VLOOKUP(B5793,產品!$A$2:$H$61,7,FALSE)*(1-銷售總表!G5793)</f>
        <v>182000</v>
      </c>
      <c r="I5793" s="35">
        <f>H5793-F5793*VLOOKUP(銷售總表!B5793,產品!$A$2:$H$61,8,FALSE)</f>
        <v>42000</v>
      </c>
      <c r="J5793" s="20">
        <f t="shared" si="90"/>
        <v>0.23076923076923078</v>
      </c>
    </row>
    <row r="5794" spans="1:10" x14ac:dyDescent="0.3">
      <c r="A5794" s="33">
        <v>5793</v>
      </c>
      <c r="B5794" s="4">
        <v>48</v>
      </c>
      <c r="C5794" s="15">
        <v>272</v>
      </c>
      <c r="D5794" s="16">
        <v>2</v>
      </c>
      <c r="E5794" s="22">
        <v>44917</v>
      </c>
      <c r="F5794" s="19">
        <v>10</v>
      </c>
      <c r="G5794" s="18">
        <v>0.17</v>
      </c>
      <c r="H5794">
        <f>F5794*VLOOKUP(B5794,產品!$A$2:$H$61,7,FALSE)*(1-銷售總表!G5794)</f>
        <v>182600</v>
      </c>
      <c r="I5794" s="35">
        <f>H5794-F5794*VLOOKUP(銷售總表!B5794,產品!$A$2:$H$61,8,FALSE)</f>
        <v>39600</v>
      </c>
      <c r="J5794" s="20">
        <f t="shared" si="90"/>
        <v>0.21686746987951808</v>
      </c>
    </row>
    <row r="5795" spans="1:10" x14ac:dyDescent="0.3">
      <c r="A5795" s="33">
        <v>5794</v>
      </c>
      <c r="B5795" s="4">
        <v>23</v>
      </c>
      <c r="C5795" s="15">
        <v>268</v>
      </c>
      <c r="D5795" s="16">
        <v>9</v>
      </c>
      <c r="E5795" s="23">
        <v>44917</v>
      </c>
      <c r="F5795">
        <v>60</v>
      </c>
      <c r="G5795" s="20">
        <v>0.1</v>
      </c>
      <c r="H5795">
        <f>F5795*VLOOKUP(B5795,產品!$A$2:$H$61,7,FALSE)*(1-銷售總表!G5795)</f>
        <v>97200</v>
      </c>
      <c r="I5795" s="35">
        <f>H5795-F5795*VLOOKUP(銷售總表!B5795,產品!$A$2:$H$61,8,FALSE)</f>
        <v>54000</v>
      </c>
      <c r="J5795" s="20">
        <f t="shared" si="90"/>
        <v>0.55555555555555558</v>
      </c>
    </row>
    <row r="5796" spans="1:10" x14ac:dyDescent="0.3">
      <c r="A5796" s="33">
        <v>5795</v>
      </c>
      <c r="B5796" s="4">
        <v>22</v>
      </c>
      <c r="C5796" s="15">
        <v>112</v>
      </c>
      <c r="D5796" s="16">
        <v>3</v>
      </c>
      <c r="E5796" s="22">
        <v>44917</v>
      </c>
      <c r="F5796" s="19">
        <v>90</v>
      </c>
      <c r="G5796" s="18">
        <v>0.09</v>
      </c>
      <c r="H5796">
        <f>F5796*VLOOKUP(B5796,產品!$A$2:$H$61,7,FALSE)*(1-銷售總表!G5796)</f>
        <v>147420</v>
      </c>
      <c r="I5796" s="35">
        <f>H5796-F5796*VLOOKUP(銷售總表!B5796,產品!$A$2:$H$61,8,FALSE)</f>
        <v>82620</v>
      </c>
      <c r="J5796" s="20">
        <f t="shared" si="90"/>
        <v>0.56043956043956045</v>
      </c>
    </row>
    <row r="5797" spans="1:10" x14ac:dyDescent="0.3">
      <c r="A5797" s="33">
        <v>5796</v>
      </c>
      <c r="B5797" s="4">
        <v>45</v>
      </c>
      <c r="C5797" s="15">
        <v>5</v>
      </c>
      <c r="D5797" s="16">
        <v>4</v>
      </c>
      <c r="E5797" s="22">
        <v>44918</v>
      </c>
      <c r="F5797" s="19">
        <v>6</v>
      </c>
      <c r="G5797" s="18">
        <v>0.09</v>
      </c>
      <c r="H5797">
        <f>F5797*VLOOKUP(B5797,產品!$A$2:$H$61,7,FALSE)*(1-銷售總表!G5797)</f>
        <v>76440</v>
      </c>
      <c r="I5797" s="35">
        <f>H5797-F5797*VLOOKUP(銷售總表!B5797,產品!$A$2:$H$61,8,FALSE)</f>
        <v>21840</v>
      </c>
      <c r="J5797" s="20">
        <f t="shared" si="90"/>
        <v>0.2857142857142857</v>
      </c>
    </row>
    <row r="5798" spans="1:10" x14ac:dyDescent="0.3">
      <c r="A5798" s="33">
        <v>5797</v>
      </c>
      <c r="B5798" s="4">
        <v>47</v>
      </c>
      <c r="C5798" s="15">
        <v>119</v>
      </c>
      <c r="D5798" s="16">
        <v>2</v>
      </c>
      <c r="E5798" s="23">
        <v>44918</v>
      </c>
      <c r="F5798">
        <v>7</v>
      </c>
      <c r="G5798" s="20">
        <v>0.2</v>
      </c>
      <c r="H5798">
        <f>F5798*VLOOKUP(B5798,產品!$A$2:$H$61,7,FALSE)*(1-銷售總表!G5798)</f>
        <v>112000</v>
      </c>
      <c r="I5798" s="35">
        <f>H5798-F5798*VLOOKUP(銷售總表!B5798,產品!$A$2:$H$61,8,FALSE)</f>
        <v>21000</v>
      </c>
      <c r="J5798" s="20">
        <f t="shared" si="90"/>
        <v>0.1875</v>
      </c>
    </row>
    <row r="5799" spans="1:10" x14ac:dyDescent="0.3">
      <c r="A5799" s="33">
        <v>5798</v>
      </c>
      <c r="B5799" s="4">
        <v>14</v>
      </c>
      <c r="C5799" s="15">
        <v>9</v>
      </c>
      <c r="D5799" s="16">
        <v>1</v>
      </c>
      <c r="E5799" s="22">
        <v>44918</v>
      </c>
      <c r="F5799" s="19">
        <v>11</v>
      </c>
      <c r="G5799" s="18">
        <v>0.17</v>
      </c>
      <c r="H5799">
        <f>F5799*VLOOKUP(B5799,產品!$A$2:$H$61,7,FALSE)*(1-銷售總表!G5799)</f>
        <v>16434</v>
      </c>
      <c r="I5799" s="35">
        <f>H5799-F5799*VLOOKUP(銷售總表!B5799,產品!$A$2:$H$61,8,FALSE)</f>
        <v>8514</v>
      </c>
      <c r="J5799" s="20">
        <f t="shared" si="90"/>
        <v>0.51807228915662651</v>
      </c>
    </row>
    <row r="5800" spans="1:10" x14ac:dyDescent="0.3">
      <c r="A5800" s="33">
        <v>5799</v>
      </c>
      <c r="B5800" s="4">
        <v>16</v>
      </c>
      <c r="C5800" s="15">
        <v>5</v>
      </c>
      <c r="D5800" s="16">
        <v>10</v>
      </c>
      <c r="E5800" s="22">
        <v>44918</v>
      </c>
      <c r="F5800" s="19">
        <v>20</v>
      </c>
      <c r="G5800" s="18">
        <v>0.19</v>
      </c>
      <c r="H5800">
        <f>F5800*VLOOKUP(B5800,產品!$A$2:$H$61,7,FALSE)*(1-銷售總表!G5800)</f>
        <v>29160.000000000004</v>
      </c>
      <c r="I5800" s="35">
        <f>H5800-F5800*VLOOKUP(銷售總表!B5800,產品!$A$2:$H$61,8,FALSE)</f>
        <v>14760.000000000004</v>
      </c>
      <c r="J5800" s="20">
        <f t="shared" si="90"/>
        <v>0.50617283950617287</v>
      </c>
    </row>
    <row r="5801" spans="1:10" x14ac:dyDescent="0.3">
      <c r="A5801" s="33">
        <v>5800</v>
      </c>
      <c r="B5801" s="4">
        <v>11</v>
      </c>
      <c r="C5801" s="15">
        <v>115</v>
      </c>
      <c r="D5801" s="16">
        <v>2</v>
      </c>
      <c r="E5801" s="22">
        <v>44918</v>
      </c>
      <c r="F5801" s="19">
        <v>20</v>
      </c>
      <c r="G5801" s="18">
        <v>0.12</v>
      </c>
      <c r="H5801">
        <f>F5801*VLOOKUP(B5801,產品!$A$2:$H$61,7,FALSE)*(1-銷售總表!G5801)</f>
        <v>17600</v>
      </c>
      <c r="I5801" s="35">
        <f>H5801-F5801*VLOOKUP(銷售總表!B5801,產品!$A$2:$H$61,8,FALSE)</f>
        <v>9600</v>
      </c>
      <c r="J5801" s="20">
        <f t="shared" si="90"/>
        <v>0.54545454545454541</v>
      </c>
    </row>
    <row r="5802" spans="1:10" x14ac:dyDescent="0.3">
      <c r="A5802" s="33">
        <v>5801</v>
      </c>
      <c r="B5802" s="4">
        <v>15</v>
      </c>
      <c r="C5802" s="15">
        <v>267</v>
      </c>
      <c r="D5802" s="16">
        <v>10</v>
      </c>
      <c r="E5802" s="22">
        <v>44918</v>
      </c>
      <c r="F5802" s="19">
        <v>80</v>
      </c>
      <c r="G5802" s="18">
        <v>0.06</v>
      </c>
      <c r="H5802">
        <f>F5802*VLOOKUP(B5802,產品!$A$2:$H$61,7,FALSE)*(1-銷售總表!G5802)</f>
        <v>135360</v>
      </c>
      <c r="I5802" s="35">
        <f>H5802-F5802*VLOOKUP(銷售總表!B5802,產品!$A$2:$H$61,8,FALSE)</f>
        <v>77760</v>
      </c>
      <c r="J5802" s="20">
        <f t="shared" si="90"/>
        <v>0.57446808510638303</v>
      </c>
    </row>
    <row r="5803" spans="1:10" x14ac:dyDescent="0.3">
      <c r="A5803" s="33">
        <v>5802</v>
      </c>
      <c r="B5803" s="4">
        <v>25</v>
      </c>
      <c r="C5803" s="15">
        <v>282</v>
      </c>
      <c r="D5803" s="16">
        <v>6</v>
      </c>
      <c r="E5803" s="22">
        <v>44919</v>
      </c>
      <c r="F5803" s="19">
        <v>3</v>
      </c>
      <c r="G5803" s="18">
        <v>0.1</v>
      </c>
      <c r="H5803">
        <f>F5803*VLOOKUP(B5803,產品!$A$2:$H$61,7,FALSE)*(1-銷售總表!G5803)</f>
        <v>16200</v>
      </c>
      <c r="I5803" s="35">
        <f>H5803-F5803*VLOOKUP(銷售總表!B5803,產品!$A$2:$H$61,8,FALSE)</f>
        <v>5400</v>
      </c>
      <c r="J5803" s="20">
        <f t="shared" si="90"/>
        <v>0.33333333333333331</v>
      </c>
    </row>
    <row r="5804" spans="1:10" x14ac:dyDescent="0.3">
      <c r="A5804" s="33">
        <v>5803</v>
      </c>
      <c r="B5804" s="4">
        <v>29</v>
      </c>
      <c r="C5804" s="15">
        <v>114</v>
      </c>
      <c r="D5804" s="16">
        <v>4</v>
      </c>
      <c r="E5804" s="22">
        <v>44919</v>
      </c>
      <c r="F5804" s="19">
        <v>7</v>
      </c>
      <c r="G5804" s="18">
        <v>0.11</v>
      </c>
      <c r="H5804">
        <f>F5804*VLOOKUP(B5804,產品!$A$2:$H$61,7,FALSE)*(1-銷售總表!G5804)</f>
        <v>37380</v>
      </c>
      <c r="I5804" s="35">
        <f>H5804-F5804*VLOOKUP(銷售總表!B5804,產品!$A$2:$H$61,8,FALSE)</f>
        <v>12180</v>
      </c>
      <c r="J5804" s="20">
        <f t="shared" si="90"/>
        <v>0.3258426966292135</v>
      </c>
    </row>
    <row r="5805" spans="1:10" x14ac:dyDescent="0.3">
      <c r="A5805" s="33">
        <v>5804</v>
      </c>
      <c r="B5805" s="4">
        <v>37</v>
      </c>
      <c r="C5805" s="15">
        <v>264</v>
      </c>
      <c r="D5805" s="16">
        <v>10</v>
      </c>
      <c r="E5805" s="22">
        <v>44919</v>
      </c>
      <c r="F5805" s="19">
        <v>8</v>
      </c>
      <c r="G5805" s="18">
        <v>0.17</v>
      </c>
      <c r="H5805">
        <f>F5805*VLOOKUP(B5805,產品!$A$2:$H$61,7,FALSE)*(1-銷售總表!G5805)</f>
        <v>79680</v>
      </c>
      <c r="I5805" s="35">
        <f>H5805-F5805*VLOOKUP(銷售總表!B5805,產品!$A$2:$H$61,8,FALSE)</f>
        <v>17280</v>
      </c>
      <c r="J5805" s="20">
        <f t="shared" si="90"/>
        <v>0.21686746987951808</v>
      </c>
    </row>
    <row r="5806" spans="1:10" x14ac:dyDescent="0.3">
      <c r="A5806" s="33">
        <v>5805</v>
      </c>
      <c r="B5806" s="4">
        <v>45</v>
      </c>
      <c r="C5806" s="15">
        <v>282</v>
      </c>
      <c r="D5806" s="16">
        <v>7</v>
      </c>
      <c r="E5806" s="22">
        <v>44919</v>
      </c>
      <c r="F5806" s="19">
        <v>9</v>
      </c>
      <c r="G5806" s="18">
        <v>0.16</v>
      </c>
      <c r="H5806">
        <f>F5806*VLOOKUP(B5806,產品!$A$2:$H$61,7,FALSE)*(1-銷售總表!G5806)</f>
        <v>105840</v>
      </c>
      <c r="I5806" s="35">
        <f>H5806-F5806*VLOOKUP(銷售總表!B5806,產品!$A$2:$H$61,8,FALSE)</f>
        <v>23940</v>
      </c>
      <c r="J5806" s="20">
        <f t="shared" si="90"/>
        <v>0.22619047619047619</v>
      </c>
    </row>
    <row r="5807" spans="1:10" x14ac:dyDescent="0.3">
      <c r="A5807" s="33">
        <v>5806</v>
      </c>
      <c r="B5807" s="4">
        <v>28</v>
      </c>
      <c r="C5807" s="15">
        <v>286</v>
      </c>
      <c r="D5807" s="16">
        <v>9</v>
      </c>
      <c r="E5807" s="22">
        <v>44919</v>
      </c>
      <c r="F5807" s="19">
        <v>9</v>
      </c>
      <c r="G5807" s="18">
        <v>0.12</v>
      </c>
      <c r="H5807">
        <f>F5807*VLOOKUP(B5807,產品!$A$2:$H$61,7,FALSE)*(1-銷售總表!G5807)</f>
        <v>59400</v>
      </c>
      <c r="I5807" s="35">
        <f>H5807-F5807*VLOOKUP(銷售總表!B5807,產品!$A$2:$H$61,8,FALSE)</f>
        <v>18900</v>
      </c>
      <c r="J5807" s="20">
        <f t="shared" si="90"/>
        <v>0.31818181818181818</v>
      </c>
    </row>
    <row r="5808" spans="1:10" x14ac:dyDescent="0.3">
      <c r="A5808" s="33">
        <v>5807</v>
      </c>
      <c r="B5808" s="4">
        <v>7</v>
      </c>
      <c r="C5808" s="15">
        <v>137</v>
      </c>
      <c r="D5808" s="16">
        <v>3</v>
      </c>
      <c r="E5808" s="22">
        <v>44919</v>
      </c>
      <c r="F5808" s="19">
        <v>70</v>
      </c>
      <c r="G5808" s="18">
        <v>0.09</v>
      </c>
      <c r="H5808">
        <f>F5808*VLOOKUP(B5808,產品!$A$2:$H$61,7,FALSE)*(1-銷售總表!G5808)</f>
        <v>63700</v>
      </c>
      <c r="I5808" s="35">
        <f>H5808-F5808*VLOOKUP(銷售總表!B5808,產品!$A$2:$H$61,8,FALSE)</f>
        <v>35700</v>
      </c>
      <c r="J5808" s="20">
        <f t="shared" si="90"/>
        <v>0.56043956043956045</v>
      </c>
    </row>
    <row r="5809" spans="1:10" x14ac:dyDescent="0.3">
      <c r="A5809" s="33">
        <v>5808</v>
      </c>
      <c r="B5809" s="4">
        <v>2</v>
      </c>
      <c r="C5809" s="15">
        <v>270</v>
      </c>
      <c r="D5809" s="16">
        <v>3</v>
      </c>
      <c r="E5809" s="22">
        <v>44919</v>
      </c>
      <c r="F5809" s="19">
        <v>75</v>
      </c>
      <c r="G5809" s="18">
        <v>0.11</v>
      </c>
      <c r="H5809">
        <f>F5809*VLOOKUP(B5809,產品!$A$2:$H$61,7,FALSE)*(1-銷售總表!G5809)</f>
        <v>66750</v>
      </c>
      <c r="I5809" s="35">
        <f>H5809-F5809*VLOOKUP(銷售總表!B5809,產品!$A$2:$H$61,8,FALSE)</f>
        <v>36750</v>
      </c>
      <c r="J5809" s="20">
        <f t="shared" si="90"/>
        <v>0.550561797752809</v>
      </c>
    </row>
    <row r="5810" spans="1:10" x14ac:dyDescent="0.3">
      <c r="A5810" s="33">
        <v>5809</v>
      </c>
      <c r="B5810" s="4">
        <v>60</v>
      </c>
      <c r="C5810" s="15">
        <v>8</v>
      </c>
      <c r="D5810" s="16">
        <v>2</v>
      </c>
      <c r="E5810" s="22">
        <v>44920</v>
      </c>
      <c r="F5810" s="19">
        <v>3</v>
      </c>
      <c r="G5810" s="18">
        <v>0.06</v>
      </c>
      <c r="H5810">
        <f>F5810*VLOOKUP(B5810,產品!$A$2:$H$61,7,FALSE)*(1-銷售總表!G5810)</f>
        <v>70500</v>
      </c>
      <c r="I5810" s="35">
        <f>H5810-F5810*VLOOKUP(銷售總表!B5810,產品!$A$2:$H$61,8,FALSE)</f>
        <v>18000</v>
      </c>
      <c r="J5810" s="20">
        <f t="shared" si="90"/>
        <v>0.25531914893617019</v>
      </c>
    </row>
    <row r="5811" spans="1:10" x14ac:dyDescent="0.3">
      <c r="A5811" s="33">
        <v>5810</v>
      </c>
      <c r="B5811" s="4">
        <v>11</v>
      </c>
      <c r="C5811" s="15">
        <v>136</v>
      </c>
      <c r="D5811" s="16">
        <v>6</v>
      </c>
      <c r="E5811" s="22">
        <v>44920</v>
      </c>
      <c r="F5811" s="19">
        <v>50</v>
      </c>
      <c r="G5811" s="18">
        <v>0.14000000000000001</v>
      </c>
      <c r="H5811">
        <f>F5811*VLOOKUP(B5811,產品!$A$2:$H$61,7,FALSE)*(1-銷售總表!G5811)</f>
        <v>43000</v>
      </c>
      <c r="I5811" s="35">
        <f>H5811-F5811*VLOOKUP(銷售總表!B5811,產品!$A$2:$H$61,8,FALSE)</f>
        <v>23000</v>
      </c>
      <c r="J5811" s="20">
        <f t="shared" si="90"/>
        <v>0.53488372093023251</v>
      </c>
    </row>
    <row r="5812" spans="1:10" x14ac:dyDescent="0.3">
      <c r="A5812" s="33">
        <v>5811</v>
      </c>
      <c r="B5812" s="4">
        <v>24</v>
      </c>
      <c r="C5812" s="15">
        <v>4</v>
      </c>
      <c r="D5812" s="16">
        <v>10</v>
      </c>
      <c r="E5812" s="22">
        <v>44920</v>
      </c>
      <c r="F5812" s="19">
        <v>90</v>
      </c>
      <c r="G5812" s="18">
        <v>0.1</v>
      </c>
      <c r="H5812">
        <f>F5812*VLOOKUP(B5812,產品!$A$2:$H$61,7,FALSE)*(1-銷售總表!G5812)</f>
        <v>145800</v>
      </c>
      <c r="I5812" s="35">
        <f>H5812-F5812*VLOOKUP(銷售總表!B5812,產品!$A$2:$H$61,8,FALSE)</f>
        <v>81000</v>
      </c>
      <c r="J5812" s="20">
        <f t="shared" si="90"/>
        <v>0.55555555555555558</v>
      </c>
    </row>
    <row r="5813" spans="1:10" x14ac:dyDescent="0.3">
      <c r="A5813" s="33">
        <v>5812</v>
      </c>
      <c r="B5813" s="4">
        <v>29</v>
      </c>
      <c r="C5813" s="15">
        <v>269</v>
      </c>
      <c r="D5813" s="16">
        <v>6</v>
      </c>
      <c r="E5813" s="22">
        <v>44921</v>
      </c>
      <c r="F5813" s="19">
        <v>2</v>
      </c>
      <c r="G5813" s="18">
        <v>0.14000000000000001</v>
      </c>
      <c r="H5813">
        <f>F5813*VLOOKUP(B5813,產品!$A$2:$H$61,7,FALSE)*(1-銷售總表!G5813)</f>
        <v>10320</v>
      </c>
      <c r="I5813" s="35">
        <f>H5813-F5813*VLOOKUP(銷售總表!B5813,產品!$A$2:$H$61,8,FALSE)</f>
        <v>3120</v>
      </c>
      <c r="J5813" s="20">
        <f t="shared" si="90"/>
        <v>0.30232558139534882</v>
      </c>
    </row>
    <row r="5814" spans="1:10" x14ac:dyDescent="0.3">
      <c r="A5814" s="33">
        <v>5813</v>
      </c>
      <c r="B5814" s="4">
        <v>47</v>
      </c>
      <c r="C5814" s="15">
        <v>272</v>
      </c>
      <c r="D5814" s="16">
        <v>1</v>
      </c>
      <c r="E5814" s="23">
        <v>44921</v>
      </c>
      <c r="F5814">
        <v>5</v>
      </c>
      <c r="G5814" s="20">
        <v>0.18</v>
      </c>
      <c r="H5814">
        <f>F5814*VLOOKUP(B5814,產品!$A$2:$H$61,7,FALSE)*(1-銷售總表!G5814)</f>
        <v>82000</v>
      </c>
      <c r="I5814" s="35">
        <f>H5814-F5814*VLOOKUP(銷售總表!B5814,產品!$A$2:$H$61,8,FALSE)</f>
        <v>17000</v>
      </c>
      <c r="J5814" s="20">
        <f t="shared" si="90"/>
        <v>0.2073170731707317</v>
      </c>
    </row>
    <row r="5815" spans="1:10" x14ac:dyDescent="0.3">
      <c r="A5815" s="33">
        <v>5814</v>
      </c>
      <c r="B5815" s="4">
        <v>48</v>
      </c>
      <c r="C5815" s="15">
        <v>123</v>
      </c>
      <c r="D5815" s="16">
        <v>4</v>
      </c>
      <c r="E5815" s="22">
        <v>44921</v>
      </c>
      <c r="F5815" s="19">
        <v>13</v>
      </c>
      <c r="G5815" s="18">
        <v>0.18</v>
      </c>
      <c r="H5815">
        <f>F5815*VLOOKUP(B5815,產品!$A$2:$H$61,7,FALSE)*(1-銷售總表!G5815)</f>
        <v>234520.00000000003</v>
      </c>
      <c r="I5815" s="35">
        <f>H5815-F5815*VLOOKUP(銷售總表!B5815,產品!$A$2:$H$61,8,FALSE)</f>
        <v>48620.000000000029</v>
      </c>
      <c r="J5815" s="20">
        <f t="shared" si="90"/>
        <v>0.20731707317073181</v>
      </c>
    </row>
    <row r="5816" spans="1:10" x14ac:dyDescent="0.3">
      <c r="A5816" s="33">
        <v>5815</v>
      </c>
      <c r="B5816" s="4">
        <v>26</v>
      </c>
      <c r="C5816" s="15">
        <v>272</v>
      </c>
      <c r="D5816" s="16">
        <v>3</v>
      </c>
      <c r="E5816" s="22">
        <v>44921</v>
      </c>
      <c r="F5816" s="19">
        <v>25</v>
      </c>
      <c r="G5816" s="18">
        <v>0.17</v>
      </c>
      <c r="H5816">
        <f>F5816*VLOOKUP(B5816,產品!$A$2:$H$61,7,FALSE)*(1-銷售總表!G5816)</f>
        <v>134875</v>
      </c>
      <c r="I5816" s="35">
        <f>H5816-F5816*VLOOKUP(銷售總表!B5816,產品!$A$2:$H$61,8,FALSE)</f>
        <v>37375</v>
      </c>
      <c r="J5816" s="20">
        <f t="shared" si="90"/>
        <v>0.27710843373493976</v>
      </c>
    </row>
    <row r="5817" spans="1:10" x14ac:dyDescent="0.3">
      <c r="A5817" s="33">
        <v>5816</v>
      </c>
      <c r="B5817" s="4">
        <v>32</v>
      </c>
      <c r="C5817" s="15">
        <v>278</v>
      </c>
      <c r="D5817" s="16">
        <v>6</v>
      </c>
      <c r="E5817" s="23">
        <v>44921</v>
      </c>
      <c r="F5817">
        <v>30</v>
      </c>
      <c r="G5817" s="20">
        <v>0.19</v>
      </c>
      <c r="H5817">
        <f>F5817*VLOOKUP(B5817,產品!$A$2:$H$61,7,FALSE)*(1-銷售總表!G5817)</f>
        <v>182250</v>
      </c>
      <c r="I5817" s="35">
        <f>H5817-F5817*VLOOKUP(銷售總表!B5817,產品!$A$2:$H$61,8,FALSE)</f>
        <v>47250</v>
      </c>
      <c r="J5817" s="20">
        <f t="shared" si="90"/>
        <v>0.25925925925925924</v>
      </c>
    </row>
    <row r="5818" spans="1:10" x14ac:dyDescent="0.3">
      <c r="A5818" s="33">
        <v>5817</v>
      </c>
      <c r="B5818" s="4">
        <v>11</v>
      </c>
      <c r="C5818" s="15">
        <v>124</v>
      </c>
      <c r="D5818" s="16">
        <v>4</v>
      </c>
      <c r="E5818" s="22">
        <v>44921</v>
      </c>
      <c r="F5818" s="19">
        <v>100</v>
      </c>
      <c r="G5818" s="18">
        <v>0.05</v>
      </c>
      <c r="H5818">
        <f>F5818*VLOOKUP(B5818,產品!$A$2:$H$61,7,FALSE)*(1-銷售總表!G5818)</f>
        <v>95000</v>
      </c>
      <c r="I5818" s="35">
        <f>H5818-F5818*VLOOKUP(銷售總表!B5818,產品!$A$2:$H$61,8,FALSE)</f>
        <v>55000</v>
      </c>
      <c r="J5818" s="20">
        <f t="shared" si="90"/>
        <v>0.57894736842105265</v>
      </c>
    </row>
    <row r="5819" spans="1:10" x14ac:dyDescent="0.3">
      <c r="A5819" s="33">
        <v>5818</v>
      </c>
      <c r="B5819" s="4">
        <v>45</v>
      </c>
      <c r="C5819" s="15">
        <v>2</v>
      </c>
      <c r="D5819" s="16">
        <v>2</v>
      </c>
      <c r="E5819" s="22">
        <v>44922</v>
      </c>
      <c r="F5819" s="19">
        <v>2</v>
      </c>
      <c r="G5819" s="18">
        <v>0.12</v>
      </c>
      <c r="H5819">
        <f>F5819*VLOOKUP(B5819,產品!$A$2:$H$61,7,FALSE)*(1-銷售總表!G5819)</f>
        <v>24640</v>
      </c>
      <c r="I5819" s="35">
        <f>H5819-F5819*VLOOKUP(銷售總表!B5819,產品!$A$2:$H$61,8,FALSE)</f>
        <v>6440</v>
      </c>
      <c r="J5819" s="20">
        <f t="shared" si="90"/>
        <v>0.26136363636363635</v>
      </c>
    </row>
    <row r="5820" spans="1:10" x14ac:dyDescent="0.3">
      <c r="A5820" s="33">
        <v>5819</v>
      </c>
      <c r="B5820" s="4">
        <v>13</v>
      </c>
      <c r="C5820" s="15">
        <v>9</v>
      </c>
      <c r="D5820" s="16">
        <v>4</v>
      </c>
      <c r="E5820" s="23">
        <v>44922</v>
      </c>
      <c r="F5820">
        <v>13</v>
      </c>
      <c r="G5820" s="20">
        <v>0.15</v>
      </c>
      <c r="H5820">
        <f>F5820*VLOOKUP(B5820,產品!$A$2:$H$61,7,FALSE)*(1-銷售總表!G5820)</f>
        <v>19890</v>
      </c>
      <c r="I5820" s="35">
        <f>H5820-F5820*VLOOKUP(銷售總表!B5820,產品!$A$2:$H$61,8,FALSE)</f>
        <v>10530</v>
      </c>
      <c r="J5820" s="20">
        <f t="shared" si="90"/>
        <v>0.52941176470588236</v>
      </c>
    </row>
    <row r="5821" spans="1:10" x14ac:dyDescent="0.3">
      <c r="A5821" s="33">
        <v>5820</v>
      </c>
      <c r="B5821" s="4">
        <v>38</v>
      </c>
      <c r="C5821" s="15">
        <v>112</v>
      </c>
      <c r="D5821" s="16">
        <v>7</v>
      </c>
      <c r="E5821" s="22">
        <v>44922</v>
      </c>
      <c r="F5821" s="19">
        <v>17</v>
      </c>
      <c r="G5821" s="18">
        <v>0.06</v>
      </c>
      <c r="H5821">
        <f>F5821*VLOOKUP(B5821,產品!$A$2:$H$61,7,FALSE)*(1-銷售總表!G5821)</f>
        <v>239700</v>
      </c>
      <c r="I5821" s="35">
        <f>H5821-F5821*VLOOKUP(銷售總表!B5821,產品!$A$2:$H$61,8,FALSE)</f>
        <v>73950</v>
      </c>
      <c r="J5821" s="20">
        <f t="shared" si="90"/>
        <v>0.30851063829787234</v>
      </c>
    </row>
    <row r="5822" spans="1:10" x14ac:dyDescent="0.3">
      <c r="A5822" s="33">
        <v>5821</v>
      </c>
      <c r="B5822" s="4">
        <v>21</v>
      </c>
      <c r="C5822" s="15">
        <v>5</v>
      </c>
      <c r="D5822" s="16">
        <v>9</v>
      </c>
      <c r="E5822" s="22">
        <v>44922</v>
      </c>
      <c r="F5822" s="19">
        <v>20</v>
      </c>
      <c r="G5822" s="18">
        <v>0.19</v>
      </c>
      <c r="H5822">
        <f>F5822*VLOOKUP(B5822,產品!$A$2:$H$61,7,FALSE)*(1-銷售總表!G5822)</f>
        <v>29160.000000000004</v>
      </c>
      <c r="I5822" s="35">
        <f>H5822-F5822*VLOOKUP(銷售總表!B5822,產品!$A$2:$H$61,8,FALSE)</f>
        <v>14760.000000000004</v>
      </c>
      <c r="J5822" s="20">
        <f t="shared" si="90"/>
        <v>0.50617283950617287</v>
      </c>
    </row>
    <row r="5823" spans="1:10" x14ac:dyDescent="0.3">
      <c r="A5823" s="33">
        <v>5822</v>
      </c>
      <c r="B5823" s="4">
        <v>32</v>
      </c>
      <c r="C5823" s="15">
        <v>134</v>
      </c>
      <c r="D5823" s="16">
        <v>5</v>
      </c>
      <c r="E5823" s="22">
        <v>44922</v>
      </c>
      <c r="F5823" s="19">
        <v>25</v>
      </c>
      <c r="G5823" s="18">
        <v>0.09</v>
      </c>
      <c r="H5823">
        <f>F5823*VLOOKUP(B5823,產品!$A$2:$H$61,7,FALSE)*(1-銷售總表!G5823)</f>
        <v>170625</v>
      </c>
      <c r="I5823" s="35">
        <f>H5823-F5823*VLOOKUP(銷售總表!B5823,產品!$A$2:$H$61,8,FALSE)</f>
        <v>58125</v>
      </c>
      <c r="J5823" s="20">
        <f t="shared" si="90"/>
        <v>0.34065934065934067</v>
      </c>
    </row>
    <row r="5824" spans="1:10" x14ac:dyDescent="0.3">
      <c r="A5824" s="33">
        <v>5823</v>
      </c>
      <c r="B5824" s="4">
        <v>21</v>
      </c>
      <c r="C5824" s="15">
        <v>269</v>
      </c>
      <c r="D5824" s="16">
        <v>4</v>
      </c>
      <c r="E5824" s="23">
        <v>44922</v>
      </c>
      <c r="F5824">
        <v>50</v>
      </c>
      <c r="G5824" s="20">
        <v>0.11</v>
      </c>
      <c r="H5824">
        <f>F5824*VLOOKUP(B5824,產品!$A$2:$H$61,7,FALSE)*(1-銷售總表!G5824)</f>
        <v>80100</v>
      </c>
      <c r="I5824" s="35">
        <f>H5824-F5824*VLOOKUP(銷售總表!B5824,產品!$A$2:$H$61,8,FALSE)</f>
        <v>44100</v>
      </c>
      <c r="J5824" s="20">
        <f t="shared" si="90"/>
        <v>0.550561797752809</v>
      </c>
    </row>
    <row r="5825" spans="1:10" x14ac:dyDescent="0.3">
      <c r="A5825" s="33">
        <v>5824</v>
      </c>
      <c r="B5825" s="4">
        <v>4</v>
      </c>
      <c r="C5825" s="15">
        <v>138</v>
      </c>
      <c r="D5825" s="16">
        <v>3</v>
      </c>
      <c r="E5825" s="22">
        <v>44922</v>
      </c>
      <c r="F5825" s="19">
        <v>60</v>
      </c>
      <c r="G5825" s="18">
        <v>0.13</v>
      </c>
      <c r="H5825">
        <f>F5825*VLOOKUP(B5825,產品!$A$2:$H$61,7,FALSE)*(1-銷售總表!G5825)</f>
        <v>52200</v>
      </c>
      <c r="I5825" s="35">
        <f>H5825-F5825*VLOOKUP(銷售總表!B5825,產品!$A$2:$H$61,8,FALSE)</f>
        <v>28200</v>
      </c>
      <c r="J5825" s="20">
        <f t="shared" si="90"/>
        <v>0.54022988505747127</v>
      </c>
    </row>
    <row r="5826" spans="1:10" x14ac:dyDescent="0.3">
      <c r="A5826" s="33">
        <v>5825</v>
      </c>
      <c r="B5826" s="4">
        <v>12</v>
      </c>
      <c r="C5826" s="15">
        <v>286</v>
      </c>
      <c r="D5826" s="16">
        <v>7</v>
      </c>
      <c r="E5826" s="22">
        <v>44922</v>
      </c>
      <c r="F5826" s="19">
        <v>90</v>
      </c>
      <c r="G5826" s="18">
        <v>0.12</v>
      </c>
      <c r="H5826">
        <f>F5826*VLOOKUP(B5826,產品!$A$2:$H$61,7,FALSE)*(1-銷售總表!G5826)</f>
        <v>79200</v>
      </c>
      <c r="I5826" s="35">
        <f>H5826-F5826*VLOOKUP(銷售總表!B5826,產品!$A$2:$H$61,8,FALSE)</f>
        <v>43200</v>
      </c>
      <c r="J5826" s="20">
        <f t="shared" si="90"/>
        <v>0.54545454545454541</v>
      </c>
    </row>
    <row r="5827" spans="1:10" x14ac:dyDescent="0.3">
      <c r="A5827" s="33">
        <v>5826</v>
      </c>
      <c r="B5827" s="4">
        <v>36</v>
      </c>
      <c r="C5827" s="15">
        <v>136</v>
      </c>
      <c r="D5827" s="16">
        <v>1</v>
      </c>
      <c r="E5827" s="23">
        <v>44923</v>
      </c>
      <c r="F5827">
        <v>6</v>
      </c>
      <c r="G5827" s="20">
        <v>0.18</v>
      </c>
      <c r="H5827">
        <f>F5827*VLOOKUP(B5827,產品!$A$2:$H$61,7,FALSE)*(1-銷售總表!G5827)</f>
        <v>44280</v>
      </c>
      <c r="I5827" s="35">
        <f>H5827-F5827*VLOOKUP(銷售總表!B5827,產品!$A$2:$H$61,8,FALSE)</f>
        <v>11880</v>
      </c>
      <c r="J5827" s="20">
        <f t="shared" ref="J5827:J5890" si="91">I5827/H5827</f>
        <v>0.26829268292682928</v>
      </c>
    </row>
    <row r="5828" spans="1:10" x14ac:dyDescent="0.3">
      <c r="A5828" s="33">
        <v>5827</v>
      </c>
      <c r="B5828" s="4">
        <v>32</v>
      </c>
      <c r="C5828" s="15">
        <v>8</v>
      </c>
      <c r="D5828" s="16">
        <v>6</v>
      </c>
      <c r="E5828" s="22">
        <v>44923</v>
      </c>
      <c r="F5828" s="19">
        <v>9</v>
      </c>
      <c r="G5828" s="18">
        <v>0.11</v>
      </c>
      <c r="H5828">
        <f>F5828*VLOOKUP(B5828,產品!$A$2:$H$61,7,FALSE)*(1-銷售總表!G5828)</f>
        <v>60075</v>
      </c>
      <c r="I5828" s="35">
        <f>H5828-F5828*VLOOKUP(銷售總表!B5828,產品!$A$2:$H$61,8,FALSE)</f>
        <v>19575</v>
      </c>
      <c r="J5828" s="20">
        <f t="shared" si="91"/>
        <v>0.3258426966292135</v>
      </c>
    </row>
    <row r="5829" spans="1:10" x14ac:dyDescent="0.3">
      <c r="A5829" s="33">
        <v>5828</v>
      </c>
      <c r="B5829" s="4">
        <v>20</v>
      </c>
      <c r="C5829" s="15">
        <v>282</v>
      </c>
      <c r="D5829" s="16">
        <v>1</v>
      </c>
      <c r="E5829" s="22">
        <v>44923</v>
      </c>
      <c r="F5829" s="19">
        <v>30</v>
      </c>
      <c r="G5829" s="18">
        <v>0.16</v>
      </c>
      <c r="H5829">
        <f>F5829*VLOOKUP(B5829,產品!$A$2:$H$61,7,FALSE)*(1-銷售總表!G5829)</f>
        <v>45360</v>
      </c>
      <c r="I5829" s="35">
        <f>H5829-F5829*VLOOKUP(銷售總表!B5829,產品!$A$2:$H$61,8,FALSE)</f>
        <v>23760</v>
      </c>
      <c r="J5829" s="20">
        <f t="shared" si="91"/>
        <v>0.52380952380952384</v>
      </c>
    </row>
    <row r="5830" spans="1:10" x14ac:dyDescent="0.3">
      <c r="A5830" s="33">
        <v>5829</v>
      </c>
      <c r="B5830" s="4">
        <v>19</v>
      </c>
      <c r="C5830" s="15">
        <v>5</v>
      </c>
      <c r="D5830" s="16">
        <v>9</v>
      </c>
      <c r="E5830" s="22">
        <v>44923</v>
      </c>
      <c r="F5830" s="19">
        <v>100</v>
      </c>
      <c r="G5830" s="18">
        <v>0.1</v>
      </c>
      <c r="H5830">
        <f>F5830*VLOOKUP(B5830,產品!$A$2:$H$61,7,FALSE)*(1-銷售總表!G5830)</f>
        <v>162000</v>
      </c>
      <c r="I5830" s="35">
        <f>H5830-F5830*VLOOKUP(銷售總表!B5830,產品!$A$2:$H$61,8,FALSE)</f>
        <v>90000</v>
      </c>
      <c r="J5830" s="20">
        <f t="shared" si="91"/>
        <v>0.55555555555555558</v>
      </c>
    </row>
    <row r="5831" spans="1:10" x14ac:dyDescent="0.3">
      <c r="A5831" s="33">
        <v>5830</v>
      </c>
      <c r="B5831" s="4">
        <v>4</v>
      </c>
      <c r="C5831" s="15">
        <v>113</v>
      </c>
      <c r="D5831" s="16">
        <v>5</v>
      </c>
      <c r="E5831" s="22">
        <v>44923</v>
      </c>
      <c r="F5831" s="19">
        <v>100</v>
      </c>
      <c r="G5831" s="18">
        <v>0.05</v>
      </c>
      <c r="H5831">
        <f>F5831*VLOOKUP(B5831,產品!$A$2:$H$61,7,FALSE)*(1-銷售總表!G5831)</f>
        <v>95000</v>
      </c>
      <c r="I5831" s="35">
        <f>H5831-F5831*VLOOKUP(銷售總表!B5831,產品!$A$2:$H$61,8,FALSE)</f>
        <v>55000</v>
      </c>
      <c r="J5831" s="20">
        <f t="shared" si="91"/>
        <v>0.57894736842105265</v>
      </c>
    </row>
    <row r="5832" spans="1:10" x14ac:dyDescent="0.3">
      <c r="A5832" s="33">
        <v>5831</v>
      </c>
      <c r="B5832" s="4">
        <v>30</v>
      </c>
      <c r="C5832" s="15">
        <v>9</v>
      </c>
      <c r="D5832" s="16">
        <v>5</v>
      </c>
      <c r="E5832" s="22">
        <v>44924</v>
      </c>
      <c r="F5832" s="19">
        <v>2</v>
      </c>
      <c r="G5832" s="18">
        <v>0.12</v>
      </c>
      <c r="H5832">
        <f>F5832*VLOOKUP(B5832,產品!$A$2:$H$61,7,FALSE)*(1-銷售總表!G5832)</f>
        <v>11440</v>
      </c>
      <c r="I5832" s="35">
        <f>H5832-F5832*VLOOKUP(銷售總表!B5832,產品!$A$2:$H$61,8,FALSE)</f>
        <v>3640</v>
      </c>
      <c r="J5832" s="20">
        <f t="shared" si="91"/>
        <v>0.31818181818181818</v>
      </c>
    </row>
    <row r="5833" spans="1:10" x14ac:dyDescent="0.3">
      <c r="A5833" s="33">
        <v>5832</v>
      </c>
      <c r="B5833" s="4">
        <v>27</v>
      </c>
      <c r="C5833" s="15">
        <v>2</v>
      </c>
      <c r="D5833" s="16">
        <v>5</v>
      </c>
      <c r="E5833" s="22">
        <v>44924</v>
      </c>
      <c r="F5833" s="19">
        <v>7</v>
      </c>
      <c r="G5833" s="18">
        <v>0.08</v>
      </c>
      <c r="H5833">
        <f>F5833*VLOOKUP(B5833,產品!$A$2:$H$61,7,FALSE)*(1-銷售總表!G5833)</f>
        <v>45080</v>
      </c>
      <c r="I5833" s="35">
        <f>H5833-F5833*VLOOKUP(銷售總表!B5833,產品!$A$2:$H$61,8,FALSE)</f>
        <v>15680</v>
      </c>
      <c r="J5833" s="20">
        <f t="shared" si="91"/>
        <v>0.34782608695652173</v>
      </c>
    </row>
    <row r="5834" spans="1:10" x14ac:dyDescent="0.3">
      <c r="A5834" s="33">
        <v>5833</v>
      </c>
      <c r="B5834" s="4">
        <v>53</v>
      </c>
      <c r="C5834" s="15">
        <v>282</v>
      </c>
      <c r="D5834" s="16">
        <v>6</v>
      </c>
      <c r="E5834" s="22">
        <v>44924</v>
      </c>
      <c r="F5834" s="19">
        <v>7</v>
      </c>
      <c r="G5834" s="18">
        <v>0.2</v>
      </c>
      <c r="H5834">
        <f>F5834*VLOOKUP(B5834,產品!$A$2:$H$61,7,FALSE)*(1-銷售總表!G5834)</f>
        <v>84000</v>
      </c>
      <c r="I5834" s="35">
        <f>H5834-F5834*VLOOKUP(銷售總表!B5834,產品!$A$2:$H$61,8,FALSE)</f>
        <v>10500</v>
      </c>
      <c r="J5834" s="20">
        <f t="shared" si="91"/>
        <v>0.125</v>
      </c>
    </row>
    <row r="5835" spans="1:10" x14ac:dyDescent="0.3">
      <c r="A5835" s="33">
        <v>5834</v>
      </c>
      <c r="B5835" s="4">
        <v>7</v>
      </c>
      <c r="C5835" s="15">
        <v>121</v>
      </c>
      <c r="D5835" s="16">
        <v>3</v>
      </c>
      <c r="E5835" s="22">
        <v>44924</v>
      </c>
      <c r="F5835" s="19">
        <v>14</v>
      </c>
      <c r="G5835" s="18">
        <v>0.19</v>
      </c>
      <c r="H5835">
        <f>F5835*VLOOKUP(B5835,產品!$A$2:$H$61,7,FALSE)*(1-銷售總表!G5835)</f>
        <v>11340</v>
      </c>
      <c r="I5835" s="35">
        <f>H5835-F5835*VLOOKUP(銷售總表!B5835,產品!$A$2:$H$61,8,FALSE)</f>
        <v>5740</v>
      </c>
      <c r="J5835" s="20">
        <f t="shared" si="91"/>
        <v>0.50617283950617287</v>
      </c>
    </row>
    <row r="5836" spans="1:10" x14ac:dyDescent="0.3">
      <c r="A5836" s="33">
        <v>5835</v>
      </c>
      <c r="B5836" s="4">
        <v>35</v>
      </c>
      <c r="C5836" s="15">
        <v>265</v>
      </c>
      <c r="D5836" s="16">
        <v>1</v>
      </c>
      <c r="E5836" s="22">
        <v>44924</v>
      </c>
      <c r="F5836" s="19">
        <v>16</v>
      </c>
      <c r="G5836" s="18">
        <v>0.15</v>
      </c>
      <c r="H5836">
        <f>F5836*VLOOKUP(B5836,產品!$A$2:$H$61,7,FALSE)*(1-銷售總表!G5836)</f>
        <v>115600</v>
      </c>
      <c r="I5836" s="35">
        <f>H5836-F5836*VLOOKUP(銷售總表!B5836,產品!$A$2:$H$61,8,FALSE)</f>
        <v>34000</v>
      </c>
      <c r="J5836" s="20">
        <f t="shared" si="91"/>
        <v>0.29411764705882354</v>
      </c>
    </row>
    <row r="5837" spans="1:10" x14ac:dyDescent="0.3">
      <c r="A5837" s="33">
        <v>5836</v>
      </c>
      <c r="B5837" s="4">
        <v>2</v>
      </c>
      <c r="C5837" s="15">
        <v>119</v>
      </c>
      <c r="D5837" s="16">
        <v>8</v>
      </c>
      <c r="E5837" s="22">
        <v>44924</v>
      </c>
      <c r="F5837" s="19">
        <v>100</v>
      </c>
      <c r="G5837" s="18">
        <v>0.11</v>
      </c>
      <c r="H5837">
        <f>F5837*VLOOKUP(B5837,產品!$A$2:$H$61,7,FALSE)*(1-銷售總表!G5837)</f>
        <v>89000</v>
      </c>
      <c r="I5837" s="35">
        <f>H5837-F5837*VLOOKUP(銷售總表!B5837,產品!$A$2:$H$61,8,FALSE)</f>
        <v>49000</v>
      </c>
      <c r="J5837" s="20">
        <f t="shared" si="91"/>
        <v>0.550561797752809</v>
      </c>
    </row>
    <row r="5838" spans="1:10" x14ac:dyDescent="0.3">
      <c r="A5838" s="33">
        <v>5837</v>
      </c>
      <c r="B5838" s="4">
        <v>43</v>
      </c>
      <c r="C5838" s="15">
        <v>280</v>
      </c>
      <c r="D5838" s="16">
        <v>10</v>
      </c>
      <c r="E5838" s="22">
        <v>44925</v>
      </c>
      <c r="F5838" s="19">
        <v>2</v>
      </c>
      <c r="G5838" s="18">
        <v>0.1</v>
      </c>
      <c r="H5838">
        <f>F5838*VLOOKUP(B5838,產品!$A$2:$H$61,7,FALSE)*(1-銷售總表!G5838)</f>
        <v>32400</v>
      </c>
      <c r="I5838" s="35">
        <f>H5838-F5838*VLOOKUP(銷售總表!B5838,產品!$A$2:$H$61,8,FALSE)</f>
        <v>9000</v>
      </c>
      <c r="J5838" s="20">
        <f t="shared" si="91"/>
        <v>0.27777777777777779</v>
      </c>
    </row>
    <row r="5839" spans="1:10" x14ac:dyDescent="0.3">
      <c r="A5839" s="33">
        <v>5838</v>
      </c>
      <c r="B5839" s="4">
        <v>48</v>
      </c>
      <c r="C5839" s="15">
        <v>115</v>
      </c>
      <c r="D5839" s="16">
        <v>8</v>
      </c>
      <c r="E5839" s="22">
        <v>44925</v>
      </c>
      <c r="F5839" s="19">
        <v>5</v>
      </c>
      <c r="G5839" s="18">
        <v>0.11</v>
      </c>
      <c r="H5839">
        <f>F5839*VLOOKUP(B5839,產品!$A$2:$H$61,7,FALSE)*(1-銷售總表!G5839)</f>
        <v>97900</v>
      </c>
      <c r="I5839" s="35">
        <f>H5839-F5839*VLOOKUP(銷售總表!B5839,產品!$A$2:$H$61,8,FALSE)</f>
        <v>26400</v>
      </c>
      <c r="J5839" s="20">
        <f t="shared" si="91"/>
        <v>0.2696629213483146</v>
      </c>
    </row>
    <row r="5840" spans="1:10" x14ac:dyDescent="0.3">
      <c r="A5840" s="33">
        <v>5839</v>
      </c>
      <c r="B5840" s="4">
        <v>43</v>
      </c>
      <c r="C5840" s="15">
        <v>135</v>
      </c>
      <c r="D5840" s="16">
        <v>5</v>
      </c>
      <c r="E5840" s="22">
        <v>44925</v>
      </c>
      <c r="F5840" s="19">
        <v>5</v>
      </c>
      <c r="G5840" s="18">
        <v>0.19</v>
      </c>
      <c r="H5840">
        <f>F5840*VLOOKUP(B5840,產品!$A$2:$H$61,7,FALSE)*(1-銷售總表!G5840)</f>
        <v>72900</v>
      </c>
      <c r="I5840" s="35">
        <f>H5840-F5840*VLOOKUP(銷售總表!B5840,產品!$A$2:$H$61,8,FALSE)</f>
        <v>14400</v>
      </c>
      <c r="J5840" s="20">
        <f t="shared" si="91"/>
        <v>0.19753086419753085</v>
      </c>
    </row>
    <row r="5841" spans="1:10" x14ac:dyDescent="0.3">
      <c r="A5841" s="33">
        <v>5840</v>
      </c>
      <c r="B5841" s="4">
        <v>5</v>
      </c>
      <c r="C5841" s="15">
        <v>276</v>
      </c>
      <c r="D5841" s="16">
        <v>9</v>
      </c>
      <c r="E5841" s="22">
        <v>44925</v>
      </c>
      <c r="F5841" s="19">
        <v>13</v>
      </c>
      <c r="G5841" s="18">
        <v>0.13</v>
      </c>
      <c r="H5841">
        <f>F5841*VLOOKUP(B5841,產品!$A$2:$H$61,7,FALSE)*(1-銷售總表!G5841)</f>
        <v>11310</v>
      </c>
      <c r="I5841" s="35">
        <f>H5841-F5841*VLOOKUP(銷售總表!B5841,產品!$A$2:$H$61,8,FALSE)</f>
        <v>6110</v>
      </c>
      <c r="J5841" s="20">
        <f t="shared" si="91"/>
        <v>0.54022988505747127</v>
      </c>
    </row>
    <row r="5842" spans="1:10" x14ac:dyDescent="0.3">
      <c r="A5842" s="33">
        <v>5841</v>
      </c>
      <c r="B5842" s="4">
        <v>33</v>
      </c>
      <c r="C5842" s="15">
        <v>7</v>
      </c>
      <c r="D5842" s="16">
        <v>9</v>
      </c>
      <c r="E5842" s="22">
        <v>44925</v>
      </c>
      <c r="F5842" s="19">
        <v>17</v>
      </c>
      <c r="G5842" s="18">
        <v>0.13</v>
      </c>
      <c r="H5842">
        <f>F5842*VLOOKUP(B5842,產品!$A$2:$H$61,7,FALSE)*(1-銷售總表!G5842)</f>
        <v>110925</v>
      </c>
      <c r="I5842" s="35">
        <f>H5842-F5842*VLOOKUP(銷售總表!B5842,產品!$A$2:$H$61,8,FALSE)</f>
        <v>34425</v>
      </c>
      <c r="J5842" s="20">
        <f t="shared" si="91"/>
        <v>0.31034482758620691</v>
      </c>
    </row>
    <row r="5843" spans="1:10" x14ac:dyDescent="0.3">
      <c r="A5843" s="33">
        <v>5842</v>
      </c>
      <c r="B5843" s="4">
        <v>17</v>
      </c>
      <c r="C5843" s="15">
        <v>281</v>
      </c>
      <c r="D5843" s="16">
        <v>6</v>
      </c>
      <c r="E5843" s="22">
        <v>44925</v>
      </c>
      <c r="F5843" s="19">
        <v>100</v>
      </c>
      <c r="G5843" s="18">
        <v>0.11</v>
      </c>
      <c r="H5843">
        <f>F5843*VLOOKUP(B5843,產品!$A$2:$H$61,7,FALSE)*(1-銷售總表!G5843)</f>
        <v>160200</v>
      </c>
      <c r="I5843" s="35">
        <f>H5843-F5843*VLOOKUP(銷售總表!B5843,產品!$A$2:$H$61,8,FALSE)</f>
        <v>88200</v>
      </c>
      <c r="J5843" s="20">
        <f t="shared" si="91"/>
        <v>0.550561797752809</v>
      </c>
    </row>
    <row r="5844" spans="1:10" x14ac:dyDescent="0.3">
      <c r="A5844" s="33">
        <v>5843</v>
      </c>
      <c r="B5844" s="4">
        <v>58</v>
      </c>
      <c r="C5844" s="15">
        <v>8</v>
      </c>
      <c r="D5844" s="16">
        <v>3</v>
      </c>
      <c r="E5844" s="22">
        <v>44926</v>
      </c>
      <c r="F5844" s="19">
        <v>4</v>
      </c>
      <c r="G5844" s="18">
        <v>0.13</v>
      </c>
      <c r="H5844">
        <f>F5844*VLOOKUP(B5844,產品!$A$2:$H$61,7,FALSE)*(1-銷售總表!G5844)</f>
        <v>73080</v>
      </c>
      <c r="I5844" s="35">
        <f>H5844-F5844*VLOOKUP(銷售總表!B5844,產品!$A$2:$H$61,8,FALSE)</f>
        <v>14280.000000000007</v>
      </c>
      <c r="J5844" s="20">
        <f t="shared" si="91"/>
        <v>0.19540229885057481</v>
      </c>
    </row>
    <row r="5845" spans="1:10" x14ac:dyDescent="0.3">
      <c r="A5845" s="33">
        <v>5844</v>
      </c>
      <c r="B5845" s="4">
        <v>55</v>
      </c>
      <c r="C5845" s="15">
        <v>1</v>
      </c>
      <c r="D5845" s="16">
        <v>2</v>
      </c>
      <c r="E5845" s="23">
        <v>44926</v>
      </c>
      <c r="F5845">
        <v>4</v>
      </c>
      <c r="G5845" s="20">
        <v>0.16</v>
      </c>
      <c r="H5845">
        <f>F5845*VLOOKUP(B5845,產品!$A$2:$H$61,7,FALSE)*(1-銷售總表!G5845)</f>
        <v>67200</v>
      </c>
      <c r="I5845" s="35">
        <f>H5845-F5845*VLOOKUP(銷售總表!B5845,產品!$A$2:$H$61,8,FALSE)</f>
        <v>11200</v>
      </c>
      <c r="J5845" s="20">
        <f t="shared" si="91"/>
        <v>0.16666666666666666</v>
      </c>
    </row>
    <row r="5846" spans="1:10" x14ac:dyDescent="0.3">
      <c r="A5846" s="33">
        <v>5845</v>
      </c>
      <c r="B5846" s="4">
        <v>22</v>
      </c>
      <c r="C5846" s="15">
        <v>272</v>
      </c>
      <c r="D5846" s="16">
        <v>9</v>
      </c>
      <c r="E5846" s="22">
        <v>44926</v>
      </c>
      <c r="F5846" s="19">
        <v>30</v>
      </c>
      <c r="G5846" s="18">
        <v>0.08</v>
      </c>
      <c r="H5846">
        <f>F5846*VLOOKUP(B5846,產品!$A$2:$H$61,7,FALSE)*(1-銷售總表!G5846)</f>
        <v>49680</v>
      </c>
      <c r="I5846" s="35">
        <f>H5846-F5846*VLOOKUP(銷售總表!B5846,產品!$A$2:$H$61,8,FALSE)</f>
        <v>28080</v>
      </c>
      <c r="J5846" s="20">
        <f t="shared" si="91"/>
        <v>0.56521739130434778</v>
      </c>
    </row>
    <row r="5847" spans="1:10" x14ac:dyDescent="0.3">
      <c r="A5847" s="33">
        <v>5846</v>
      </c>
      <c r="B5847" s="4">
        <v>14</v>
      </c>
      <c r="C5847" s="15">
        <v>119</v>
      </c>
      <c r="D5847" s="16">
        <v>9</v>
      </c>
      <c r="E5847" s="22">
        <v>44926</v>
      </c>
      <c r="F5847" s="19">
        <v>40</v>
      </c>
      <c r="G5847" s="18">
        <v>0.2</v>
      </c>
      <c r="H5847">
        <f>F5847*VLOOKUP(B5847,產品!$A$2:$H$61,7,FALSE)*(1-銷售總表!G5847)</f>
        <v>57600</v>
      </c>
      <c r="I5847" s="35">
        <f>H5847-F5847*VLOOKUP(銷售總表!B5847,產品!$A$2:$H$61,8,FALSE)</f>
        <v>28800</v>
      </c>
      <c r="J5847" s="20">
        <f t="shared" si="91"/>
        <v>0.5</v>
      </c>
    </row>
    <row r="5848" spans="1:10" x14ac:dyDescent="0.3">
      <c r="A5848" s="33">
        <v>5847</v>
      </c>
      <c r="B5848" s="4">
        <v>14</v>
      </c>
      <c r="C5848" s="15">
        <v>117</v>
      </c>
      <c r="D5848" s="16">
        <v>9</v>
      </c>
      <c r="E5848" s="22">
        <v>44926</v>
      </c>
      <c r="F5848" s="19">
        <v>70</v>
      </c>
      <c r="G5848" s="18">
        <v>0.11</v>
      </c>
      <c r="H5848">
        <f>F5848*VLOOKUP(B5848,產品!$A$2:$H$61,7,FALSE)*(1-銷售總表!G5848)</f>
        <v>112140</v>
      </c>
      <c r="I5848" s="35">
        <f>H5848-F5848*VLOOKUP(銷售總表!B5848,產品!$A$2:$H$61,8,FALSE)</f>
        <v>61740</v>
      </c>
      <c r="J5848" s="20">
        <f t="shared" si="91"/>
        <v>0.550561797752809</v>
      </c>
    </row>
    <row r="5849" spans="1:10" x14ac:dyDescent="0.3">
      <c r="A5849" s="33">
        <v>5848</v>
      </c>
      <c r="B5849" s="4">
        <v>23</v>
      </c>
      <c r="C5849" s="15">
        <v>4</v>
      </c>
      <c r="D5849" s="16">
        <v>1</v>
      </c>
      <c r="E5849" s="23">
        <v>44926</v>
      </c>
      <c r="F5849">
        <v>100</v>
      </c>
      <c r="G5849" s="20">
        <v>0.17</v>
      </c>
      <c r="H5849">
        <f>F5849*VLOOKUP(B5849,產品!$A$2:$H$61,7,FALSE)*(1-銷售總表!G5849)</f>
        <v>149400</v>
      </c>
      <c r="I5849" s="35">
        <f>H5849-F5849*VLOOKUP(銷售總表!B5849,產品!$A$2:$H$61,8,FALSE)</f>
        <v>77400</v>
      </c>
      <c r="J5849" s="20">
        <f t="shared" si="91"/>
        <v>0.51807228915662651</v>
      </c>
    </row>
    <row r="5850" spans="1:10" x14ac:dyDescent="0.3">
      <c r="A5850" s="33">
        <v>5849</v>
      </c>
      <c r="B5850" s="4">
        <v>15</v>
      </c>
      <c r="C5850" s="15">
        <v>291</v>
      </c>
      <c r="D5850" s="16">
        <v>10</v>
      </c>
      <c r="E5850" s="22">
        <v>44927</v>
      </c>
      <c r="F5850" s="19">
        <v>80</v>
      </c>
      <c r="G5850" s="18">
        <v>0.05</v>
      </c>
      <c r="H5850">
        <f>F5850*VLOOKUP(B5850,產品!$A$2:$H$61,7,FALSE)*(1-銷售總表!G5850)</f>
        <v>136800</v>
      </c>
      <c r="I5850" s="35">
        <f>H5850-F5850*VLOOKUP(銷售總表!B5850,產品!$A$2:$H$61,8,FALSE)</f>
        <v>79200</v>
      </c>
      <c r="J5850" s="20">
        <f t="shared" si="91"/>
        <v>0.57894736842105265</v>
      </c>
    </row>
    <row r="5851" spans="1:10" x14ac:dyDescent="0.3">
      <c r="A5851" s="33">
        <v>5850</v>
      </c>
      <c r="B5851" s="4">
        <v>15</v>
      </c>
      <c r="C5851" s="15">
        <v>9</v>
      </c>
      <c r="D5851" s="16">
        <v>7</v>
      </c>
      <c r="E5851" s="22">
        <v>44927</v>
      </c>
      <c r="F5851" s="19">
        <v>40</v>
      </c>
      <c r="G5851" s="18">
        <v>0.05</v>
      </c>
      <c r="H5851">
        <f>F5851*VLOOKUP(B5851,產品!$A$2:$H$61,7,FALSE)*(1-銷售總表!G5851)</f>
        <v>68400</v>
      </c>
      <c r="I5851" s="35">
        <f>H5851-F5851*VLOOKUP(銷售總表!B5851,產品!$A$2:$H$61,8,FALSE)</f>
        <v>39600</v>
      </c>
      <c r="J5851" s="20">
        <f t="shared" si="91"/>
        <v>0.57894736842105265</v>
      </c>
    </row>
    <row r="5852" spans="1:10" x14ac:dyDescent="0.3">
      <c r="A5852" s="33">
        <v>5851</v>
      </c>
      <c r="B5852" s="4">
        <v>16</v>
      </c>
      <c r="C5852" s="15">
        <v>283</v>
      </c>
      <c r="D5852" s="16">
        <v>9</v>
      </c>
      <c r="E5852" s="22">
        <v>44927</v>
      </c>
      <c r="F5852" s="19">
        <v>90</v>
      </c>
      <c r="G5852" s="18">
        <v>0.16</v>
      </c>
      <c r="H5852">
        <f>F5852*VLOOKUP(B5852,產品!$A$2:$H$61,7,FALSE)*(1-銷售總表!G5852)</f>
        <v>136080</v>
      </c>
      <c r="I5852" s="35">
        <f>H5852-F5852*VLOOKUP(銷售總表!B5852,產品!$A$2:$H$61,8,FALSE)</f>
        <v>71280</v>
      </c>
      <c r="J5852" s="20">
        <f t="shared" si="91"/>
        <v>0.52380952380952384</v>
      </c>
    </row>
    <row r="5853" spans="1:10" x14ac:dyDescent="0.3">
      <c r="A5853" s="33">
        <v>5852</v>
      </c>
      <c r="B5853" s="4">
        <v>51</v>
      </c>
      <c r="C5853" s="15">
        <v>279</v>
      </c>
      <c r="D5853" s="16">
        <v>9</v>
      </c>
      <c r="E5853" s="22">
        <v>44927</v>
      </c>
      <c r="F5853" s="19">
        <v>4</v>
      </c>
      <c r="G5853" s="18">
        <v>7.0000000000000007E-2</v>
      </c>
      <c r="H5853">
        <f>F5853*VLOOKUP(B5853,產品!$A$2:$H$61,7,FALSE)*(1-銷售總表!G5853)</f>
        <v>74400</v>
      </c>
      <c r="I5853" s="35">
        <f>H5853-F5853*VLOOKUP(銷售總表!B5853,產品!$A$2:$H$61,8,FALSE)</f>
        <v>18400</v>
      </c>
      <c r="J5853" s="20">
        <f t="shared" si="91"/>
        <v>0.24731182795698925</v>
      </c>
    </row>
    <row r="5854" spans="1:10" x14ac:dyDescent="0.3">
      <c r="A5854" s="33">
        <v>5853</v>
      </c>
      <c r="B5854" s="4">
        <v>40</v>
      </c>
      <c r="C5854" s="15">
        <v>293</v>
      </c>
      <c r="D5854" s="16">
        <v>4</v>
      </c>
      <c r="E5854" s="23">
        <v>44927</v>
      </c>
      <c r="F5854">
        <v>5</v>
      </c>
      <c r="G5854" s="20">
        <v>0.16</v>
      </c>
      <c r="H5854">
        <f>F5854*VLOOKUP(B5854,產品!$A$2:$H$61,7,FALSE)*(1-銷售總表!G5854)</f>
        <v>84000</v>
      </c>
      <c r="I5854" s="35">
        <f>H5854-F5854*VLOOKUP(銷售總表!B5854,產品!$A$2:$H$61,8,FALSE)</f>
        <v>19000</v>
      </c>
      <c r="J5854" s="20">
        <f t="shared" si="91"/>
        <v>0.22619047619047619</v>
      </c>
    </row>
    <row r="5855" spans="1:10" x14ac:dyDescent="0.3">
      <c r="A5855" s="33">
        <v>5854</v>
      </c>
      <c r="B5855" s="4">
        <v>52</v>
      </c>
      <c r="C5855" s="15">
        <v>285</v>
      </c>
      <c r="D5855" s="16">
        <v>8</v>
      </c>
      <c r="E5855" s="22">
        <v>44928</v>
      </c>
      <c r="F5855" s="19">
        <v>3</v>
      </c>
      <c r="G5855" s="18">
        <v>0.17</v>
      </c>
      <c r="H5855">
        <f>F5855*VLOOKUP(B5855,產品!$A$2:$H$61,7,FALSE)*(1-銷售總表!G5855)</f>
        <v>54780</v>
      </c>
      <c r="I5855" s="35">
        <f>H5855-F5855*VLOOKUP(銷售總表!B5855,產品!$A$2:$H$61,8,FALSE)</f>
        <v>8580.0000000000073</v>
      </c>
      <c r="J5855" s="20">
        <f t="shared" si="91"/>
        <v>0.15662650602409653</v>
      </c>
    </row>
    <row r="5856" spans="1:10" x14ac:dyDescent="0.3">
      <c r="A5856" s="33">
        <v>5855</v>
      </c>
      <c r="B5856" s="4">
        <v>29</v>
      </c>
      <c r="C5856" s="15">
        <v>293</v>
      </c>
      <c r="D5856" s="16">
        <v>9</v>
      </c>
      <c r="E5856" s="22">
        <v>44928</v>
      </c>
      <c r="F5856" s="19">
        <v>3</v>
      </c>
      <c r="G5856" s="18">
        <v>0.15</v>
      </c>
      <c r="H5856">
        <f>F5856*VLOOKUP(B5856,產品!$A$2:$H$61,7,FALSE)*(1-銷售總表!G5856)</f>
        <v>15300</v>
      </c>
      <c r="I5856" s="35">
        <f>H5856-F5856*VLOOKUP(銷售總表!B5856,產品!$A$2:$H$61,8,FALSE)</f>
        <v>4500</v>
      </c>
      <c r="J5856" s="20">
        <f t="shared" si="91"/>
        <v>0.29411764705882354</v>
      </c>
    </row>
    <row r="5857" spans="1:10" x14ac:dyDescent="0.3">
      <c r="A5857" s="33">
        <v>5856</v>
      </c>
      <c r="B5857" s="4">
        <v>19</v>
      </c>
      <c r="C5857" s="15">
        <v>9</v>
      </c>
      <c r="D5857" s="16">
        <v>4</v>
      </c>
      <c r="E5857" s="22">
        <v>44928</v>
      </c>
      <c r="F5857" s="19">
        <v>20</v>
      </c>
      <c r="G5857" s="18">
        <v>0.05</v>
      </c>
      <c r="H5857">
        <f>F5857*VLOOKUP(B5857,產品!$A$2:$H$61,7,FALSE)*(1-銷售總表!G5857)</f>
        <v>34200</v>
      </c>
      <c r="I5857" s="35">
        <f>H5857-F5857*VLOOKUP(銷售總表!B5857,產品!$A$2:$H$61,8,FALSE)</f>
        <v>19800</v>
      </c>
      <c r="J5857" s="20">
        <f t="shared" si="91"/>
        <v>0.57894736842105265</v>
      </c>
    </row>
    <row r="5858" spans="1:10" x14ac:dyDescent="0.3">
      <c r="A5858" s="33">
        <v>5857</v>
      </c>
      <c r="B5858" s="4">
        <v>37</v>
      </c>
      <c r="C5858" s="15">
        <v>290</v>
      </c>
      <c r="D5858" s="16">
        <v>5</v>
      </c>
      <c r="E5858" s="22">
        <v>44928</v>
      </c>
      <c r="F5858" s="19">
        <v>3</v>
      </c>
      <c r="G5858" s="18">
        <v>0.12</v>
      </c>
      <c r="H5858">
        <f>F5858*VLOOKUP(B5858,產品!$A$2:$H$61,7,FALSE)*(1-銷售總表!G5858)</f>
        <v>31680</v>
      </c>
      <c r="I5858" s="35">
        <f>H5858-F5858*VLOOKUP(銷售總表!B5858,產品!$A$2:$H$61,8,FALSE)</f>
        <v>8280</v>
      </c>
      <c r="J5858" s="20">
        <f t="shared" si="91"/>
        <v>0.26136363636363635</v>
      </c>
    </row>
    <row r="5859" spans="1:10" x14ac:dyDescent="0.3">
      <c r="A5859" s="33">
        <v>5858</v>
      </c>
      <c r="B5859" s="4">
        <v>23</v>
      </c>
      <c r="C5859" s="15">
        <v>121</v>
      </c>
      <c r="D5859" s="16">
        <v>5</v>
      </c>
      <c r="E5859" s="22">
        <v>44928</v>
      </c>
      <c r="F5859" s="19">
        <v>50</v>
      </c>
      <c r="G5859" s="18">
        <v>0.09</v>
      </c>
      <c r="H5859">
        <f>F5859*VLOOKUP(B5859,產品!$A$2:$H$61,7,FALSE)*(1-銷售總表!G5859)</f>
        <v>81900</v>
      </c>
      <c r="I5859" s="35">
        <f>H5859-F5859*VLOOKUP(銷售總表!B5859,產品!$A$2:$H$61,8,FALSE)</f>
        <v>45900</v>
      </c>
      <c r="J5859" s="20">
        <f t="shared" si="91"/>
        <v>0.56043956043956045</v>
      </c>
    </row>
    <row r="5860" spans="1:10" x14ac:dyDescent="0.3">
      <c r="A5860" s="33">
        <v>5859</v>
      </c>
      <c r="B5860" s="4">
        <v>3</v>
      </c>
      <c r="C5860" s="15">
        <v>126</v>
      </c>
      <c r="D5860" s="16">
        <v>9</v>
      </c>
      <c r="E5860" s="23">
        <v>44928</v>
      </c>
      <c r="F5860">
        <v>50</v>
      </c>
      <c r="G5860" s="20">
        <v>0.18</v>
      </c>
      <c r="H5860">
        <f>F5860*VLOOKUP(B5860,產品!$A$2:$H$61,7,FALSE)*(1-銷售總表!G5860)</f>
        <v>41000</v>
      </c>
      <c r="I5860" s="35">
        <f>H5860-F5860*VLOOKUP(銷售總表!B5860,產品!$A$2:$H$61,8,FALSE)</f>
        <v>21000</v>
      </c>
      <c r="J5860" s="20">
        <f t="shared" si="91"/>
        <v>0.51219512195121952</v>
      </c>
    </row>
    <row r="5861" spans="1:10" x14ac:dyDescent="0.3">
      <c r="A5861" s="33">
        <v>5860</v>
      </c>
      <c r="B5861" s="4">
        <v>14</v>
      </c>
      <c r="C5861" s="15">
        <v>115</v>
      </c>
      <c r="D5861" s="16">
        <v>1</v>
      </c>
      <c r="E5861" s="23">
        <v>44928</v>
      </c>
      <c r="F5861">
        <v>90</v>
      </c>
      <c r="G5861" s="20">
        <v>0.19</v>
      </c>
      <c r="H5861">
        <f>F5861*VLOOKUP(B5861,產品!$A$2:$H$61,7,FALSE)*(1-銷售總表!G5861)</f>
        <v>131220</v>
      </c>
      <c r="I5861" s="35">
        <f>H5861-F5861*VLOOKUP(銷售總表!B5861,產品!$A$2:$H$61,8,FALSE)</f>
        <v>66420</v>
      </c>
      <c r="J5861" s="20">
        <f t="shared" si="91"/>
        <v>0.50617283950617287</v>
      </c>
    </row>
    <row r="5862" spans="1:10" x14ac:dyDescent="0.3">
      <c r="A5862" s="33">
        <v>5861</v>
      </c>
      <c r="B5862" s="4">
        <v>23</v>
      </c>
      <c r="C5862" s="15">
        <v>258</v>
      </c>
      <c r="D5862" s="16">
        <v>1</v>
      </c>
      <c r="E5862" s="22">
        <v>44929</v>
      </c>
      <c r="F5862" s="19">
        <v>40</v>
      </c>
      <c r="G5862" s="18">
        <v>0.06</v>
      </c>
      <c r="H5862">
        <f>F5862*VLOOKUP(B5862,產品!$A$2:$H$61,7,FALSE)*(1-銷售總表!G5862)</f>
        <v>67680</v>
      </c>
      <c r="I5862" s="35">
        <f>H5862-F5862*VLOOKUP(銷售總表!B5862,產品!$A$2:$H$61,8,FALSE)</f>
        <v>38880</v>
      </c>
      <c r="J5862" s="20">
        <f t="shared" si="91"/>
        <v>0.57446808510638303</v>
      </c>
    </row>
    <row r="5863" spans="1:10" x14ac:dyDescent="0.3">
      <c r="A5863" s="33">
        <v>5862</v>
      </c>
      <c r="B5863" s="4">
        <v>8</v>
      </c>
      <c r="C5863" s="15">
        <v>3</v>
      </c>
      <c r="D5863" s="16">
        <v>4</v>
      </c>
      <c r="E5863" s="22">
        <v>44929</v>
      </c>
      <c r="F5863" s="19">
        <v>100</v>
      </c>
      <c r="G5863" s="18">
        <v>0.2</v>
      </c>
      <c r="H5863">
        <f>F5863*VLOOKUP(B5863,產品!$A$2:$H$61,7,FALSE)*(1-銷售總表!G5863)</f>
        <v>80000</v>
      </c>
      <c r="I5863" s="35">
        <f>H5863-F5863*VLOOKUP(銷售總表!B5863,產品!$A$2:$H$61,8,FALSE)</f>
        <v>40000</v>
      </c>
      <c r="J5863" s="20">
        <f t="shared" si="91"/>
        <v>0.5</v>
      </c>
    </row>
    <row r="5864" spans="1:10" x14ac:dyDescent="0.3">
      <c r="A5864" s="33">
        <v>5863</v>
      </c>
      <c r="B5864" s="4">
        <v>36</v>
      </c>
      <c r="C5864" s="15">
        <v>7</v>
      </c>
      <c r="D5864" s="16">
        <v>8</v>
      </c>
      <c r="E5864" s="22">
        <v>44929</v>
      </c>
      <c r="F5864" s="19">
        <v>2</v>
      </c>
      <c r="G5864" s="18">
        <v>0.09</v>
      </c>
      <c r="H5864">
        <f>F5864*VLOOKUP(B5864,產品!$A$2:$H$61,7,FALSE)*(1-銷售總表!G5864)</f>
        <v>16380</v>
      </c>
      <c r="I5864" s="35">
        <f>H5864-F5864*VLOOKUP(銷售總表!B5864,產品!$A$2:$H$61,8,FALSE)</f>
        <v>5580</v>
      </c>
      <c r="J5864" s="20">
        <f t="shared" si="91"/>
        <v>0.34065934065934067</v>
      </c>
    </row>
    <row r="5865" spans="1:10" x14ac:dyDescent="0.3">
      <c r="A5865" s="33">
        <v>5864</v>
      </c>
      <c r="B5865" s="4">
        <v>9</v>
      </c>
      <c r="C5865" s="15">
        <v>8</v>
      </c>
      <c r="D5865" s="16">
        <v>1</v>
      </c>
      <c r="E5865" s="22">
        <v>44929</v>
      </c>
      <c r="F5865" s="19">
        <v>165</v>
      </c>
      <c r="G5865" s="18">
        <v>0.06</v>
      </c>
      <c r="H5865">
        <f>F5865*VLOOKUP(B5865,產品!$A$2:$H$61,7,FALSE)*(1-銷售總表!G5865)</f>
        <v>155100</v>
      </c>
      <c r="I5865" s="35">
        <f>H5865-F5865*VLOOKUP(銷售總表!B5865,產品!$A$2:$H$61,8,FALSE)</f>
        <v>89100</v>
      </c>
      <c r="J5865" s="20">
        <f t="shared" si="91"/>
        <v>0.57446808510638303</v>
      </c>
    </row>
    <row r="5866" spans="1:10" x14ac:dyDescent="0.3">
      <c r="A5866" s="33">
        <v>5865</v>
      </c>
      <c r="B5866" s="4">
        <v>55</v>
      </c>
      <c r="C5866" s="15">
        <v>274</v>
      </c>
      <c r="D5866" s="16">
        <v>5</v>
      </c>
      <c r="E5866" s="22">
        <v>44929</v>
      </c>
      <c r="F5866" s="19">
        <v>4</v>
      </c>
      <c r="G5866" s="18">
        <v>0.16</v>
      </c>
      <c r="H5866">
        <f>F5866*VLOOKUP(B5866,產品!$A$2:$H$61,7,FALSE)*(1-銷售總表!G5866)</f>
        <v>67200</v>
      </c>
      <c r="I5866" s="35">
        <f>H5866-F5866*VLOOKUP(銷售總表!B5866,產品!$A$2:$H$61,8,FALSE)</f>
        <v>11200</v>
      </c>
      <c r="J5866" s="20">
        <f t="shared" si="91"/>
        <v>0.16666666666666666</v>
      </c>
    </row>
    <row r="5867" spans="1:10" x14ac:dyDescent="0.3">
      <c r="A5867" s="33">
        <v>5866</v>
      </c>
      <c r="B5867" s="4">
        <v>27</v>
      </c>
      <c r="C5867" s="15">
        <v>257</v>
      </c>
      <c r="D5867" s="16">
        <v>8</v>
      </c>
      <c r="E5867" s="23">
        <v>44929</v>
      </c>
      <c r="F5867">
        <v>9</v>
      </c>
      <c r="G5867" s="20">
        <v>0.06</v>
      </c>
      <c r="H5867">
        <f>F5867*VLOOKUP(B5867,產品!$A$2:$H$61,7,FALSE)*(1-銷售總表!G5867)</f>
        <v>59220</v>
      </c>
      <c r="I5867" s="35">
        <f>H5867-F5867*VLOOKUP(銷售總表!B5867,產品!$A$2:$H$61,8,FALSE)</f>
        <v>21420</v>
      </c>
      <c r="J5867" s="20">
        <f t="shared" si="91"/>
        <v>0.36170212765957449</v>
      </c>
    </row>
    <row r="5868" spans="1:10" x14ac:dyDescent="0.3">
      <c r="A5868" s="33">
        <v>5867</v>
      </c>
      <c r="B5868" s="4">
        <v>41</v>
      </c>
      <c r="C5868" s="15">
        <v>263</v>
      </c>
      <c r="D5868" s="16">
        <v>8</v>
      </c>
      <c r="E5868" s="22">
        <v>44930</v>
      </c>
      <c r="F5868" s="19">
        <v>8</v>
      </c>
      <c r="G5868" s="18">
        <v>0.15</v>
      </c>
      <c r="H5868">
        <f>F5868*VLOOKUP(B5868,產品!$A$2:$H$61,7,FALSE)*(1-銷售總表!G5868)</f>
        <v>81600</v>
      </c>
      <c r="I5868" s="35">
        <f>H5868-F5868*VLOOKUP(銷售總表!B5868,產品!$A$2:$H$61,8,FALSE)</f>
        <v>19200</v>
      </c>
      <c r="J5868" s="20">
        <f t="shared" si="91"/>
        <v>0.23529411764705882</v>
      </c>
    </row>
    <row r="5869" spans="1:10" x14ac:dyDescent="0.3">
      <c r="A5869" s="33">
        <v>5868</v>
      </c>
      <c r="B5869" s="4">
        <v>38</v>
      </c>
      <c r="C5869" s="15">
        <v>274</v>
      </c>
      <c r="D5869" s="16">
        <v>10</v>
      </c>
      <c r="E5869" s="22">
        <v>44930</v>
      </c>
      <c r="F5869" s="19">
        <v>5</v>
      </c>
      <c r="G5869" s="18">
        <v>0.08</v>
      </c>
      <c r="H5869">
        <f>F5869*VLOOKUP(B5869,產品!$A$2:$H$61,7,FALSE)*(1-銷售總表!G5869)</f>
        <v>69000</v>
      </c>
      <c r="I5869" s="35">
        <f>H5869-F5869*VLOOKUP(銷售總表!B5869,產品!$A$2:$H$61,8,FALSE)</f>
        <v>20250</v>
      </c>
      <c r="J5869" s="20">
        <f t="shared" si="91"/>
        <v>0.29347826086956524</v>
      </c>
    </row>
    <row r="5870" spans="1:10" x14ac:dyDescent="0.3">
      <c r="A5870" s="33">
        <v>5869</v>
      </c>
      <c r="B5870" s="4">
        <v>34</v>
      </c>
      <c r="C5870" s="15">
        <v>292</v>
      </c>
      <c r="D5870" s="16">
        <v>9</v>
      </c>
      <c r="E5870" s="22">
        <v>44930</v>
      </c>
      <c r="F5870" s="19">
        <v>7</v>
      </c>
      <c r="G5870" s="18">
        <v>0.09</v>
      </c>
      <c r="H5870">
        <f>F5870*VLOOKUP(B5870,產品!$A$2:$H$61,7,FALSE)*(1-銷售總表!G5870)</f>
        <v>50960</v>
      </c>
      <c r="I5870" s="35">
        <f>H5870-F5870*VLOOKUP(銷售總表!B5870,產品!$A$2:$H$61,8,FALSE)</f>
        <v>17360</v>
      </c>
      <c r="J5870" s="20">
        <f t="shared" si="91"/>
        <v>0.34065934065934067</v>
      </c>
    </row>
    <row r="5871" spans="1:10" x14ac:dyDescent="0.3">
      <c r="A5871" s="33">
        <v>5870</v>
      </c>
      <c r="B5871" s="4">
        <v>22</v>
      </c>
      <c r="C5871" s="15">
        <v>3</v>
      </c>
      <c r="D5871" s="16">
        <v>3</v>
      </c>
      <c r="E5871" s="23">
        <v>44930</v>
      </c>
      <c r="F5871">
        <v>150</v>
      </c>
      <c r="G5871" s="20">
        <v>0.2</v>
      </c>
      <c r="H5871">
        <f>F5871*VLOOKUP(B5871,產品!$A$2:$H$61,7,FALSE)*(1-銷售總表!G5871)</f>
        <v>216000</v>
      </c>
      <c r="I5871" s="35">
        <f>H5871-F5871*VLOOKUP(銷售總表!B5871,產品!$A$2:$H$61,8,FALSE)</f>
        <v>108000</v>
      </c>
      <c r="J5871" s="20">
        <f t="shared" si="91"/>
        <v>0.5</v>
      </c>
    </row>
    <row r="5872" spans="1:10" x14ac:dyDescent="0.3">
      <c r="A5872" s="33">
        <v>5871</v>
      </c>
      <c r="B5872" s="4">
        <v>47</v>
      </c>
      <c r="C5872" s="15">
        <v>282</v>
      </c>
      <c r="D5872" s="16">
        <v>7</v>
      </c>
      <c r="E5872" s="23">
        <v>44930</v>
      </c>
      <c r="F5872">
        <v>7</v>
      </c>
      <c r="G5872" s="20">
        <v>0.06</v>
      </c>
      <c r="H5872">
        <f>F5872*VLOOKUP(B5872,產品!$A$2:$H$61,7,FALSE)*(1-銷售總表!G5872)</f>
        <v>131600</v>
      </c>
      <c r="I5872" s="35">
        <f>H5872-F5872*VLOOKUP(銷售總表!B5872,產品!$A$2:$H$61,8,FALSE)</f>
        <v>40600</v>
      </c>
      <c r="J5872" s="20">
        <f t="shared" si="91"/>
        <v>0.30851063829787234</v>
      </c>
    </row>
    <row r="5873" spans="1:10" x14ac:dyDescent="0.3">
      <c r="A5873" s="33">
        <v>5872</v>
      </c>
      <c r="B5873" s="4">
        <v>32</v>
      </c>
      <c r="C5873" s="15">
        <v>265</v>
      </c>
      <c r="D5873" s="16">
        <v>3</v>
      </c>
      <c r="E5873" s="23">
        <v>44930</v>
      </c>
      <c r="F5873">
        <v>8</v>
      </c>
      <c r="G5873" s="20">
        <v>0.15</v>
      </c>
      <c r="H5873">
        <f>F5873*VLOOKUP(B5873,產品!$A$2:$H$61,7,FALSE)*(1-銷售總表!G5873)</f>
        <v>51000</v>
      </c>
      <c r="I5873" s="35">
        <f>H5873-F5873*VLOOKUP(銷售總表!B5873,產品!$A$2:$H$61,8,FALSE)</f>
        <v>15000</v>
      </c>
      <c r="J5873" s="20">
        <f t="shared" si="91"/>
        <v>0.29411764705882354</v>
      </c>
    </row>
    <row r="5874" spans="1:10" x14ac:dyDescent="0.3">
      <c r="A5874" s="33">
        <v>5873</v>
      </c>
      <c r="B5874" s="4">
        <v>7</v>
      </c>
      <c r="C5874" s="15">
        <v>115</v>
      </c>
      <c r="D5874" s="16">
        <v>10</v>
      </c>
      <c r="E5874" s="23">
        <v>44930</v>
      </c>
      <c r="F5874">
        <v>40</v>
      </c>
      <c r="G5874" s="20">
        <v>0.17</v>
      </c>
      <c r="H5874">
        <f>F5874*VLOOKUP(B5874,產品!$A$2:$H$61,7,FALSE)*(1-銷售總表!G5874)</f>
        <v>33200</v>
      </c>
      <c r="I5874" s="35">
        <f>H5874-F5874*VLOOKUP(銷售總表!B5874,產品!$A$2:$H$61,8,FALSE)</f>
        <v>17200</v>
      </c>
      <c r="J5874" s="20">
        <f t="shared" si="91"/>
        <v>0.51807228915662651</v>
      </c>
    </row>
    <row r="5875" spans="1:10" x14ac:dyDescent="0.3">
      <c r="A5875" s="33">
        <v>5874</v>
      </c>
      <c r="B5875" s="4">
        <v>39</v>
      </c>
      <c r="C5875" s="15">
        <v>291</v>
      </c>
      <c r="D5875" s="16">
        <v>9</v>
      </c>
      <c r="E5875" s="22">
        <v>44931</v>
      </c>
      <c r="F5875" s="19">
        <v>5</v>
      </c>
      <c r="G5875" s="18">
        <v>0.08</v>
      </c>
      <c r="H5875">
        <f>F5875*VLOOKUP(B5875,產品!$A$2:$H$61,7,FALSE)*(1-銷售總表!G5875)</f>
        <v>82800</v>
      </c>
      <c r="I5875" s="35">
        <f>H5875-F5875*VLOOKUP(銷售總表!B5875,產品!$A$2:$H$61,8,FALSE)</f>
        <v>24300</v>
      </c>
      <c r="J5875" s="20">
        <f t="shared" si="91"/>
        <v>0.29347826086956524</v>
      </c>
    </row>
    <row r="5876" spans="1:10" x14ac:dyDescent="0.3">
      <c r="A5876" s="33">
        <v>5875</v>
      </c>
      <c r="B5876" s="4">
        <v>4</v>
      </c>
      <c r="C5876" s="15">
        <v>3</v>
      </c>
      <c r="D5876" s="16">
        <v>8</v>
      </c>
      <c r="E5876" s="22">
        <v>44931</v>
      </c>
      <c r="F5876" s="19">
        <v>40</v>
      </c>
      <c r="G5876" s="18">
        <v>0.11</v>
      </c>
      <c r="H5876">
        <f>F5876*VLOOKUP(B5876,產品!$A$2:$H$61,7,FALSE)*(1-銷售總表!G5876)</f>
        <v>35600</v>
      </c>
      <c r="I5876" s="35">
        <f>H5876-F5876*VLOOKUP(銷售總表!B5876,產品!$A$2:$H$61,8,FALSE)</f>
        <v>19600</v>
      </c>
      <c r="J5876" s="20">
        <f t="shared" si="91"/>
        <v>0.550561797752809</v>
      </c>
    </row>
    <row r="5877" spans="1:10" x14ac:dyDescent="0.3">
      <c r="A5877" s="33">
        <v>5876</v>
      </c>
      <c r="B5877" s="4">
        <v>7</v>
      </c>
      <c r="C5877" s="15">
        <v>269</v>
      </c>
      <c r="D5877" s="16">
        <v>7</v>
      </c>
      <c r="E5877" s="22">
        <v>44932</v>
      </c>
      <c r="F5877" s="19">
        <v>50</v>
      </c>
      <c r="G5877" s="18">
        <v>0.12</v>
      </c>
      <c r="H5877">
        <f>F5877*VLOOKUP(B5877,產品!$A$2:$H$61,7,FALSE)*(1-銷售總表!G5877)</f>
        <v>44000</v>
      </c>
      <c r="I5877" s="35">
        <f>H5877-F5877*VLOOKUP(銷售總表!B5877,產品!$A$2:$H$61,8,FALSE)</f>
        <v>24000</v>
      </c>
      <c r="J5877" s="20">
        <f t="shared" si="91"/>
        <v>0.54545454545454541</v>
      </c>
    </row>
    <row r="5878" spans="1:10" x14ac:dyDescent="0.3">
      <c r="A5878" s="33">
        <v>5877</v>
      </c>
      <c r="B5878" s="4">
        <v>7</v>
      </c>
      <c r="C5878" s="15">
        <v>125</v>
      </c>
      <c r="D5878" s="16">
        <v>7</v>
      </c>
      <c r="E5878" s="22">
        <v>44932</v>
      </c>
      <c r="F5878" s="19">
        <v>90</v>
      </c>
      <c r="G5878" s="18">
        <v>0.13</v>
      </c>
      <c r="H5878">
        <f>F5878*VLOOKUP(B5878,產品!$A$2:$H$61,7,FALSE)*(1-銷售總表!G5878)</f>
        <v>78300</v>
      </c>
      <c r="I5878" s="35">
        <f>H5878-F5878*VLOOKUP(銷售總表!B5878,產品!$A$2:$H$61,8,FALSE)</f>
        <v>42300</v>
      </c>
      <c r="J5878" s="20">
        <f t="shared" si="91"/>
        <v>0.54022988505747127</v>
      </c>
    </row>
    <row r="5879" spans="1:10" x14ac:dyDescent="0.3">
      <c r="A5879" s="33">
        <v>5878</v>
      </c>
      <c r="B5879" s="4">
        <v>41</v>
      </c>
      <c r="C5879" s="15">
        <v>7</v>
      </c>
      <c r="D5879" s="16">
        <v>7</v>
      </c>
      <c r="E5879" s="23">
        <v>44932</v>
      </c>
      <c r="F5879">
        <v>12</v>
      </c>
      <c r="G5879" s="20">
        <v>0.16</v>
      </c>
      <c r="H5879">
        <f>F5879*VLOOKUP(B5879,產品!$A$2:$H$61,7,FALSE)*(1-銷售總表!G5879)</f>
        <v>120960</v>
      </c>
      <c r="I5879" s="35">
        <f>H5879-F5879*VLOOKUP(銷售總表!B5879,產品!$A$2:$H$61,8,FALSE)</f>
        <v>27360</v>
      </c>
      <c r="J5879" s="20">
        <f t="shared" si="91"/>
        <v>0.22619047619047619</v>
      </c>
    </row>
    <row r="5880" spans="1:10" x14ac:dyDescent="0.3">
      <c r="A5880" s="33">
        <v>5879</v>
      </c>
      <c r="B5880" s="4">
        <v>35</v>
      </c>
      <c r="C5880" s="15">
        <v>280</v>
      </c>
      <c r="D5880" s="16">
        <v>3</v>
      </c>
      <c r="E5880" s="23">
        <v>44932</v>
      </c>
      <c r="F5880">
        <v>9</v>
      </c>
      <c r="G5880" s="20">
        <v>0.17</v>
      </c>
      <c r="H5880">
        <f>F5880*VLOOKUP(B5880,產品!$A$2:$H$61,7,FALSE)*(1-銷售總表!G5880)</f>
        <v>63495</v>
      </c>
      <c r="I5880" s="35">
        <f>H5880-F5880*VLOOKUP(銷售總表!B5880,產品!$A$2:$H$61,8,FALSE)</f>
        <v>17595</v>
      </c>
      <c r="J5880" s="20">
        <f t="shared" si="91"/>
        <v>0.27710843373493976</v>
      </c>
    </row>
    <row r="5881" spans="1:10" x14ac:dyDescent="0.3">
      <c r="A5881" s="33">
        <v>5880</v>
      </c>
      <c r="B5881" s="4">
        <v>17</v>
      </c>
      <c r="C5881" s="15">
        <v>259</v>
      </c>
      <c r="D5881" s="16">
        <v>10</v>
      </c>
      <c r="E5881" s="23">
        <v>44932</v>
      </c>
      <c r="F5881">
        <v>175</v>
      </c>
      <c r="G5881" s="20">
        <v>0.15</v>
      </c>
      <c r="H5881">
        <f>F5881*VLOOKUP(B5881,產品!$A$2:$H$61,7,FALSE)*(1-銷售總表!G5881)</f>
        <v>267750</v>
      </c>
      <c r="I5881" s="35">
        <f>H5881-F5881*VLOOKUP(銷售總表!B5881,產品!$A$2:$H$61,8,FALSE)</f>
        <v>141750</v>
      </c>
      <c r="J5881" s="20">
        <f t="shared" si="91"/>
        <v>0.52941176470588236</v>
      </c>
    </row>
    <row r="5882" spans="1:10" x14ac:dyDescent="0.3">
      <c r="A5882" s="33">
        <v>5881</v>
      </c>
      <c r="B5882" s="4">
        <v>50</v>
      </c>
      <c r="C5882" s="15">
        <v>139</v>
      </c>
      <c r="D5882" s="16">
        <v>2</v>
      </c>
      <c r="E5882" s="23">
        <v>44932</v>
      </c>
      <c r="F5882">
        <v>12</v>
      </c>
      <c r="G5882" s="20">
        <v>0.2</v>
      </c>
      <c r="H5882">
        <f>F5882*VLOOKUP(B5882,產品!$A$2:$H$61,7,FALSE)*(1-銷售總表!G5882)</f>
        <v>172800</v>
      </c>
      <c r="I5882" s="35">
        <f>H5882-F5882*VLOOKUP(銷售總表!B5882,產品!$A$2:$H$61,8,FALSE)</f>
        <v>21600</v>
      </c>
      <c r="J5882" s="20">
        <f t="shared" si="91"/>
        <v>0.125</v>
      </c>
    </row>
    <row r="5883" spans="1:10" x14ac:dyDescent="0.3">
      <c r="A5883" s="33">
        <v>5882</v>
      </c>
      <c r="B5883" s="4">
        <v>55</v>
      </c>
      <c r="C5883" s="15">
        <v>5</v>
      </c>
      <c r="D5883" s="16">
        <v>1</v>
      </c>
      <c r="E5883" s="23">
        <v>44933</v>
      </c>
      <c r="F5883">
        <v>13</v>
      </c>
      <c r="G5883" s="20">
        <v>0.09</v>
      </c>
      <c r="H5883">
        <f>F5883*VLOOKUP(B5883,產品!$A$2:$H$61,7,FALSE)*(1-銷售總表!G5883)</f>
        <v>236600</v>
      </c>
      <c r="I5883" s="35">
        <f>H5883-F5883*VLOOKUP(銷售總表!B5883,產品!$A$2:$H$61,8,FALSE)</f>
        <v>54600</v>
      </c>
      <c r="J5883" s="20">
        <f t="shared" si="91"/>
        <v>0.23076923076923078</v>
      </c>
    </row>
    <row r="5884" spans="1:10" x14ac:dyDescent="0.3">
      <c r="A5884" s="33">
        <v>5883</v>
      </c>
      <c r="B5884" s="4">
        <v>60</v>
      </c>
      <c r="C5884" s="15">
        <v>9</v>
      </c>
      <c r="D5884" s="16">
        <v>8</v>
      </c>
      <c r="E5884" s="22">
        <v>44933</v>
      </c>
      <c r="F5884" s="19">
        <v>3</v>
      </c>
      <c r="G5884" s="18">
        <v>7.0000000000000007E-2</v>
      </c>
      <c r="H5884">
        <f>F5884*VLOOKUP(B5884,產品!$A$2:$H$61,7,FALSE)*(1-銷售總表!G5884)</f>
        <v>69750</v>
      </c>
      <c r="I5884" s="35">
        <f>H5884-F5884*VLOOKUP(銷售總表!B5884,產品!$A$2:$H$61,8,FALSE)</f>
        <v>17250</v>
      </c>
      <c r="J5884" s="20">
        <f t="shared" si="91"/>
        <v>0.24731182795698925</v>
      </c>
    </row>
    <row r="5885" spans="1:10" x14ac:dyDescent="0.3">
      <c r="A5885" s="33">
        <v>5884</v>
      </c>
      <c r="B5885" s="4">
        <v>1</v>
      </c>
      <c r="C5885" s="15">
        <v>7</v>
      </c>
      <c r="D5885" s="16">
        <v>6</v>
      </c>
      <c r="E5885" s="22">
        <v>44933</v>
      </c>
      <c r="F5885" s="19">
        <v>60</v>
      </c>
      <c r="G5885" s="18">
        <v>0.1</v>
      </c>
      <c r="H5885">
        <f>F5885*VLOOKUP(B5885,產品!$A$2:$H$61,7,FALSE)*(1-銷售總表!G5885)</f>
        <v>54000</v>
      </c>
      <c r="I5885" s="35">
        <f>H5885-F5885*VLOOKUP(銷售總表!B5885,產品!$A$2:$H$61,8,FALSE)</f>
        <v>30000</v>
      </c>
      <c r="J5885" s="20">
        <f t="shared" si="91"/>
        <v>0.55555555555555558</v>
      </c>
    </row>
    <row r="5886" spans="1:10" x14ac:dyDescent="0.3">
      <c r="A5886" s="33">
        <v>5885</v>
      </c>
      <c r="B5886" s="4">
        <v>50</v>
      </c>
      <c r="C5886" s="15">
        <v>1</v>
      </c>
      <c r="D5886" s="16">
        <v>4</v>
      </c>
      <c r="E5886" s="22">
        <v>44933</v>
      </c>
      <c r="F5886" s="19">
        <v>5</v>
      </c>
      <c r="G5886" s="18">
        <v>0.19</v>
      </c>
      <c r="H5886">
        <f>F5886*VLOOKUP(B5886,產品!$A$2:$H$61,7,FALSE)*(1-銷售總表!G5886)</f>
        <v>72900</v>
      </c>
      <c r="I5886" s="35">
        <f>H5886-F5886*VLOOKUP(銷售總表!B5886,產品!$A$2:$H$61,8,FALSE)</f>
        <v>9900</v>
      </c>
      <c r="J5886" s="20">
        <f t="shared" si="91"/>
        <v>0.13580246913580246</v>
      </c>
    </row>
    <row r="5887" spans="1:10" x14ac:dyDescent="0.3">
      <c r="A5887" s="33">
        <v>5886</v>
      </c>
      <c r="B5887" s="4">
        <v>44</v>
      </c>
      <c r="C5887" s="15">
        <v>136</v>
      </c>
      <c r="D5887" s="16">
        <v>1</v>
      </c>
      <c r="E5887" s="22">
        <v>44934</v>
      </c>
      <c r="F5887" s="19">
        <v>4</v>
      </c>
      <c r="G5887" s="18">
        <v>0.09</v>
      </c>
      <c r="H5887">
        <f>F5887*VLOOKUP(B5887,產品!$A$2:$H$61,7,FALSE)*(1-銷售總表!G5887)</f>
        <v>72800</v>
      </c>
      <c r="I5887" s="35">
        <f>H5887-F5887*VLOOKUP(銷售總表!B5887,產品!$A$2:$H$61,8,FALSE)</f>
        <v>20800</v>
      </c>
      <c r="J5887" s="20">
        <f t="shared" si="91"/>
        <v>0.2857142857142857</v>
      </c>
    </row>
    <row r="5888" spans="1:10" x14ac:dyDescent="0.3">
      <c r="A5888" s="33">
        <v>5887</v>
      </c>
      <c r="B5888" s="4">
        <v>30</v>
      </c>
      <c r="C5888" s="15">
        <v>139</v>
      </c>
      <c r="D5888" s="16">
        <v>6</v>
      </c>
      <c r="E5888" s="22">
        <v>44934</v>
      </c>
      <c r="F5888" s="19">
        <v>10</v>
      </c>
      <c r="G5888" s="18">
        <v>0.16</v>
      </c>
      <c r="H5888">
        <f>F5888*VLOOKUP(B5888,產品!$A$2:$H$61,7,FALSE)*(1-銷售總表!G5888)</f>
        <v>54600</v>
      </c>
      <c r="I5888" s="35">
        <f>H5888-F5888*VLOOKUP(銷售總表!B5888,產品!$A$2:$H$61,8,FALSE)</f>
        <v>15600</v>
      </c>
      <c r="J5888" s="20">
        <f t="shared" si="91"/>
        <v>0.2857142857142857</v>
      </c>
    </row>
    <row r="5889" spans="1:10" x14ac:dyDescent="0.3">
      <c r="A5889" s="33">
        <v>5888</v>
      </c>
      <c r="B5889" s="4">
        <v>14</v>
      </c>
      <c r="C5889" s="15">
        <v>278</v>
      </c>
      <c r="D5889" s="16">
        <v>9</v>
      </c>
      <c r="E5889" s="22">
        <v>44934</v>
      </c>
      <c r="F5889" s="19">
        <v>50</v>
      </c>
      <c r="G5889" s="18">
        <v>0.2</v>
      </c>
      <c r="H5889">
        <f>F5889*VLOOKUP(B5889,產品!$A$2:$H$61,7,FALSE)*(1-銷售總表!G5889)</f>
        <v>72000</v>
      </c>
      <c r="I5889" s="35">
        <f>H5889-F5889*VLOOKUP(銷售總表!B5889,產品!$A$2:$H$61,8,FALSE)</f>
        <v>36000</v>
      </c>
      <c r="J5889" s="20">
        <f t="shared" si="91"/>
        <v>0.5</v>
      </c>
    </row>
    <row r="5890" spans="1:10" x14ac:dyDescent="0.3">
      <c r="A5890" s="33">
        <v>5889</v>
      </c>
      <c r="B5890" s="4">
        <v>27</v>
      </c>
      <c r="C5890" s="15">
        <v>268</v>
      </c>
      <c r="D5890" s="16">
        <v>4</v>
      </c>
      <c r="E5890" s="22">
        <v>44934</v>
      </c>
      <c r="F5890" s="19">
        <v>15</v>
      </c>
      <c r="G5890" s="18">
        <v>0.15</v>
      </c>
      <c r="H5890">
        <f>F5890*VLOOKUP(B5890,產品!$A$2:$H$61,7,FALSE)*(1-銷售總表!G5890)</f>
        <v>89250</v>
      </c>
      <c r="I5890" s="35">
        <f>H5890-F5890*VLOOKUP(銷售總表!B5890,產品!$A$2:$H$61,8,FALSE)</f>
        <v>26250</v>
      </c>
      <c r="J5890" s="20">
        <f t="shared" si="91"/>
        <v>0.29411764705882354</v>
      </c>
    </row>
    <row r="5891" spans="1:10" x14ac:dyDescent="0.3">
      <c r="A5891" s="33">
        <v>5890</v>
      </c>
      <c r="B5891" s="4">
        <v>10</v>
      </c>
      <c r="C5891" s="15">
        <v>287</v>
      </c>
      <c r="D5891" s="16">
        <v>7</v>
      </c>
      <c r="E5891" s="22">
        <v>44934</v>
      </c>
      <c r="F5891" s="19">
        <v>50</v>
      </c>
      <c r="G5891" s="18">
        <v>0.14000000000000001</v>
      </c>
      <c r="H5891">
        <f>F5891*VLOOKUP(B5891,產品!$A$2:$H$61,7,FALSE)*(1-銷售總表!G5891)</f>
        <v>43000</v>
      </c>
      <c r="I5891" s="35">
        <f>H5891-F5891*VLOOKUP(銷售總表!B5891,產品!$A$2:$H$61,8,FALSE)</f>
        <v>23000</v>
      </c>
      <c r="J5891" s="20">
        <f t="shared" ref="J5891:J5954" si="92">I5891/H5891</f>
        <v>0.53488372093023251</v>
      </c>
    </row>
    <row r="5892" spans="1:10" x14ac:dyDescent="0.3">
      <c r="A5892" s="33">
        <v>5891</v>
      </c>
      <c r="B5892" s="4">
        <v>20</v>
      </c>
      <c r="C5892" s="15">
        <v>257</v>
      </c>
      <c r="D5892" s="16">
        <v>2</v>
      </c>
      <c r="E5892" s="22">
        <v>44934</v>
      </c>
      <c r="F5892" s="19">
        <v>100</v>
      </c>
      <c r="G5892" s="18">
        <v>0.11</v>
      </c>
      <c r="H5892">
        <f>F5892*VLOOKUP(B5892,產品!$A$2:$H$61,7,FALSE)*(1-銷售總表!G5892)</f>
        <v>160200</v>
      </c>
      <c r="I5892" s="35">
        <f>H5892-F5892*VLOOKUP(銷售總表!B5892,產品!$A$2:$H$61,8,FALSE)</f>
        <v>88200</v>
      </c>
      <c r="J5892" s="20">
        <f t="shared" si="92"/>
        <v>0.550561797752809</v>
      </c>
    </row>
    <row r="5893" spans="1:10" x14ac:dyDescent="0.3">
      <c r="A5893" s="33">
        <v>5892</v>
      </c>
      <c r="B5893" s="4">
        <v>52</v>
      </c>
      <c r="C5893" s="15">
        <v>116</v>
      </c>
      <c r="D5893" s="16">
        <v>8</v>
      </c>
      <c r="E5893" s="22">
        <v>44934</v>
      </c>
      <c r="F5893" s="19">
        <v>8</v>
      </c>
      <c r="G5893" s="18">
        <v>0.14000000000000001</v>
      </c>
      <c r="H5893">
        <f>F5893*VLOOKUP(B5893,產品!$A$2:$H$61,7,FALSE)*(1-銷售總表!G5893)</f>
        <v>151360</v>
      </c>
      <c r="I5893" s="35">
        <f>H5893-F5893*VLOOKUP(銷售總表!B5893,產品!$A$2:$H$61,8,FALSE)</f>
        <v>28160.000000000015</v>
      </c>
      <c r="J5893" s="20">
        <f t="shared" si="92"/>
        <v>0.18604651162790709</v>
      </c>
    </row>
    <row r="5894" spans="1:10" x14ac:dyDescent="0.3">
      <c r="A5894" s="33">
        <v>5893</v>
      </c>
      <c r="B5894" s="4">
        <v>40</v>
      </c>
      <c r="C5894" s="15">
        <v>123</v>
      </c>
      <c r="D5894" s="16">
        <v>9</v>
      </c>
      <c r="E5894" s="23">
        <v>44934</v>
      </c>
      <c r="F5894">
        <v>4</v>
      </c>
      <c r="G5894" s="20">
        <v>7.0000000000000007E-2</v>
      </c>
      <c r="H5894">
        <f>F5894*VLOOKUP(B5894,產品!$A$2:$H$61,7,FALSE)*(1-銷售總表!G5894)</f>
        <v>74400</v>
      </c>
      <c r="I5894" s="35">
        <f>H5894-F5894*VLOOKUP(銷售總表!B5894,產品!$A$2:$H$61,8,FALSE)</f>
        <v>22400</v>
      </c>
      <c r="J5894" s="20">
        <f t="shared" si="92"/>
        <v>0.30107526881720431</v>
      </c>
    </row>
    <row r="5895" spans="1:10" x14ac:dyDescent="0.3">
      <c r="A5895" s="33">
        <v>5894</v>
      </c>
      <c r="B5895" s="4">
        <v>56</v>
      </c>
      <c r="C5895" s="15">
        <v>137</v>
      </c>
      <c r="D5895" s="16">
        <v>2</v>
      </c>
      <c r="E5895" s="23">
        <v>44934</v>
      </c>
      <c r="F5895">
        <v>4</v>
      </c>
      <c r="G5895" s="20">
        <v>0.19</v>
      </c>
      <c r="H5895">
        <f>F5895*VLOOKUP(B5895,產品!$A$2:$H$61,7,FALSE)*(1-銷售總表!G5895)</f>
        <v>71280</v>
      </c>
      <c r="I5895" s="35">
        <f>H5895-F5895*VLOOKUP(銷售總表!B5895,產品!$A$2:$H$61,8,FALSE)</f>
        <v>9680.0000000000073</v>
      </c>
      <c r="J5895" s="20">
        <f t="shared" si="92"/>
        <v>0.13580246913580257</v>
      </c>
    </row>
    <row r="5896" spans="1:10" x14ac:dyDescent="0.3">
      <c r="A5896" s="33">
        <v>5895</v>
      </c>
      <c r="B5896" s="4">
        <v>4</v>
      </c>
      <c r="C5896" s="15">
        <v>3</v>
      </c>
      <c r="D5896" s="16">
        <v>6</v>
      </c>
      <c r="E5896" s="22">
        <v>44935</v>
      </c>
      <c r="F5896" s="19">
        <v>20</v>
      </c>
      <c r="G5896" s="18">
        <v>0.18</v>
      </c>
      <c r="H5896">
        <f>F5896*VLOOKUP(B5896,產品!$A$2:$H$61,7,FALSE)*(1-銷售總表!G5896)</f>
        <v>16400</v>
      </c>
      <c r="I5896" s="35">
        <f>H5896-F5896*VLOOKUP(銷售總表!B5896,產品!$A$2:$H$61,8,FALSE)</f>
        <v>8400</v>
      </c>
      <c r="J5896" s="20">
        <f t="shared" si="92"/>
        <v>0.51219512195121952</v>
      </c>
    </row>
    <row r="5897" spans="1:10" x14ac:dyDescent="0.3">
      <c r="A5897" s="33">
        <v>5896</v>
      </c>
      <c r="B5897" s="4">
        <v>40</v>
      </c>
      <c r="C5897" s="15">
        <v>112</v>
      </c>
      <c r="D5897" s="16">
        <v>9</v>
      </c>
      <c r="E5897" s="22">
        <v>44935</v>
      </c>
      <c r="F5897" s="19">
        <v>10</v>
      </c>
      <c r="G5897" s="18">
        <v>0.13</v>
      </c>
      <c r="H5897">
        <f>F5897*VLOOKUP(B5897,產品!$A$2:$H$61,7,FALSE)*(1-銷售總表!G5897)</f>
        <v>174000</v>
      </c>
      <c r="I5897" s="35">
        <f>H5897-F5897*VLOOKUP(銷售總表!B5897,產品!$A$2:$H$61,8,FALSE)</f>
        <v>44000</v>
      </c>
      <c r="J5897" s="20">
        <f t="shared" si="92"/>
        <v>0.25287356321839083</v>
      </c>
    </row>
    <row r="5898" spans="1:10" x14ac:dyDescent="0.3">
      <c r="A5898" s="33">
        <v>5897</v>
      </c>
      <c r="B5898" s="4">
        <v>46</v>
      </c>
      <c r="C5898" s="15">
        <v>1</v>
      </c>
      <c r="D5898" s="16">
        <v>1</v>
      </c>
      <c r="E5898" s="22">
        <v>44935</v>
      </c>
      <c r="F5898" s="19">
        <v>17</v>
      </c>
      <c r="G5898" s="18">
        <v>0.16</v>
      </c>
      <c r="H5898">
        <f>F5898*VLOOKUP(B5898,產品!$A$2:$H$61,7,FALSE)*(1-銷售總表!G5898)</f>
        <v>242760</v>
      </c>
      <c r="I5898" s="35">
        <f>H5898-F5898*VLOOKUP(銷售總表!B5898,產品!$A$2:$H$61,8,FALSE)</f>
        <v>54910</v>
      </c>
      <c r="J5898" s="20">
        <f t="shared" si="92"/>
        <v>0.22619047619047619</v>
      </c>
    </row>
    <row r="5899" spans="1:10" x14ac:dyDescent="0.3">
      <c r="A5899" s="33">
        <v>5898</v>
      </c>
      <c r="B5899" s="4">
        <v>57</v>
      </c>
      <c r="C5899" s="15">
        <v>123</v>
      </c>
      <c r="D5899" s="16">
        <v>9</v>
      </c>
      <c r="E5899" s="22">
        <v>44936</v>
      </c>
      <c r="F5899" s="19">
        <v>2</v>
      </c>
      <c r="G5899" s="18">
        <v>7.0000000000000007E-2</v>
      </c>
      <c r="H5899">
        <f>F5899*VLOOKUP(B5899,產品!$A$2:$H$61,7,FALSE)*(1-銷售總表!G5899)</f>
        <v>33480</v>
      </c>
      <c r="I5899" s="35">
        <f>H5899-F5899*VLOOKUP(銷售總表!B5899,產品!$A$2:$H$61,8,FALSE)</f>
        <v>8280</v>
      </c>
      <c r="J5899" s="20">
        <f t="shared" si="92"/>
        <v>0.24731182795698925</v>
      </c>
    </row>
    <row r="5900" spans="1:10" x14ac:dyDescent="0.3">
      <c r="A5900" s="33">
        <v>5899</v>
      </c>
      <c r="B5900" s="4">
        <v>26</v>
      </c>
      <c r="C5900" s="15">
        <v>286</v>
      </c>
      <c r="D5900" s="16">
        <v>10</v>
      </c>
      <c r="E5900" s="22">
        <v>44936</v>
      </c>
      <c r="F5900" s="19">
        <v>10</v>
      </c>
      <c r="G5900" s="18">
        <v>0.05</v>
      </c>
      <c r="H5900">
        <f>F5900*VLOOKUP(B5900,產品!$A$2:$H$61,7,FALSE)*(1-銷售總表!G5900)</f>
        <v>61750</v>
      </c>
      <c r="I5900" s="35">
        <f>H5900-F5900*VLOOKUP(銷售總表!B5900,產品!$A$2:$H$61,8,FALSE)</f>
        <v>22750</v>
      </c>
      <c r="J5900" s="20">
        <f t="shared" si="92"/>
        <v>0.36842105263157893</v>
      </c>
    </row>
    <row r="5901" spans="1:10" x14ac:dyDescent="0.3">
      <c r="A5901" s="33">
        <v>5900</v>
      </c>
      <c r="B5901" s="4">
        <v>24</v>
      </c>
      <c r="C5901" s="15">
        <v>264</v>
      </c>
      <c r="D5901" s="16">
        <v>7</v>
      </c>
      <c r="E5901" s="22">
        <v>44936</v>
      </c>
      <c r="F5901" s="19">
        <v>70</v>
      </c>
      <c r="G5901" s="18">
        <v>0.13</v>
      </c>
      <c r="H5901">
        <f>F5901*VLOOKUP(B5901,產品!$A$2:$H$61,7,FALSE)*(1-銷售總表!G5901)</f>
        <v>109620</v>
      </c>
      <c r="I5901" s="35">
        <f>H5901-F5901*VLOOKUP(銷售總表!B5901,產品!$A$2:$H$61,8,FALSE)</f>
        <v>59220</v>
      </c>
      <c r="J5901" s="20">
        <f t="shared" si="92"/>
        <v>0.54022988505747127</v>
      </c>
    </row>
    <row r="5902" spans="1:10" x14ac:dyDescent="0.3">
      <c r="A5902" s="33">
        <v>5901</v>
      </c>
      <c r="B5902" s="4">
        <v>25</v>
      </c>
      <c r="C5902" s="15">
        <v>6</v>
      </c>
      <c r="D5902" s="16">
        <v>3</v>
      </c>
      <c r="E5902" s="22">
        <v>44936</v>
      </c>
      <c r="F5902" s="19">
        <v>12</v>
      </c>
      <c r="G5902" s="18">
        <v>0.13</v>
      </c>
      <c r="H5902">
        <f>F5902*VLOOKUP(B5902,產品!$A$2:$H$61,7,FALSE)*(1-銷售總表!G5902)</f>
        <v>62640</v>
      </c>
      <c r="I5902" s="35">
        <f>H5902-F5902*VLOOKUP(銷售總表!B5902,產品!$A$2:$H$61,8,FALSE)</f>
        <v>19440</v>
      </c>
      <c r="J5902" s="20">
        <f t="shared" si="92"/>
        <v>0.31034482758620691</v>
      </c>
    </row>
    <row r="5903" spans="1:10" x14ac:dyDescent="0.3">
      <c r="A5903" s="33">
        <v>5902</v>
      </c>
      <c r="B5903" s="4">
        <v>33</v>
      </c>
      <c r="C5903" s="15">
        <v>271</v>
      </c>
      <c r="D5903" s="16">
        <v>7</v>
      </c>
      <c r="E5903" s="23">
        <v>44936</v>
      </c>
      <c r="F5903">
        <v>5</v>
      </c>
      <c r="G5903" s="20">
        <v>0.13</v>
      </c>
      <c r="H5903">
        <f>F5903*VLOOKUP(B5903,產品!$A$2:$H$61,7,FALSE)*(1-銷售總表!G5903)</f>
        <v>32625</v>
      </c>
      <c r="I5903" s="35">
        <f>H5903-F5903*VLOOKUP(銷售總表!B5903,產品!$A$2:$H$61,8,FALSE)</f>
        <v>10125</v>
      </c>
      <c r="J5903" s="20">
        <f t="shared" si="92"/>
        <v>0.31034482758620691</v>
      </c>
    </row>
    <row r="5904" spans="1:10" x14ac:dyDescent="0.3">
      <c r="A5904" s="33">
        <v>5903</v>
      </c>
      <c r="B5904" s="4">
        <v>8</v>
      </c>
      <c r="C5904" s="15">
        <v>272</v>
      </c>
      <c r="D5904" s="16">
        <v>2</v>
      </c>
      <c r="E5904" s="22">
        <v>44937</v>
      </c>
      <c r="F5904" s="19">
        <v>80</v>
      </c>
      <c r="G5904" s="18">
        <v>0.16</v>
      </c>
      <c r="H5904">
        <f>F5904*VLOOKUP(B5904,產品!$A$2:$H$61,7,FALSE)*(1-銷售總表!G5904)</f>
        <v>67200</v>
      </c>
      <c r="I5904" s="35">
        <f>H5904-F5904*VLOOKUP(銷售總表!B5904,產品!$A$2:$H$61,8,FALSE)</f>
        <v>35200</v>
      </c>
      <c r="J5904" s="20">
        <f t="shared" si="92"/>
        <v>0.52380952380952384</v>
      </c>
    </row>
    <row r="5905" spans="1:10" x14ac:dyDescent="0.3">
      <c r="A5905" s="33">
        <v>5904</v>
      </c>
      <c r="B5905" s="4">
        <v>20</v>
      </c>
      <c r="C5905" s="15">
        <v>265</v>
      </c>
      <c r="D5905" s="16">
        <v>8</v>
      </c>
      <c r="E5905" s="22">
        <v>44937</v>
      </c>
      <c r="F5905" s="19">
        <v>100</v>
      </c>
      <c r="G5905" s="18">
        <v>0.15</v>
      </c>
      <c r="H5905">
        <f>F5905*VLOOKUP(B5905,產品!$A$2:$H$61,7,FALSE)*(1-銷售總表!G5905)</f>
        <v>153000</v>
      </c>
      <c r="I5905" s="35">
        <f>H5905-F5905*VLOOKUP(銷售總表!B5905,產品!$A$2:$H$61,8,FALSE)</f>
        <v>81000</v>
      </c>
      <c r="J5905" s="20">
        <f t="shared" si="92"/>
        <v>0.52941176470588236</v>
      </c>
    </row>
    <row r="5906" spans="1:10" x14ac:dyDescent="0.3">
      <c r="A5906" s="33">
        <v>5905</v>
      </c>
      <c r="B5906" s="4">
        <v>27</v>
      </c>
      <c r="C5906" s="15">
        <v>285</v>
      </c>
      <c r="D5906" s="16">
        <v>4</v>
      </c>
      <c r="E5906" s="22">
        <v>44937</v>
      </c>
      <c r="F5906" s="19">
        <v>9</v>
      </c>
      <c r="G5906" s="18">
        <v>0.1</v>
      </c>
      <c r="H5906">
        <f>F5906*VLOOKUP(B5906,產品!$A$2:$H$61,7,FALSE)*(1-銷售總表!G5906)</f>
        <v>56700</v>
      </c>
      <c r="I5906" s="35">
        <f>H5906-F5906*VLOOKUP(銷售總表!B5906,產品!$A$2:$H$61,8,FALSE)</f>
        <v>18900</v>
      </c>
      <c r="J5906" s="20">
        <f t="shared" si="92"/>
        <v>0.33333333333333331</v>
      </c>
    </row>
    <row r="5907" spans="1:10" x14ac:dyDescent="0.3">
      <c r="A5907" s="33">
        <v>5906</v>
      </c>
      <c r="B5907" s="4">
        <v>32</v>
      </c>
      <c r="C5907" s="15">
        <v>288</v>
      </c>
      <c r="D5907" s="16">
        <v>9</v>
      </c>
      <c r="E5907" s="22">
        <v>44937</v>
      </c>
      <c r="F5907" s="19">
        <v>5</v>
      </c>
      <c r="G5907" s="18">
        <v>0.06</v>
      </c>
      <c r="H5907">
        <f>F5907*VLOOKUP(B5907,產品!$A$2:$H$61,7,FALSE)*(1-銷售總表!G5907)</f>
        <v>35250</v>
      </c>
      <c r="I5907" s="35">
        <f>H5907-F5907*VLOOKUP(銷售總表!B5907,產品!$A$2:$H$61,8,FALSE)</f>
        <v>12750</v>
      </c>
      <c r="J5907" s="20">
        <f t="shared" si="92"/>
        <v>0.36170212765957449</v>
      </c>
    </row>
    <row r="5908" spans="1:10" x14ac:dyDescent="0.3">
      <c r="A5908" s="33">
        <v>5907</v>
      </c>
      <c r="B5908" s="4">
        <v>18</v>
      </c>
      <c r="C5908" s="15">
        <v>135</v>
      </c>
      <c r="D5908" s="16">
        <v>4</v>
      </c>
      <c r="E5908" s="22">
        <v>44938</v>
      </c>
      <c r="F5908" s="19">
        <v>30</v>
      </c>
      <c r="G5908" s="18">
        <v>0.15</v>
      </c>
      <c r="H5908">
        <f>F5908*VLOOKUP(B5908,產品!$A$2:$H$61,7,FALSE)*(1-銷售總表!G5908)</f>
        <v>45900</v>
      </c>
      <c r="I5908" s="35">
        <f>H5908-F5908*VLOOKUP(銷售總表!B5908,產品!$A$2:$H$61,8,FALSE)</f>
        <v>24300</v>
      </c>
      <c r="J5908" s="20">
        <f t="shared" si="92"/>
        <v>0.52941176470588236</v>
      </c>
    </row>
    <row r="5909" spans="1:10" x14ac:dyDescent="0.3">
      <c r="A5909" s="33">
        <v>5908</v>
      </c>
      <c r="B5909" s="4">
        <v>30</v>
      </c>
      <c r="C5909" s="15">
        <v>123</v>
      </c>
      <c r="D5909" s="16">
        <v>9</v>
      </c>
      <c r="E5909" s="22">
        <v>44938</v>
      </c>
      <c r="F5909" s="19">
        <v>2</v>
      </c>
      <c r="G5909" s="18">
        <v>0.18</v>
      </c>
      <c r="H5909">
        <f>F5909*VLOOKUP(B5909,產品!$A$2:$H$61,7,FALSE)*(1-銷售總表!G5909)</f>
        <v>10660</v>
      </c>
      <c r="I5909" s="35">
        <f>H5909-F5909*VLOOKUP(銷售總表!B5909,產品!$A$2:$H$61,8,FALSE)</f>
        <v>2860</v>
      </c>
      <c r="J5909" s="20">
        <f t="shared" si="92"/>
        <v>0.26829268292682928</v>
      </c>
    </row>
    <row r="5910" spans="1:10" x14ac:dyDescent="0.3">
      <c r="A5910" s="33">
        <v>5909</v>
      </c>
      <c r="B5910" s="4">
        <v>33</v>
      </c>
      <c r="C5910" s="15">
        <v>121</v>
      </c>
      <c r="D5910" s="16">
        <v>6</v>
      </c>
      <c r="E5910" s="22">
        <v>44938</v>
      </c>
      <c r="F5910" s="19">
        <v>11</v>
      </c>
      <c r="G5910" s="18">
        <v>0.2</v>
      </c>
      <c r="H5910">
        <f>F5910*VLOOKUP(B5910,產品!$A$2:$H$61,7,FALSE)*(1-銷售總表!G5910)</f>
        <v>66000</v>
      </c>
      <c r="I5910" s="35">
        <f>H5910-F5910*VLOOKUP(銷售總表!B5910,產品!$A$2:$H$61,8,FALSE)</f>
        <v>16500</v>
      </c>
      <c r="J5910" s="20">
        <f t="shared" si="92"/>
        <v>0.25</v>
      </c>
    </row>
    <row r="5911" spans="1:10" x14ac:dyDescent="0.3">
      <c r="A5911" s="33">
        <v>5910</v>
      </c>
      <c r="B5911" s="4">
        <v>60</v>
      </c>
      <c r="C5911" s="15">
        <v>279</v>
      </c>
      <c r="D5911" s="16">
        <v>6</v>
      </c>
      <c r="E5911" s="22">
        <v>44938</v>
      </c>
      <c r="F5911" s="19">
        <v>4</v>
      </c>
      <c r="G5911" s="18">
        <v>0.14000000000000001</v>
      </c>
      <c r="H5911">
        <f>F5911*VLOOKUP(B5911,產品!$A$2:$H$61,7,FALSE)*(1-銷售總表!G5911)</f>
        <v>86000</v>
      </c>
      <c r="I5911" s="35">
        <f>H5911-F5911*VLOOKUP(銷售總表!B5911,產品!$A$2:$H$61,8,FALSE)</f>
        <v>16000</v>
      </c>
      <c r="J5911" s="20">
        <f t="shared" si="92"/>
        <v>0.18604651162790697</v>
      </c>
    </row>
    <row r="5912" spans="1:10" x14ac:dyDescent="0.3">
      <c r="A5912" s="33">
        <v>5911</v>
      </c>
      <c r="B5912" s="4">
        <v>27</v>
      </c>
      <c r="C5912" s="15">
        <v>261</v>
      </c>
      <c r="D5912" s="16">
        <v>1</v>
      </c>
      <c r="E5912" s="22">
        <v>44938</v>
      </c>
      <c r="F5912" s="19">
        <v>5</v>
      </c>
      <c r="G5912" s="18">
        <v>0.17</v>
      </c>
      <c r="H5912">
        <f>F5912*VLOOKUP(B5912,產品!$A$2:$H$61,7,FALSE)*(1-銷售總表!G5912)</f>
        <v>29050</v>
      </c>
      <c r="I5912" s="35">
        <f>H5912-F5912*VLOOKUP(銷售總表!B5912,產品!$A$2:$H$61,8,FALSE)</f>
        <v>8050</v>
      </c>
      <c r="J5912" s="20">
        <f t="shared" si="92"/>
        <v>0.27710843373493976</v>
      </c>
    </row>
    <row r="5913" spans="1:10" x14ac:dyDescent="0.3">
      <c r="A5913" s="33">
        <v>5912</v>
      </c>
      <c r="B5913" s="4">
        <v>23</v>
      </c>
      <c r="C5913" s="15">
        <v>283</v>
      </c>
      <c r="D5913" s="16">
        <v>4</v>
      </c>
      <c r="E5913" s="22">
        <v>44939</v>
      </c>
      <c r="F5913" s="19">
        <v>125</v>
      </c>
      <c r="G5913" s="18">
        <v>0.16</v>
      </c>
      <c r="H5913">
        <f>F5913*VLOOKUP(B5913,產品!$A$2:$H$61,7,FALSE)*(1-銷售總表!G5913)</f>
        <v>189000</v>
      </c>
      <c r="I5913" s="35">
        <f>H5913-F5913*VLOOKUP(銷售總表!B5913,產品!$A$2:$H$61,8,FALSE)</f>
        <v>99000</v>
      </c>
      <c r="J5913" s="20">
        <f t="shared" si="92"/>
        <v>0.52380952380952384</v>
      </c>
    </row>
    <row r="5914" spans="1:10" x14ac:dyDescent="0.3">
      <c r="A5914" s="33">
        <v>5913</v>
      </c>
      <c r="B5914" s="4">
        <v>9</v>
      </c>
      <c r="C5914" s="15">
        <v>258</v>
      </c>
      <c r="D5914" s="16">
        <v>9</v>
      </c>
      <c r="E5914" s="22">
        <v>44939</v>
      </c>
      <c r="F5914" s="19">
        <v>200</v>
      </c>
      <c r="G5914" s="18">
        <v>0.2</v>
      </c>
      <c r="H5914">
        <f>F5914*VLOOKUP(B5914,產品!$A$2:$H$61,7,FALSE)*(1-銷售總表!G5914)</f>
        <v>160000</v>
      </c>
      <c r="I5914" s="35">
        <f>H5914-F5914*VLOOKUP(銷售總表!B5914,產品!$A$2:$H$61,8,FALSE)</f>
        <v>80000</v>
      </c>
      <c r="J5914" s="20">
        <f t="shared" si="92"/>
        <v>0.5</v>
      </c>
    </row>
    <row r="5915" spans="1:10" x14ac:dyDescent="0.3">
      <c r="A5915" s="33">
        <v>5914</v>
      </c>
      <c r="B5915" s="4">
        <v>44</v>
      </c>
      <c r="C5915" s="15">
        <v>3</v>
      </c>
      <c r="D5915" s="16">
        <v>5</v>
      </c>
      <c r="E5915" s="22">
        <v>44939</v>
      </c>
      <c r="F5915" s="19">
        <v>5</v>
      </c>
      <c r="G5915" s="18">
        <v>0.13</v>
      </c>
      <c r="H5915">
        <f>F5915*VLOOKUP(B5915,產品!$A$2:$H$61,7,FALSE)*(1-銷售總表!G5915)</f>
        <v>87000</v>
      </c>
      <c r="I5915" s="35">
        <f>H5915-F5915*VLOOKUP(銷售總表!B5915,產品!$A$2:$H$61,8,FALSE)</f>
        <v>22000</v>
      </c>
      <c r="J5915" s="20">
        <f t="shared" si="92"/>
        <v>0.25287356321839083</v>
      </c>
    </row>
    <row r="5916" spans="1:10" x14ac:dyDescent="0.3">
      <c r="A5916" s="33">
        <v>5915</v>
      </c>
      <c r="B5916" s="4">
        <v>14</v>
      </c>
      <c r="C5916" s="15">
        <v>12</v>
      </c>
      <c r="D5916" s="16">
        <v>8</v>
      </c>
      <c r="E5916" s="22">
        <v>44939</v>
      </c>
      <c r="F5916" s="19">
        <v>80</v>
      </c>
      <c r="G5916" s="18">
        <v>0.11</v>
      </c>
      <c r="H5916">
        <f>F5916*VLOOKUP(B5916,產品!$A$2:$H$61,7,FALSE)*(1-銷售總表!G5916)</f>
        <v>128160</v>
      </c>
      <c r="I5916" s="35">
        <f>H5916-F5916*VLOOKUP(銷售總表!B5916,產品!$A$2:$H$61,8,FALSE)</f>
        <v>70560</v>
      </c>
      <c r="J5916" s="20">
        <f t="shared" si="92"/>
        <v>0.550561797752809</v>
      </c>
    </row>
    <row r="5917" spans="1:10" x14ac:dyDescent="0.3">
      <c r="A5917" s="33">
        <v>5916</v>
      </c>
      <c r="B5917" s="4">
        <v>43</v>
      </c>
      <c r="C5917" s="15">
        <v>290</v>
      </c>
      <c r="D5917" s="16">
        <v>1</v>
      </c>
      <c r="E5917" s="22">
        <v>44939</v>
      </c>
      <c r="F5917" s="19">
        <v>7</v>
      </c>
      <c r="G5917" s="18">
        <v>0.05</v>
      </c>
      <c r="H5917">
        <f>F5917*VLOOKUP(B5917,產品!$A$2:$H$61,7,FALSE)*(1-銷售總表!G5917)</f>
        <v>119700</v>
      </c>
      <c r="I5917" s="35">
        <f>H5917-F5917*VLOOKUP(銷售總表!B5917,產品!$A$2:$H$61,8,FALSE)</f>
        <v>37800</v>
      </c>
      <c r="J5917" s="20">
        <f t="shared" si="92"/>
        <v>0.31578947368421051</v>
      </c>
    </row>
    <row r="5918" spans="1:10" x14ac:dyDescent="0.3">
      <c r="A5918" s="33">
        <v>5917</v>
      </c>
      <c r="B5918" s="4">
        <v>38</v>
      </c>
      <c r="C5918" s="15">
        <v>284</v>
      </c>
      <c r="D5918" s="16">
        <v>6</v>
      </c>
      <c r="E5918" s="23">
        <v>44939</v>
      </c>
      <c r="F5918">
        <v>5</v>
      </c>
      <c r="G5918" s="20">
        <v>0.09</v>
      </c>
      <c r="H5918">
        <f>F5918*VLOOKUP(B5918,產品!$A$2:$H$61,7,FALSE)*(1-銷售總表!G5918)</f>
        <v>68250</v>
      </c>
      <c r="I5918" s="35">
        <f>H5918-F5918*VLOOKUP(銷售總表!B5918,產品!$A$2:$H$61,8,FALSE)</f>
        <v>19500</v>
      </c>
      <c r="J5918" s="20">
        <f t="shared" si="92"/>
        <v>0.2857142857142857</v>
      </c>
    </row>
    <row r="5919" spans="1:10" x14ac:dyDescent="0.3">
      <c r="A5919" s="33">
        <v>5918</v>
      </c>
      <c r="B5919" s="4">
        <v>47</v>
      </c>
      <c r="C5919" s="15">
        <v>118</v>
      </c>
      <c r="D5919" s="16">
        <v>8</v>
      </c>
      <c r="E5919" s="23">
        <v>44939</v>
      </c>
      <c r="F5919">
        <v>9</v>
      </c>
      <c r="G5919" s="20">
        <v>0.18</v>
      </c>
      <c r="H5919">
        <f>F5919*VLOOKUP(B5919,產品!$A$2:$H$61,7,FALSE)*(1-銷售總表!G5919)</f>
        <v>147600</v>
      </c>
      <c r="I5919" s="35">
        <f>H5919-F5919*VLOOKUP(銷售總表!B5919,產品!$A$2:$H$61,8,FALSE)</f>
        <v>30600</v>
      </c>
      <c r="J5919" s="20">
        <f t="shared" si="92"/>
        <v>0.2073170731707317</v>
      </c>
    </row>
    <row r="5920" spans="1:10" x14ac:dyDescent="0.3">
      <c r="A5920" s="33">
        <v>5919</v>
      </c>
      <c r="B5920" s="4">
        <v>12</v>
      </c>
      <c r="C5920" s="15">
        <v>258</v>
      </c>
      <c r="D5920" s="16">
        <v>9</v>
      </c>
      <c r="E5920" s="22">
        <v>44940</v>
      </c>
      <c r="F5920" s="19">
        <v>300</v>
      </c>
      <c r="G5920" s="18">
        <v>0.13</v>
      </c>
      <c r="H5920">
        <f>F5920*VLOOKUP(B5920,產品!$A$2:$H$61,7,FALSE)*(1-銷售總表!G5920)</f>
        <v>261000</v>
      </c>
      <c r="I5920" s="35">
        <f>H5920-F5920*VLOOKUP(銷售總表!B5920,產品!$A$2:$H$61,8,FALSE)</f>
        <v>141000</v>
      </c>
      <c r="J5920" s="20">
        <f t="shared" si="92"/>
        <v>0.54022988505747127</v>
      </c>
    </row>
    <row r="5921" spans="1:10" x14ac:dyDescent="0.3">
      <c r="A5921" s="33">
        <v>5920</v>
      </c>
      <c r="B5921" s="4">
        <v>32</v>
      </c>
      <c r="C5921" s="15">
        <v>7</v>
      </c>
      <c r="D5921" s="16">
        <v>10</v>
      </c>
      <c r="E5921" s="22">
        <v>44940</v>
      </c>
      <c r="F5921" s="19">
        <v>6</v>
      </c>
      <c r="G5921" s="18">
        <v>0.17</v>
      </c>
      <c r="H5921">
        <f>F5921*VLOOKUP(B5921,產品!$A$2:$H$61,7,FALSE)*(1-銷售總表!G5921)</f>
        <v>37350</v>
      </c>
      <c r="I5921" s="35">
        <f>H5921-F5921*VLOOKUP(銷售總表!B5921,產品!$A$2:$H$61,8,FALSE)</f>
        <v>10350</v>
      </c>
      <c r="J5921" s="20">
        <f t="shared" si="92"/>
        <v>0.27710843373493976</v>
      </c>
    </row>
    <row r="5922" spans="1:10" x14ac:dyDescent="0.3">
      <c r="A5922" s="33">
        <v>5921</v>
      </c>
      <c r="B5922" s="4">
        <v>29</v>
      </c>
      <c r="C5922" s="15">
        <v>4</v>
      </c>
      <c r="D5922" s="16">
        <v>6</v>
      </c>
      <c r="E5922" s="22">
        <v>44940</v>
      </c>
      <c r="F5922" s="19">
        <v>12</v>
      </c>
      <c r="G5922" s="18">
        <v>0.1</v>
      </c>
      <c r="H5922">
        <f>F5922*VLOOKUP(B5922,產品!$A$2:$H$61,7,FALSE)*(1-銷售總表!G5922)</f>
        <v>64800</v>
      </c>
      <c r="I5922" s="35">
        <f>H5922-F5922*VLOOKUP(銷售總表!B5922,產品!$A$2:$H$61,8,FALSE)</f>
        <v>21600</v>
      </c>
      <c r="J5922" s="20">
        <f t="shared" si="92"/>
        <v>0.33333333333333331</v>
      </c>
    </row>
    <row r="5923" spans="1:10" x14ac:dyDescent="0.3">
      <c r="A5923" s="33">
        <v>5922</v>
      </c>
      <c r="B5923" s="4">
        <v>28</v>
      </c>
      <c r="C5923" s="15">
        <v>264</v>
      </c>
      <c r="D5923" s="16">
        <v>5</v>
      </c>
      <c r="E5923" s="22">
        <v>44940</v>
      </c>
      <c r="F5923" s="19">
        <v>7</v>
      </c>
      <c r="G5923" s="18">
        <v>0.2</v>
      </c>
      <c r="H5923">
        <f>F5923*VLOOKUP(B5923,產品!$A$2:$H$61,7,FALSE)*(1-銷售總表!G5923)</f>
        <v>42000</v>
      </c>
      <c r="I5923" s="35">
        <f>H5923-F5923*VLOOKUP(銷售總表!B5923,產品!$A$2:$H$61,8,FALSE)</f>
        <v>10500</v>
      </c>
      <c r="J5923" s="20">
        <f t="shared" si="92"/>
        <v>0.25</v>
      </c>
    </row>
    <row r="5924" spans="1:10" x14ac:dyDescent="0.3">
      <c r="A5924" s="33">
        <v>5923</v>
      </c>
      <c r="B5924" s="4">
        <v>57</v>
      </c>
      <c r="C5924" s="15">
        <v>9</v>
      </c>
      <c r="D5924" s="16">
        <v>7</v>
      </c>
      <c r="E5924" s="22">
        <v>44940</v>
      </c>
      <c r="F5924" s="19">
        <v>11</v>
      </c>
      <c r="G5924" s="18">
        <v>0.11</v>
      </c>
      <c r="H5924">
        <f>F5924*VLOOKUP(B5924,產品!$A$2:$H$61,7,FALSE)*(1-銷售總表!G5924)</f>
        <v>176220</v>
      </c>
      <c r="I5924" s="35">
        <f>H5924-F5924*VLOOKUP(銷售總表!B5924,產品!$A$2:$H$61,8,FALSE)</f>
        <v>37620</v>
      </c>
      <c r="J5924" s="20">
        <f t="shared" si="92"/>
        <v>0.21348314606741572</v>
      </c>
    </row>
    <row r="5925" spans="1:10" x14ac:dyDescent="0.3">
      <c r="A5925" s="33">
        <v>5924</v>
      </c>
      <c r="B5925" s="4">
        <v>41</v>
      </c>
      <c r="C5925" s="15">
        <v>117</v>
      </c>
      <c r="D5925" s="16">
        <v>10</v>
      </c>
      <c r="E5925" s="23">
        <v>44940</v>
      </c>
      <c r="F5925">
        <v>5</v>
      </c>
      <c r="G5925" s="20">
        <v>0.15</v>
      </c>
      <c r="H5925">
        <f>F5925*VLOOKUP(B5925,產品!$A$2:$H$61,7,FALSE)*(1-銷售總表!G5925)</f>
        <v>51000</v>
      </c>
      <c r="I5925" s="35">
        <f>H5925-F5925*VLOOKUP(銷售總表!B5925,產品!$A$2:$H$61,8,FALSE)</f>
        <v>12000</v>
      </c>
      <c r="J5925" s="20">
        <f t="shared" si="92"/>
        <v>0.23529411764705882</v>
      </c>
    </row>
    <row r="5926" spans="1:10" x14ac:dyDescent="0.3">
      <c r="A5926" s="33">
        <v>5925</v>
      </c>
      <c r="B5926" s="4">
        <v>35</v>
      </c>
      <c r="C5926" s="15">
        <v>269</v>
      </c>
      <c r="D5926" s="16">
        <v>3</v>
      </c>
      <c r="E5926" s="22">
        <v>44941</v>
      </c>
      <c r="F5926" s="19">
        <v>2</v>
      </c>
      <c r="G5926" s="18">
        <v>7.0000000000000007E-2</v>
      </c>
      <c r="H5926">
        <f>F5926*VLOOKUP(B5926,產品!$A$2:$H$61,7,FALSE)*(1-銷售總表!G5926)</f>
        <v>15809.999999999998</v>
      </c>
      <c r="I5926" s="35">
        <f>H5926-F5926*VLOOKUP(銷售總表!B5926,產品!$A$2:$H$61,8,FALSE)</f>
        <v>5609.9999999999982</v>
      </c>
      <c r="J5926" s="20">
        <f t="shared" si="92"/>
        <v>0.35483870967741926</v>
      </c>
    </row>
    <row r="5927" spans="1:10" x14ac:dyDescent="0.3">
      <c r="A5927" s="33">
        <v>5926</v>
      </c>
      <c r="B5927" s="4">
        <v>55</v>
      </c>
      <c r="C5927" s="15">
        <v>126</v>
      </c>
      <c r="D5927" s="16">
        <v>5</v>
      </c>
      <c r="E5927" s="22">
        <v>44941</v>
      </c>
      <c r="F5927" s="19">
        <v>4</v>
      </c>
      <c r="G5927" s="18">
        <v>0.15</v>
      </c>
      <c r="H5927">
        <f>F5927*VLOOKUP(B5927,產品!$A$2:$H$61,7,FALSE)*(1-銷售總表!G5927)</f>
        <v>68000</v>
      </c>
      <c r="I5927" s="35">
        <f>H5927-F5927*VLOOKUP(銷售總表!B5927,產品!$A$2:$H$61,8,FALSE)</f>
        <v>12000</v>
      </c>
      <c r="J5927" s="20">
        <f t="shared" si="92"/>
        <v>0.17647058823529413</v>
      </c>
    </row>
    <row r="5928" spans="1:10" x14ac:dyDescent="0.3">
      <c r="A5928" s="33">
        <v>5927</v>
      </c>
      <c r="B5928" s="4">
        <v>38</v>
      </c>
      <c r="C5928" s="15">
        <v>119</v>
      </c>
      <c r="D5928" s="16">
        <v>1</v>
      </c>
      <c r="E5928" s="22">
        <v>44941</v>
      </c>
      <c r="F5928" s="19">
        <v>4</v>
      </c>
      <c r="G5928" s="18">
        <v>7.0000000000000007E-2</v>
      </c>
      <c r="H5928">
        <f>F5928*VLOOKUP(B5928,產品!$A$2:$H$61,7,FALSE)*(1-銷售總表!G5928)</f>
        <v>55799.999999999993</v>
      </c>
      <c r="I5928" s="35">
        <f>H5928-F5928*VLOOKUP(銷售總表!B5928,產品!$A$2:$H$61,8,FALSE)</f>
        <v>16799.999999999993</v>
      </c>
      <c r="J5928" s="20">
        <f t="shared" si="92"/>
        <v>0.3010752688172042</v>
      </c>
    </row>
    <row r="5929" spans="1:10" x14ac:dyDescent="0.3">
      <c r="A5929" s="33">
        <v>5928</v>
      </c>
      <c r="B5929" s="4">
        <v>59</v>
      </c>
      <c r="C5929" s="15">
        <v>291</v>
      </c>
      <c r="D5929" s="16">
        <v>6</v>
      </c>
      <c r="E5929" s="22">
        <v>44941</v>
      </c>
      <c r="F5929" s="19">
        <v>9</v>
      </c>
      <c r="G5929" s="18">
        <v>0.17</v>
      </c>
      <c r="H5929">
        <f>F5929*VLOOKUP(B5929,產品!$A$2:$H$61,7,FALSE)*(1-銷售總表!G5929)</f>
        <v>179280</v>
      </c>
      <c r="I5929" s="35">
        <f>H5929-F5929*VLOOKUP(銷售總表!B5929,產品!$A$2:$H$61,8,FALSE)</f>
        <v>28080</v>
      </c>
      <c r="J5929" s="20">
        <f t="shared" si="92"/>
        <v>0.15662650602409639</v>
      </c>
    </row>
    <row r="5930" spans="1:10" x14ac:dyDescent="0.3">
      <c r="A5930" s="33">
        <v>5929</v>
      </c>
      <c r="B5930" s="4">
        <v>54</v>
      </c>
      <c r="C5930" s="15">
        <v>118</v>
      </c>
      <c r="D5930" s="16">
        <v>10</v>
      </c>
      <c r="E5930" s="23">
        <v>44941</v>
      </c>
      <c r="F5930">
        <v>4</v>
      </c>
      <c r="G5930" s="20">
        <v>0.06</v>
      </c>
      <c r="H5930">
        <f>F5930*VLOOKUP(B5930,產品!$A$2:$H$61,7,FALSE)*(1-銷售總表!G5930)</f>
        <v>67680</v>
      </c>
      <c r="I5930" s="35">
        <f>H5930-F5930*VLOOKUP(銷售總表!B5930,產品!$A$2:$H$61,8,FALSE)</f>
        <v>17280</v>
      </c>
      <c r="J5930" s="20">
        <f t="shared" si="92"/>
        <v>0.25531914893617019</v>
      </c>
    </row>
    <row r="5931" spans="1:10" x14ac:dyDescent="0.3">
      <c r="A5931" s="33">
        <v>5930</v>
      </c>
      <c r="B5931" s="4">
        <v>32</v>
      </c>
      <c r="C5931" s="15">
        <v>290</v>
      </c>
      <c r="D5931" s="16">
        <v>5</v>
      </c>
      <c r="E5931" s="22">
        <v>44942</v>
      </c>
      <c r="F5931" s="19">
        <v>9</v>
      </c>
      <c r="G5931" s="18">
        <v>0.06</v>
      </c>
      <c r="H5931">
        <f>F5931*VLOOKUP(B5931,產品!$A$2:$H$61,7,FALSE)*(1-銷售總表!G5931)</f>
        <v>63450</v>
      </c>
      <c r="I5931" s="35">
        <f>H5931-F5931*VLOOKUP(銷售總表!B5931,產品!$A$2:$H$61,8,FALSE)</f>
        <v>22950</v>
      </c>
      <c r="J5931" s="20">
        <f t="shared" si="92"/>
        <v>0.36170212765957449</v>
      </c>
    </row>
    <row r="5932" spans="1:10" x14ac:dyDescent="0.3">
      <c r="A5932" s="33">
        <v>5931</v>
      </c>
      <c r="B5932" s="4">
        <v>33</v>
      </c>
      <c r="C5932" s="15">
        <v>138</v>
      </c>
      <c r="D5932" s="16">
        <v>8</v>
      </c>
      <c r="E5932" s="22">
        <v>44942</v>
      </c>
      <c r="F5932" s="19">
        <v>5</v>
      </c>
      <c r="G5932" s="18">
        <v>0.17</v>
      </c>
      <c r="H5932">
        <f>F5932*VLOOKUP(B5932,產品!$A$2:$H$61,7,FALSE)*(1-銷售總表!G5932)</f>
        <v>31125</v>
      </c>
      <c r="I5932" s="35">
        <f>H5932-F5932*VLOOKUP(銷售總表!B5932,產品!$A$2:$H$61,8,FALSE)</f>
        <v>8625</v>
      </c>
      <c r="J5932" s="20">
        <f t="shared" si="92"/>
        <v>0.27710843373493976</v>
      </c>
    </row>
    <row r="5933" spans="1:10" x14ac:dyDescent="0.3">
      <c r="A5933" s="33">
        <v>5932</v>
      </c>
      <c r="B5933" s="4">
        <v>34</v>
      </c>
      <c r="C5933" s="15">
        <v>283</v>
      </c>
      <c r="D5933" s="16">
        <v>7</v>
      </c>
      <c r="E5933" s="22">
        <v>44942</v>
      </c>
      <c r="F5933" s="19">
        <v>7</v>
      </c>
      <c r="G5933" s="18">
        <v>0.1</v>
      </c>
      <c r="H5933">
        <f>F5933*VLOOKUP(B5933,產品!$A$2:$H$61,7,FALSE)*(1-銷售總表!G5933)</f>
        <v>50400</v>
      </c>
      <c r="I5933" s="35">
        <f>H5933-F5933*VLOOKUP(銷售總表!B5933,產品!$A$2:$H$61,8,FALSE)</f>
        <v>16800</v>
      </c>
      <c r="J5933" s="20">
        <f t="shared" si="92"/>
        <v>0.33333333333333331</v>
      </c>
    </row>
    <row r="5934" spans="1:10" x14ac:dyDescent="0.3">
      <c r="A5934" s="33">
        <v>5933</v>
      </c>
      <c r="B5934" s="4">
        <v>48</v>
      </c>
      <c r="C5934" s="15">
        <v>266</v>
      </c>
      <c r="D5934" s="16">
        <v>10</v>
      </c>
      <c r="E5934" s="22">
        <v>44943</v>
      </c>
      <c r="F5934" s="19">
        <v>6</v>
      </c>
      <c r="G5934" s="18">
        <v>0.19</v>
      </c>
      <c r="H5934">
        <f>F5934*VLOOKUP(B5934,產品!$A$2:$H$61,7,FALSE)*(1-銷售總表!G5934)</f>
        <v>106920</v>
      </c>
      <c r="I5934" s="35">
        <f>H5934-F5934*VLOOKUP(銷售總表!B5934,產品!$A$2:$H$61,8,FALSE)</f>
        <v>21120</v>
      </c>
      <c r="J5934" s="20">
        <f t="shared" si="92"/>
        <v>0.19753086419753085</v>
      </c>
    </row>
    <row r="5935" spans="1:10" x14ac:dyDescent="0.3">
      <c r="A5935" s="33">
        <v>5934</v>
      </c>
      <c r="B5935" s="4">
        <v>39</v>
      </c>
      <c r="C5935" s="15">
        <v>136</v>
      </c>
      <c r="D5935" s="16">
        <v>10</v>
      </c>
      <c r="E5935" s="22">
        <v>44943</v>
      </c>
      <c r="F5935" s="19">
        <v>10</v>
      </c>
      <c r="G5935" s="18">
        <v>0.09</v>
      </c>
      <c r="H5935">
        <f>F5935*VLOOKUP(B5935,產品!$A$2:$H$61,7,FALSE)*(1-銷售總表!G5935)</f>
        <v>163800</v>
      </c>
      <c r="I5935" s="35">
        <f>H5935-F5935*VLOOKUP(銷售總表!B5935,產品!$A$2:$H$61,8,FALSE)</f>
        <v>46800</v>
      </c>
      <c r="J5935" s="20">
        <f t="shared" si="92"/>
        <v>0.2857142857142857</v>
      </c>
    </row>
    <row r="5936" spans="1:10" x14ac:dyDescent="0.3">
      <c r="A5936" s="33">
        <v>5935</v>
      </c>
      <c r="B5936" s="4">
        <v>21</v>
      </c>
      <c r="C5936" s="15">
        <v>270</v>
      </c>
      <c r="D5936" s="16">
        <v>4</v>
      </c>
      <c r="E5936" s="22">
        <v>44943</v>
      </c>
      <c r="F5936" s="19">
        <v>60</v>
      </c>
      <c r="G5936" s="18">
        <v>0.18</v>
      </c>
      <c r="H5936">
        <f>F5936*VLOOKUP(B5936,產品!$A$2:$H$61,7,FALSE)*(1-銷售總表!G5936)</f>
        <v>88560</v>
      </c>
      <c r="I5936" s="35">
        <f>H5936-F5936*VLOOKUP(銷售總表!B5936,產品!$A$2:$H$61,8,FALSE)</f>
        <v>45360</v>
      </c>
      <c r="J5936" s="20">
        <f t="shared" si="92"/>
        <v>0.51219512195121952</v>
      </c>
    </row>
    <row r="5937" spans="1:10" x14ac:dyDescent="0.3">
      <c r="A5937" s="33">
        <v>5936</v>
      </c>
      <c r="B5937" s="4">
        <v>38</v>
      </c>
      <c r="C5937" s="15">
        <v>124</v>
      </c>
      <c r="D5937" s="16">
        <v>4</v>
      </c>
      <c r="E5937" s="22">
        <v>44943</v>
      </c>
      <c r="F5937" s="19">
        <v>11</v>
      </c>
      <c r="G5937" s="18">
        <v>0.08</v>
      </c>
      <c r="H5937">
        <f>F5937*VLOOKUP(B5937,產品!$A$2:$H$61,7,FALSE)*(1-銷售總表!G5937)</f>
        <v>151800</v>
      </c>
      <c r="I5937" s="35">
        <f>H5937-F5937*VLOOKUP(銷售總表!B5937,產品!$A$2:$H$61,8,FALSE)</f>
        <v>44550</v>
      </c>
      <c r="J5937" s="20">
        <f t="shared" si="92"/>
        <v>0.29347826086956524</v>
      </c>
    </row>
    <row r="5938" spans="1:10" x14ac:dyDescent="0.3">
      <c r="A5938" s="33">
        <v>5937</v>
      </c>
      <c r="B5938" s="4">
        <v>8</v>
      </c>
      <c r="C5938" s="15">
        <v>266</v>
      </c>
      <c r="D5938" s="16">
        <v>8</v>
      </c>
      <c r="E5938" s="22">
        <v>44943</v>
      </c>
      <c r="F5938" s="19">
        <v>250</v>
      </c>
      <c r="G5938" s="18">
        <v>0.12</v>
      </c>
      <c r="H5938">
        <f>F5938*VLOOKUP(B5938,產品!$A$2:$H$61,7,FALSE)*(1-銷售總表!G5938)</f>
        <v>220000</v>
      </c>
      <c r="I5938" s="35">
        <f>H5938-F5938*VLOOKUP(銷售總表!B5938,產品!$A$2:$H$61,8,FALSE)</f>
        <v>120000</v>
      </c>
      <c r="J5938" s="20">
        <f t="shared" si="92"/>
        <v>0.54545454545454541</v>
      </c>
    </row>
    <row r="5939" spans="1:10" x14ac:dyDescent="0.3">
      <c r="A5939" s="33">
        <v>5938</v>
      </c>
      <c r="B5939" s="4">
        <v>48</v>
      </c>
      <c r="C5939" s="15">
        <v>118</v>
      </c>
      <c r="D5939" s="16">
        <v>3</v>
      </c>
      <c r="E5939" s="22">
        <v>44944</v>
      </c>
      <c r="F5939" s="19">
        <v>4</v>
      </c>
      <c r="G5939" s="18">
        <v>7.0000000000000007E-2</v>
      </c>
      <c r="H5939">
        <f>F5939*VLOOKUP(B5939,產品!$A$2:$H$61,7,FALSE)*(1-銷售總表!G5939)</f>
        <v>81840</v>
      </c>
      <c r="I5939" s="35">
        <f>H5939-F5939*VLOOKUP(銷售總表!B5939,產品!$A$2:$H$61,8,FALSE)</f>
        <v>24640</v>
      </c>
      <c r="J5939" s="20">
        <f t="shared" si="92"/>
        <v>0.30107526881720431</v>
      </c>
    </row>
    <row r="5940" spans="1:10" x14ac:dyDescent="0.3">
      <c r="A5940" s="33">
        <v>5939</v>
      </c>
      <c r="B5940" s="4">
        <v>32</v>
      </c>
      <c r="C5940" s="15">
        <v>263</v>
      </c>
      <c r="D5940" s="16">
        <v>2</v>
      </c>
      <c r="E5940" s="23">
        <v>44944</v>
      </c>
      <c r="F5940">
        <v>4</v>
      </c>
      <c r="G5940" s="20">
        <v>0.15</v>
      </c>
      <c r="H5940">
        <f>F5940*VLOOKUP(B5940,產品!$A$2:$H$61,7,FALSE)*(1-銷售總表!G5940)</f>
        <v>25500</v>
      </c>
      <c r="I5940" s="35">
        <f>H5940-F5940*VLOOKUP(銷售總表!B5940,產品!$A$2:$H$61,8,FALSE)</f>
        <v>7500</v>
      </c>
      <c r="J5940" s="20">
        <f t="shared" si="92"/>
        <v>0.29411764705882354</v>
      </c>
    </row>
    <row r="5941" spans="1:10" x14ac:dyDescent="0.3">
      <c r="A5941" s="33">
        <v>5940</v>
      </c>
      <c r="B5941" s="4">
        <v>34</v>
      </c>
      <c r="C5941" s="15">
        <v>122</v>
      </c>
      <c r="D5941" s="16">
        <v>8</v>
      </c>
      <c r="E5941" s="22">
        <v>44945</v>
      </c>
      <c r="F5941" s="19">
        <v>6</v>
      </c>
      <c r="G5941" s="18">
        <v>0.09</v>
      </c>
      <c r="H5941">
        <f>F5941*VLOOKUP(B5941,產品!$A$2:$H$61,7,FALSE)*(1-銷售總表!G5941)</f>
        <v>43680</v>
      </c>
      <c r="I5941" s="35">
        <f>H5941-F5941*VLOOKUP(銷售總表!B5941,產品!$A$2:$H$61,8,FALSE)</f>
        <v>14880</v>
      </c>
      <c r="J5941" s="20">
        <f t="shared" si="92"/>
        <v>0.34065934065934067</v>
      </c>
    </row>
    <row r="5942" spans="1:10" x14ac:dyDescent="0.3">
      <c r="A5942" s="33">
        <v>5941</v>
      </c>
      <c r="B5942" s="4">
        <v>24</v>
      </c>
      <c r="C5942" s="15">
        <v>10</v>
      </c>
      <c r="D5942" s="16">
        <v>7</v>
      </c>
      <c r="E5942" s="22">
        <v>44945</v>
      </c>
      <c r="F5942" s="19">
        <v>120</v>
      </c>
      <c r="G5942" s="18">
        <v>0.18</v>
      </c>
      <c r="H5942">
        <f>F5942*VLOOKUP(B5942,產品!$A$2:$H$61,7,FALSE)*(1-銷售總表!G5942)</f>
        <v>177120</v>
      </c>
      <c r="I5942" s="35">
        <f>H5942-F5942*VLOOKUP(銷售總表!B5942,產品!$A$2:$H$61,8,FALSE)</f>
        <v>90720</v>
      </c>
      <c r="J5942" s="20">
        <f t="shared" si="92"/>
        <v>0.51219512195121952</v>
      </c>
    </row>
    <row r="5943" spans="1:10" x14ac:dyDescent="0.3">
      <c r="A5943" s="33">
        <v>5942</v>
      </c>
      <c r="B5943" s="4">
        <v>34</v>
      </c>
      <c r="C5943" s="15">
        <v>258</v>
      </c>
      <c r="D5943" s="16">
        <v>10</v>
      </c>
      <c r="E5943" s="22">
        <v>44945</v>
      </c>
      <c r="F5943" s="19">
        <v>3</v>
      </c>
      <c r="G5943" s="18">
        <v>0.06</v>
      </c>
      <c r="H5943">
        <f>F5943*VLOOKUP(B5943,產品!$A$2:$H$61,7,FALSE)*(1-銷售總表!G5943)</f>
        <v>22560</v>
      </c>
      <c r="I5943" s="35">
        <f>H5943-F5943*VLOOKUP(銷售總表!B5943,產品!$A$2:$H$61,8,FALSE)</f>
        <v>8160</v>
      </c>
      <c r="J5943" s="20">
        <f t="shared" si="92"/>
        <v>0.36170212765957449</v>
      </c>
    </row>
    <row r="5944" spans="1:10" x14ac:dyDescent="0.3">
      <c r="A5944" s="33">
        <v>5943</v>
      </c>
      <c r="B5944" s="4">
        <v>36</v>
      </c>
      <c r="C5944" s="15">
        <v>262</v>
      </c>
      <c r="D5944" s="16">
        <v>4</v>
      </c>
      <c r="E5944" s="22">
        <v>44945</v>
      </c>
      <c r="F5944" s="19">
        <v>9</v>
      </c>
      <c r="G5944" s="18">
        <v>0.09</v>
      </c>
      <c r="H5944">
        <f>F5944*VLOOKUP(B5944,產品!$A$2:$H$61,7,FALSE)*(1-銷售總表!G5944)</f>
        <v>73710</v>
      </c>
      <c r="I5944" s="35">
        <f>H5944-F5944*VLOOKUP(銷售總表!B5944,產品!$A$2:$H$61,8,FALSE)</f>
        <v>25110</v>
      </c>
      <c r="J5944" s="20">
        <f t="shared" si="92"/>
        <v>0.34065934065934067</v>
      </c>
    </row>
    <row r="5945" spans="1:10" x14ac:dyDescent="0.3">
      <c r="A5945" s="33">
        <v>5944</v>
      </c>
      <c r="B5945" s="4">
        <v>10</v>
      </c>
      <c r="C5945" s="15">
        <v>3</v>
      </c>
      <c r="D5945" s="16">
        <v>2</v>
      </c>
      <c r="E5945" s="22">
        <v>44946</v>
      </c>
      <c r="F5945" s="19">
        <v>60</v>
      </c>
      <c r="G5945" s="18">
        <v>0.19</v>
      </c>
      <c r="H5945">
        <f>F5945*VLOOKUP(B5945,產品!$A$2:$H$61,7,FALSE)*(1-銷售總表!G5945)</f>
        <v>48600</v>
      </c>
      <c r="I5945" s="35">
        <f>H5945-F5945*VLOOKUP(銷售總表!B5945,產品!$A$2:$H$61,8,FALSE)</f>
        <v>24600</v>
      </c>
      <c r="J5945" s="20">
        <f t="shared" si="92"/>
        <v>0.50617283950617287</v>
      </c>
    </row>
    <row r="5946" spans="1:10" x14ac:dyDescent="0.3">
      <c r="A5946" s="33">
        <v>5945</v>
      </c>
      <c r="B5946" s="4">
        <v>20</v>
      </c>
      <c r="C5946" s="15">
        <v>4</v>
      </c>
      <c r="D5946" s="16">
        <v>10</v>
      </c>
      <c r="E5946" s="22">
        <v>44946</v>
      </c>
      <c r="F5946" s="19">
        <v>10</v>
      </c>
      <c r="G5946" s="18">
        <v>0.12</v>
      </c>
      <c r="H5946">
        <f>F5946*VLOOKUP(B5946,產品!$A$2:$H$61,7,FALSE)*(1-銷售總表!G5946)</f>
        <v>15840</v>
      </c>
      <c r="I5946" s="35">
        <f>H5946-F5946*VLOOKUP(銷售總表!B5946,產品!$A$2:$H$61,8,FALSE)</f>
        <v>8640</v>
      </c>
      <c r="J5946" s="20">
        <f t="shared" si="92"/>
        <v>0.54545454545454541</v>
      </c>
    </row>
    <row r="5947" spans="1:10" x14ac:dyDescent="0.3">
      <c r="A5947" s="33">
        <v>5946</v>
      </c>
      <c r="B5947" s="4">
        <v>8</v>
      </c>
      <c r="C5947" s="15">
        <v>8</v>
      </c>
      <c r="D5947" s="16">
        <v>8</v>
      </c>
      <c r="E5947" s="22">
        <v>44946</v>
      </c>
      <c r="F5947" s="19">
        <v>200</v>
      </c>
      <c r="G5947" s="18">
        <v>0.18</v>
      </c>
      <c r="H5947">
        <f>F5947*VLOOKUP(B5947,產品!$A$2:$H$61,7,FALSE)*(1-銷售總表!G5947)</f>
        <v>164000</v>
      </c>
      <c r="I5947" s="35">
        <f>H5947-F5947*VLOOKUP(銷售總表!B5947,產品!$A$2:$H$61,8,FALSE)</f>
        <v>84000</v>
      </c>
      <c r="J5947" s="20">
        <f t="shared" si="92"/>
        <v>0.51219512195121952</v>
      </c>
    </row>
    <row r="5948" spans="1:10" x14ac:dyDescent="0.3">
      <c r="A5948" s="33">
        <v>5947</v>
      </c>
      <c r="B5948" s="4">
        <v>7</v>
      </c>
      <c r="C5948" s="15">
        <v>280</v>
      </c>
      <c r="D5948" s="16">
        <v>2</v>
      </c>
      <c r="E5948" s="22">
        <v>44947</v>
      </c>
      <c r="F5948" s="19">
        <v>105</v>
      </c>
      <c r="G5948" s="18">
        <v>0.2</v>
      </c>
      <c r="H5948">
        <f>F5948*VLOOKUP(B5948,產品!$A$2:$H$61,7,FALSE)*(1-銷售總表!G5948)</f>
        <v>84000</v>
      </c>
      <c r="I5948" s="35">
        <f>H5948-F5948*VLOOKUP(銷售總表!B5948,產品!$A$2:$H$61,8,FALSE)</f>
        <v>42000</v>
      </c>
      <c r="J5948" s="20">
        <f t="shared" si="92"/>
        <v>0.5</v>
      </c>
    </row>
    <row r="5949" spans="1:10" x14ac:dyDescent="0.3">
      <c r="A5949" s="33">
        <v>5948</v>
      </c>
      <c r="B5949" s="4">
        <v>11</v>
      </c>
      <c r="C5949" s="15">
        <v>268</v>
      </c>
      <c r="D5949" s="16">
        <v>5</v>
      </c>
      <c r="E5949" s="22">
        <v>44947</v>
      </c>
      <c r="F5949" s="19">
        <v>80</v>
      </c>
      <c r="G5949" s="18">
        <v>0.2</v>
      </c>
      <c r="H5949">
        <f>F5949*VLOOKUP(B5949,產品!$A$2:$H$61,7,FALSE)*(1-銷售總表!G5949)</f>
        <v>64000</v>
      </c>
      <c r="I5949" s="35">
        <f>H5949-F5949*VLOOKUP(銷售總表!B5949,產品!$A$2:$H$61,8,FALSE)</f>
        <v>32000</v>
      </c>
      <c r="J5949" s="20">
        <f t="shared" si="92"/>
        <v>0.5</v>
      </c>
    </row>
    <row r="5950" spans="1:10" x14ac:dyDescent="0.3">
      <c r="A5950" s="33">
        <v>5949</v>
      </c>
      <c r="B5950" s="4">
        <v>45</v>
      </c>
      <c r="C5950" s="15">
        <v>286</v>
      </c>
      <c r="D5950" s="16">
        <v>1</v>
      </c>
      <c r="E5950" s="22">
        <v>44948</v>
      </c>
      <c r="F5950" s="19">
        <v>3</v>
      </c>
      <c r="G5950" s="18">
        <v>0.12</v>
      </c>
      <c r="H5950">
        <f>F5950*VLOOKUP(B5950,產品!$A$2:$H$61,7,FALSE)*(1-銷售總表!G5950)</f>
        <v>36960</v>
      </c>
      <c r="I5950" s="35">
        <f>H5950-F5950*VLOOKUP(銷售總表!B5950,產品!$A$2:$H$61,8,FALSE)</f>
        <v>9660</v>
      </c>
      <c r="J5950" s="20">
        <f t="shared" si="92"/>
        <v>0.26136363636363635</v>
      </c>
    </row>
    <row r="5951" spans="1:10" x14ac:dyDescent="0.3">
      <c r="A5951" s="33">
        <v>5950</v>
      </c>
      <c r="B5951" s="4">
        <v>49</v>
      </c>
      <c r="C5951" s="15">
        <v>285</v>
      </c>
      <c r="D5951" s="16">
        <v>4</v>
      </c>
      <c r="E5951" s="22">
        <v>44948</v>
      </c>
      <c r="F5951" s="19">
        <v>13</v>
      </c>
      <c r="G5951" s="18">
        <v>0.16</v>
      </c>
      <c r="H5951">
        <f>F5951*VLOOKUP(B5951,產品!$A$2:$H$61,7,FALSE)*(1-銷售總表!G5951)</f>
        <v>163800</v>
      </c>
      <c r="I5951" s="35">
        <f>H5951-F5951*VLOOKUP(銷售總表!B5951,產品!$A$2:$H$61,8,FALSE)</f>
        <v>27300</v>
      </c>
      <c r="J5951" s="20">
        <f t="shared" si="92"/>
        <v>0.16666666666666666</v>
      </c>
    </row>
    <row r="5952" spans="1:10" x14ac:dyDescent="0.3">
      <c r="A5952" s="33">
        <v>5951</v>
      </c>
      <c r="B5952" s="4">
        <v>26</v>
      </c>
      <c r="C5952" s="15">
        <v>118</v>
      </c>
      <c r="D5952" s="16">
        <v>1</v>
      </c>
      <c r="E5952" s="22">
        <v>44948</v>
      </c>
      <c r="F5952" s="19">
        <v>6</v>
      </c>
      <c r="G5952" s="18">
        <v>0.19</v>
      </c>
      <c r="H5952">
        <f>F5952*VLOOKUP(B5952,產品!$A$2:$H$61,7,FALSE)*(1-銷售總表!G5952)</f>
        <v>31590.000000000004</v>
      </c>
      <c r="I5952" s="35">
        <f>H5952-F5952*VLOOKUP(銷售總表!B5952,產品!$A$2:$H$61,8,FALSE)</f>
        <v>8190.0000000000036</v>
      </c>
      <c r="J5952" s="20">
        <f t="shared" si="92"/>
        <v>0.25925925925925936</v>
      </c>
    </row>
    <row r="5953" spans="1:10" x14ac:dyDescent="0.3">
      <c r="A5953" s="33">
        <v>5952</v>
      </c>
      <c r="B5953" s="4">
        <v>55</v>
      </c>
      <c r="C5953" s="15">
        <v>118</v>
      </c>
      <c r="D5953" s="16">
        <v>10</v>
      </c>
      <c r="E5953" s="22">
        <v>44948</v>
      </c>
      <c r="F5953" s="19">
        <v>5</v>
      </c>
      <c r="G5953" s="18">
        <v>0.05</v>
      </c>
      <c r="H5953">
        <f>F5953*VLOOKUP(B5953,產品!$A$2:$H$61,7,FALSE)*(1-銷售總表!G5953)</f>
        <v>95000</v>
      </c>
      <c r="I5953" s="35">
        <f>H5953-F5953*VLOOKUP(銷售總表!B5953,產品!$A$2:$H$61,8,FALSE)</f>
        <v>25000</v>
      </c>
      <c r="J5953" s="20">
        <f t="shared" si="92"/>
        <v>0.26315789473684209</v>
      </c>
    </row>
    <row r="5954" spans="1:10" x14ac:dyDescent="0.3">
      <c r="A5954" s="33">
        <v>5953</v>
      </c>
      <c r="B5954" s="4">
        <v>55</v>
      </c>
      <c r="C5954" s="15">
        <v>122</v>
      </c>
      <c r="D5954" s="16">
        <v>5</v>
      </c>
      <c r="E5954" s="22">
        <v>44949</v>
      </c>
      <c r="F5954" s="19">
        <v>4</v>
      </c>
      <c r="G5954" s="18">
        <v>0.13</v>
      </c>
      <c r="H5954">
        <f>F5954*VLOOKUP(B5954,產品!$A$2:$H$61,7,FALSE)*(1-銷售總表!G5954)</f>
        <v>69600</v>
      </c>
      <c r="I5954" s="35">
        <f>H5954-F5954*VLOOKUP(銷售總表!B5954,產品!$A$2:$H$61,8,FALSE)</f>
        <v>13600</v>
      </c>
      <c r="J5954" s="20">
        <f t="shared" si="92"/>
        <v>0.19540229885057472</v>
      </c>
    </row>
    <row r="5955" spans="1:10" x14ac:dyDescent="0.3">
      <c r="A5955" s="33">
        <v>5954</v>
      </c>
      <c r="B5955" s="4">
        <v>46</v>
      </c>
      <c r="C5955" s="15">
        <v>139</v>
      </c>
      <c r="D5955" s="16">
        <v>6</v>
      </c>
      <c r="E5955" s="22">
        <v>44950</v>
      </c>
      <c r="F5955" s="19">
        <v>6</v>
      </c>
      <c r="G5955" s="18">
        <v>0.08</v>
      </c>
      <c r="H5955">
        <f>F5955*VLOOKUP(B5955,產品!$A$2:$H$61,7,FALSE)*(1-銷售總表!G5955)</f>
        <v>93840</v>
      </c>
      <c r="I5955" s="35">
        <f>H5955-F5955*VLOOKUP(銷售總表!B5955,產品!$A$2:$H$61,8,FALSE)</f>
        <v>27540</v>
      </c>
      <c r="J5955" s="20">
        <f t="shared" ref="J5955:J6018" si="93">I5955/H5955</f>
        <v>0.29347826086956524</v>
      </c>
    </row>
    <row r="5956" spans="1:10" x14ac:dyDescent="0.3">
      <c r="A5956" s="33">
        <v>5955</v>
      </c>
      <c r="B5956" s="4">
        <v>8</v>
      </c>
      <c r="C5956" s="15">
        <v>277</v>
      </c>
      <c r="D5956" s="16">
        <v>8</v>
      </c>
      <c r="E5956" s="22">
        <v>44950</v>
      </c>
      <c r="F5956" s="19">
        <v>250</v>
      </c>
      <c r="G5956" s="18">
        <v>0.1</v>
      </c>
      <c r="H5956">
        <f>F5956*VLOOKUP(B5956,產品!$A$2:$H$61,7,FALSE)*(1-銷售總表!G5956)</f>
        <v>225000</v>
      </c>
      <c r="I5956" s="35">
        <f>H5956-F5956*VLOOKUP(銷售總表!B5956,產品!$A$2:$H$61,8,FALSE)</f>
        <v>125000</v>
      </c>
      <c r="J5956" s="20">
        <f t="shared" si="93"/>
        <v>0.55555555555555558</v>
      </c>
    </row>
    <row r="5957" spans="1:10" x14ac:dyDescent="0.3">
      <c r="A5957" s="33">
        <v>5956</v>
      </c>
      <c r="B5957" s="4">
        <v>59</v>
      </c>
      <c r="C5957" s="15">
        <v>113</v>
      </c>
      <c r="D5957" s="16">
        <v>4</v>
      </c>
      <c r="E5957" s="22">
        <v>44950</v>
      </c>
      <c r="F5957" s="19">
        <v>6</v>
      </c>
      <c r="G5957" s="18">
        <v>0.15</v>
      </c>
      <c r="H5957">
        <f>F5957*VLOOKUP(B5957,產品!$A$2:$H$61,7,FALSE)*(1-銷售總表!G5957)</f>
        <v>122400</v>
      </c>
      <c r="I5957" s="35">
        <f>H5957-F5957*VLOOKUP(銷售總表!B5957,產品!$A$2:$H$61,8,FALSE)</f>
        <v>21600</v>
      </c>
      <c r="J5957" s="20">
        <f t="shared" si="93"/>
        <v>0.17647058823529413</v>
      </c>
    </row>
    <row r="5958" spans="1:10" x14ac:dyDescent="0.3">
      <c r="A5958" s="33">
        <v>5957</v>
      </c>
      <c r="B5958" s="4">
        <v>5</v>
      </c>
      <c r="C5958" s="15">
        <v>122</v>
      </c>
      <c r="D5958" s="16">
        <v>8</v>
      </c>
      <c r="E5958" s="22">
        <v>44950</v>
      </c>
      <c r="F5958" s="19">
        <v>300</v>
      </c>
      <c r="G5958" s="18">
        <v>0.06</v>
      </c>
      <c r="H5958">
        <f>F5958*VLOOKUP(B5958,產品!$A$2:$H$61,7,FALSE)*(1-銷售總表!G5958)</f>
        <v>282000</v>
      </c>
      <c r="I5958" s="35">
        <f>H5958-F5958*VLOOKUP(銷售總表!B5958,產品!$A$2:$H$61,8,FALSE)</f>
        <v>162000</v>
      </c>
      <c r="J5958" s="20">
        <f t="shared" si="93"/>
        <v>0.57446808510638303</v>
      </c>
    </row>
    <row r="5959" spans="1:10" x14ac:dyDescent="0.3">
      <c r="A5959" s="33">
        <v>5958</v>
      </c>
      <c r="B5959" s="4">
        <v>40</v>
      </c>
      <c r="C5959" s="15">
        <v>272</v>
      </c>
      <c r="D5959" s="16">
        <v>8</v>
      </c>
      <c r="E5959" s="22">
        <v>44950</v>
      </c>
      <c r="F5959" s="19">
        <v>7</v>
      </c>
      <c r="G5959" s="18">
        <v>0.11</v>
      </c>
      <c r="H5959">
        <f>F5959*VLOOKUP(B5959,產品!$A$2:$H$61,7,FALSE)*(1-銷售總表!G5959)</f>
        <v>124600</v>
      </c>
      <c r="I5959" s="35">
        <f>H5959-F5959*VLOOKUP(銷售總表!B5959,產品!$A$2:$H$61,8,FALSE)</f>
        <v>33600</v>
      </c>
      <c r="J5959" s="20">
        <f t="shared" si="93"/>
        <v>0.2696629213483146</v>
      </c>
    </row>
    <row r="5960" spans="1:10" x14ac:dyDescent="0.3">
      <c r="A5960" s="33">
        <v>5959</v>
      </c>
      <c r="B5960" s="4">
        <v>56</v>
      </c>
      <c r="C5960" s="15">
        <v>289</v>
      </c>
      <c r="D5960" s="16">
        <v>7</v>
      </c>
      <c r="E5960" s="22">
        <v>44951</v>
      </c>
      <c r="F5960" s="19">
        <v>2</v>
      </c>
      <c r="G5960" s="18">
        <v>0.15</v>
      </c>
      <c r="H5960">
        <f>F5960*VLOOKUP(B5960,產品!$A$2:$H$61,7,FALSE)*(1-銷售總表!G5960)</f>
        <v>37400</v>
      </c>
      <c r="I5960" s="35">
        <f>H5960-F5960*VLOOKUP(銷售總表!B5960,產品!$A$2:$H$61,8,FALSE)</f>
        <v>6600.0000000000036</v>
      </c>
      <c r="J5960" s="20">
        <f t="shared" si="93"/>
        <v>0.17647058823529421</v>
      </c>
    </row>
    <row r="5961" spans="1:10" x14ac:dyDescent="0.3">
      <c r="A5961" s="33">
        <v>5960</v>
      </c>
      <c r="B5961" s="4">
        <v>34</v>
      </c>
      <c r="C5961" s="15">
        <v>271</v>
      </c>
      <c r="D5961" s="16">
        <v>9</v>
      </c>
      <c r="E5961" s="22">
        <v>44951</v>
      </c>
      <c r="F5961" s="19">
        <v>3</v>
      </c>
      <c r="G5961" s="18">
        <v>0.2</v>
      </c>
      <c r="H5961">
        <f>F5961*VLOOKUP(B5961,產品!$A$2:$H$61,7,FALSE)*(1-銷售總表!G5961)</f>
        <v>19200</v>
      </c>
      <c r="I5961" s="35">
        <f>H5961-F5961*VLOOKUP(銷售總表!B5961,產品!$A$2:$H$61,8,FALSE)</f>
        <v>4800</v>
      </c>
      <c r="J5961" s="20">
        <f t="shared" si="93"/>
        <v>0.25</v>
      </c>
    </row>
    <row r="5962" spans="1:10" x14ac:dyDescent="0.3">
      <c r="A5962" s="33">
        <v>5961</v>
      </c>
      <c r="B5962" s="4">
        <v>31</v>
      </c>
      <c r="C5962" s="15">
        <v>290</v>
      </c>
      <c r="D5962" s="16">
        <v>10</v>
      </c>
      <c r="E5962" s="22">
        <v>44951</v>
      </c>
      <c r="F5962" s="19">
        <v>5</v>
      </c>
      <c r="G5962" s="18">
        <v>0.11</v>
      </c>
      <c r="H5962">
        <f>F5962*VLOOKUP(B5962,產品!$A$2:$H$61,7,FALSE)*(1-銷售總表!G5962)</f>
        <v>31150</v>
      </c>
      <c r="I5962" s="35">
        <f>H5962-F5962*VLOOKUP(銷售總表!B5962,產品!$A$2:$H$61,8,FALSE)</f>
        <v>10150</v>
      </c>
      <c r="J5962" s="20">
        <f t="shared" si="93"/>
        <v>0.3258426966292135</v>
      </c>
    </row>
    <row r="5963" spans="1:10" x14ac:dyDescent="0.3">
      <c r="A5963" s="33">
        <v>5962</v>
      </c>
      <c r="B5963" s="4">
        <v>20</v>
      </c>
      <c r="C5963" s="15">
        <v>12</v>
      </c>
      <c r="D5963" s="16">
        <v>4</v>
      </c>
      <c r="E5963" s="22">
        <v>44951</v>
      </c>
      <c r="F5963" s="19">
        <v>150</v>
      </c>
      <c r="G5963" s="18">
        <v>7.0000000000000007E-2</v>
      </c>
      <c r="H5963">
        <f>F5963*VLOOKUP(B5963,產品!$A$2:$H$61,7,FALSE)*(1-銷售總表!G5963)</f>
        <v>251099.99999999997</v>
      </c>
      <c r="I5963" s="35">
        <f>H5963-F5963*VLOOKUP(銷售總表!B5963,產品!$A$2:$H$61,8,FALSE)</f>
        <v>143099.99999999997</v>
      </c>
      <c r="J5963" s="20">
        <f t="shared" si="93"/>
        <v>0.56989247311827951</v>
      </c>
    </row>
    <row r="5964" spans="1:10" x14ac:dyDescent="0.3">
      <c r="A5964" s="33">
        <v>5963</v>
      </c>
      <c r="B5964" s="4">
        <v>38</v>
      </c>
      <c r="C5964" s="15">
        <v>272</v>
      </c>
      <c r="D5964" s="16">
        <v>2</v>
      </c>
      <c r="E5964" s="22">
        <v>44951</v>
      </c>
      <c r="F5964" s="19">
        <v>20</v>
      </c>
      <c r="G5964" s="18">
        <v>0.06</v>
      </c>
      <c r="H5964">
        <f>F5964*VLOOKUP(B5964,產品!$A$2:$H$61,7,FALSE)*(1-銷售總表!G5964)</f>
        <v>282000</v>
      </c>
      <c r="I5964" s="35">
        <f>H5964-F5964*VLOOKUP(銷售總表!B5964,產品!$A$2:$H$61,8,FALSE)</f>
        <v>87000</v>
      </c>
      <c r="J5964" s="20">
        <f t="shared" si="93"/>
        <v>0.30851063829787234</v>
      </c>
    </row>
    <row r="5965" spans="1:10" x14ac:dyDescent="0.3">
      <c r="A5965" s="33">
        <v>5964</v>
      </c>
      <c r="B5965" s="4">
        <v>10</v>
      </c>
      <c r="C5965" s="15">
        <v>138</v>
      </c>
      <c r="D5965" s="16">
        <v>5</v>
      </c>
      <c r="E5965" s="22">
        <v>44951</v>
      </c>
      <c r="F5965" s="19">
        <v>30</v>
      </c>
      <c r="G5965" s="18">
        <v>0.14000000000000001</v>
      </c>
      <c r="H5965">
        <f>F5965*VLOOKUP(B5965,產品!$A$2:$H$61,7,FALSE)*(1-銷售總表!G5965)</f>
        <v>25800</v>
      </c>
      <c r="I5965" s="35">
        <f>H5965-F5965*VLOOKUP(銷售總表!B5965,產品!$A$2:$H$61,8,FALSE)</f>
        <v>13800</v>
      </c>
      <c r="J5965" s="20">
        <f t="shared" si="93"/>
        <v>0.53488372093023251</v>
      </c>
    </row>
    <row r="5966" spans="1:10" x14ac:dyDescent="0.3">
      <c r="A5966" s="33">
        <v>5965</v>
      </c>
      <c r="B5966" s="4">
        <v>12</v>
      </c>
      <c r="C5966" s="15">
        <v>275</v>
      </c>
      <c r="D5966" s="16">
        <v>9</v>
      </c>
      <c r="E5966" s="22">
        <v>44951</v>
      </c>
      <c r="F5966" s="19">
        <v>70</v>
      </c>
      <c r="G5966" s="18">
        <v>0.1</v>
      </c>
      <c r="H5966">
        <f>F5966*VLOOKUP(B5966,產品!$A$2:$H$61,7,FALSE)*(1-銷售總表!G5966)</f>
        <v>63000</v>
      </c>
      <c r="I5966" s="35">
        <f>H5966-F5966*VLOOKUP(銷售總表!B5966,產品!$A$2:$H$61,8,FALSE)</f>
        <v>35000</v>
      </c>
      <c r="J5966" s="20">
        <f t="shared" si="93"/>
        <v>0.55555555555555558</v>
      </c>
    </row>
    <row r="5967" spans="1:10" x14ac:dyDescent="0.3">
      <c r="A5967" s="33">
        <v>5966</v>
      </c>
      <c r="B5967" s="4">
        <v>60</v>
      </c>
      <c r="C5967" s="15">
        <v>6</v>
      </c>
      <c r="D5967" s="16">
        <v>1</v>
      </c>
      <c r="E5967" s="22">
        <v>44951</v>
      </c>
      <c r="F5967" s="19">
        <v>9</v>
      </c>
      <c r="G5967" s="18">
        <v>0.09</v>
      </c>
      <c r="H5967">
        <f>F5967*VLOOKUP(B5967,產品!$A$2:$H$61,7,FALSE)*(1-銷售總表!G5967)</f>
        <v>204750</v>
      </c>
      <c r="I5967" s="35">
        <f>H5967-F5967*VLOOKUP(銷售總表!B5967,產品!$A$2:$H$61,8,FALSE)</f>
        <v>47250</v>
      </c>
      <c r="J5967" s="20">
        <f t="shared" si="93"/>
        <v>0.23076923076923078</v>
      </c>
    </row>
    <row r="5968" spans="1:10" x14ac:dyDescent="0.3">
      <c r="A5968" s="33">
        <v>5967</v>
      </c>
      <c r="B5968" s="4">
        <v>53</v>
      </c>
      <c r="C5968" s="15">
        <v>272</v>
      </c>
      <c r="D5968" s="16">
        <v>10</v>
      </c>
      <c r="E5968" s="22">
        <v>44951</v>
      </c>
      <c r="F5968" s="19">
        <v>5</v>
      </c>
      <c r="G5968" s="18">
        <v>0.1</v>
      </c>
      <c r="H5968">
        <f>F5968*VLOOKUP(B5968,產品!$A$2:$H$61,7,FALSE)*(1-銷售總表!G5968)</f>
        <v>67500</v>
      </c>
      <c r="I5968" s="35">
        <f>H5968-F5968*VLOOKUP(銷售總表!B5968,產品!$A$2:$H$61,8,FALSE)</f>
        <v>15000</v>
      </c>
      <c r="J5968" s="20">
        <f t="shared" si="93"/>
        <v>0.22222222222222221</v>
      </c>
    </row>
    <row r="5969" spans="1:10" x14ac:dyDescent="0.3">
      <c r="A5969" s="33">
        <v>5968</v>
      </c>
      <c r="B5969" s="4">
        <v>23</v>
      </c>
      <c r="C5969" s="15">
        <v>258</v>
      </c>
      <c r="D5969" s="16">
        <v>7</v>
      </c>
      <c r="E5969" s="22">
        <v>44951</v>
      </c>
      <c r="F5969" s="19">
        <v>15</v>
      </c>
      <c r="G5969" s="18">
        <v>0.09</v>
      </c>
      <c r="H5969">
        <f>F5969*VLOOKUP(B5969,產品!$A$2:$H$61,7,FALSE)*(1-銷售總表!G5969)</f>
        <v>24570</v>
      </c>
      <c r="I5969" s="35">
        <f>H5969-F5969*VLOOKUP(銷售總表!B5969,產品!$A$2:$H$61,8,FALSE)</f>
        <v>13770</v>
      </c>
      <c r="J5969" s="20">
        <f t="shared" si="93"/>
        <v>0.56043956043956045</v>
      </c>
    </row>
    <row r="5970" spans="1:10" x14ac:dyDescent="0.3">
      <c r="A5970" s="33">
        <v>5969</v>
      </c>
      <c r="B5970" s="4">
        <v>34</v>
      </c>
      <c r="C5970" s="15">
        <v>112</v>
      </c>
      <c r="D5970" s="16">
        <v>7</v>
      </c>
      <c r="E5970" s="22">
        <v>44951</v>
      </c>
      <c r="F5970" s="19">
        <v>13</v>
      </c>
      <c r="G5970" s="18">
        <v>0.05</v>
      </c>
      <c r="H5970">
        <f>F5970*VLOOKUP(B5970,產品!$A$2:$H$61,7,FALSE)*(1-銷售總表!G5970)</f>
        <v>98800</v>
      </c>
      <c r="I5970" s="35">
        <f>H5970-F5970*VLOOKUP(銷售總表!B5970,產品!$A$2:$H$61,8,FALSE)</f>
        <v>36400</v>
      </c>
      <c r="J5970" s="20">
        <f t="shared" si="93"/>
        <v>0.36842105263157893</v>
      </c>
    </row>
    <row r="5971" spans="1:10" x14ac:dyDescent="0.3">
      <c r="A5971" s="33">
        <v>5970</v>
      </c>
      <c r="B5971" s="4">
        <v>20</v>
      </c>
      <c r="C5971" s="15">
        <v>136</v>
      </c>
      <c r="D5971" s="16">
        <v>2</v>
      </c>
      <c r="E5971" s="22">
        <v>44952</v>
      </c>
      <c r="F5971" s="19">
        <v>50</v>
      </c>
      <c r="G5971" s="18">
        <v>0.11</v>
      </c>
      <c r="H5971">
        <f>F5971*VLOOKUP(B5971,產品!$A$2:$H$61,7,FALSE)*(1-銷售總表!G5971)</f>
        <v>80100</v>
      </c>
      <c r="I5971" s="35">
        <f>H5971-F5971*VLOOKUP(銷售總表!B5971,產品!$A$2:$H$61,8,FALSE)</f>
        <v>44100</v>
      </c>
      <c r="J5971" s="20">
        <f t="shared" si="93"/>
        <v>0.550561797752809</v>
      </c>
    </row>
    <row r="5972" spans="1:10" x14ac:dyDescent="0.3">
      <c r="A5972" s="33">
        <v>5971</v>
      </c>
      <c r="B5972" s="4">
        <v>27</v>
      </c>
      <c r="C5972" s="15">
        <v>5</v>
      </c>
      <c r="D5972" s="16">
        <v>5</v>
      </c>
      <c r="E5972" s="22">
        <v>44952</v>
      </c>
      <c r="F5972" s="19">
        <v>1</v>
      </c>
      <c r="G5972" s="18">
        <v>0.09</v>
      </c>
      <c r="H5972">
        <f>F5972*VLOOKUP(B5972,產品!$A$2:$H$61,7,FALSE)*(1-銷售總表!G5972)</f>
        <v>6370</v>
      </c>
      <c r="I5972" s="35">
        <f>H5972-F5972*VLOOKUP(銷售總表!B5972,產品!$A$2:$H$61,8,FALSE)</f>
        <v>2170</v>
      </c>
      <c r="J5972" s="20">
        <f t="shared" si="93"/>
        <v>0.34065934065934067</v>
      </c>
    </row>
    <row r="5973" spans="1:10" x14ac:dyDescent="0.3">
      <c r="A5973" s="33">
        <v>5972</v>
      </c>
      <c r="B5973" s="4">
        <v>45</v>
      </c>
      <c r="C5973" s="15">
        <v>3</v>
      </c>
      <c r="D5973" s="16">
        <v>6</v>
      </c>
      <c r="E5973" s="22">
        <v>44952</v>
      </c>
      <c r="F5973" s="19">
        <v>12</v>
      </c>
      <c r="G5973" s="18">
        <v>0.05</v>
      </c>
      <c r="H5973">
        <f>F5973*VLOOKUP(B5973,產品!$A$2:$H$61,7,FALSE)*(1-銷售總表!G5973)</f>
        <v>159600</v>
      </c>
      <c r="I5973" s="35">
        <f>H5973-F5973*VLOOKUP(銷售總表!B5973,產品!$A$2:$H$61,8,FALSE)</f>
        <v>50400</v>
      </c>
      <c r="J5973" s="20">
        <f t="shared" si="93"/>
        <v>0.31578947368421051</v>
      </c>
    </row>
    <row r="5974" spans="1:10" x14ac:dyDescent="0.3">
      <c r="A5974" s="33">
        <v>5973</v>
      </c>
      <c r="B5974" s="4">
        <v>54</v>
      </c>
      <c r="C5974" s="15">
        <v>10</v>
      </c>
      <c r="D5974" s="16">
        <v>4</v>
      </c>
      <c r="E5974" s="22">
        <v>44952</v>
      </c>
      <c r="F5974" s="19">
        <v>9</v>
      </c>
      <c r="G5974" s="18">
        <v>0.2</v>
      </c>
      <c r="H5974">
        <f>F5974*VLOOKUP(B5974,產品!$A$2:$H$61,7,FALSE)*(1-銷售總表!G5974)</f>
        <v>129600</v>
      </c>
      <c r="I5974" s="35">
        <f>H5974-F5974*VLOOKUP(銷售總表!B5974,產品!$A$2:$H$61,8,FALSE)</f>
        <v>16200</v>
      </c>
      <c r="J5974" s="20">
        <f t="shared" si="93"/>
        <v>0.125</v>
      </c>
    </row>
    <row r="5975" spans="1:10" x14ac:dyDescent="0.3">
      <c r="A5975" s="33">
        <v>5974</v>
      </c>
      <c r="B5975" s="4">
        <v>52</v>
      </c>
      <c r="C5975" s="15">
        <v>271</v>
      </c>
      <c r="D5975" s="16">
        <v>6</v>
      </c>
      <c r="E5975" s="22">
        <v>44952</v>
      </c>
      <c r="F5975" s="19">
        <v>11</v>
      </c>
      <c r="G5975" s="18">
        <v>0.08</v>
      </c>
      <c r="H5975">
        <f>F5975*VLOOKUP(B5975,產品!$A$2:$H$61,7,FALSE)*(1-銷售總表!G5975)</f>
        <v>222640</v>
      </c>
      <c r="I5975" s="35">
        <f>H5975-F5975*VLOOKUP(銷售總表!B5975,產品!$A$2:$H$61,8,FALSE)</f>
        <v>53240.000000000029</v>
      </c>
      <c r="J5975" s="20">
        <f t="shared" si="93"/>
        <v>0.23913043478260881</v>
      </c>
    </row>
    <row r="5976" spans="1:10" x14ac:dyDescent="0.3">
      <c r="A5976" s="33">
        <v>5975</v>
      </c>
      <c r="B5976" s="4">
        <v>43</v>
      </c>
      <c r="C5976" s="15">
        <v>265</v>
      </c>
      <c r="D5976" s="16">
        <v>10</v>
      </c>
      <c r="E5976" s="22">
        <v>44952</v>
      </c>
      <c r="F5976" s="19">
        <v>7</v>
      </c>
      <c r="G5976" s="18">
        <v>0.13</v>
      </c>
      <c r="H5976">
        <f>F5976*VLOOKUP(B5976,產品!$A$2:$H$61,7,FALSE)*(1-銷售總表!G5976)</f>
        <v>109620</v>
      </c>
      <c r="I5976" s="35">
        <f>H5976-F5976*VLOOKUP(銷售總表!B5976,產品!$A$2:$H$61,8,FALSE)</f>
        <v>27720</v>
      </c>
      <c r="J5976" s="20">
        <f t="shared" si="93"/>
        <v>0.25287356321839083</v>
      </c>
    </row>
    <row r="5977" spans="1:10" x14ac:dyDescent="0.3">
      <c r="A5977" s="33">
        <v>5976</v>
      </c>
      <c r="B5977" s="4">
        <v>14</v>
      </c>
      <c r="C5977" s="15">
        <v>113</v>
      </c>
      <c r="D5977" s="16">
        <v>10</v>
      </c>
      <c r="E5977" s="22">
        <v>44952</v>
      </c>
      <c r="F5977" s="19">
        <v>60</v>
      </c>
      <c r="G5977" s="18">
        <v>0.12</v>
      </c>
      <c r="H5977">
        <f>F5977*VLOOKUP(B5977,產品!$A$2:$H$61,7,FALSE)*(1-銷售總表!G5977)</f>
        <v>95040</v>
      </c>
      <c r="I5977" s="35">
        <f>H5977-F5977*VLOOKUP(銷售總表!B5977,產品!$A$2:$H$61,8,FALSE)</f>
        <v>51840</v>
      </c>
      <c r="J5977" s="20">
        <f t="shared" si="93"/>
        <v>0.54545454545454541</v>
      </c>
    </row>
    <row r="5978" spans="1:10" x14ac:dyDescent="0.3">
      <c r="A5978" s="33">
        <v>5977</v>
      </c>
      <c r="B5978" s="4">
        <v>34</v>
      </c>
      <c r="C5978" s="15">
        <v>285</v>
      </c>
      <c r="D5978" s="16">
        <v>3</v>
      </c>
      <c r="E5978" s="22">
        <v>44952</v>
      </c>
      <c r="F5978" s="19">
        <v>11</v>
      </c>
      <c r="G5978" s="18">
        <v>0.12</v>
      </c>
      <c r="H5978">
        <f>F5978*VLOOKUP(B5978,產品!$A$2:$H$61,7,FALSE)*(1-銷售總表!G5978)</f>
        <v>77440</v>
      </c>
      <c r="I5978" s="35">
        <f>H5978-F5978*VLOOKUP(銷售總表!B5978,產品!$A$2:$H$61,8,FALSE)</f>
        <v>24640</v>
      </c>
      <c r="J5978" s="20">
        <f t="shared" si="93"/>
        <v>0.31818181818181818</v>
      </c>
    </row>
    <row r="5979" spans="1:10" x14ac:dyDescent="0.3">
      <c r="A5979" s="33">
        <v>5978</v>
      </c>
      <c r="B5979" s="4">
        <v>17</v>
      </c>
      <c r="C5979" s="15">
        <v>7</v>
      </c>
      <c r="D5979" s="16">
        <v>5</v>
      </c>
      <c r="E5979" s="22">
        <v>44953</v>
      </c>
      <c r="F5979" s="19">
        <v>100</v>
      </c>
      <c r="G5979" s="18">
        <v>0.18</v>
      </c>
      <c r="H5979">
        <f>F5979*VLOOKUP(B5979,產品!$A$2:$H$61,7,FALSE)*(1-銷售總表!G5979)</f>
        <v>147600</v>
      </c>
      <c r="I5979" s="35">
        <f>H5979-F5979*VLOOKUP(銷售總表!B5979,產品!$A$2:$H$61,8,FALSE)</f>
        <v>75600</v>
      </c>
      <c r="J5979" s="20">
        <f t="shared" si="93"/>
        <v>0.51219512195121952</v>
      </c>
    </row>
    <row r="5980" spans="1:10" x14ac:dyDescent="0.3">
      <c r="A5980" s="33">
        <v>5979</v>
      </c>
      <c r="B5980" s="4">
        <v>11</v>
      </c>
      <c r="C5980" s="15">
        <v>2</v>
      </c>
      <c r="D5980" s="16">
        <v>2</v>
      </c>
      <c r="E5980" s="22">
        <v>44953</v>
      </c>
      <c r="F5980" s="19">
        <v>50</v>
      </c>
      <c r="G5980" s="18">
        <v>0.13</v>
      </c>
      <c r="H5980">
        <f>F5980*VLOOKUP(B5980,產品!$A$2:$H$61,7,FALSE)*(1-銷售總表!G5980)</f>
        <v>43500</v>
      </c>
      <c r="I5980" s="35">
        <f>H5980-F5980*VLOOKUP(銷售總表!B5980,產品!$A$2:$H$61,8,FALSE)</f>
        <v>23500</v>
      </c>
      <c r="J5980" s="20">
        <f t="shared" si="93"/>
        <v>0.54022988505747127</v>
      </c>
    </row>
    <row r="5981" spans="1:10" x14ac:dyDescent="0.3">
      <c r="A5981" s="33">
        <v>5980</v>
      </c>
      <c r="B5981" s="4">
        <v>54</v>
      </c>
      <c r="C5981" s="15">
        <v>284</v>
      </c>
      <c r="D5981" s="16">
        <v>7</v>
      </c>
      <c r="E5981" s="22">
        <v>44953</v>
      </c>
      <c r="F5981" s="19">
        <v>4</v>
      </c>
      <c r="G5981" s="18">
        <v>0.12</v>
      </c>
      <c r="H5981">
        <f>F5981*VLOOKUP(B5981,產品!$A$2:$H$61,7,FALSE)*(1-銷售總表!G5981)</f>
        <v>63360</v>
      </c>
      <c r="I5981" s="35">
        <f>H5981-F5981*VLOOKUP(銷售總表!B5981,產品!$A$2:$H$61,8,FALSE)</f>
        <v>12960</v>
      </c>
      <c r="J5981" s="20">
        <f t="shared" si="93"/>
        <v>0.20454545454545456</v>
      </c>
    </row>
    <row r="5982" spans="1:10" x14ac:dyDescent="0.3">
      <c r="A5982" s="33">
        <v>5981</v>
      </c>
      <c r="B5982" s="4">
        <v>12</v>
      </c>
      <c r="C5982" s="15">
        <v>265</v>
      </c>
      <c r="D5982" s="16">
        <v>9</v>
      </c>
      <c r="E5982" s="23">
        <v>44953</v>
      </c>
      <c r="F5982">
        <v>14</v>
      </c>
      <c r="G5982" s="20">
        <v>0.08</v>
      </c>
      <c r="H5982">
        <f>F5982*VLOOKUP(B5982,產品!$A$2:$H$61,7,FALSE)*(1-銷售總表!G5982)</f>
        <v>12880</v>
      </c>
      <c r="I5982" s="35">
        <f>H5982-F5982*VLOOKUP(銷售總表!B5982,產品!$A$2:$H$61,8,FALSE)</f>
        <v>7280</v>
      </c>
      <c r="J5982" s="20">
        <f t="shared" si="93"/>
        <v>0.56521739130434778</v>
      </c>
    </row>
    <row r="5983" spans="1:10" x14ac:dyDescent="0.3">
      <c r="A5983" s="33">
        <v>5982</v>
      </c>
      <c r="B5983" s="4">
        <v>7</v>
      </c>
      <c r="C5983" s="15">
        <v>8</v>
      </c>
      <c r="D5983" s="16">
        <v>9</v>
      </c>
      <c r="E5983" s="23">
        <v>44953</v>
      </c>
      <c r="F5983">
        <v>70</v>
      </c>
      <c r="G5983" s="20">
        <v>0.17</v>
      </c>
      <c r="H5983">
        <f>F5983*VLOOKUP(B5983,產品!$A$2:$H$61,7,FALSE)*(1-銷售總表!G5983)</f>
        <v>58100</v>
      </c>
      <c r="I5983" s="35">
        <f>H5983-F5983*VLOOKUP(銷售總表!B5983,產品!$A$2:$H$61,8,FALSE)</f>
        <v>30100</v>
      </c>
      <c r="J5983" s="20">
        <f t="shared" si="93"/>
        <v>0.51807228915662651</v>
      </c>
    </row>
    <row r="5984" spans="1:10" x14ac:dyDescent="0.3">
      <c r="A5984" s="33">
        <v>5983</v>
      </c>
      <c r="B5984" s="4">
        <v>35</v>
      </c>
      <c r="C5984" s="15">
        <v>5</v>
      </c>
      <c r="D5984" s="16">
        <v>1</v>
      </c>
      <c r="E5984" s="22">
        <v>44954</v>
      </c>
      <c r="F5984" s="19">
        <v>7</v>
      </c>
      <c r="G5984" s="18">
        <v>0.14000000000000001</v>
      </c>
      <c r="H5984">
        <f>F5984*VLOOKUP(B5984,產品!$A$2:$H$61,7,FALSE)*(1-銷售總表!G5984)</f>
        <v>51170</v>
      </c>
      <c r="I5984" s="35">
        <f>H5984-F5984*VLOOKUP(銷售總表!B5984,產品!$A$2:$H$61,8,FALSE)</f>
        <v>15470</v>
      </c>
      <c r="J5984" s="20">
        <f t="shared" si="93"/>
        <v>0.30232558139534882</v>
      </c>
    </row>
    <row r="5985" spans="1:10" x14ac:dyDescent="0.3">
      <c r="A5985" s="33">
        <v>5984</v>
      </c>
      <c r="B5985" s="4">
        <v>44</v>
      </c>
      <c r="C5985" s="15">
        <v>258</v>
      </c>
      <c r="D5985" s="16">
        <v>8</v>
      </c>
      <c r="E5985" s="22">
        <v>44954</v>
      </c>
      <c r="F5985" s="19">
        <v>4</v>
      </c>
      <c r="G5985" s="18">
        <v>0.13</v>
      </c>
      <c r="H5985">
        <f>F5985*VLOOKUP(B5985,產品!$A$2:$H$61,7,FALSE)*(1-銷售總表!G5985)</f>
        <v>69600</v>
      </c>
      <c r="I5985" s="35">
        <f>H5985-F5985*VLOOKUP(銷售總表!B5985,產品!$A$2:$H$61,8,FALSE)</f>
        <v>17600</v>
      </c>
      <c r="J5985" s="20">
        <f t="shared" si="93"/>
        <v>0.25287356321839083</v>
      </c>
    </row>
    <row r="5986" spans="1:10" x14ac:dyDescent="0.3">
      <c r="A5986" s="33">
        <v>5985</v>
      </c>
      <c r="B5986" s="4">
        <v>38</v>
      </c>
      <c r="C5986" s="15">
        <v>2</v>
      </c>
      <c r="D5986" s="16">
        <v>7</v>
      </c>
      <c r="E5986" s="22">
        <v>44954</v>
      </c>
      <c r="F5986" s="19">
        <v>18</v>
      </c>
      <c r="G5986" s="18">
        <v>0.11</v>
      </c>
      <c r="H5986">
        <f>F5986*VLOOKUP(B5986,產品!$A$2:$H$61,7,FALSE)*(1-銷售總表!G5986)</f>
        <v>240300</v>
      </c>
      <c r="I5986" s="35">
        <f>H5986-F5986*VLOOKUP(銷售總表!B5986,產品!$A$2:$H$61,8,FALSE)</f>
        <v>64800</v>
      </c>
      <c r="J5986" s="20">
        <f t="shared" si="93"/>
        <v>0.2696629213483146</v>
      </c>
    </row>
    <row r="5987" spans="1:10" x14ac:dyDescent="0.3">
      <c r="A5987" s="33">
        <v>5986</v>
      </c>
      <c r="B5987" s="4">
        <v>36</v>
      </c>
      <c r="C5987" s="15">
        <v>11</v>
      </c>
      <c r="D5987" s="16">
        <v>4</v>
      </c>
      <c r="E5987" s="22">
        <v>44955</v>
      </c>
      <c r="F5987" s="19">
        <v>12</v>
      </c>
      <c r="G5987" s="18">
        <v>0.09</v>
      </c>
      <c r="H5987">
        <f>F5987*VLOOKUP(B5987,產品!$A$2:$H$61,7,FALSE)*(1-銷售總表!G5987)</f>
        <v>98280</v>
      </c>
      <c r="I5987" s="35">
        <f>H5987-F5987*VLOOKUP(銷售總表!B5987,產品!$A$2:$H$61,8,FALSE)</f>
        <v>33480</v>
      </c>
      <c r="J5987" s="20">
        <f t="shared" si="93"/>
        <v>0.34065934065934067</v>
      </c>
    </row>
    <row r="5988" spans="1:10" x14ac:dyDescent="0.3">
      <c r="A5988" s="33">
        <v>5987</v>
      </c>
      <c r="B5988" s="4">
        <v>2</v>
      </c>
      <c r="C5988" s="15">
        <v>259</v>
      </c>
      <c r="D5988" s="16">
        <v>6</v>
      </c>
      <c r="E5988" s="22">
        <v>44955</v>
      </c>
      <c r="F5988" s="19">
        <v>30</v>
      </c>
      <c r="G5988" s="18">
        <v>0.14000000000000001</v>
      </c>
      <c r="H5988">
        <f>F5988*VLOOKUP(B5988,產品!$A$2:$H$61,7,FALSE)*(1-銷售總表!G5988)</f>
        <v>25800</v>
      </c>
      <c r="I5988" s="35">
        <f>H5988-F5988*VLOOKUP(銷售總表!B5988,產品!$A$2:$H$61,8,FALSE)</f>
        <v>13800</v>
      </c>
      <c r="J5988" s="20">
        <f t="shared" si="93"/>
        <v>0.53488372093023251</v>
      </c>
    </row>
    <row r="5989" spans="1:10" x14ac:dyDescent="0.3">
      <c r="A5989" s="33">
        <v>5988</v>
      </c>
      <c r="B5989" s="4">
        <v>57</v>
      </c>
      <c r="C5989" s="15">
        <v>275</v>
      </c>
      <c r="D5989" s="16">
        <v>5</v>
      </c>
      <c r="E5989" s="22">
        <v>44955</v>
      </c>
      <c r="F5989" s="19">
        <v>13</v>
      </c>
      <c r="G5989" s="18">
        <v>0.17</v>
      </c>
      <c r="H5989">
        <f>F5989*VLOOKUP(B5989,產品!$A$2:$H$61,7,FALSE)*(1-銷售總表!G5989)</f>
        <v>194220</v>
      </c>
      <c r="I5989" s="35">
        <f>H5989-F5989*VLOOKUP(銷售總表!B5989,產品!$A$2:$H$61,8,FALSE)</f>
        <v>30420</v>
      </c>
      <c r="J5989" s="20">
        <f t="shared" si="93"/>
        <v>0.15662650602409639</v>
      </c>
    </row>
    <row r="5990" spans="1:10" x14ac:dyDescent="0.3">
      <c r="A5990" s="33">
        <v>5989</v>
      </c>
      <c r="B5990" s="4">
        <v>21</v>
      </c>
      <c r="C5990" s="15">
        <v>261</v>
      </c>
      <c r="D5990" s="16">
        <v>4</v>
      </c>
      <c r="E5990" s="22">
        <v>44955</v>
      </c>
      <c r="F5990" s="19">
        <v>175</v>
      </c>
      <c r="G5990" s="18">
        <v>0.18</v>
      </c>
      <c r="H5990">
        <f>F5990*VLOOKUP(B5990,產品!$A$2:$H$61,7,FALSE)*(1-銷售總表!G5990)</f>
        <v>258300.00000000003</v>
      </c>
      <c r="I5990" s="35">
        <f>H5990-F5990*VLOOKUP(銷售總表!B5990,產品!$A$2:$H$61,8,FALSE)</f>
        <v>132300.00000000003</v>
      </c>
      <c r="J5990" s="20">
        <f t="shared" si="93"/>
        <v>0.51219512195121952</v>
      </c>
    </row>
    <row r="5991" spans="1:10" x14ac:dyDescent="0.3">
      <c r="A5991" s="33">
        <v>5990</v>
      </c>
      <c r="B5991" s="4">
        <v>45</v>
      </c>
      <c r="C5991" s="15">
        <v>126</v>
      </c>
      <c r="D5991" s="16">
        <v>3</v>
      </c>
      <c r="E5991" s="22">
        <v>44955</v>
      </c>
      <c r="F5991" s="19">
        <v>20</v>
      </c>
      <c r="G5991" s="18">
        <v>0.15</v>
      </c>
      <c r="H5991">
        <f>F5991*VLOOKUP(B5991,產品!$A$2:$H$61,7,FALSE)*(1-銷售總表!G5991)</f>
        <v>238000</v>
      </c>
      <c r="I5991" s="35">
        <f>H5991-F5991*VLOOKUP(銷售總表!B5991,產品!$A$2:$H$61,8,FALSE)</f>
        <v>56000</v>
      </c>
      <c r="J5991" s="20">
        <f t="shared" si="93"/>
        <v>0.23529411764705882</v>
      </c>
    </row>
    <row r="5992" spans="1:10" x14ac:dyDescent="0.3">
      <c r="A5992" s="33">
        <v>5991</v>
      </c>
      <c r="B5992" s="4">
        <v>13</v>
      </c>
      <c r="C5992" s="15">
        <v>1</v>
      </c>
      <c r="D5992" s="16">
        <v>9</v>
      </c>
      <c r="E5992" s="23">
        <v>44955</v>
      </c>
      <c r="F5992">
        <v>50</v>
      </c>
      <c r="G5992" s="20">
        <v>0.08</v>
      </c>
      <c r="H5992">
        <f>F5992*VLOOKUP(B5992,產品!$A$2:$H$61,7,FALSE)*(1-銷售總表!G5992)</f>
        <v>82800</v>
      </c>
      <c r="I5992" s="35">
        <f>H5992-F5992*VLOOKUP(銷售總表!B5992,產品!$A$2:$H$61,8,FALSE)</f>
        <v>46800</v>
      </c>
      <c r="J5992" s="20">
        <f t="shared" si="93"/>
        <v>0.56521739130434778</v>
      </c>
    </row>
    <row r="5993" spans="1:10" x14ac:dyDescent="0.3">
      <c r="A5993" s="33">
        <v>5992</v>
      </c>
      <c r="B5993" s="4">
        <v>54</v>
      </c>
      <c r="C5993" s="15">
        <v>3</v>
      </c>
      <c r="D5993" s="16">
        <v>4</v>
      </c>
      <c r="E5993" s="22">
        <v>44956</v>
      </c>
      <c r="F5993" s="19">
        <v>3</v>
      </c>
      <c r="G5993" s="18">
        <v>0.11</v>
      </c>
      <c r="H5993">
        <f>F5993*VLOOKUP(B5993,產品!$A$2:$H$61,7,FALSE)*(1-銷售總表!G5993)</f>
        <v>48060</v>
      </c>
      <c r="I5993" s="35">
        <f>H5993-F5993*VLOOKUP(銷售總表!B5993,產品!$A$2:$H$61,8,FALSE)</f>
        <v>10260</v>
      </c>
      <c r="J5993" s="20">
        <f t="shared" si="93"/>
        <v>0.21348314606741572</v>
      </c>
    </row>
    <row r="5994" spans="1:10" x14ac:dyDescent="0.3">
      <c r="A5994" s="33">
        <v>5993</v>
      </c>
      <c r="B5994" s="4">
        <v>29</v>
      </c>
      <c r="C5994" s="15">
        <v>8</v>
      </c>
      <c r="D5994" s="16">
        <v>10</v>
      </c>
      <c r="E5994" s="22">
        <v>44956</v>
      </c>
      <c r="F5994" s="19">
        <v>4</v>
      </c>
      <c r="G5994" s="18">
        <v>7.0000000000000007E-2</v>
      </c>
      <c r="H5994">
        <f>F5994*VLOOKUP(B5994,產品!$A$2:$H$61,7,FALSE)*(1-銷售總表!G5994)</f>
        <v>22320</v>
      </c>
      <c r="I5994" s="35">
        <f>H5994-F5994*VLOOKUP(銷售總表!B5994,產品!$A$2:$H$61,8,FALSE)</f>
        <v>7920</v>
      </c>
      <c r="J5994" s="20">
        <f t="shared" si="93"/>
        <v>0.35483870967741937</v>
      </c>
    </row>
    <row r="5995" spans="1:10" x14ac:dyDescent="0.3">
      <c r="A5995" s="33">
        <v>5994</v>
      </c>
      <c r="B5995" s="4">
        <v>16</v>
      </c>
      <c r="C5995" s="15">
        <v>260</v>
      </c>
      <c r="D5995" s="16">
        <v>1</v>
      </c>
      <c r="E5995" s="22">
        <v>44956</v>
      </c>
      <c r="F5995" s="19">
        <v>75</v>
      </c>
      <c r="G5995" s="18">
        <v>0.13</v>
      </c>
      <c r="H5995">
        <f>F5995*VLOOKUP(B5995,產品!$A$2:$H$61,7,FALSE)*(1-銷售總表!G5995)</f>
        <v>117450</v>
      </c>
      <c r="I5995" s="35">
        <f>H5995-F5995*VLOOKUP(銷售總表!B5995,產品!$A$2:$H$61,8,FALSE)</f>
        <v>63450</v>
      </c>
      <c r="J5995" s="20">
        <f t="shared" si="93"/>
        <v>0.54022988505747127</v>
      </c>
    </row>
    <row r="5996" spans="1:10" x14ac:dyDescent="0.3">
      <c r="A5996" s="33">
        <v>5995</v>
      </c>
      <c r="B5996" s="4">
        <v>12</v>
      </c>
      <c r="C5996" s="15">
        <v>140</v>
      </c>
      <c r="D5996" s="16">
        <v>8</v>
      </c>
      <c r="E5996" s="22">
        <v>44956</v>
      </c>
      <c r="F5996" s="19">
        <v>14</v>
      </c>
      <c r="G5996" s="18">
        <v>0.15</v>
      </c>
      <c r="H5996">
        <f>F5996*VLOOKUP(B5996,產品!$A$2:$H$61,7,FALSE)*(1-銷售總表!G5996)</f>
        <v>11900</v>
      </c>
      <c r="I5996" s="35">
        <f>H5996-F5996*VLOOKUP(銷售總表!B5996,產品!$A$2:$H$61,8,FALSE)</f>
        <v>6300</v>
      </c>
      <c r="J5996" s="20">
        <f t="shared" si="93"/>
        <v>0.52941176470588236</v>
      </c>
    </row>
    <row r="5997" spans="1:10" x14ac:dyDescent="0.3">
      <c r="A5997" s="33">
        <v>5996</v>
      </c>
      <c r="B5997" s="4">
        <v>10</v>
      </c>
      <c r="C5997" s="15">
        <v>258</v>
      </c>
      <c r="D5997" s="16">
        <v>1</v>
      </c>
      <c r="E5997" s="23">
        <v>44956</v>
      </c>
      <c r="F5997">
        <v>300</v>
      </c>
      <c r="G5997" s="20">
        <v>0.18</v>
      </c>
      <c r="H5997">
        <f>F5997*VLOOKUP(B5997,產品!$A$2:$H$61,7,FALSE)*(1-銷售總表!G5997)</f>
        <v>246000.00000000003</v>
      </c>
      <c r="I5997" s="35">
        <f>H5997-F5997*VLOOKUP(銷售總表!B5997,產品!$A$2:$H$61,8,FALSE)</f>
        <v>126000.00000000003</v>
      </c>
      <c r="J5997" s="20">
        <f t="shared" si="93"/>
        <v>0.51219512195121952</v>
      </c>
    </row>
    <row r="5998" spans="1:10" x14ac:dyDescent="0.3">
      <c r="A5998" s="33">
        <v>5997</v>
      </c>
      <c r="B5998" s="4">
        <v>52</v>
      </c>
      <c r="C5998" s="15">
        <v>4</v>
      </c>
      <c r="D5998" s="16">
        <v>6</v>
      </c>
      <c r="E5998" s="22">
        <v>44957</v>
      </c>
      <c r="F5998" s="19">
        <v>5</v>
      </c>
      <c r="G5998" s="18">
        <v>0.19</v>
      </c>
      <c r="H5998">
        <f>F5998*VLOOKUP(B5998,產品!$A$2:$H$61,7,FALSE)*(1-銷售總表!G5998)</f>
        <v>89100</v>
      </c>
      <c r="I5998" s="35">
        <f>H5998-F5998*VLOOKUP(銷售總表!B5998,產品!$A$2:$H$61,8,FALSE)</f>
        <v>12100.000000000015</v>
      </c>
      <c r="J5998" s="20">
        <f t="shared" si="93"/>
        <v>0.13580246913580263</v>
      </c>
    </row>
    <row r="5999" spans="1:10" x14ac:dyDescent="0.3">
      <c r="A5999" s="33">
        <v>5998</v>
      </c>
      <c r="B5999" s="4">
        <v>56</v>
      </c>
      <c r="C5999" s="15">
        <v>140</v>
      </c>
      <c r="D5999" s="16">
        <v>5</v>
      </c>
      <c r="E5999" s="22">
        <v>44957</v>
      </c>
      <c r="F5999" s="19">
        <v>2</v>
      </c>
      <c r="G5999" s="18">
        <v>0.15</v>
      </c>
      <c r="H5999">
        <f>F5999*VLOOKUP(B5999,產品!$A$2:$H$61,7,FALSE)*(1-銷售總表!G5999)</f>
        <v>37400</v>
      </c>
      <c r="I5999" s="35">
        <f>H5999-F5999*VLOOKUP(銷售總表!B5999,產品!$A$2:$H$61,8,FALSE)</f>
        <v>6600.0000000000036</v>
      </c>
      <c r="J5999" s="20">
        <f t="shared" si="93"/>
        <v>0.17647058823529421</v>
      </c>
    </row>
    <row r="6000" spans="1:10" x14ac:dyDescent="0.3">
      <c r="A6000" s="33">
        <v>5999</v>
      </c>
      <c r="B6000" s="4">
        <v>32</v>
      </c>
      <c r="C6000" s="15">
        <v>134</v>
      </c>
      <c r="D6000" s="16">
        <v>10</v>
      </c>
      <c r="E6000" s="22">
        <v>44958</v>
      </c>
      <c r="F6000" s="19">
        <v>2</v>
      </c>
      <c r="G6000" s="18">
        <v>0.2</v>
      </c>
      <c r="H6000">
        <f>F6000*VLOOKUP(B6000,產品!$A$2:$H$61,7,FALSE)*(1-銷售總表!G6000)</f>
        <v>12000</v>
      </c>
      <c r="I6000" s="35">
        <f>H6000-F6000*VLOOKUP(銷售總表!B6000,產品!$A$2:$H$61,8,FALSE)</f>
        <v>3000</v>
      </c>
      <c r="J6000" s="20">
        <f t="shared" si="93"/>
        <v>0.25</v>
      </c>
    </row>
    <row r="6001" spans="1:10" x14ac:dyDescent="0.3">
      <c r="A6001" s="33">
        <v>6000</v>
      </c>
      <c r="B6001" s="4">
        <v>29</v>
      </c>
      <c r="C6001" s="15">
        <v>12</v>
      </c>
      <c r="D6001" s="16">
        <v>8</v>
      </c>
      <c r="E6001" s="22">
        <v>44958</v>
      </c>
      <c r="F6001" s="19">
        <v>3</v>
      </c>
      <c r="G6001" s="18">
        <v>0.12</v>
      </c>
      <c r="H6001">
        <f>F6001*VLOOKUP(B6001,產品!$A$2:$H$61,7,FALSE)*(1-銷售總表!G6001)</f>
        <v>15840</v>
      </c>
      <c r="I6001" s="35">
        <f>H6001-F6001*VLOOKUP(銷售總表!B6001,產品!$A$2:$H$61,8,FALSE)</f>
        <v>5040</v>
      </c>
      <c r="J6001" s="20">
        <f t="shared" si="93"/>
        <v>0.31818181818181818</v>
      </c>
    </row>
    <row r="6002" spans="1:10" x14ac:dyDescent="0.3">
      <c r="A6002" s="33">
        <v>6001</v>
      </c>
      <c r="B6002" s="4">
        <v>53</v>
      </c>
      <c r="C6002" s="15">
        <v>113</v>
      </c>
      <c r="D6002" s="16">
        <v>3</v>
      </c>
      <c r="E6002" s="22">
        <v>44958</v>
      </c>
      <c r="F6002" s="19">
        <v>2</v>
      </c>
      <c r="G6002" s="18">
        <v>0.13</v>
      </c>
      <c r="H6002">
        <f>F6002*VLOOKUP(B6002,產品!$A$2:$H$61,7,FALSE)*(1-銷售總表!G6002)</f>
        <v>26100</v>
      </c>
      <c r="I6002" s="35">
        <f>H6002-F6002*VLOOKUP(銷售總表!B6002,產品!$A$2:$H$61,8,FALSE)</f>
        <v>5100</v>
      </c>
      <c r="J6002" s="20">
        <f t="shared" si="93"/>
        <v>0.19540229885057472</v>
      </c>
    </row>
    <row r="6003" spans="1:10" x14ac:dyDescent="0.3">
      <c r="A6003" s="33">
        <v>6002</v>
      </c>
      <c r="B6003" s="4">
        <v>38</v>
      </c>
      <c r="C6003" s="15">
        <v>293</v>
      </c>
      <c r="D6003" s="16">
        <v>5</v>
      </c>
      <c r="E6003" s="22">
        <v>44958</v>
      </c>
      <c r="F6003" s="19">
        <v>7</v>
      </c>
      <c r="G6003" s="18">
        <v>0.14000000000000001</v>
      </c>
      <c r="H6003">
        <f>F6003*VLOOKUP(B6003,產品!$A$2:$H$61,7,FALSE)*(1-銷售總表!G6003)</f>
        <v>90300</v>
      </c>
      <c r="I6003" s="35">
        <f>H6003-F6003*VLOOKUP(銷售總表!B6003,產品!$A$2:$H$61,8,FALSE)</f>
        <v>22050</v>
      </c>
      <c r="J6003" s="20">
        <f t="shared" si="93"/>
        <v>0.2441860465116279</v>
      </c>
    </row>
    <row r="6004" spans="1:10" x14ac:dyDescent="0.3">
      <c r="A6004" s="33">
        <v>6003</v>
      </c>
      <c r="B6004" s="4">
        <v>11</v>
      </c>
      <c r="C6004" s="15">
        <v>257</v>
      </c>
      <c r="D6004" s="16">
        <v>4</v>
      </c>
      <c r="E6004" s="22">
        <v>44958</v>
      </c>
      <c r="F6004" s="19">
        <v>200</v>
      </c>
      <c r="G6004" s="18">
        <v>0.12</v>
      </c>
      <c r="H6004">
        <f>F6004*VLOOKUP(B6004,產品!$A$2:$H$61,7,FALSE)*(1-銷售總表!G6004)</f>
        <v>176000</v>
      </c>
      <c r="I6004" s="35">
        <f>H6004-F6004*VLOOKUP(銷售總表!B6004,產品!$A$2:$H$61,8,FALSE)</f>
        <v>96000</v>
      </c>
      <c r="J6004" s="20">
        <f t="shared" si="93"/>
        <v>0.54545454545454541</v>
      </c>
    </row>
    <row r="6005" spans="1:10" x14ac:dyDescent="0.3">
      <c r="A6005" s="33">
        <v>6004</v>
      </c>
      <c r="B6005" s="4">
        <v>14</v>
      </c>
      <c r="C6005" s="15">
        <v>117</v>
      </c>
      <c r="D6005" s="16">
        <v>9</v>
      </c>
      <c r="E6005" s="22">
        <v>44958</v>
      </c>
      <c r="F6005" s="19">
        <v>17</v>
      </c>
      <c r="G6005" s="18">
        <v>0.09</v>
      </c>
      <c r="H6005">
        <f>F6005*VLOOKUP(B6005,產品!$A$2:$H$61,7,FALSE)*(1-銷售總表!G6005)</f>
        <v>27846</v>
      </c>
      <c r="I6005" s="35">
        <f>H6005-F6005*VLOOKUP(銷售總表!B6005,產品!$A$2:$H$61,8,FALSE)</f>
        <v>15606</v>
      </c>
      <c r="J6005" s="20">
        <f t="shared" si="93"/>
        <v>0.56043956043956045</v>
      </c>
    </row>
    <row r="6006" spans="1:10" x14ac:dyDescent="0.3">
      <c r="A6006" s="33">
        <v>6005</v>
      </c>
      <c r="B6006" s="4">
        <v>20</v>
      </c>
      <c r="C6006" s="15">
        <v>8</v>
      </c>
      <c r="D6006" s="16">
        <v>5</v>
      </c>
      <c r="E6006" s="22">
        <v>44958</v>
      </c>
      <c r="F6006" s="19">
        <v>50</v>
      </c>
      <c r="G6006" s="18">
        <v>0.05</v>
      </c>
      <c r="H6006">
        <f>F6006*VLOOKUP(B6006,產品!$A$2:$H$61,7,FALSE)*(1-銷售總表!G6006)</f>
        <v>85500</v>
      </c>
      <c r="I6006" s="35">
        <f>H6006-F6006*VLOOKUP(銷售總表!B6006,產品!$A$2:$H$61,8,FALSE)</f>
        <v>49500</v>
      </c>
      <c r="J6006" s="20">
        <f t="shared" si="93"/>
        <v>0.57894736842105265</v>
      </c>
    </row>
    <row r="6007" spans="1:10" x14ac:dyDescent="0.3">
      <c r="A6007" s="33">
        <v>6006</v>
      </c>
      <c r="B6007" s="4">
        <v>11</v>
      </c>
      <c r="C6007" s="15">
        <v>134</v>
      </c>
      <c r="D6007" s="16">
        <v>2</v>
      </c>
      <c r="E6007" s="23">
        <v>44958</v>
      </c>
      <c r="F6007">
        <v>175</v>
      </c>
      <c r="G6007" s="20">
        <v>7.0000000000000007E-2</v>
      </c>
      <c r="H6007">
        <f>F6007*VLOOKUP(B6007,產品!$A$2:$H$61,7,FALSE)*(1-銷售總表!G6007)</f>
        <v>162750</v>
      </c>
      <c r="I6007" s="35">
        <f>H6007-F6007*VLOOKUP(銷售總表!B6007,產品!$A$2:$H$61,8,FALSE)</f>
        <v>92750</v>
      </c>
      <c r="J6007" s="20">
        <f t="shared" si="93"/>
        <v>0.56989247311827962</v>
      </c>
    </row>
    <row r="6008" spans="1:10" x14ac:dyDescent="0.3">
      <c r="A6008" s="33">
        <v>6007</v>
      </c>
      <c r="B6008" s="4">
        <v>11</v>
      </c>
      <c r="C6008" s="15">
        <v>5</v>
      </c>
      <c r="D6008" s="16">
        <v>6</v>
      </c>
      <c r="E6008" s="22">
        <v>44959</v>
      </c>
      <c r="F6008" s="19">
        <v>30</v>
      </c>
      <c r="G6008" s="18">
        <v>0.09</v>
      </c>
      <c r="H6008">
        <f>F6008*VLOOKUP(B6008,產品!$A$2:$H$61,7,FALSE)*(1-銷售總表!G6008)</f>
        <v>27300</v>
      </c>
      <c r="I6008" s="35">
        <f>H6008-F6008*VLOOKUP(銷售總表!B6008,產品!$A$2:$H$61,8,FALSE)</f>
        <v>15300</v>
      </c>
      <c r="J6008" s="20">
        <f t="shared" si="93"/>
        <v>0.56043956043956045</v>
      </c>
    </row>
    <row r="6009" spans="1:10" x14ac:dyDescent="0.3">
      <c r="A6009" s="33">
        <v>6008</v>
      </c>
      <c r="B6009" s="4">
        <v>14</v>
      </c>
      <c r="C6009" s="15">
        <v>282</v>
      </c>
      <c r="D6009" s="16">
        <v>4</v>
      </c>
      <c r="E6009" s="22">
        <v>44959</v>
      </c>
      <c r="F6009" s="19">
        <v>60</v>
      </c>
      <c r="G6009" s="18">
        <v>0.1</v>
      </c>
      <c r="H6009">
        <f>F6009*VLOOKUP(B6009,產品!$A$2:$H$61,7,FALSE)*(1-銷售總表!G6009)</f>
        <v>97200</v>
      </c>
      <c r="I6009" s="35">
        <f>H6009-F6009*VLOOKUP(銷售總表!B6009,產品!$A$2:$H$61,8,FALSE)</f>
        <v>54000</v>
      </c>
      <c r="J6009" s="20">
        <f t="shared" si="93"/>
        <v>0.55555555555555558</v>
      </c>
    </row>
    <row r="6010" spans="1:10" x14ac:dyDescent="0.3">
      <c r="A6010" s="33">
        <v>6009</v>
      </c>
      <c r="B6010" s="4">
        <v>48</v>
      </c>
      <c r="C6010" s="15">
        <v>126</v>
      </c>
      <c r="D6010" s="16">
        <v>6</v>
      </c>
      <c r="E6010" s="22">
        <v>44960</v>
      </c>
      <c r="F6010" s="19">
        <v>4</v>
      </c>
      <c r="G6010" s="18">
        <v>0.17</v>
      </c>
      <c r="H6010">
        <f>F6010*VLOOKUP(B6010,產品!$A$2:$H$61,7,FALSE)*(1-銷售總表!G6010)</f>
        <v>73040</v>
      </c>
      <c r="I6010" s="35">
        <f>H6010-F6010*VLOOKUP(銷售總表!B6010,產品!$A$2:$H$61,8,FALSE)</f>
        <v>15840</v>
      </c>
      <c r="J6010" s="20">
        <f t="shared" si="93"/>
        <v>0.21686746987951808</v>
      </c>
    </row>
    <row r="6011" spans="1:10" x14ac:dyDescent="0.3">
      <c r="A6011" s="33">
        <v>6010</v>
      </c>
      <c r="B6011" s="4">
        <v>2</v>
      </c>
      <c r="C6011" s="15">
        <v>5</v>
      </c>
      <c r="D6011" s="16">
        <v>7</v>
      </c>
      <c r="E6011" s="22">
        <v>44960</v>
      </c>
      <c r="F6011" s="19">
        <v>14</v>
      </c>
      <c r="G6011" s="18">
        <v>0.13</v>
      </c>
      <c r="H6011">
        <f>F6011*VLOOKUP(B6011,產品!$A$2:$H$61,7,FALSE)*(1-銷售總表!G6011)</f>
        <v>12180</v>
      </c>
      <c r="I6011" s="35">
        <f>H6011-F6011*VLOOKUP(銷售總表!B6011,產品!$A$2:$H$61,8,FALSE)</f>
        <v>6580</v>
      </c>
      <c r="J6011" s="20">
        <f t="shared" si="93"/>
        <v>0.54022988505747127</v>
      </c>
    </row>
    <row r="6012" spans="1:10" x14ac:dyDescent="0.3">
      <c r="A6012" s="33">
        <v>6011</v>
      </c>
      <c r="B6012" s="4">
        <v>1</v>
      </c>
      <c r="C6012" s="15">
        <v>257</v>
      </c>
      <c r="D6012" s="16">
        <v>10</v>
      </c>
      <c r="E6012" s="23">
        <v>44960</v>
      </c>
      <c r="F6012">
        <v>60</v>
      </c>
      <c r="G6012" s="20">
        <v>0.19</v>
      </c>
      <c r="H6012">
        <f>F6012*VLOOKUP(B6012,產品!$A$2:$H$61,7,FALSE)*(1-銷售總表!G6012)</f>
        <v>48600</v>
      </c>
      <c r="I6012" s="35">
        <f>H6012-F6012*VLOOKUP(銷售總表!B6012,產品!$A$2:$H$61,8,FALSE)</f>
        <v>24600</v>
      </c>
      <c r="J6012" s="20">
        <f t="shared" si="93"/>
        <v>0.50617283950617287</v>
      </c>
    </row>
    <row r="6013" spans="1:10" x14ac:dyDescent="0.3">
      <c r="A6013" s="33">
        <v>6012</v>
      </c>
      <c r="B6013" s="4">
        <v>10</v>
      </c>
      <c r="C6013" s="15">
        <v>265</v>
      </c>
      <c r="D6013" s="16">
        <v>1</v>
      </c>
      <c r="E6013" s="23">
        <v>44960</v>
      </c>
      <c r="F6013">
        <v>11</v>
      </c>
      <c r="G6013" s="20">
        <v>0.17</v>
      </c>
      <c r="H6013">
        <f>F6013*VLOOKUP(B6013,產品!$A$2:$H$61,7,FALSE)*(1-銷售總表!G6013)</f>
        <v>9130</v>
      </c>
      <c r="I6013" s="35">
        <f>H6013-F6013*VLOOKUP(銷售總表!B6013,產品!$A$2:$H$61,8,FALSE)</f>
        <v>4730</v>
      </c>
      <c r="J6013" s="20">
        <f t="shared" si="93"/>
        <v>0.51807228915662651</v>
      </c>
    </row>
    <row r="6014" spans="1:10" x14ac:dyDescent="0.3">
      <c r="A6014" s="33">
        <v>6013</v>
      </c>
      <c r="B6014" s="4">
        <v>6</v>
      </c>
      <c r="C6014" s="15">
        <v>273</v>
      </c>
      <c r="D6014" s="16">
        <v>2</v>
      </c>
      <c r="E6014" s="23">
        <v>44960</v>
      </c>
      <c r="F6014">
        <v>250</v>
      </c>
      <c r="G6014" s="20">
        <v>0.09</v>
      </c>
      <c r="H6014">
        <f>F6014*VLOOKUP(B6014,產品!$A$2:$H$61,7,FALSE)*(1-銷售總表!G6014)</f>
        <v>227500</v>
      </c>
      <c r="I6014" s="35">
        <f>H6014-F6014*VLOOKUP(銷售總表!B6014,產品!$A$2:$H$61,8,FALSE)</f>
        <v>127500</v>
      </c>
      <c r="J6014" s="20">
        <f t="shared" si="93"/>
        <v>0.56043956043956045</v>
      </c>
    </row>
    <row r="6015" spans="1:10" x14ac:dyDescent="0.3">
      <c r="A6015" s="33">
        <v>6014</v>
      </c>
      <c r="B6015" s="4">
        <v>27</v>
      </c>
      <c r="C6015" s="15">
        <v>10</v>
      </c>
      <c r="D6015" s="16">
        <v>3</v>
      </c>
      <c r="E6015" s="22">
        <v>44961</v>
      </c>
      <c r="F6015" s="19">
        <v>9</v>
      </c>
      <c r="G6015" s="18">
        <v>0.14000000000000001</v>
      </c>
      <c r="H6015">
        <f>F6015*VLOOKUP(B6015,產品!$A$2:$H$61,7,FALSE)*(1-銷售總表!G6015)</f>
        <v>54180</v>
      </c>
      <c r="I6015" s="35">
        <f>H6015-F6015*VLOOKUP(銷售總表!B6015,產品!$A$2:$H$61,8,FALSE)</f>
        <v>16380</v>
      </c>
      <c r="J6015" s="20">
        <f t="shared" si="93"/>
        <v>0.30232558139534882</v>
      </c>
    </row>
    <row r="6016" spans="1:10" x14ac:dyDescent="0.3">
      <c r="A6016" s="33">
        <v>6015</v>
      </c>
      <c r="B6016" s="4">
        <v>3</v>
      </c>
      <c r="C6016" s="15">
        <v>5</v>
      </c>
      <c r="D6016" s="16">
        <v>9</v>
      </c>
      <c r="E6016" s="22">
        <v>44961</v>
      </c>
      <c r="F6016" s="19">
        <v>90</v>
      </c>
      <c r="G6016" s="18">
        <v>7.0000000000000007E-2</v>
      </c>
      <c r="H6016">
        <f>F6016*VLOOKUP(B6016,產品!$A$2:$H$61,7,FALSE)*(1-銷售總表!G6016)</f>
        <v>83700</v>
      </c>
      <c r="I6016" s="35">
        <f>H6016-F6016*VLOOKUP(銷售總表!B6016,產品!$A$2:$H$61,8,FALSE)</f>
        <v>47700</v>
      </c>
      <c r="J6016" s="20">
        <f t="shared" si="93"/>
        <v>0.56989247311827962</v>
      </c>
    </row>
    <row r="6017" spans="1:10" x14ac:dyDescent="0.3">
      <c r="A6017" s="33">
        <v>6016</v>
      </c>
      <c r="B6017" s="4">
        <v>9</v>
      </c>
      <c r="C6017" s="15">
        <v>7</v>
      </c>
      <c r="D6017" s="16">
        <v>9</v>
      </c>
      <c r="E6017" s="23">
        <v>44961</v>
      </c>
      <c r="F6017">
        <v>70</v>
      </c>
      <c r="G6017" s="20">
        <v>0.13</v>
      </c>
      <c r="H6017">
        <f>F6017*VLOOKUP(B6017,產品!$A$2:$H$61,7,FALSE)*(1-銷售總表!G6017)</f>
        <v>60900</v>
      </c>
      <c r="I6017" s="35">
        <f>H6017-F6017*VLOOKUP(銷售總表!B6017,產品!$A$2:$H$61,8,FALSE)</f>
        <v>32900</v>
      </c>
      <c r="J6017" s="20">
        <f t="shared" si="93"/>
        <v>0.54022988505747127</v>
      </c>
    </row>
    <row r="6018" spans="1:10" x14ac:dyDescent="0.3">
      <c r="A6018" s="33">
        <v>6017</v>
      </c>
      <c r="B6018" s="4">
        <v>59</v>
      </c>
      <c r="C6018" s="15">
        <v>135</v>
      </c>
      <c r="D6018" s="16">
        <v>10</v>
      </c>
      <c r="E6018" s="23">
        <v>44961</v>
      </c>
      <c r="F6018">
        <v>6</v>
      </c>
      <c r="G6018" s="20">
        <v>0.18</v>
      </c>
      <c r="H6018">
        <f>F6018*VLOOKUP(B6018,產品!$A$2:$H$61,7,FALSE)*(1-銷售總表!G6018)</f>
        <v>118080.00000000001</v>
      </c>
      <c r="I6018" s="35">
        <f>H6018-F6018*VLOOKUP(銷售總表!B6018,產品!$A$2:$H$61,8,FALSE)</f>
        <v>17280.000000000015</v>
      </c>
      <c r="J6018" s="20">
        <f t="shared" si="93"/>
        <v>0.14634146341463425</v>
      </c>
    </row>
    <row r="6019" spans="1:10" x14ac:dyDescent="0.3">
      <c r="A6019" s="33">
        <v>6018</v>
      </c>
      <c r="B6019" s="4">
        <v>8</v>
      </c>
      <c r="C6019" s="15">
        <v>138</v>
      </c>
      <c r="D6019" s="16">
        <v>4</v>
      </c>
      <c r="E6019" s="23">
        <v>44961</v>
      </c>
      <c r="F6019">
        <v>11</v>
      </c>
      <c r="G6019" s="20">
        <v>0.17</v>
      </c>
      <c r="H6019">
        <f>F6019*VLOOKUP(B6019,產品!$A$2:$H$61,7,FALSE)*(1-銷售總表!G6019)</f>
        <v>9130</v>
      </c>
      <c r="I6019" s="35">
        <f>H6019-F6019*VLOOKUP(銷售總表!B6019,產品!$A$2:$H$61,8,FALSE)</f>
        <v>4730</v>
      </c>
      <c r="J6019" s="20">
        <f t="shared" ref="J6019:J6082" si="94">I6019/H6019</f>
        <v>0.51807228915662651</v>
      </c>
    </row>
    <row r="6020" spans="1:10" x14ac:dyDescent="0.3">
      <c r="A6020" s="33">
        <v>6019</v>
      </c>
      <c r="B6020" s="4">
        <v>29</v>
      </c>
      <c r="C6020" s="15">
        <v>258</v>
      </c>
      <c r="D6020" s="16">
        <v>7</v>
      </c>
      <c r="E6020" s="22">
        <v>44962</v>
      </c>
      <c r="F6020" s="19">
        <v>2</v>
      </c>
      <c r="G6020" s="18">
        <v>0.17</v>
      </c>
      <c r="H6020">
        <f>F6020*VLOOKUP(B6020,產品!$A$2:$H$61,7,FALSE)*(1-銷售總表!G6020)</f>
        <v>9960</v>
      </c>
      <c r="I6020" s="35">
        <f>H6020-F6020*VLOOKUP(銷售總表!B6020,產品!$A$2:$H$61,8,FALSE)</f>
        <v>2760</v>
      </c>
      <c r="J6020" s="20">
        <f t="shared" si="94"/>
        <v>0.27710843373493976</v>
      </c>
    </row>
    <row r="6021" spans="1:10" x14ac:dyDescent="0.3">
      <c r="A6021" s="33">
        <v>6020</v>
      </c>
      <c r="B6021" s="4">
        <v>22</v>
      </c>
      <c r="C6021" s="15">
        <v>263</v>
      </c>
      <c r="D6021" s="16">
        <v>10</v>
      </c>
      <c r="E6021" s="22">
        <v>44962</v>
      </c>
      <c r="F6021" s="19">
        <v>30</v>
      </c>
      <c r="G6021" s="18">
        <v>0.2</v>
      </c>
      <c r="H6021">
        <f>F6021*VLOOKUP(B6021,產品!$A$2:$H$61,7,FALSE)*(1-銷售總表!G6021)</f>
        <v>43200</v>
      </c>
      <c r="I6021" s="35">
        <f>H6021-F6021*VLOOKUP(銷售總表!B6021,產品!$A$2:$H$61,8,FALSE)</f>
        <v>21600</v>
      </c>
      <c r="J6021" s="20">
        <f t="shared" si="94"/>
        <v>0.5</v>
      </c>
    </row>
    <row r="6022" spans="1:10" x14ac:dyDescent="0.3">
      <c r="A6022" s="33">
        <v>6021</v>
      </c>
      <c r="B6022" s="4">
        <v>3</v>
      </c>
      <c r="C6022" s="15">
        <v>12</v>
      </c>
      <c r="D6022" s="16">
        <v>3</v>
      </c>
      <c r="E6022" s="22">
        <v>44962</v>
      </c>
      <c r="F6022" s="19">
        <v>90</v>
      </c>
      <c r="G6022" s="18">
        <v>0.2</v>
      </c>
      <c r="H6022">
        <f>F6022*VLOOKUP(B6022,產品!$A$2:$H$61,7,FALSE)*(1-銷售總表!G6022)</f>
        <v>72000</v>
      </c>
      <c r="I6022" s="35">
        <f>H6022-F6022*VLOOKUP(銷售總表!B6022,產品!$A$2:$H$61,8,FALSE)</f>
        <v>36000</v>
      </c>
      <c r="J6022" s="20">
        <f t="shared" si="94"/>
        <v>0.5</v>
      </c>
    </row>
    <row r="6023" spans="1:10" x14ac:dyDescent="0.3">
      <c r="A6023" s="33">
        <v>6022</v>
      </c>
      <c r="B6023" s="4">
        <v>42</v>
      </c>
      <c r="C6023" s="15">
        <v>114</v>
      </c>
      <c r="D6023" s="16">
        <v>8</v>
      </c>
      <c r="E6023" s="22">
        <v>44962</v>
      </c>
      <c r="F6023" s="19">
        <v>10</v>
      </c>
      <c r="G6023" s="18">
        <v>0.18</v>
      </c>
      <c r="H6023">
        <f>F6023*VLOOKUP(B6023,產品!$A$2:$H$61,7,FALSE)*(1-銷售總表!G6023)</f>
        <v>123000.00000000001</v>
      </c>
      <c r="I6023" s="35">
        <f>H6023-F6023*VLOOKUP(銷售總表!B6023,產品!$A$2:$H$61,8,FALSE)</f>
        <v>25500.000000000015</v>
      </c>
      <c r="J6023" s="20">
        <f t="shared" si="94"/>
        <v>0.20731707317073181</v>
      </c>
    </row>
    <row r="6024" spans="1:10" x14ac:dyDescent="0.3">
      <c r="A6024" s="33">
        <v>6023</v>
      </c>
      <c r="B6024" s="4">
        <v>58</v>
      </c>
      <c r="C6024" s="15">
        <v>257</v>
      </c>
      <c r="D6024" s="16">
        <v>7</v>
      </c>
      <c r="E6024" s="23">
        <v>44962</v>
      </c>
      <c r="F6024">
        <v>4</v>
      </c>
      <c r="G6024" s="20">
        <v>0.06</v>
      </c>
      <c r="H6024">
        <f>F6024*VLOOKUP(B6024,產品!$A$2:$H$61,7,FALSE)*(1-銷售總表!G6024)</f>
        <v>78960</v>
      </c>
      <c r="I6024" s="35">
        <f>H6024-F6024*VLOOKUP(銷售總表!B6024,產品!$A$2:$H$61,8,FALSE)</f>
        <v>20160.000000000007</v>
      </c>
      <c r="J6024" s="20">
        <f t="shared" si="94"/>
        <v>0.2553191489361703</v>
      </c>
    </row>
    <row r="6025" spans="1:10" x14ac:dyDescent="0.3">
      <c r="A6025" s="33">
        <v>6024</v>
      </c>
      <c r="B6025" s="4">
        <v>27</v>
      </c>
      <c r="C6025" s="15">
        <v>257</v>
      </c>
      <c r="D6025" s="16">
        <v>6</v>
      </c>
      <c r="E6025" s="23">
        <v>44962</v>
      </c>
      <c r="F6025">
        <v>6</v>
      </c>
      <c r="G6025" s="20">
        <v>0.2</v>
      </c>
      <c r="H6025">
        <f>F6025*VLOOKUP(B6025,產品!$A$2:$H$61,7,FALSE)*(1-銷售總表!G6025)</f>
        <v>33600</v>
      </c>
      <c r="I6025" s="35">
        <f>H6025-F6025*VLOOKUP(銷售總表!B6025,產品!$A$2:$H$61,8,FALSE)</f>
        <v>8400</v>
      </c>
      <c r="J6025" s="20">
        <f t="shared" si="94"/>
        <v>0.25</v>
      </c>
    </row>
    <row r="6026" spans="1:10" x14ac:dyDescent="0.3">
      <c r="A6026" s="33">
        <v>6025</v>
      </c>
      <c r="B6026" s="4">
        <v>49</v>
      </c>
      <c r="C6026" s="15">
        <v>5</v>
      </c>
      <c r="D6026" s="16">
        <v>2</v>
      </c>
      <c r="E6026" s="23">
        <v>44963</v>
      </c>
      <c r="F6026">
        <v>10</v>
      </c>
      <c r="G6026" s="20">
        <v>0.19</v>
      </c>
      <c r="H6026">
        <f>F6026*VLOOKUP(B6026,產品!$A$2:$H$61,7,FALSE)*(1-銷售總表!G6026)</f>
        <v>121500.00000000001</v>
      </c>
      <c r="I6026" s="35">
        <f>H6026-F6026*VLOOKUP(銷售總表!B6026,產品!$A$2:$H$61,8,FALSE)</f>
        <v>16500.000000000015</v>
      </c>
      <c r="J6026" s="20">
        <f t="shared" si="94"/>
        <v>0.13580246913580257</v>
      </c>
    </row>
    <row r="6027" spans="1:10" x14ac:dyDescent="0.3">
      <c r="A6027" s="33">
        <v>6026</v>
      </c>
      <c r="B6027" s="4">
        <v>24</v>
      </c>
      <c r="C6027" s="15">
        <v>264</v>
      </c>
      <c r="D6027" s="16">
        <v>7</v>
      </c>
      <c r="E6027" s="22">
        <v>44964</v>
      </c>
      <c r="F6027" s="19">
        <v>30</v>
      </c>
      <c r="G6027" s="18">
        <v>0.14000000000000001</v>
      </c>
      <c r="H6027">
        <f>F6027*VLOOKUP(B6027,產品!$A$2:$H$61,7,FALSE)*(1-銷售總表!G6027)</f>
        <v>46440</v>
      </c>
      <c r="I6027" s="35">
        <f>H6027-F6027*VLOOKUP(銷售總表!B6027,產品!$A$2:$H$61,8,FALSE)</f>
        <v>24840</v>
      </c>
      <c r="J6027" s="20">
        <f t="shared" si="94"/>
        <v>0.53488372093023251</v>
      </c>
    </row>
    <row r="6028" spans="1:10" x14ac:dyDescent="0.3">
      <c r="A6028" s="33">
        <v>6027</v>
      </c>
      <c r="B6028" s="4">
        <v>58</v>
      </c>
      <c r="C6028" s="15">
        <v>116</v>
      </c>
      <c r="D6028" s="16">
        <v>10</v>
      </c>
      <c r="E6028" s="22">
        <v>44964</v>
      </c>
      <c r="F6028" s="19">
        <v>15</v>
      </c>
      <c r="G6028" s="18">
        <v>0.13</v>
      </c>
      <c r="H6028">
        <f>F6028*VLOOKUP(B6028,產品!$A$2:$H$61,7,FALSE)*(1-銷售總表!G6028)</f>
        <v>274050</v>
      </c>
      <c r="I6028" s="35">
        <f>H6028-F6028*VLOOKUP(銷售總表!B6028,產品!$A$2:$H$61,8,FALSE)</f>
        <v>53550.000000000029</v>
      </c>
      <c r="J6028" s="20">
        <f t="shared" si="94"/>
        <v>0.19540229885057481</v>
      </c>
    </row>
    <row r="6029" spans="1:10" x14ac:dyDescent="0.3">
      <c r="A6029" s="33">
        <v>6028</v>
      </c>
      <c r="B6029" s="4">
        <v>16</v>
      </c>
      <c r="C6029" s="15">
        <v>5</v>
      </c>
      <c r="D6029" s="16">
        <v>4</v>
      </c>
      <c r="E6029" s="22">
        <v>44964</v>
      </c>
      <c r="F6029" s="19">
        <v>50</v>
      </c>
      <c r="G6029" s="18">
        <v>0.05</v>
      </c>
      <c r="H6029">
        <f>F6029*VLOOKUP(B6029,產品!$A$2:$H$61,7,FALSE)*(1-銷售總表!G6029)</f>
        <v>85500</v>
      </c>
      <c r="I6029" s="35">
        <f>H6029-F6029*VLOOKUP(銷售總表!B6029,產品!$A$2:$H$61,8,FALSE)</f>
        <v>49500</v>
      </c>
      <c r="J6029" s="20">
        <f t="shared" si="94"/>
        <v>0.57894736842105265</v>
      </c>
    </row>
    <row r="6030" spans="1:10" x14ac:dyDescent="0.3">
      <c r="A6030" s="33">
        <v>6029</v>
      </c>
      <c r="B6030" s="4">
        <v>44</v>
      </c>
      <c r="C6030" s="15">
        <v>4</v>
      </c>
      <c r="D6030" s="16">
        <v>5</v>
      </c>
      <c r="E6030" s="22">
        <v>44964</v>
      </c>
      <c r="F6030" s="19">
        <v>6</v>
      </c>
      <c r="G6030" s="18">
        <v>0.19</v>
      </c>
      <c r="H6030">
        <f>F6030*VLOOKUP(B6030,產品!$A$2:$H$61,7,FALSE)*(1-銷售總表!G6030)</f>
        <v>97200</v>
      </c>
      <c r="I6030" s="35">
        <f>H6030-F6030*VLOOKUP(銷售總表!B6030,產品!$A$2:$H$61,8,FALSE)</f>
        <v>19200</v>
      </c>
      <c r="J6030" s="20">
        <f t="shared" si="94"/>
        <v>0.19753086419753085</v>
      </c>
    </row>
    <row r="6031" spans="1:10" x14ac:dyDescent="0.3">
      <c r="A6031" s="33">
        <v>6030</v>
      </c>
      <c r="B6031" s="4">
        <v>53</v>
      </c>
      <c r="C6031" s="15">
        <v>287</v>
      </c>
      <c r="D6031" s="16">
        <v>7</v>
      </c>
      <c r="E6031" s="22">
        <v>44964</v>
      </c>
      <c r="F6031" s="19">
        <v>8</v>
      </c>
      <c r="G6031" s="18">
        <v>0.05</v>
      </c>
      <c r="H6031">
        <f>F6031*VLOOKUP(B6031,產品!$A$2:$H$61,7,FALSE)*(1-銷售總表!G6031)</f>
        <v>114000</v>
      </c>
      <c r="I6031" s="35">
        <f>H6031-F6031*VLOOKUP(銷售總表!B6031,產品!$A$2:$H$61,8,FALSE)</f>
        <v>30000</v>
      </c>
      <c r="J6031" s="20">
        <f t="shared" si="94"/>
        <v>0.26315789473684209</v>
      </c>
    </row>
    <row r="6032" spans="1:10" x14ac:dyDescent="0.3">
      <c r="A6032" s="33">
        <v>6031</v>
      </c>
      <c r="B6032" s="4">
        <v>16</v>
      </c>
      <c r="C6032" s="15">
        <v>6</v>
      </c>
      <c r="D6032" s="16">
        <v>4</v>
      </c>
      <c r="E6032" s="23">
        <v>44964</v>
      </c>
      <c r="F6032">
        <v>40</v>
      </c>
      <c r="G6032" s="20">
        <v>0.1</v>
      </c>
      <c r="H6032">
        <f>F6032*VLOOKUP(B6032,產品!$A$2:$H$61,7,FALSE)*(1-銷售總表!G6032)</f>
        <v>64800</v>
      </c>
      <c r="I6032" s="35">
        <f>H6032-F6032*VLOOKUP(銷售總表!B6032,產品!$A$2:$H$61,8,FALSE)</f>
        <v>36000</v>
      </c>
      <c r="J6032" s="20">
        <f t="shared" si="94"/>
        <v>0.55555555555555558</v>
      </c>
    </row>
    <row r="6033" spans="1:10" x14ac:dyDescent="0.3">
      <c r="A6033" s="33">
        <v>6032</v>
      </c>
      <c r="B6033" s="4">
        <v>13</v>
      </c>
      <c r="C6033" s="15">
        <v>5</v>
      </c>
      <c r="D6033" s="16">
        <v>9</v>
      </c>
      <c r="E6033" s="22">
        <v>44965</v>
      </c>
      <c r="F6033" s="19">
        <v>40</v>
      </c>
      <c r="G6033" s="18">
        <v>0.11</v>
      </c>
      <c r="H6033">
        <f>F6033*VLOOKUP(B6033,產品!$A$2:$H$61,7,FALSE)*(1-銷售總表!G6033)</f>
        <v>64080</v>
      </c>
      <c r="I6033" s="35">
        <f>H6033-F6033*VLOOKUP(銷售總表!B6033,產品!$A$2:$H$61,8,FALSE)</f>
        <v>35280</v>
      </c>
      <c r="J6033" s="20">
        <f t="shared" si="94"/>
        <v>0.550561797752809</v>
      </c>
    </row>
    <row r="6034" spans="1:10" x14ac:dyDescent="0.3">
      <c r="A6034" s="33">
        <v>6033</v>
      </c>
      <c r="B6034" s="4">
        <v>14</v>
      </c>
      <c r="C6034" s="15">
        <v>125</v>
      </c>
      <c r="D6034" s="16">
        <v>8</v>
      </c>
      <c r="E6034" s="22">
        <v>44965</v>
      </c>
      <c r="F6034" s="19">
        <v>125</v>
      </c>
      <c r="G6034" s="18">
        <v>0.17</v>
      </c>
      <c r="H6034">
        <f>F6034*VLOOKUP(B6034,產品!$A$2:$H$61,7,FALSE)*(1-銷售總表!G6034)</f>
        <v>186750</v>
      </c>
      <c r="I6034" s="35">
        <f>H6034-F6034*VLOOKUP(銷售總表!B6034,產品!$A$2:$H$61,8,FALSE)</f>
        <v>96750</v>
      </c>
      <c r="J6034" s="20">
        <f t="shared" si="94"/>
        <v>0.51807228915662651</v>
      </c>
    </row>
    <row r="6035" spans="1:10" x14ac:dyDescent="0.3">
      <c r="A6035" s="33">
        <v>6034</v>
      </c>
      <c r="B6035" s="4">
        <v>53</v>
      </c>
      <c r="C6035" s="15">
        <v>7</v>
      </c>
      <c r="D6035" s="16">
        <v>1</v>
      </c>
      <c r="E6035" s="23">
        <v>44965</v>
      </c>
      <c r="F6035">
        <v>5</v>
      </c>
      <c r="G6035" s="20">
        <v>0.16</v>
      </c>
      <c r="H6035">
        <f>F6035*VLOOKUP(B6035,產品!$A$2:$H$61,7,FALSE)*(1-銷售總表!G6035)</f>
        <v>63000</v>
      </c>
      <c r="I6035" s="35">
        <f>H6035-F6035*VLOOKUP(銷售總表!B6035,產品!$A$2:$H$61,8,FALSE)</f>
        <v>10500</v>
      </c>
      <c r="J6035" s="20">
        <f t="shared" si="94"/>
        <v>0.16666666666666666</v>
      </c>
    </row>
    <row r="6036" spans="1:10" x14ac:dyDescent="0.3">
      <c r="A6036" s="33">
        <v>6035</v>
      </c>
      <c r="B6036" s="4">
        <v>8</v>
      </c>
      <c r="C6036" s="15">
        <v>6</v>
      </c>
      <c r="D6036" s="16">
        <v>9</v>
      </c>
      <c r="E6036" s="22">
        <v>44966</v>
      </c>
      <c r="F6036" s="19">
        <v>17</v>
      </c>
      <c r="G6036" s="18">
        <v>0.1</v>
      </c>
      <c r="H6036">
        <f>F6036*VLOOKUP(B6036,產品!$A$2:$H$61,7,FALSE)*(1-銷售總表!G6036)</f>
        <v>15300</v>
      </c>
      <c r="I6036" s="35">
        <f>H6036-F6036*VLOOKUP(銷售總表!B6036,產品!$A$2:$H$61,8,FALSE)</f>
        <v>8500</v>
      </c>
      <c r="J6036" s="20">
        <f t="shared" si="94"/>
        <v>0.55555555555555558</v>
      </c>
    </row>
    <row r="6037" spans="1:10" x14ac:dyDescent="0.3">
      <c r="A6037" s="33">
        <v>6036</v>
      </c>
      <c r="B6037" s="4">
        <v>24</v>
      </c>
      <c r="C6037" s="15">
        <v>124</v>
      </c>
      <c r="D6037" s="16">
        <v>7</v>
      </c>
      <c r="E6037" s="22">
        <v>44966</v>
      </c>
      <c r="F6037" s="19">
        <v>90</v>
      </c>
      <c r="G6037" s="18">
        <v>0.13</v>
      </c>
      <c r="H6037">
        <f>F6037*VLOOKUP(B6037,產品!$A$2:$H$61,7,FALSE)*(1-銷售總表!G6037)</f>
        <v>140940</v>
      </c>
      <c r="I6037" s="35">
        <f>H6037-F6037*VLOOKUP(銷售總表!B6037,產品!$A$2:$H$61,8,FALSE)</f>
        <v>76140</v>
      </c>
      <c r="J6037" s="20">
        <f t="shared" si="94"/>
        <v>0.54022988505747127</v>
      </c>
    </row>
    <row r="6038" spans="1:10" x14ac:dyDescent="0.3">
      <c r="A6038" s="33">
        <v>6037</v>
      </c>
      <c r="B6038" s="4">
        <v>1</v>
      </c>
      <c r="C6038" s="15">
        <v>118</v>
      </c>
      <c r="D6038" s="16">
        <v>4</v>
      </c>
      <c r="E6038" s="22">
        <v>44966</v>
      </c>
      <c r="F6038" s="19">
        <v>200</v>
      </c>
      <c r="G6038" s="18">
        <v>0.09</v>
      </c>
      <c r="H6038">
        <f>F6038*VLOOKUP(B6038,產品!$A$2:$H$61,7,FALSE)*(1-銷售總表!G6038)</f>
        <v>182000</v>
      </c>
      <c r="I6038" s="35">
        <f>H6038-F6038*VLOOKUP(銷售總表!B6038,產品!$A$2:$H$61,8,FALSE)</f>
        <v>102000</v>
      </c>
      <c r="J6038" s="20">
        <f t="shared" si="94"/>
        <v>0.56043956043956045</v>
      </c>
    </row>
    <row r="6039" spans="1:10" x14ac:dyDescent="0.3">
      <c r="A6039" s="33">
        <v>6038</v>
      </c>
      <c r="B6039" s="4">
        <v>30</v>
      </c>
      <c r="C6039" s="15">
        <v>277</v>
      </c>
      <c r="D6039" s="16">
        <v>4</v>
      </c>
      <c r="E6039" s="22">
        <v>44966</v>
      </c>
      <c r="F6039" s="19">
        <v>6</v>
      </c>
      <c r="G6039" s="18">
        <v>0.2</v>
      </c>
      <c r="H6039">
        <f>F6039*VLOOKUP(B6039,產品!$A$2:$H$61,7,FALSE)*(1-銷售總表!G6039)</f>
        <v>31200</v>
      </c>
      <c r="I6039" s="35">
        <f>H6039-F6039*VLOOKUP(銷售總表!B6039,產品!$A$2:$H$61,8,FALSE)</f>
        <v>7800</v>
      </c>
      <c r="J6039" s="20">
        <f t="shared" si="94"/>
        <v>0.25</v>
      </c>
    </row>
    <row r="6040" spans="1:10" x14ac:dyDescent="0.3">
      <c r="A6040" s="33">
        <v>6039</v>
      </c>
      <c r="B6040" s="4">
        <v>35</v>
      </c>
      <c r="C6040" s="15">
        <v>269</v>
      </c>
      <c r="D6040" s="16">
        <v>5</v>
      </c>
      <c r="E6040" s="23">
        <v>44966</v>
      </c>
      <c r="F6040">
        <v>7</v>
      </c>
      <c r="G6040" s="20">
        <v>0.08</v>
      </c>
      <c r="H6040">
        <f>F6040*VLOOKUP(B6040,產品!$A$2:$H$61,7,FALSE)*(1-銷售總表!G6040)</f>
        <v>54740</v>
      </c>
      <c r="I6040" s="35">
        <f>H6040-F6040*VLOOKUP(銷售總表!B6040,產品!$A$2:$H$61,8,FALSE)</f>
        <v>19040</v>
      </c>
      <c r="J6040" s="20">
        <f t="shared" si="94"/>
        <v>0.34782608695652173</v>
      </c>
    </row>
    <row r="6041" spans="1:10" x14ac:dyDescent="0.3">
      <c r="A6041" s="33">
        <v>6040</v>
      </c>
      <c r="B6041" s="4">
        <v>18</v>
      </c>
      <c r="C6041" s="15">
        <v>280</v>
      </c>
      <c r="D6041" s="16">
        <v>9</v>
      </c>
      <c r="E6041" s="22">
        <v>44967</v>
      </c>
      <c r="F6041" s="19">
        <v>50</v>
      </c>
      <c r="G6041" s="18">
        <v>0.2</v>
      </c>
      <c r="H6041">
        <f>F6041*VLOOKUP(B6041,產品!$A$2:$H$61,7,FALSE)*(1-銷售總表!G6041)</f>
        <v>72000</v>
      </c>
      <c r="I6041" s="35">
        <f>H6041-F6041*VLOOKUP(銷售總表!B6041,產品!$A$2:$H$61,8,FALSE)</f>
        <v>36000</v>
      </c>
      <c r="J6041" s="20">
        <f t="shared" si="94"/>
        <v>0.5</v>
      </c>
    </row>
    <row r="6042" spans="1:10" x14ac:dyDescent="0.3">
      <c r="A6042" s="33">
        <v>6041</v>
      </c>
      <c r="B6042" s="4">
        <v>42</v>
      </c>
      <c r="C6042" s="15">
        <v>121</v>
      </c>
      <c r="D6042" s="16">
        <v>7</v>
      </c>
      <c r="E6042" s="23">
        <v>44967</v>
      </c>
      <c r="F6042">
        <v>8</v>
      </c>
      <c r="G6042" s="20">
        <v>0.09</v>
      </c>
      <c r="H6042">
        <f>F6042*VLOOKUP(B6042,產品!$A$2:$H$61,7,FALSE)*(1-銷售總表!G6042)</f>
        <v>109200</v>
      </c>
      <c r="I6042" s="35">
        <f>H6042-F6042*VLOOKUP(銷售總表!B6042,產品!$A$2:$H$61,8,FALSE)</f>
        <v>31200</v>
      </c>
      <c r="J6042" s="20">
        <f t="shared" si="94"/>
        <v>0.2857142857142857</v>
      </c>
    </row>
    <row r="6043" spans="1:10" x14ac:dyDescent="0.3">
      <c r="A6043" s="33">
        <v>6042</v>
      </c>
      <c r="B6043" s="4">
        <v>22</v>
      </c>
      <c r="C6043" s="15">
        <v>294</v>
      </c>
      <c r="D6043" s="16">
        <v>9</v>
      </c>
      <c r="E6043" s="22">
        <v>44968</v>
      </c>
      <c r="F6043" s="19">
        <v>30</v>
      </c>
      <c r="G6043" s="18">
        <v>0.18</v>
      </c>
      <c r="H6043">
        <f>F6043*VLOOKUP(B6043,產品!$A$2:$H$61,7,FALSE)*(1-銷售總表!G6043)</f>
        <v>44280</v>
      </c>
      <c r="I6043" s="35">
        <f>H6043-F6043*VLOOKUP(銷售總表!B6043,產品!$A$2:$H$61,8,FALSE)</f>
        <v>22680</v>
      </c>
      <c r="J6043" s="20">
        <f t="shared" si="94"/>
        <v>0.51219512195121952</v>
      </c>
    </row>
    <row r="6044" spans="1:10" x14ac:dyDescent="0.3">
      <c r="A6044" s="33">
        <v>6043</v>
      </c>
      <c r="B6044" s="4">
        <v>31</v>
      </c>
      <c r="C6044" s="15">
        <v>267</v>
      </c>
      <c r="D6044" s="16">
        <v>1</v>
      </c>
      <c r="E6044" s="22">
        <v>44968</v>
      </c>
      <c r="F6044" s="19">
        <v>25</v>
      </c>
      <c r="G6044" s="18">
        <v>0.1</v>
      </c>
      <c r="H6044">
        <f>F6044*VLOOKUP(B6044,產品!$A$2:$H$61,7,FALSE)*(1-銷售總表!G6044)</f>
        <v>157500</v>
      </c>
      <c r="I6044" s="35">
        <f>H6044-F6044*VLOOKUP(銷售總表!B6044,產品!$A$2:$H$61,8,FALSE)</f>
        <v>52500</v>
      </c>
      <c r="J6044" s="20">
        <f t="shared" si="94"/>
        <v>0.33333333333333331</v>
      </c>
    </row>
    <row r="6045" spans="1:10" x14ac:dyDescent="0.3">
      <c r="A6045" s="33">
        <v>6044</v>
      </c>
      <c r="B6045" s="4">
        <v>30</v>
      </c>
      <c r="C6045" s="15">
        <v>126</v>
      </c>
      <c r="D6045" s="16">
        <v>2</v>
      </c>
      <c r="E6045" s="23">
        <v>44968</v>
      </c>
      <c r="F6045">
        <v>40</v>
      </c>
      <c r="G6045" s="20">
        <v>0.2</v>
      </c>
      <c r="H6045">
        <f>F6045*VLOOKUP(B6045,產品!$A$2:$H$61,7,FALSE)*(1-銷售總表!G6045)</f>
        <v>208000</v>
      </c>
      <c r="I6045" s="35">
        <f>H6045-F6045*VLOOKUP(銷售總表!B6045,產品!$A$2:$H$61,8,FALSE)</f>
        <v>52000</v>
      </c>
      <c r="J6045" s="20">
        <f t="shared" si="94"/>
        <v>0.25</v>
      </c>
    </row>
    <row r="6046" spans="1:10" x14ac:dyDescent="0.3">
      <c r="A6046" s="33">
        <v>6045</v>
      </c>
      <c r="B6046" s="4">
        <v>18</v>
      </c>
      <c r="C6046" s="15">
        <v>3</v>
      </c>
      <c r="D6046" s="16">
        <v>7</v>
      </c>
      <c r="E6046" s="22">
        <v>44969</v>
      </c>
      <c r="F6046" s="19">
        <v>80</v>
      </c>
      <c r="G6046" s="18">
        <v>0.17</v>
      </c>
      <c r="H6046">
        <f>F6046*VLOOKUP(B6046,產品!$A$2:$H$61,7,FALSE)*(1-銷售總表!G6046)</f>
        <v>119520</v>
      </c>
      <c r="I6046" s="35">
        <f>H6046-F6046*VLOOKUP(銷售總表!B6046,產品!$A$2:$H$61,8,FALSE)</f>
        <v>61920</v>
      </c>
      <c r="J6046" s="20">
        <f t="shared" si="94"/>
        <v>0.51807228915662651</v>
      </c>
    </row>
    <row r="6047" spans="1:10" x14ac:dyDescent="0.3">
      <c r="A6047" s="33">
        <v>6046</v>
      </c>
      <c r="B6047" s="4">
        <v>1</v>
      </c>
      <c r="C6047" s="15">
        <v>268</v>
      </c>
      <c r="D6047" s="16">
        <v>7</v>
      </c>
      <c r="E6047" s="22">
        <v>44969</v>
      </c>
      <c r="F6047" s="19">
        <v>40</v>
      </c>
      <c r="G6047" s="18">
        <v>7.0000000000000007E-2</v>
      </c>
      <c r="H6047">
        <f>F6047*VLOOKUP(B6047,產品!$A$2:$H$61,7,FALSE)*(1-銷售總表!G6047)</f>
        <v>37200</v>
      </c>
      <c r="I6047" s="35">
        <f>H6047-F6047*VLOOKUP(銷售總表!B6047,產品!$A$2:$H$61,8,FALSE)</f>
        <v>21200</v>
      </c>
      <c r="J6047" s="20">
        <f t="shared" si="94"/>
        <v>0.56989247311827962</v>
      </c>
    </row>
    <row r="6048" spans="1:10" x14ac:dyDescent="0.3">
      <c r="A6048" s="33">
        <v>6047</v>
      </c>
      <c r="B6048" s="4">
        <v>11</v>
      </c>
      <c r="C6048" s="15">
        <v>112</v>
      </c>
      <c r="D6048" s="16">
        <v>3</v>
      </c>
      <c r="E6048" s="22">
        <v>44970</v>
      </c>
      <c r="F6048" s="19">
        <v>80</v>
      </c>
      <c r="G6048" s="18">
        <v>0.05</v>
      </c>
      <c r="H6048">
        <f>F6048*VLOOKUP(B6048,產品!$A$2:$H$61,7,FALSE)*(1-銷售總表!G6048)</f>
        <v>76000</v>
      </c>
      <c r="I6048" s="35">
        <f>H6048-F6048*VLOOKUP(銷售總表!B6048,產品!$A$2:$H$61,8,FALSE)</f>
        <v>44000</v>
      </c>
      <c r="J6048" s="20">
        <f t="shared" si="94"/>
        <v>0.57894736842105265</v>
      </c>
    </row>
    <row r="6049" spans="1:10" x14ac:dyDescent="0.3">
      <c r="A6049" s="33">
        <v>6048</v>
      </c>
      <c r="B6049" s="4">
        <v>45</v>
      </c>
      <c r="C6049" s="15">
        <v>137</v>
      </c>
      <c r="D6049" s="16">
        <v>9</v>
      </c>
      <c r="E6049" s="22">
        <v>44970</v>
      </c>
      <c r="F6049" s="19">
        <v>8</v>
      </c>
      <c r="G6049" s="18">
        <v>0.2</v>
      </c>
      <c r="H6049">
        <f>F6049*VLOOKUP(B6049,產品!$A$2:$H$61,7,FALSE)*(1-銷售總表!G6049)</f>
        <v>89600</v>
      </c>
      <c r="I6049" s="35">
        <f>H6049-F6049*VLOOKUP(銷售總表!B6049,產品!$A$2:$H$61,8,FALSE)</f>
        <v>16800</v>
      </c>
      <c r="J6049" s="20">
        <f t="shared" si="94"/>
        <v>0.1875</v>
      </c>
    </row>
    <row r="6050" spans="1:10" x14ac:dyDescent="0.3">
      <c r="A6050" s="33">
        <v>6049</v>
      </c>
      <c r="B6050" s="4">
        <v>12</v>
      </c>
      <c r="C6050" s="15">
        <v>6</v>
      </c>
      <c r="D6050" s="16">
        <v>6</v>
      </c>
      <c r="E6050" s="22">
        <v>44970</v>
      </c>
      <c r="F6050" s="19">
        <v>90</v>
      </c>
      <c r="G6050" s="18">
        <v>0.18</v>
      </c>
      <c r="H6050">
        <f>F6050*VLOOKUP(B6050,產品!$A$2:$H$61,7,FALSE)*(1-銷售總表!G6050)</f>
        <v>73800</v>
      </c>
      <c r="I6050" s="35">
        <f>H6050-F6050*VLOOKUP(銷售總表!B6050,產品!$A$2:$H$61,8,FALSE)</f>
        <v>37800</v>
      </c>
      <c r="J6050" s="20">
        <f t="shared" si="94"/>
        <v>0.51219512195121952</v>
      </c>
    </row>
    <row r="6051" spans="1:10" x14ac:dyDescent="0.3">
      <c r="A6051" s="33">
        <v>6050</v>
      </c>
      <c r="B6051" s="4">
        <v>17</v>
      </c>
      <c r="C6051" s="15">
        <v>257</v>
      </c>
      <c r="D6051" s="16">
        <v>1</v>
      </c>
      <c r="E6051" s="22">
        <v>44970</v>
      </c>
      <c r="F6051" s="19">
        <v>40</v>
      </c>
      <c r="G6051" s="18">
        <v>0.09</v>
      </c>
      <c r="H6051">
        <f>F6051*VLOOKUP(B6051,產品!$A$2:$H$61,7,FALSE)*(1-銷售總表!G6051)</f>
        <v>65520</v>
      </c>
      <c r="I6051" s="35">
        <f>H6051-F6051*VLOOKUP(銷售總表!B6051,產品!$A$2:$H$61,8,FALSE)</f>
        <v>36720</v>
      </c>
      <c r="J6051" s="20">
        <f t="shared" si="94"/>
        <v>0.56043956043956045</v>
      </c>
    </row>
    <row r="6052" spans="1:10" x14ac:dyDescent="0.3">
      <c r="A6052" s="33">
        <v>6051</v>
      </c>
      <c r="B6052" s="4">
        <v>40</v>
      </c>
      <c r="C6052" s="15">
        <v>7</v>
      </c>
      <c r="D6052" s="16">
        <v>4</v>
      </c>
      <c r="E6052" s="22">
        <v>44970</v>
      </c>
      <c r="F6052" s="19">
        <v>9</v>
      </c>
      <c r="G6052" s="18">
        <v>0.18</v>
      </c>
      <c r="H6052">
        <f>F6052*VLOOKUP(B6052,產品!$A$2:$H$61,7,FALSE)*(1-銷售總表!G6052)</f>
        <v>147600</v>
      </c>
      <c r="I6052" s="35">
        <f>H6052-F6052*VLOOKUP(銷售總表!B6052,產品!$A$2:$H$61,8,FALSE)</f>
        <v>30600</v>
      </c>
      <c r="J6052" s="20">
        <f t="shared" si="94"/>
        <v>0.2073170731707317</v>
      </c>
    </row>
    <row r="6053" spans="1:10" x14ac:dyDescent="0.3">
      <c r="A6053" s="33">
        <v>6052</v>
      </c>
      <c r="B6053" s="4">
        <v>60</v>
      </c>
      <c r="C6053" s="15">
        <v>2</v>
      </c>
      <c r="D6053" s="16">
        <v>2</v>
      </c>
      <c r="E6053" s="22">
        <v>44970</v>
      </c>
      <c r="F6053" s="19">
        <v>10</v>
      </c>
      <c r="G6053" s="18">
        <v>0.05</v>
      </c>
      <c r="H6053">
        <f>F6053*VLOOKUP(B6053,產品!$A$2:$H$61,7,FALSE)*(1-銷售總表!G6053)</f>
        <v>237500</v>
      </c>
      <c r="I6053" s="35">
        <f>H6053-F6053*VLOOKUP(銷售總表!B6053,產品!$A$2:$H$61,8,FALSE)</f>
        <v>62500</v>
      </c>
      <c r="J6053" s="20">
        <f t="shared" si="94"/>
        <v>0.26315789473684209</v>
      </c>
    </row>
    <row r="6054" spans="1:10" x14ac:dyDescent="0.3">
      <c r="A6054" s="33">
        <v>6053</v>
      </c>
      <c r="B6054" s="4">
        <v>1</v>
      </c>
      <c r="C6054" s="15">
        <v>274</v>
      </c>
      <c r="D6054" s="16">
        <v>10</v>
      </c>
      <c r="E6054" s="22">
        <v>44970</v>
      </c>
      <c r="F6054" s="19">
        <v>60</v>
      </c>
      <c r="G6054" s="18">
        <v>0.16</v>
      </c>
      <c r="H6054">
        <f>F6054*VLOOKUP(B6054,產品!$A$2:$H$61,7,FALSE)*(1-銷售總表!G6054)</f>
        <v>50400</v>
      </c>
      <c r="I6054" s="35">
        <f>H6054-F6054*VLOOKUP(銷售總表!B6054,產品!$A$2:$H$61,8,FALSE)</f>
        <v>26400</v>
      </c>
      <c r="J6054" s="20">
        <f t="shared" si="94"/>
        <v>0.52380952380952384</v>
      </c>
    </row>
    <row r="6055" spans="1:10" x14ac:dyDescent="0.3">
      <c r="A6055" s="33">
        <v>6054</v>
      </c>
      <c r="B6055" s="4">
        <v>11</v>
      </c>
      <c r="C6055" s="15">
        <v>272</v>
      </c>
      <c r="D6055" s="16">
        <v>8</v>
      </c>
      <c r="E6055" s="22">
        <v>44970</v>
      </c>
      <c r="F6055" s="19">
        <v>80</v>
      </c>
      <c r="G6055" s="18">
        <v>0.19</v>
      </c>
      <c r="H6055">
        <f>F6055*VLOOKUP(B6055,產品!$A$2:$H$61,7,FALSE)*(1-銷售總表!G6055)</f>
        <v>64800.000000000007</v>
      </c>
      <c r="I6055" s="35">
        <f>H6055-F6055*VLOOKUP(銷售總表!B6055,產品!$A$2:$H$61,8,FALSE)</f>
        <v>32800.000000000007</v>
      </c>
      <c r="J6055" s="20">
        <f t="shared" si="94"/>
        <v>0.50617283950617287</v>
      </c>
    </row>
    <row r="6056" spans="1:10" x14ac:dyDescent="0.3">
      <c r="A6056" s="33">
        <v>6055</v>
      </c>
      <c r="B6056" s="4">
        <v>51</v>
      </c>
      <c r="C6056" s="15">
        <v>270</v>
      </c>
      <c r="D6056" s="16">
        <v>2</v>
      </c>
      <c r="E6056" s="22">
        <v>44970</v>
      </c>
      <c r="F6056" s="19">
        <v>5</v>
      </c>
      <c r="G6056" s="18">
        <v>0.16</v>
      </c>
      <c r="H6056">
        <f>F6056*VLOOKUP(B6056,產品!$A$2:$H$61,7,FALSE)*(1-銷售總表!G6056)</f>
        <v>84000</v>
      </c>
      <c r="I6056" s="35">
        <f>H6056-F6056*VLOOKUP(銷售總表!B6056,產品!$A$2:$H$61,8,FALSE)</f>
        <v>14000</v>
      </c>
      <c r="J6056" s="20">
        <f t="shared" si="94"/>
        <v>0.16666666666666666</v>
      </c>
    </row>
    <row r="6057" spans="1:10" x14ac:dyDescent="0.3">
      <c r="A6057" s="33">
        <v>6056</v>
      </c>
      <c r="B6057" s="4">
        <v>19</v>
      </c>
      <c r="C6057" s="15">
        <v>283</v>
      </c>
      <c r="D6057" s="16">
        <v>3</v>
      </c>
      <c r="E6057" s="22">
        <v>44970</v>
      </c>
      <c r="F6057" s="19">
        <v>50</v>
      </c>
      <c r="G6057" s="18">
        <v>0.08</v>
      </c>
      <c r="H6057">
        <f>F6057*VLOOKUP(B6057,產品!$A$2:$H$61,7,FALSE)*(1-銷售總表!G6057)</f>
        <v>82800</v>
      </c>
      <c r="I6057" s="35">
        <f>H6057-F6057*VLOOKUP(銷售總表!B6057,產品!$A$2:$H$61,8,FALSE)</f>
        <v>46800</v>
      </c>
      <c r="J6057" s="20">
        <f t="shared" si="94"/>
        <v>0.56521739130434778</v>
      </c>
    </row>
    <row r="6058" spans="1:10" x14ac:dyDescent="0.3">
      <c r="A6058" s="33">
        <v>6057</v>
      </c>
      <c r="B6058" s="4">
        <v>6</v>
      </c>
      <c r="C6058" s="15">
        <v>291</v>
      </c>
      <c r="D6058" s="16">
        <v>9</v>
      </c>
      <c r="E6058" s="23">
        <v>44970</v>
      </c>
      <c r="F6058">
        <v>14</v>
      </c>
      <c r="G6058" s="20">
        <v>0.06</v>
      </c>
      <c r="H6058">
        <f>F6058*VLOOKUP(B6058,產品!$A$2:$H$61,7,FALSE)*(1-銷售總表!G6058)</f>
        <v>13160</v>
      </c>
      <c r="I6058" s="35">
        <f>H6058-F6058*VLOOKUP(銷售總表!B6058,產品!$A$2:$H$61,8,FALSE)</f>
        <v>7560</v>
      </c>
      <c r="J6058" s="20">
        <f t="shared" si="94"/>
        <v>0.57446808510638303</v>
      </c>
    </row>
    <row r="6059" spans="1:10" x14ac:dyDescent="0.3">
      <c r="A6059" s="33">
        <v>6058</v>
      </c>
      <c r="B6059" s="4">
        <v>59</v>
      </c>
      <c r="C6059" s="15">
        <v>8</v>
      </c>
      <c r="D6059" s="16">
        <v>7</v>
      </c>
      <c r="E6059" s="22">
        <v>44971</v>
      </c>
      <c r="F6059" s="19">
        <v>10</v>
      </c>
      <c r="G6059" s="18">
        <v>0.2</v>
      </c>
      <c r="H6059">
        <f>F6059*VLOOKUP(B6059,產品!$A$2:$H$61,7,FALSE)*(1-銷售總表!G6059)</f>
        <v>192000</v>
      </c>
      <c r="I6059" s="35">
        <f>H6059-F6059*VLOOKUP(銷售總表!B6059,產品!$A$2:$H$61,8,FALSE)</f>
        <v>24000</v>
      </c>
      <c r="J6059" s="20">
        <f t="shared" si="94"/>
        <v>0.125</v>
      </c>
    </row>
    <row r="6060" spans="1:10" x14ac:dyDescent="0.3">
      <c r="A6060" s="33">
        <v>6059</v>
      </c>
      <c r="B6060" s="4">
        <v>44</v>
      </c>
      <c r="C6060" s="15">
        <v>5</v>
      </c>
      <c r="D6060" s="16">
        <v>2</v>
      </c>
      <c r="E6060" s="22">
        <v>44971</v>
      </c>
      <c r="F6060" s="19">
        <v>2</v>
      </c>
      <c r="G6060" s="18">
        <v>7.0000000000000007E-2</v>
      </c>
      <c r="H6060">
        <f>F6060*VLOOKUP(B6060,產品!$A$2:$H$61,7,FALSE)*(1-銷售總表!G6060)</f>
        <v>37200</v>
      </c>
      <c r="I6060" s="35">
        <f>H6060-F6060*VLOOKUP(銷售總表!B6060,產品!$A$2:$H$61,8,FALSE)</f>
        <v>11200</v>
      </c>
      <c r="J6060" s="20">
        <f t="shared" si="94"/>
        <v>0.30107526881720431</v>
      </c>
    </row>
    <row r="6061" spans="1:10" x14ac:dyDescent="0.3">
      <c r="A6061" s="33">
        <v>6060</v>
      </c>
      <c r="B6061" s="4">
        <v>59</v>
      </c>
      <c r="C6061" s="15">
        <v>3</v>
      </c>
      <c r="D6061" s="16">
        <v>3</v>
      </c>
      <c r="E6061" s="22">
        <v>44971</v>
      </c>
      <c r="F6061" s="19">
        <v>5</v>
      </c>
      <c r="G6061" s="18">
        <v>0.05</v>
      </c>
      <c r="H6061">
        <f>F6061*VLOOKUP(B6061,產品!$A$2:$H$61,7,FALSE)*(1-銷售總表!G6061)</f>
        <v>114000</v>
      </c>
      <c r="I6061" s="35">
        <f>H6061-F6061*VLOOKUP(銷售總表!B6061,產品!$A$2:$H$61,8,FALSE)</f>
        <v>30000</v>
      </c>
      <c r="J6061" s="20">
        <f t="shared" si="94"/>
        <v>0.26315789473684209</v>
      </c>
    </row>
    <row r="6062" spans="1:10" x14ac:dyDescent="0.3">
      <c r="A6062" s="33">
        <v>6061</v>
      </c>
      <c r="B6062" s="4">
        <v>58</v>
      </c>
      <c r="C6062" s="15">
        <v>114</v>
      </c>
      <c r="D6062" s="16">
        <v>3</v>
      </c>
      <c r="E6062" s="22">
        <v>44971</v>
      </c>
      <c r="F6062" s="19">
        <v>7</v>
      </c>
      <c r="G6062" s="18">
        <v>0.08</v>
      </c>
      <c r="H6062">
        <f>F6062*VLOOKUP(B6062,產品!$A$2:$H$61,7,FALSE)*(1-銷售總表!G6062)</f>
        <v>135240</v>
      </c>
      <c r="I6062" s="35">
        <f>H6062-F6062*VLOOKUP(銷售總表!B6062,產品!$A$2:$H$61,8,FALSE)</f>
        <v>32340.000000000015</v>
      </c>
      <c r="J6062" s="20">
        <f t="shared" si="94"/>
        <v>0.23913043478260881</v>
      </c>
    </row>
    <row r="6063" spans="1:10" x14ac:dyDescent="0.3">
      <c r="A6063" s="33">
        <v>6062</v>
      </c>
      <c r="B6063" s="4">
        <v>22</v>
      </c>
      <c r="C6063" s="15">
        <v>11</v>
      </c>
      <c r="D6063" s="16">
        <v>3</v>
      </c>
      <c r="E6063" s="22">
        <v>44971</v>
      </c>
      <c r="F6063" s="19">
        <v>60</v>
      </c>
      <c r="G6063" s="18">
        <v>0.08</v>
      </c>
      <c r="H6063">
        <f>F6063*VLOOKUP(B6063,產品!$A$2:$H$61,7,FALSE)*(1-銷售總表!G6063)</f>
        <v>99360</v>
      </c>
      <c r="I6063" s="35">
        <f>H6063-F6063*VLOOKUP(銷售總表!B6063,產品!$A$2:$H$61,8,FALSE)</f>
        <v>56160</v>
      </c>
      <c r="J6063" s="20">
        <f t="shared" si="94"/>
        <v>0.56521739130434778</v>
      </c>
    </row>
    <row r="6064" spans="1:10" x14ac:dyDescent="0.3">
      <c r="A6064" s="33">
        <v>6063</v>
      </c>
      <c r="B6064" s="4">
        <v>2</v>
      </c>
      <c r="C6064" s="15">
        <v>5</v>
      </c>
      <c r="D6064" s="16">
        <v>5</v>
      </c>
      <c r="E6064" s="22">
        <v>44971</v>
      </c>
      <c r="F6064" s="19">
        <v>10</v>
      </c>
      <c r="G6064" s="18">
        <v>0.12</v>
      </c>
      <c r="H6064">
        <f>F6064*VLOOKUP(B6064,產品!$A$2:$H$61,7,FALSE)*(1-銷售總表!G6064)</f>
        <v>8800</v>
      </c>
      <c r="I6064" s="35">
        <f>H6064-F6064*VLOOKUP(銷售總表!B6064,產品!$A$2:$H$61,8,FALSE)</f>
        <v>4800</v>
      </c>
      <c r="J6064" s="20">
        <f t="shared" si="94"/>
        <v>0.54545454545454541</v>
      </c>
    </row>
    <row r="6065" spans="1:10" x14ac:dyDescent="0.3">
      <c r="A6065" s="33">
        <v>6064</v>
      </c>
      <c r="B6065" s="4">
        <v>36</v>
      </c>
      <c r="C6065" s="15">
        <v>292</v>
      </c>
      <c r="D6065" s="16">
        <v>10</v>
      </c>
      <c r="E6065" s="23">
        <v>44971</v>
      </c>
      <c r="F6065">
        <v>4</v>
      </c>
      <c r="G6065" s="20">
        <v>0.2</v>
      </c>
      <c r="H6065">
        <f>F6065*VLOOKUP(B6065,產品!$A$2:$H$61,7,FALSE)*(1-銷售總表!G6065)</f>
        <v>28800</v>
      </c>
      <c r="I6065" s="35">
        <f>H6065-F6065*VLOOKUP(銷售總表!B6065,產品!$A$2:$H$61,8,FALSE)</f>
        <v>7200</v>
      </c>
      <c r="J6065" s="20">
        <f t="shared" si="94"/>
        <v>0.25</v>
      </c>
    </row>
    <row r="6066" spans="1:10" x14ac:dyDescent="0.3">
      <c r="A6066" s="33">
        <v>6065</v>
      </c>
      <c r="B6066" s="4">
        <v>26</v>
      </c>
      <c r="C6066" s="15">
        <v>12</v>
      </c>
      <c r="D6066" s="16">
        <v>5</v>
      </c>
      <c r="E6066" s="22">
        <v>44972</v>
      </c>
      <c r="F6066" s="19">
        <v>5</v>
      </c>
      <c r="G6066" s="18">
        <v>0.08</v>
      </c>
      <c r="H6066">
        <f>F6066*VLOOKUP(B6066,產品!$A$2:$H$61,7,FALSE)*(1-銷售總表!G6066)</f>
        <v>29900</v>
      </c>
      <c r="I6066" s="35">
        <f>H6066-F6066*VLOOKUP(銷售總表!B6066,產品!$A$2:$H$61,8,FALSE)</f>
        <v>10400</v>
      </c>
      <c r="J6066" s="20">
        <f t="shared" si="94"/>
        <v>0.34782608695652173</v>
      </c>
    </row>
    <row r="6067" spans="1:10" x14ac:dyDescent="0.3">
      <c r="A6067" s="33">
        <v>6066</v>
      </c>
      <c r="B6067" s="4">
        <v>59</v>
      </c>
      <c r="C6067" s="15">
        <v>257</v>
      </c>
      <c r="D6067" s="16">
        <v>5</v>
      </c>
      <c r="E6067" s="22">
        <v>44973</v>
      </c>
      <c r="F6067" s="19">
        <v>6</v>
      </c>
      <c r="G6067" s="18">
        <v>0.17</v>
      </c>
      <c r="H6067">
        <f>F6067*VLOOKUP(B6067,產品!$A$2:$H$61,7,FALSE)*(1-銷售總表!G6067)</f>
        <v>119520</v>
      </c>
      <c r="I6067" s="35">
        <f>H6067-F6067*VLOOKUP(銷售總表!B6067,產品!$A$2:$H$61,8,FALSE)</f>
        <v>18720</v>
      </c>
      <c r="J6067" s="20">
        <f t="shared" si="94"/>
        <v>0.15662650602409639</v>
      </c>
    </row>
    <row r="6068" spans="1:10" x14ac:dyDescent="0.3">
      <c r="A6068" s="33">
        <v>6067</v>
      </c>
      <c r="B6068" s="4">
        <v>23</v>
      </c>
      <c r="C6068" s="15">
        <v>8</v>
      </c>
      <c r="D6068" s="16">
        <v>10</v>
      </c>
      <c r="E6068" s="22">
        <v>44973</v>
      </c>
      <c r="F6068" s="19">
        <v>13</v>
      </c>
      <c r="G6068" s="18">
        <v>0.2</v>
      </c>
      <c r="H6068">
        <f>F6068*VLOOKUP(B6068,產品!$A$2:$H$61,7,FALSE)*(1-銷售總表!G6068)</f>
        <v>18720</v>
      </c>
      <c r="I6068" s="35">
        <f>H6068-F6068*VLOOKUP(銷售總表!B6068,產品!$A$2:$H$61,8,FALSE)</f>
        <v>9360</v>
      </c>
      <c r="J6068" s="20">
        <f t="shared" si="94"/>
        <v>0.5</v>
      </c>
    </row>
    <row r="6069" spans="1:10" x14ac:dyDescent="0.3">
      <c r="A6069" s="33">
        <v>6068</v>
      </c>
      <c r="B6069" s="4">
        <v>54</v>
      </c>
      <c r="C6069" s="15">
        <v>6</v>
      </c>
      <c r="D6069" s="16">
        <v>7</v>
      </c>
      <c r="E6069" s="22">
        <v>44973</v>
      </c>
      <c r="F6069" s="19">
        <v>15</v>
      </c>
      <c r="G6069" s="18">
        <v>7.0000000000000007E-2</v>
      </c>
      <c r="H6069">
        <f>F6069*VLOOKUP(B6069,產品!$A$2:$H$61,7,FALSE)*(1-銷售總表!G6069)</f>
        <v>251099.99999999997</v>
      </c>
      <c r="I6069" s="35">
        <f>H6069-F6069*VLOOKUP(銷售總表!B6069,產品!$A$2:$H$61,8,FALSE)</f>
        <v>62099.999999999971</v>
      </c>
      <c r="J6069" s="20">
        <f t="shared" si="94"/>
        <v>0.24731182795698917</v>
      </c>
    </row>
    <row r="6070" spans="1:10" x14ac:dyDescent="0.3">
      <c r="A6070" s="33">
        <v>6069</v>
      </c>
      <c r="B6070" s="4">
        <v>11</v>
      </c>
      <c r="C6070" s="15">
        <v>139</v>
      </c>
      <c r="D6070" s="16">
        <v>5</v>
      </c>
      <c r="E6070" s="22">
        <v>44973</v>
      </c>
      <c r="F6070" s="19">
        <v>50</v>
      </c>
      <c r="G6070" s="18">
        <v>7.0000000000000007E-2</v>
      </c>
      <c r="H6070">
        <f>F6070*VLOOKUP(B6070,產品!$A$2:$H$61,7,FALSE)*(1-銷售總表!G6070)</f>
        <v>46500</v>
      </c>
      <c r="I6070" s="35">
        <f>H6070-F6070*VLOOKUP(銷售總表!B6070,產品!$A$2:$H$61,8,FALSE)</f>
        <v>26500</v>
      </c>
      <c r="J6070" s="20">
        <f t="shared" si="94"/>
        <v>0.56989247311827962</v>
      </c>
    </row>
    <row r="6071" spans="1:10" x14ac:dyDescent="0.3">
      <c r="A6071" s="33">
        <v>6070</v>
      </c>
      <c r="B6071" s="4">
        <v>59</v>
      </c>
      <c r="C6071" s="15">
        <v>123</v>
      </c>
      <c r="D6071" s="16">
        <v>5</v>
      </c>
      <c r="E6071" s="22">
        <v>44973</v>
      </c>
      <c r="F6071" s="19">
        <v>8</v>
      </c>
      <c r="G6071" s="18">
        <v>0.06</v>
      </c>
      <c r="H6071">
        <f>F6071*VLOOKUP(B6071,產品!$A$2:$H$61,7,FALSE)*(1-銷售總表!G6071)</f>
        <v>180480</v>
      </c>
      <c r="I6071" s="35">
        <f>H6071-F6071*VLOOKUP(銷售總表!B6071,產品!$A$2:$H$61,8,FALSE)</f>
        <v>46080</v>
      </c>
      <c r="J6071" s="20">
        <f t="shared" si="94"/>
        <v>0.25531914893617019</v>
      </c>
    </row>
    <row r="6072" spans="1:10" x14ac:dyDescent="0.3">
      <c r="A6072" s="33">
        <v>6071</v>
      </c>
      <c r="B6072" s="4">
        <v>53</v>
      </c>
      <c r="C6072" s="15">
        <v>291</v>
      </c>
      <c r="D6072" s="16">
        <v>5</v>
      </c>
      <c r="E6072" s="22">
        <v>44973</v>
      </c>
      <c r="F6072" s="19">
        <v>19</v>
      </c>
      <c r="G6072" s="18">
        <v>0.09</v>
      </c>
      <c r="H6072">
        <f>F6072*VLOOKUP(B6072,產品!$A$2:$H$61,7,FALSE)*(1-銷售總表!G6072)</f>
        <v>259350</v>
      </c>
      <c r="I6072" s="35">
        <f>H6072-F6072*VLOOKUP(銷售總表!B6072,產品!$A$2:$H$61,8,FALSE)</f>
        <v>59850</v>
      </c>
      <c r="J6072" s="20">
        <f t="shared" si="94"/>
        <v>0.23076923076923078</v>
      </c>
    </row>
    <row r="6073" spans="1:10" x14ac:dyDescent="0.3">
      <c r="A6073" s="33">
        <v>6072</v>
      </c>
      <c r="B6073" s="4">
        <v>4</v>
      </c>
      <c r="C6073" s="15">
        <v>113</v>
      </c>
      <c r="D6073" s="16">
        <v>10</v>
      </c>
      <c r="E6073" s="23">
        <v>44973</v>
      </c>
      <c r="F6073">
        <v>60</v>
      </c>
      <c r="G6073" s="20">
        <v>0.06</v>
      </c>
      <c r="H6073">
        <f>F6073*VLOOKUP(B6073,產品!$A$2:$H$61,7,FALSE)*(1-銷售總表!G6073)</f>
        <v>56400</v>
      </c>
      <c r="I6073" s="35">
        <f>H6073-F6073*VLOOKUP(銷售總表!B6073,產品!$A$2:$H$61,8,FALSE)</f>
        <v>32400</v>
      </c>
      <c r="J6073" s="20">
        <f t="shared" si="94"/>
        <v>0.57446808510638303</v>
      </c>
    </row>
    <row r="6074" spans="1:10" x14ac:dyDescent="0.3">
      <c r="A6074" s="33">
        <v>6073</v>
      </c>
      <c r="B6074" s="4">
        <v>33</v>
      </c>
      <c r="C6074" s="15">
        <v>126</v>
      </c>
      <c r="D6074" s="16">
        <v>5</v>
      </c>
      <c r="E6074" s="22">
        <v>44974</v>
      </c>
      <c r="F6074" s="19">
        <v>3</v>
      </c>
      <c r="G6074" s="18">
        <v>0.05</v>
      </c>
      <c r="H6074">
        <f>F6074*VLOOKUP(B6074,產品!$A$2:$H$61,7,FALSE)*(1-銷售總表!G6074)</f>
        <v>21375</v>
      </c>
      <c r="I6074" s="35">
        <f>H6074-F6074*VLOOKUP(銷售總表!B6074,產品!$A$2:$H$61,8,FALSE)</f>
        <v>7875</v>
      </c>
      <c r="J6074" s="20">
        <f t="shared" si="94"/>
        <v>0.36842105263157893</v>
      </c>
    </row>
    <row r="6075" spans="1:10" x14ac:dyDescent="0.3">
      <c r="A6075" s="33">
        <v>6074</v>
      </c>
      <c r="B6075" s="4">
        <v>18</v>
      </c>
      <c r="C6075" s="15">
        <v>9</v>
      </c>
      <c r="D6075" s="16">
        <v>5</v>
      </c>
      <c r="E6075" s="22">
        <v>44974</v>
      </c>
      <c r="F6075" s="19">
        <v>150</v>
      </c>
      <c r="G6075" s="18">
        <v>0.08</v>
      </c>
      <c r="H6075">
        <f>F6075*VLOOKUP(B6075,產品!$A$2:$H$61,7,FALSE)*(1-銷售總表!G6075)</f>
        <v>248400</v>
      </c>
      <c r="I6075" s="35">
        <f>H6075-F6075*VLOOKUP(銷售總表!B6075,產品!$A$2:$H$61,8,FALSE)</f>
        <v>140400</v>
      </c>
      <c r="J6075" s="20">
        <f t="shared" si="94"/>
        <v>0.56521739130434778</v>
      </c>
    </row>
    <row r="6076" spans="1:10" x14ac:dyDescent="0.3">
      <c r="A6076" s="33">
        <v>6075</v>
      </c>
      <c r="B6076" s="4">
        <v>43</v>
      </c>
      <c r="C6076" s="15">
        <v>278</v>
      </c>
      <c r="D6076" s="16">
        <v>7</v>
      </c>
      <c r="E6076" s="22">
        <v>44974</v>
      </c>
      <c r="F6076" s="19">
        <v>5</v>
      </c>
      <c r="G6076" s="18">
        <v>0.1</v>
      </c>
      <c r="H6076">
        <f>F6076*VLOOKUP(B6076,產品!$A$2:$H$61,7,FALSE)*(1-銷售總表!G6076)</f>
        <v>81000</v>
      </c>
      <c r="I6076" s="35">
        <f>H6076-F6076*VLOOKUP(銷售總表!B6076,產品!$A$2:$H$61,8,FALSE)</f>
        <v>22500</v>
      </c>
      <c r="J6076" s="20">
        <f t="shared" si="94"/>
        <v>0.27777777777777779</v>
      </c>
    </row>
    <row r="6077" spans="1:10" x14ac:dyDescent="0.3">
      <c r="A6077" s="33">
        <v>6076</v>
      </c>
      <c r="B6077" s="4">
        <v>58</v>
      </c>
      <c r="C6077" s="15">
        <v>112</v>
      </c>
      <c r="D6077" s="16">
        <v>7</v>
      </c>
      <c r="E6077" s="22">
        <v>44974</v>
      </c>
      <c r="F6077" s="19">
        <v>11</v>
      </c>
      <c r="G6077" s="18">
        <v>0.11</v>
      </c>
      <c r="H6077">
        <f>F6077*VLOOKUP(B6077,產品!$A$2:$H$61,7,FALSE)*(1-銷售總表!G6077)</f>
        <v>205590</v>
      </c>
      <c r="I6077" s="35">
        <f>H6077-F6077*VLOOKUP(銷售總表!B6077,產品!$A$2:$H$61,8,FALSE)</f>
        <v>43890.000000000029</v>
      </c>
      <c r="J6077" s="20">
        <f t="shared" si="94"/>
        <v>0.21348314606741586</v>
      </c>
    </row>
    <row r="6078" spans="1:10" x14ac:dyDescent="0.3">
      <c r="A6078" s="33">
        <v>6077</v>
      </c>
      <c r="B6078" s="4">
        <v>2</v>
      </c>
      <c r="C6078" s="15">
        <v>12</v>
      </c>
      <c r="D6078" s="16">
        <v>3</v>
      </c>
      <c r="E6078" s="22">
        <v>44974</v>
      </c>
      <c r="F6078" s="19">
        <v>80</v>
      </c>
      <c r="G6078" s="18">
        <v>0.08</v>
      </c>
      <c r="H6078">
        <f>F6078*VLOOKUP(B6078,產品!$A$2:$H$61,7,FALSE)*(1-銷售總表!G6078)</f>
        <v>73600</v>
      </c>
      <c r="I6078" s="35">
        <f>H6078-F6078*VLOOKUP(銷售總表!B6078,產品!$A$2:$H$61,8,FALSE)</f>
        <v>41600</v>
      </c>
      <c r="J6078" s="20">
        <f t="shared" si="94"/>
        <v>0.56521739130434778</v>
      </c>
    </row>
    <row r="6079" spans="1:10" x14ac:dyDescent="0.3">
      <c r="A6079" s="33">
        <v>6078</v>
      </c>
      <c r="B6079" s="4">
        <v>40</v>
      </c>
      <c r="C6079" s="15">
        <v>284</v>
      </c>
      <c r="D6079" s="16">
        <v>7</v>
      </c>
      <c r="E6079" s="23">
        <v>44974</v>
      </c>
      <c r="F6079">
        <v>6</v>
      </c>
      <c r="G6079" s="20">
        <v>0.17</v>
      </c>
      <c r="H6079">
        <f>F6079*VLOOKUP(B6079,產品!$A$2:$H$61,7,FALSE)*(1-銷售總表!G6079)</f>
        <v>99600</v>
      </c>
      <c r="I6079" s="35">
        <f>H6079-F6079*VLOOKUP(銷售總表!B6079,產品!$A$2:$H$61,8,FALSE)</f>
        <v>21600</v>
      </c>
      <c r="J6079" s="20">
        <f t="shared" si="94"/>
        <v>0.21686746987951808</v>
      </c>
    </row>
    <row r="6080" spans="1:10" x14ac:dyDescent="0.3">
      <c r="A6080" s="33">
        <v>6079</v>
      </c>
      <c r="B6080" s="4">
        <v>11</v>
      </c>
      <c r="C6080" s="15">
        <v>266</v>
      </c>
      <c r="D6080" s="16">
        <v>6</v>
      </c>
      <c r="E6080" s="22">
        <v>44975</v>
      </c>
      <c r="F6080" s="19">
        <v>20</v>
      </c>
      <c r="G6080" s="18">
        <v>0.12</v>
      </c>
      <c r="H6080">
        <f>F6080*VLOOKUP(B6080,產品!$A$2:$H$61,7,FALSE)*(1-銷售總表!G6080)</f>
        <v>17600</v>
      </c>
      <c r="I6080" s="35">
        <f>H6080-F6080*VLOOKUP(銷售總表!B6080,產品!$A$2:$H$61,8,FALSE)</f>
        <v>9600</v>
      </c>
      <c r="J6080" s="20">
        <f t="shared" si="94"/>
        <v>0.54545454545454541</v>
      </c>
    </row>
    <row r="6081" spans="1:10" x14ac:dyDescent="0.3">
      <c r="A6081" s="33">
        <v>6080</v>
      </c>
      <c r="B6081" s="4">
        <v>41</v>
      </c>
      <c r="C6081" s="15">
        <v>258</v>
      </c>
      <c r="D6081" s="16">
        <v>2</v>
      </c>
      <c r="E6081" s="22">
        <v>44975</v>
      </c>
      <c r="F6081" s="19">
        <v>20</v>
      </c>
      <c r="G6081" s="18">
        <v>0.08</v>
      </c>
      <c r="H6081">
        <f>F6081*VLOOKUP(B6081,產品!$A$2:$H$61,7,FALSE)*(1-銷售總表!G6081)</f>
        <v>220800</v>
      </c>
      <c r="I6081" s="35">
        <f>H6081-F6081*VLOOKUP(銷售總表!B6081,產品!$A$2:$H$61,8,FALSE)</f>
        <v>64800</v>
      </c>
      <c r="J6081" s="20">
        <f t="shared" si="94"/>
        <v>0.29347826086956524</v>
      </c>
    </row>
    <row r="6082" spans="1:10" x14ac:dyDescent="0.3">
      <c r="A6082" s="33">
        <v>6081</v>
      </c>
      <c r="B6082" s="4">
        <v>6</v>
      </c>
      <c r="C6082" s="15">
        <v>124</v>
      </c>
      <c r="D6082" s="16">
        <v>1</v>
      </c>
      <c r="E6082" s="22">
        <v>44975</v>
      </c>
      <c r="F6082" s="19">
        <v>100</v>
      </c>
      <c r="G6082" s="18">
        <v>0.11</v>
      </c>
      <c r="H6082">
        <f>F6082*VLOOKUP(B6082,產品!$A$2:$H$61,7,FALSE)*(1-銷售總表!G6082)</f>
        <v>89000</v>
      </c>
      <c r="I6082" s="35">
        <f>H6082-F6082*VLOOKUP(銷售總表!B6082,產品!$A$2:$H$61,8,FALSE)</f>
        <v>49000</v>
      </c>
      <c r="J6082" s="20">
        <f t="shared" si="94"/>
        <v>0.550561797752809</v>
      </c>
    </row>
    <row r="6083" spans="1:10" x14ac:dyDescent="0.3">
      <c r="A6083" s="33">
        <v>6082</v>
      </c>
      <c r="B6083" s="4">
        <v>43</v>
      </c>
      <c r="C6083" s="15">
        <v>134</v>
      </c>
      <c r="D6083" s="16">
        <v>2</v>
      </c>
      <c r="E6083" s="22">
        <v>44975</v>
      </c>
      <c r="F6083" s="19">
        <v>6</v>
      </c>
      <c r="G6083" s="18">
        <v>0.2</v>
      </c>
      <c r="H6083">
        <f>F6083*VLOOKUP(B6083,產品!$A$2:$H$61,7,FALSE)*(1-銷售總表!G6083)</f>
        <v>86400</v>
      </c>
      <c r="I6083" s="35">
        <f>H6083-F6083*VLOOKUP(銷售總表!B6083,產品!$A$2:$H$61,8,FALSE)</f>
        <v>16200</v>
      </c>
      <c r="J6083" s="20">
        <f t="shared" ref="J6083:J6146" si="95">I6083/H6083</f>
        <v>0.1875</v>
      </c>
    </row>
    <row r="6084" spans="1:10" x14ac:dyDescent="0.3">
      <c r="A6084" s="33">
        <v>6083</v>
      </c>
      <c r="B6084" s="4">
        <v>35</v>
      </c>
      <c r="C6084" s="15">
        <v>265</v>
      </c>
      <c r="D6084" s="16">
        <v>8</v>
      </c>
      <c r="E6084" s="22">
        <v>44975</v>
      </c>
      <c r="F6084" s="19">
        <v>10</v>
      </c>
      <c r="G6084" s="18">
        <v>0.1</v>
      </c>
      <c r="H6084">
        <f>F6084*VLOOKUP(B6084,產品!$A$2:$H$61,7,FALSE)*(1-銷售總表!G6084)</f>
        <v>76500</v>
      </c>
      <c r="I6084" s="35">
        <f>H6084-F6084*VLOOKUP(銷售總表!B6084,產品!$A$2:$H$61,8,FALSE)</f>
        <v>25500</v>
      </c>
      <c r="J6084" s="20">
        <f t="shared" si="95"/>
        <v>0.33333333333333331</v>
      </c>
    </row>
    <row r="6085" spans="1:10" x14ac:dyDescent="0.3">
      <c r="A6085" s="33">
        <v>6084</v>
      </c>
      <c r="B6085" s="4">
        <v>41</v>
      </c>
      <c r="C6085" s="15">
        <v>290</v>
      </c>
      <c r="D6085" s="16">
        <v>2</v>
      </c>
      <c r="E6085" s="22">
        <v>44975</v>
      </c>
      <c r="F6085" s="19">
        <v>7</v>
      </c>
      <c r="G6085" s="18">
        <v>0.15</v>
      </c>
      <c r="H6085">
        <f>F6085*VLOOKUP(B6085,產品!$A$2:$H$61,7,FALSE)*(1-銷售總表!G6085)</f>
        <v>71400</v>
      </c>
      <c r="I6085" s="35">
        <f>H6085-F6085*VLOOKUP(銷售總表!B6085,產品!$A$2:$H$61,8,FALSE)</f>
        <v>16800</v>
      </c>
      <c r="J6085" s="20">
        <f t="shared" si="95"/>
        <v>0.23529411764705882</v>
      </c>
    </row>
    <row r="6086" spans="1:10" x14ac:dyDescent="0.3">
      <c r="A6086" s="33">
        <v>6085</v>
      </c>
      <c r="B6086" s="4">
        <v>30</v>
      </c>
      <c r="C6086" s="15">
        <v>291</v>
      </c>
      <c r="D6086" s="16">
        <v>2</v>
      </c>
      <c r="E6086" s="23">
        <v>44975</v>
      </c>
      <c r="F6086">
        <v>25</v>
      </c>
      <c r="G6086" s="20">
        <v>0.19</v>
      </c>
      <c r="H6086">
        <f>F6086*VLOOKUP(B6086,產品!$A$2:$H$61,7,FALSE)*(1-銷售總表!G6086)</f>
        <v>131625</v>
      </c>
      <c r="I6086" s="35">
        <f>H6086-F6086*VLOOKUP(銷售總表!B6086,產品!$A$2:$H$61,8,FALSE)</f>
        <v>34125</v>
      </c>
      <c r="J6086" s="20">
        <f t="shared" si="95"/>
        <v>0.25925925925925924</v>
      </c>
    </row>
    <row r="6087" spans="1:10" x14ac:dyDescent="0.3">
      <c r="A6087" s="33">
        <v>6086</v>
      </c>
      <c r="B6087" s="4">
        <v>36</v>
      </c>
      <c r="C6087" s="15">
        <v>3</v>
      </c>
      <c r="D6087" s="16">
        <v>9</v>
      </c>
      <c r="E6087" s="22">
        <v>44976</v>
      </c>
      <c r="F6087" s="19">
        <v>7</v>
      </c>
      <c r="G6087" s="18">
        <v>0.08</v>
      </c>
      <c r="H6087">
        <f>F6087*VLOOKUP(B6087,產品!$A$2:$H$61,7,FALSE)*(1-銷售總表!G6087)</f>
        <v>57960</v>
      </c>
      <c r="I6087" s="35">
        <f>H6087-F6087*VLOOKUP(銷售總表!B6087,產品!$A$2:$H$61,8,FALSE)</f>
        <v>20160</v>
      </c>
      <c r="J6087" s="20">
        <f t="shared" si="95"/>
        <v>0.34782608695652173</v>
      </c>
    </row>
    <row r="6088" spans="1:10" x14ac:dyDescent="0.3">
      <c r="A6088" s="33">
        <v>6087</v>
      </c>
      <c r="B6088" s="4">
        <v>34</v>
      </c>
      <c r="C6088" s="15">
        <v>1</v>
      </c>
      <c r="D6088" s="16">
        <v>1</v>
      </c>
      <c r="E6088" s="22">
        <v>44976</v>
      </c>
      <c r="F6088" s="19">
        <v>11</v>
      </c>
      <c r="G6088" s="18">
        <v>0.19</v>
      </c>
      <c r="H6088">
        <f>F6088*VLOOKUP(B6088,產品!$A$2:$H$61,7,FALSE)*(1-銷售總表!G6088)</f>
        <v>71280</v>
      </c>
      <c r="I6088" s="35">
        <f>H6088-F6088*VLOOKUP(銷售總表!B6088,產品!$A$2:$H$61,8,FALSE)</f>
        <v>18480</v>
      </c>
      <c r="J6088" s="20">
        <f t="shared" si="95"/>
        <v>0.25925925925925924</v>
      </c>
    </row>
    <row r="6089" spans="1:10" x14ac:dyDescent="0.3">
      <c r="A6089" s="33">
        <v>6088</v>
      </c>
      <c r="B6089" s="4">
        <v>3</v>
      </c>
      <c r="C6089" s="15">
        <v>259</v>
      </c>
      <c r="D6089" s="16">
        <v>6</v>
      </c>
      <c r="E6089" s="22">
        <v>44976</v>
      </c>
      <c r="F6089" s="19">
        <v>50</v>
      </c>
      <c r="G6089" s="18">
        <v>0.16</v>
      </c>
      <c r="H6089">
        <f>F6089*VLOOKUP(B6089,產品!$A$2:$H$61,7,FALSE)*(1-銷售總表!G6089)</f>
        <v>42000</v>
      </c>
      <c r="I6089" s="35">
        <f>H6089-F6089*VLOOKUP(銷售總表!B6089,產品!$A$2:$H$61,8,FALSE)</f>
        <v>22000</v>
      </c>
      <c r="J6089" s="20">
        <f t="shared" si="95"/>
        <v>0.52380952380952384</v>
      </c>
    </row>
    <row r="6090" spans="1:10" x14ac:dyDescent="0.3">
      <c r="A6090" s="33">
        <v>6089</v>
      </c>
      <c r="B6090" s="4">
        <v>16</v>
      </c>
      <c r="C6090" s="15">
        <v>286</v>
      </c>
      <c r="D6090" s="16">
        <v>7</v>
      </c>
      <c r="E6090" s="22">
        <v>44976</v>
      </c>
      <c r="F6090" s="19">
        <v>60</v>
      </c>
      <c r="G6090" s="18">
        <v>0.12</v>
      </c>
      <c r="H6090">
        <f>F6090*VLOOKUP(B6090,產品!$A$2:$H$61,7,FALSE)*(1-銷售總表!G6090)</f>
        <v>95040</v>
      </c>
      <c r="I6090" s="35">
        <f>H6090-F6090*VLOOKUP(銷售總表!B6090,產品!$A$2:$H$61,8,FALSE)</f>
        <v>51840</v>
      </c>
      <c r="J6090" s="20">
        <f t="shared" si="95"/>
        <v>0.54545454545454541</v>
      </c>
    </row>
    <row r="6091" spans="1:10" x14ac:dyDescent="0.3">
      <c r="A6091" s="33">
        <v>6090</v>
      </c>
      <c r="B6091" s="4">
        <v>22</v>
      </c>
      <c r="C6091" s="15">
        <v>7</v>
      </c>
      <c r="D6091" s="16">
        <v>9</v>
      </c>
      <c r="E6091" s="22">
        <v>44976</v>
      </c>
      <c r="F6091" s="19">
        <v>175</v>
      </c>
      <c r="G6091" s="18">
        <v>0.17</v>
      </c>
      <c r="H6091">
        <f>F6091*VLOOKUP(B6091,產品!$A$2:$H$61,7,FALSE)*(1-銷售總表!G6091)</f>
        <v>261450</v>
      </c>
      <c r="I6091" s="35">
        <f>H6091-F6091*VLOOKUP(銷售總表!B6091,產品!$A$2:$H$61,8,FALSE)</f>
        <v>135450</v>
      </c>
      <c r="J6091" s="20">
        <f t="shared" si="95"/>
        <v>0.51807228915662651</v>
      </c>
    </row>
    <row r="6092" spans="1:10" x14ac:dyDescent="0.3">
      <c r="A6092" s="33">
        <v>6091</v>
      </c>
      <c r="B6092" s="4">
        <v>17</v>
      </c>
      <c r="C6092" s="15">
        <v>4</v>
      </c>
      <c r="D6092" s="16">
        <v>9</v>
      </c>
      <c r="E6092" s="22">
        <v>44976</v>
      </c>
      <c r="F6092" s="19">
        <v>60</v>
      </c>
      <c r="G6092" s="18">
        <v>0.08</v>
      </c>
      <c r="H6092">
        <f>F6092*VLOOKUP(B6092,產品!$A$2:$H$61,7,FALSE)*(1-銷售總表!G6092)</f>
        <v>99360</v>
      </c>
      <c r="I6092" s="35">
        <f>H6092-F6092*VLOOKUP(銷售總表!B6092,產品!$A$2:$H$61,8,FALSE)</f>
        <v>56160</v>
      </c>
      <c r="J6092" s="20">
        <f t="shared" si="95"/>
        <v>0.56521739130434778</v>
      </c>
    </row>
    <row r="6093" spans="1:10" x14ac:dyDescent="0.3">
      <c r="A6093" s="33">
        <v>6092</v>
      </c>
      <c r="B6093" s="4">
        <v>14</v>
      </c>
      <c r="C6093" s="15">
        <v>5</v>
      </c>
      <c r="D6093" s="16">
        <v>2</v>
      </c>
      <c r="E6093" s="22">
        <v>44977</v>
      </c>
      <c r="F6093" s="19">
        <v>100</v>
      </c>
      <c r="G6093" s="18">
        <v>0.15</v>
      </c>
      <c r="H6093">
        <f>F6093*VLOOKUP(B6093,產品!$A$2:$H$61,7,FALSE)*(1-銷售總表!G6093)</f>
        <v>153000</v>
      </c>
      <c r="I6093" s="35">
        <f>H6093-F6093*VLOOKUP(銷售總表!B6093,產品!$A$2:$H$61,8,FALSE)</f>
        <v>81000</v>
      </c>
      <c r="J6093" s="20">
        <f t="shared" si="95"/>
        <v>0.52941176470588236</v>
      </c>
    </row>
    <row r="6094" spans="1:10" x14ac:dyDescent="0.3">
      <c r="A6094" s="33">
        <v>6093</v>
      </c>
      <c r="B6094" s="4">
        <v>43</v>
      </c>
      <c r="C6094" s="15">
        <v>6</v>
      </c>
      <c r="D6094" s="16">
        <v>1</v>
      </c>
      <c r="E6094" s="22">
        <v>44977</v>
      </c>
      <c r="F6094" s="19">
        <v>5</v>
      </c>
      <c r="G6094" s="18">
        <v>0.17</v>
      </c>
      <c r="H6094">
        <f>F6094*VLOOKUP(B6094,產品!$A$2:$H$61,7,FALSE)*(1-銷售總表!G6094)</f>
        <v>74700</v>
      </c>
      <c r="I6094" s="35">
        <f>H6094-F6094*VLOOKUP(銷售總表!B6094,產品!$A$2:$H$61,8,FALSE)</f>
        <v>16200</v>
      </c>
      <c r="J6094" s="20">
        <f t="shared" si="95"/>
        <v>0.21686746987951808</v>
      </c>
    </row>
    <row r="6095" spans="1:10" x14ac:dyDescent="0.3">
      <c r="A6095" s="33">
        <v>6094</v>
      </c>
      <c r="B6095" s="4">
        <v>5</v>
      </c>
      <c r="C6095" s="15">
        <v>260</v>
      </c>
      <c r="D6095" s="16">
        <v>6</v>
      </c>
      <c r="E6095" s="22">
        <v>44977</v>
      </c>
      <c r="F6095" s="19">
        <v>40</v>
      </c>
      <c r="G6095" s="18">
        <v>0.18</v>
      </c>
      <c r="H6095">
        <f>F6095*VLOOKUP(B6095,產品!$A$2:$H$61,7,FALSE)*(1-銷售總表!G6095)</f>
        <v>32800</v>
      </c>
      <c r="I6095" s="35">
        <f>H6095-F6095*VLOOKUP(銷售總表!B6095,產品!$A$2:$H$61,8,FALSE)</f>
        <v>16800</v>
      </c>
      <c r="J6095" s="20">
        <f t="shared" si="95"/>
        <v>0.51219512195121952</v>
      </c>
    </row>
    <row r="6096" spans="1:10" x14ac:dyDescent="0.3">
      <c r="A6096" s="33">
        <v>6095</v>
      </c>
      <c r="B6096" s="4">
        <v>21</v>
      </c>
      <c r="C6096" s="15">
        <v>10</v>
      </c>
      <c r="D6096" s="16">
        <v>8</v>
      </c>
      <c r="E6096" s="22">
        <v>44978</v>
      </c>
      <c r="F6096" s="19">
        <v>50</v>
      </c>
      <c r="G6096" s="18">
        <v>7.0000000000000007E-2</v>
      </c>
      <c r="H6096">
        <f>F6096*VLOOKUP(B6096,產品!$A$2:$H$61,7,FALSE)*(1-銷售總表!G6096)</f>
        <v>83700</v>
      </c>
      <c r="I6096" s="35">
        <f>H6096-F6096*VLOOKUP(銷售總表!B6096,產品!$A$2:$H$61,8,FALSE)</f>
        <v>47700</v>
      </c>
      <c r="J6096" s="20">
        <f t="shared" si="95"/>
        <v>0.56989247311827962</v>
      </c>
    </row>
    <row r="6097" spans="1:10" x14ac:dyDescent="0.3">
      <c r="A6097" s="33">
        <v>6096</v>
      </c>
      <c r="B6097" s="4">
        <v>39</v>
      </c>
      <c r="C6097" s="15">
        <v>281</v>
      </c>
      <c r="D6097" s="16">
        <v>4</v>
      </c>
      <c r="E6097" s="22">
        <v>44978</v>
      </c>
      <c r="F6097" s="19">
        <v>15</v>
      </c>
      <c r="G6097" s="18">
        <v>0.13</v>
      </c>
      <c r="H6097">
        <f>F6097*VLOOKUP(B6097,產品!$A$2:$H$61,7,FALSE)*(1-銷售總表!G6097)</f>
        <v>234900</v>
      </c>
      <c r="I6097" s="35">
        <f>H6097-F6097*VLOOKUP(銷售總表!B6097,產品!$A$2:$H$61,8,FALSE)</f>
        <v>59400</v>
      </c>
      <c r="J6097" s="20">
        <f t="shared" si="95"/>
        <v>0.25287356321839083</v>
      </c>
    </row>
    <row r="6098" spans="1:10" x14ac:dyDescent="0.3">
      <c r="A6098" s="33">
        <v>6097</v>
      </c>
      <c r="B6098" s="4">
        <v>34</v>
      </c>
      <c r="C6098" s="15">
        <v>4</v>
      </c>
      <c r="D6098" s="16">
        <v>5</v>
      </c>
      <c r="E6098" s="22">
        <v>44978</v>
      </c>
      <c r="F6098" s="19">
        <v>8</v>
      </c>
      <c r="G6098" s="18">
        <v>0.09</v>
      </c>
      <c r="H6098">
        <f>F6098*VLOOKUP(B6098,產品!$A$2:$H$61,7,FALSE)*(1-銷售總表!G6098)</f>
        <v>58240</v>
      </c>
      <c r="I6098" s="35">
        <f>H6098-F6098*VLOOKUP(銷售總表!B6098,產品!$A$2:$H$61,8,FALSE)</f>
        <v>19840</v>
      </c>
      <c r="J6098" s="20">
        <f t="shared" si="95"/>
        <v>0.34065934065934067</v>
      </c>
    </row>
    <row r="6099" spans="1:10" x14ac:dyDescent="0.3">
      <c r="A6099" s="33">
        <v>6098</v>
      </c>
      <c r="B6099" s="4">
        <v>23</v>
      </c>
      <c r="C6099" s="15">
        <v>282</v>
      </c>
      <c r="D6099" s="16">
        <v>7</v>
      </c>
      <c r="E6099" s="22">
        <v>44978</v>
      </c>
      <c r="F6099" s="19">
        <v>12</v>
      </c>
      <c r="G6099" s="18">
        <v>7.0000000000000007E-2</v>
      </c>
      <c r="H6099">
        <f>F6099*VLOOKUP(B6099,產品!$A$2:$H$61,7,FALSE)*(1-銷售總表!G6099)</f>
        <v>20088</v>
      </c>
      <c r="I6099" s="35">
        <f>H6099-F6099*VLOOKUP(銷售總表!B6099,產品!$A$2:$H$61,8,FALSE)</f>
        <v>11448</v>
      </c>
      <c r="J6099" s="20">
        <f t="shared" si="95"/>
        <v>0.56989247311827962</v>
      </c>
    </row>
    <row r="6100" spans="1:10" x14ac:dyDescent="0.3">
      <c r="A6100" s="33">
        <v>6099</v>
      </c>
      <c r="B6100" s="4">
        <v>38</v>
      </c>
      <c r="C6100" s="15">
        <v>4</v>
      </c>
      <c r="D6100" s="16">
        <v>1</v>
      </c>
      <c r="E6100" s="22">
        <v>44978</v>
      </c>
      <c r="F6100" s="19">
        <v>3</v>
      </c>
      <c r="G6100" s="18">
        <v>0.08</v>
      </c>
      <c r="H6100">
        <f>F6100*VLOOKUP(B6100,產品!$A$2:$H$61,7,FALSE)*(1-銷售總表!G6100)</f>
        <v>41400</v>
      </c>
      <c r="I6100" s="35">
        <f>H6100-F6100*VLOOKUP(銷售總表!B6100,產品!$A$2:$H$61,8,FALSE)</f>
        <v>12150</v>
      </c>
      <c r="J6100" s="20">
        <f t="shared" si="95"/>
        <v>0.29347826086956524</v>
      </c>
    </row>
    <row r="6101" spans="1:10" x14ac:dyDescent="0.3">
      <c r="A6101" s="33">
        <v>6100</v>
      </c>
      <c r="B6101" s="4">
        <v>19</v>
      </c>
      <c r="C6101" s="15">
        <v>287</v>
      </c>
      <c r="D6101" s="16">
        <v>5</v>
      </c>
      <c r="E6101" s="23">
        <v>44978</v>
      </c>
      <c r="F6101">
        <v>40</v>
      </c>
      <c r="G6101" s="20">
        <v>0.11</v>
      </c>
      <c r="H6101">
        <f>F6101*VLOOKUP(B6101,產品!$A$2:$H$61,7,FALSE)*(1-銷售總表!G6101)</f>
        <v>64080</v>
      </c>
      <c r="I6101" s="35">
        <f>H6101-F6101*VLOOKUP(銷售總表!B6101,產品!$A$2:$H$61,8,FALSE)</f>
        <v>35280</v>
      </c>
      <c r="J6101" s="20">
        <f t="shared" si="95"/>
        <v>0.550561797752809</v>
      </c>
    </row>
    <row r="6102" spans="1:10" x14ac:dyDescent="0.3">
      <c r="A6102" s="33">
        <v>6101</v>
      </c>
      <c r="B6102" s="4">
        <v>35</v>
      </c>
      <c r="C6102" s="15">
        <v>271</v>
      </c>
      <c r="D6102" s="16">
        <v>10</v>
      </c>
      <c r="E6102" s="22">
        <v>44979</v>
      </c>
      <c r="F6102" s="19">
        <v>16</v>
      </c>
      <c r="G6102" s="18">
        <v>0.06</v>
      </c>
      <c r="H6102">
        <f>F6102*VLOOKUP(B6102,產品!$A$2:$H$61,7,FALSE)*(1-銷售總表!G6102)</f>
        <v>127840</v>
      </c>
      <c r="I6102" s="35">
        <f>H6102-F6102*VLOOKUP(銷售總表!B6102,產品!$A$2:$H$61,8,FALSE)</f>
        <v>46240</v>
      </c>
      <c r="J6102" s="20">
        <f t="shared" si="95"/>
        <v>0.36170212765957449</v>
      </c>
    </row>
    <row r="6103" spans="1:10" x14ac:dyDescent="0.3">
      <c r="A6103" s="33">
        <v>6102</v>
      </c>
      <c r="B6103" s="4">
        <v>19</v>
      </c>
      <c r="C6103" s="15">
        <v>11</v>
      </c>
      <c r="D6103" s="16">
        <v>6</v>
      </c>
      <c r="E6103" s="22">
        <v>44979</v>
      </c>
      <c r="F6103" s="19">
        <v>40</v>
      </c>
      <c r="G6103" s="18">
        <v>0.17</v>
      </c>
      <c r="H6103">
        <f>F6103*VLOOKUP(B6103,產品!$A$2:$H$61,7,FALSE)*(1-銷售總表!G6103)</f>
        <v>59760</v>
      </c>
      <c r="I6103" s="35">
        <f>H6103-F6103*VLOOKUP(銷售總表!B6103,產品!$A$2:$H$61,8,FALSE)</f>
        <v>30960</v>
      </c>
      <c r="J6103" s="20">
        <f t="shared" si="95"/>
        <v>0.51807228915662651</v>
      </c>
    </row>
    <row r="6104" spans="1:10" x14ac:dyDescent="0.3">
      <c r="A6104" s="33">
        <v>6103</v>
      </c>
      <c r="B6104" s="4">
        <v>2</v>
      </c>
      <c r="C6104" s="15">
        <v>270</v>
      </c>
      <c r="D6104" s="16">
        <v>8</v>
      </c>
      <c r="E6104" s="22">
        <v>44979</v>
      </c>
      <c r="F6104" s="19">
        <v>60</v>
      </c>
      <c r="G6104" s="18">
        <v>0.2</v>
      </c>
      <c r="H6104">
        <f>F6104*VLOOKUP(B6104,產品!$A$2:$H$61,7,FALSE)*(1-銷售總表!G6104)</f>
        <v>48000</v>
      </c>
      <c r="I6104" s="35">
        <f>H6104-F6104*VLOOKUP(銷售總表!B6104,產品!$A$2:$H$61,8,FALSE)</f>
        <v>24000</v>
      </c>
      <c r="J6104" s="20">
        <f t="shared" si="95"/>
        <v>0.5</v>
      </c>
    </row>
    <row r="6105" spans="1:10" x14ac:dyDescent="0.3">
      <c r="A6105" s="33">
        <v>6104</v>
      </c>
      <c r="B6105" s="4">
        <v>33</v>
      </c>
      <c r="C6105" s="15">
        <v>273</v>
      </c>
      <c r="D6105" s="16">
        <v>2</v>
      </c>
      <c r="E6105" s="22">
        <v>44979</v>
      </c>
      <c r="F6105" s="19">
        <v>13</v>
      </c>
      <c r="G6105" s="18">
        <v>0.18</v>
      </c>
      <c r="H6105">
        <f>F6105*VLOOKUP(B6105,產品!$A$2:$H$61,7,FALSE)*(1-銷售總表!G6105)</f>
        <v>79950</v>
      </c>
      <c r="I6105" s="35">
        <f>H6105-F6105*VLOOKUP(銷售總表!B6105,產品!$A$2:$H$61,8,FALSE)</f>
        <v>21450</v>
      </c>
      <c r="J6105" s="20">
        <f t="shared" si="95"/>
        <v>0.26829268292682928</v>
      </c>
    </row>
    <row r="6106" spans="1:10" x14ac:dyDescent="0.3">
      <c r="A6106" s="33">
        <v>6105</v>
      </c>
      <c r="B6106" s="4">
        <v>36</v>
      </c>
      <c r="C6106" s="15">
        <v>270</v>
      </c>
      <c r="D6106" s="16">
        <v>4</v>
      </c>
      <c r="E6106" s="22">
        <v>44979</v>
      </c>
      <c r="F6106" s="19">
        <v>4</v>
      </c>
      <c r="G6106" s="18">
        <v>0.08</v>
      </c>
      <c r="H6106">
        <f>F6106*VLOOKUP(B6106,產品!$A$2:$H$61,7,FALSE)*(1-銷售總表!G6106)</f>
        <v>33120</v>
      </c>
      <c r="I6106" s="35">
        <f>H6106-F6106*VLOOKUP(銷售總表!B6106,產品!$A$2:$H$61,8,FALSE)</f>
        <v>11520</v>
      </c>
      <c r="J6106" s="20">
        <f t="shared" si="95"/>
        <v>0.34782608695652173</v>
      </c>
    </row>
    <row r="6107" spans="1:10" x14ac:dyDescent="0.3">
      <c r="A6107" s="33">
        <v>6106</v>
      </c>
      <c r="B6107" s="4">
        <v>29</v>
      </c>
      <c r="C6107" s="15">
        <v>266</v>
      </c>
      <c r="D6107" s="16">
        <v>7</v>
      </c>
      <c r="E6107" s="22">
        <v>44980</v>
      </c>
      <c r="F6107" s="19">
        <v>2</v>
      </c>
      <c r="G6107" s="18">
        <v>0.09</v>
      </c>
      <c r="H6107">
        <f>F6107*VLOOKUP(B6107,產品!$A$2:$H$61,7,FALSE)*(1-銷售總表!G6107)</f>
        <v>10920</v>
      </c>
      <c r="I6107" s="35">
        <f>H6107-F6107*VLOOKUP(銷售總表!B6107,產品!$A$2:$H$61,8,FALSE)</f>
        <v>3720</v>
      </c>
      <c r="J6107" s="20">
        <f t="shared" si="95"/>
        <v>0.34065934065934067</v>
      </c>
    </row>
    <row r="6108" spans="1:10" x14ac:dyDescent="0.3">
      <c r="A6108" s="33">
        <v>6107</v>
      </c>
      <c r="B6108" s="4">
        <v>52</v>
      </c>
      <c r="C6108" s="15">
        <v>7</v>
      </c>
      <c r="D6108" s="16">
        <v>1</v>
      </c>
      <c r="E6108" s="22">
        <v>44980</v>
      </c>
      <c r="F6108" s="19">
        <v>13</v>
      </c>
      <c r="G6108" s="18">
        <v>0.06</v>
      </c>
      <c r="H6108">
        <f>F6108*VLOOKUP(B6108,產品!$A$2:$H$61,7,FALSE)*(1-銷售總表!G6108)</f>
        <v>268840</v>
      </c>
      <c r="I6108" s="35">
        <f>H6108-F6108*VLOOKUP(銷售總表!B6108,產品!$A$2:$H$61,8,FALSE)</f>
        <v>68640.000000000029</v>
      </c>
      <c r="J6108" s="20">
        <f t="shared" si="95"/>
        <v>0.2553191489361703</v>
      </c>
    </row>
    <row r="6109" spans="1:10" x14ac:dyDescent="0.3">
      <c r="A6109" s="33">
        <v>6108</v>
      </c>
      <c r="B6109" s="4">
        <v>6</v>
      </c>
      <c r="C6109" s="15">
        <v>6</v>
      </c>
      <c r="D6109" s="16">
        <v>8</v>
      </c>
      <c r="E6109" s="22">
        <v>44980</v>
      </c>
      <c r="F6109" s="19">
        <v>24</v>
      </c>
      <c r="G6109" s="18">
        <v>0.09</v>
      </c>
      <c r="H6109">
        <f>F6109*VLOOKUP(B6109,產品!$A$2:$H$61,7,FALSE)*(1-銷售總表!G6109)</f>
        <v>21840</v>
      </c>
      <c r="I6109" s="35">
        <f>H6109-F6109*VLOOKUP(銷售總表!B6109,產品!$A$2:$H$61,8,FALSE)</f>
        <v>12240</v>
      </c>
      <c r="J6109" s="20">
        <f t="shared" si="95"/>
        <v>0.56043956043956045</v>
      </c>
    </row>
    <row r="6110" spans="1:10" x14ac:dyDescent="0.3">
      <c r="A6110" s="33">
        <v>6109</v>
      </c>
      <c r="B6110" s="4">
        <v>24</v>
      </c>
      <c r="C6110" s="15">
        <v>115</v>
      </c>
      <c r="D6110" s="16">
        <v>4</v>
      </c>
      <c r="E6110" s="22">
        <v>44980</v>
      </c>
      <c r="F6110" s="19">
        <v>80</v>
      </c>
      <c r="G6110" s="18">
        <v>0.1</v>
      </c>
      <c r="H6110">
        <f>F6110*VLOOKUP(B6110,產品!$A$2:$H$61,7,FALSE)*(1-銷售總表!G6110)</f>
        <v>129600</v>
      </c>
      <c r="I6110" s="35">
        <f>H6110-F6110*VLOOKUP(銷售總表!B6110,產品!$A$2:$H$61,8,FALSE)</f>
        <v>72000</v>
      </c>
      <c r="J6110" s="20">
        <f t="shared" si="95"/>
        <v>0.55555555555555558</v>
      </c>
    </row>
    <row r="6111" spans="1:10" x14ac:dyDescent="0.3">
      <c r="A6111" s="33">
        <v>6110</v>
      </c>
      <c r="B6111" s="4">
        <v>51</v>
      </c>
      <c r="C6111" s="15">
        <v>117</v>
      </c>
      <c r="D6111" s="16">
        <v>10</v>
      </c>
      <c r="E6111" s="22">
        <v>44980</v>
      </c>
      <c r="F6111" s="19">
        <v>5</v>
      </c>
      <c r="G6111" s="18">
        <v>0.11</v>
      </c>
      <c r="H6111">
        <f>F6111*VLOOKUP(B6111,產品!$A$2:$H$61,7,FALSE)*(1-銷售總表!G6111)</f>
        <v>89000</v>
      </c>
      <c r="I6111" s="35">
        <f>H6111-F6111*VLOOKUP(銷售總表!B6111,產品!$A$2:$H$61,8,FALSE)</f>
        <v>19000</v>
      </c>
      <c r="J6111" s="20">
        <f t="shared" si="95"/>
        <v>0.21348314606741572</v>
      </c>
    </row>
    <row r="6112" spans="1:10" x14ac:dyDescent="0.3">
      <c r="A6112" s="33">
        <v>6111</v>
      </c>
      <c r="B6112" s="4">
        <v>51</v>
      </c>
      <c r="C6112" s="15">
        <v>265</v>
      </c>
      <c r="D6112" s="16">
        <v>8</v>
      </c>
      <c r="E6112" s="22">
        <v>44981</v>
      </c>
      <c r="F6112" s="19">
        <v>12</v>
      </c>
      <c r="G6112" s="18">
        <v>0.18</v>
      </c>
      <c r="H6112">
        <f>F6112*VLOOKUP(B6112,產品!$A$2:$H$61,7,FALSE)*(1-銷售總表!G6112)</f>
        <v>196800.00000000003</v>
      </c>
      <c r="I6112" s="35">
        <f>H6112-F6112*VLOOKUP(銷售總表!B6112,產品!$A$2:$H$61,8,FALSE)</f>
        <v>28800.000000000029</v>
      </c>
      <c r="J6112" s="20">
        <f t="shared" si="95"/>
        <v>0.14634146341463428</v>
      </c>
    </row>
    <row r="6113" spans="1:10" x14ac:dyDescent="0.3">
      <c r="A6113" s="33">
        <v>6112</v>
      </c>
      <c r="B6113" s="4">
        <v>40</v>
      </c>
      <c r="C6113" s="15">
        <v>121</v>
      </c>
      <c r="D6113" s="16">
        <v>6</v>
      </c>
      <c r="E6113" s="22">
        <v>44981</v>
      </c>
      <c r="F6113" s="19">
        <v>6</v>
      </c>
      <c r="G6113" s="18">
        <v>0.13</v>
      </c>
      <c r="H6113">
        <f>F6113*VLOOKUP(B6113,產品!$A$2:$H$61,7,FALSE)*(1-銷售總表!G6113)</f>
        <v>104400</v>
      </c>
      <c r="I6113" s="35">
        <f>H6113-F6113*VLOOKUP(銷售總表!B6113,產品!$A$2:$H$61,8,FALSE)</f>
        <v>26400</v>
      </c>
      <c r="J6113" s="20">
        <f t="shared" si="95"/>
        <v>0.25287356321839083</v>
      </c>
    </row>
    <row r="6114" spans="1:10" x14ac:dyDescent="0.3">
      <c r="A6114" s="33">
        <v>6113</v>
      </c>
      <c r="B6114" s="4">
        <v>59</v>
      </c>
      <c r="C6114" s="15">
        <v>117</v>
      </c>
      <c r="D6114" s="16">
        <v>5</v>
      </c>
      <c r="E6114" s="22">
        <v>44981</v>
      </c>
      <c r="F6114" s="19">
        <v>8</v>
      </c>
      <c r="G6114" s="18">
        <v>0.1</v>
      </c>
      <c r="H6114">
        <f>F6114*VLOOKUP(B6114,產品!$A$2:$H$61,7,FALSE)*(1-銷售總表!G6114)</f>
        <v>172800</v>
      </c>
      <c r="I6114" s="35">
        <f>H6114-F6114*VLOOKUP(銷售總表!B6114,產品!$A$2:$H$61,8,FALSE)</f>
        <v>38400</v>
      </c>
      <c r="J6114" s="20">
        <f t="shared" si="95"/>
        <v>0.22222222222222221</v>
      </c>
    </row>
    <row r="6115" spans="1:10" x14ac:dyDescent="0.3">
      <c r="A6115" s="33">
        <v>6114</v>
      </c>
      <c r="B6115" s="4">
        <v>35</v>
      </c>
      <c r="C6115" s="15">
        <v>284</v>
      </c>
      <c r="D6115" s="16">
        <v>8</v>
      </c>
      <c r="E6115" s="22">
        <v>44981</v>
      </c>
      <c r="F6115" s="19">
        <v>19</v>
      </c>
      <c r="G6115" s="18">
        <v>0.09</v>
      </c>
      <c r="H6115">
        <f>F6115*VLOOKUP(B6115,產品!$A$2:$H$61,7,FALSE)*(1-銷售總表!G6115)</f>
        <v>146965</v>
      </c>
      <c r="I6115" s="35">
        <f>H6115-F6115*VLOOKUP(銷售總表!B6115,產品!$A$2:$H$61,8,FALSE)</f>
        <v>50065</v>
      </c>
      <c r="J6115" s="20">
        <f t="shared" si="95"/>
        <v>0.34065934065934067</v>
      </c>
    </row>
    <row r="6116" spans="1:10" x14ac:dyDescent="0.3">
      <c r="A6116" s="33">
        <v>6115</v>
      </c>
      <c r="B6116" s="4">
        <v>43</v>
      </c>
      <c r="C6116" s="15">
        <v>290</v>
      </c>
      <c r="D6116" s="16">
        <v>6</v>
      </c>
      <c r="E6116" s="23">
        <v>44981</v>
      </c>
      <c r="F6116">
        <v>5</v>
      </c>
      <c r="G6116" s="20">
        <v>0.18</v>
      </c>
      <c r="H6116">
        <f>F6116*VLOOKUP(B6116,產品!$A$2:$H$61,7,FALSE)*(1-銷售總表!G6116)</f>
        <v>73800</v>
      </c>
      <c r="I6116" s="35">
        <f>H6116-F6116*VLOOKUP(銷售總表!B6116,產品!$A$2:$H$61,8,FALSE)</f>
        <v>15300</v>
      </c>
      <c r="J6116" s="20">
        <f t="shared" si="95"/>
        <v>0.2073170731707317</v>
      </c>
    </row>
    <row r="6117" spans="1:10" x14ac:dyDescent="0.3">
      <c r="A6117" s="33">
        <v>6116</v>
      </c>
      <c r="B6117" s="4">
        <v>25</v>
      </c>
      <c r="C6117" s="15">
        <v>6</v>
      </c>
      <c r="D6117" s="16">
        <v>8</v>
      </c>
      <c r="E6117" s="23">
        <v>44981</v>
      </c>
      <c r="F6117">
        <v>18</v>
      </c>
      <c r="G6117" s="20">
        <v>0.09</v>
      </c>
      <c r="H6117">
        <f>F6117*VLOOKUP(B6117,產品!$A$2:$H$61,7,FALSE)*(1-銷售總表!G6117)</f>
        <v>98280</v>
      </c>
      <c r="I6117" s="35">
        <f>H6117-F6117*VLOOKUP(銷售總表!B6117,產品!$A$2:$H$61,8,FALSE)</f>
        <v>33480</v>
      </c>
      <c r="J6117" s="20">
        <f t="shared" si="95"/>
        <v>0.34065934065934067</v>
      </c>
    </row>
    <row r="6118" spans="1:10" x14ac:dyDescent="0.3">
      <c r="A6118" s="33">
        <v>6117</v>
      </c>
      <c r="B6118" s="4">
        <v>43</v>
      </c>
      <c r="C6118" s="15">
        <v>5</v>
      </c>
      <c r="D6118" s="16">
        <v>10</v>
      </c>
      <c r="E6118" s="22">
        <v>44982</v>
      </c>
      <c r="F6118" s="19">
        <v>5</v>
      </c>
      <c r="G6118" s="18">
        <v>0.12</v>
      </c>
      <c r="H6118">
        <f>F6118*VLOOKUP(B6118,產品!$A$2:$H$61,7,FALSE)*(1-銷售總表!G6118)</f>
        <v>79200</v>
      </c>
      <c r="I6118" s="35">
        <f>H6118-F6118*VLOOKUP(銷售總表!B6118,產品!$A$2:$H$61,8,FALSE)</f>
        <v>20700</v>
      </c>
      <c r="J6118" s="20">
        <f t="shared" si="95"/>
        <v>0.26136363636363635</v>
      </c>
    </row>
    <row r="6119" spans="1:10" x14ac:dyDescent="0.3">
      <c r="A6119" s="33">
        <v>6118</v>
      </c>
      <c r="B6119" s="4">
        <v>35</v>
      </c>
      <c r="C6119" s="15">
        <v>6</v>
      </c>
      <c r="D6119" s="16">
        <v>6</v>
      </c>
      <c r="E6119" s="22">
        <v>44982</v>
      </c>
      <c r="F6119" s="19">
        <v>5</v>
      </c>
      <c r="G6119" s="18">
        <v>0.19</v>
      </c>
      <c r="H6119">
        <f>F6119*VLOOKUP(B6119,產品!$A$2:$H$61,7,FALSE)*(1-銷售總表!G6119)</f>
        <v>34425</v>
      </c>
      <c r="I6119" s="35">
        <f>H6119-F6119*VLOOKUP(銷售總表!B6119,產品!$A$2:$H$61,8,FALSE)</f>
        <v>8925</v>
      </c>
      <c r="J6119" s="20">
        <f t="shared" si="95"/>
        <v>0.25925925925925924</v>
      </c>
    </row>
    <row r="6120" spans="1:10" x14ac:dyDescent="0.3">
      <c r="A6120" s="33">
        <v>6119</v>
      </c>
      <c r="B6120" s="4">
        <v>6</v>
      </c>
      <c r="C6120" s="15">
        <v>135</v>
      </c>
      <c r="D6120" s="16">
        <v>3</v>
      </c>
      <c r="E6120" s="22">
        <v>44982</v>
      </c>
      <c r="F6120" s="19">
        <v>90</v>
      </c>
      <c r="G6120" s="18">
        <v>0.09</v>
      </c>
      <c r="H6120">
        <f>F6120*VLOOKUP(B6120,產品!$A$2:$H$61,7,FALSE)*(1-銷售總表!G6120)</f>
        <v>81900</v>
      </c>
      <c r="I6120" s="35">
        <f>H6120-F6120*VLOOKUP(銷售總表!B6120,產品!$A$2:$H$61,8,FALSE)</f>
        <v>45900</v>
      </c>
      <c r="J6120" s="20">
        <f t="shared" si="95"/>
        <v>0.56043956043956045</v>
      </c>
    </row>
    <row r="6121" spans="1:10" x14ac:dyDescent="0.3">
      <c r="A6121" s="33">
        <v>6120</v>
      </c>
      <c r="B6121" s="4">
        <v>9</v>
      </c>
      <c r="C6121" s="15">
        <v>257</v>
      </c>
      <c r="D6121" s="16">
        <v>5</v>
      </c>
      <c r="E6121" s="22">
        <v>44982</v>
      </c>
      <c r="F6121" s="19">
        <v>19</v>
      </c>
      <c r="G6121" s="18">
        <v>0.2</v>
      </c>
      <c r="H6121">
        <f>F6121*VLOOKUP(B6121,產品!$A$2:$H$61,7,FALSE)*(1-銷售總表!G6121)</f>
        <v>15200</v>
      </c>
      <c r="I6121" s="35">
        <f>H6121-F6121*VLOOKUP(銷售總表!B6121,產品!$A$2:$H$61,8,FALSE)</f>
        <v>7600</v>
      </c>
      <c r="J6121" s="20">
        <f t="shared" si="95"/>
        <v>0.5</v>
      </c>
    </row>
    <row r="6122" spans="1:10" x14ac:dyDescent="0.3">
      <c r="A6122" s="33">
        <v>6121</v>
      </c>
      <c r="B6122" s="4">
        <v>20</v>
      </c>
      <c r="C6122" s="15">
        <v>275</v>
      </c>
      <c r="D6122" s="16">
        <v>9</v>
      </c>
      <c r="E6122" s="22">
        <v>44982</v>
      </c>
      <c r="F6122" s="19">
        <v>40</v>
      </c>
      <c r="G6122" s="18">
        <v>0.17</v>
      </c>
      <c r="H6122">
        <f>F6122*VLOOKUP(B6122,產品!$A$2:$H$61,7,FALSE)*(1-銷售總表!G6122)</f>
        <v>59760</v>
      </c>
      <c r="I6122" s="35">
        <f>H6122-F6122*VLOOKUP(銷售總表!B6122,產品!$A$2:$H$61,8,FALSE)</f>
        <v>30960</v>
      </c>
      <c r="J6122" s="20">
        <f t="shared" si="95"/>
        <v>0.51807228915662651</v>
      </c>
    </row>
    <row r="6123" spans="1:10" x14ac:dyDescent="0.3">
      <c r="A6123" s="33">
        <v>6122</v>
      </c>
      <c r="B6123" s="4">
        <v>24</v>
      </c>
      <c r="C6123" s="15">
        <v>266</v>
      </c>
      <c r="D6123" s="16">
        <v>10</v>
      </c>
      <c r="E6123" s="22">
        <v>44982</v>
      </c>
      <c r="F6123" s="19">
        <v>60</v>
      </c>
      <c r="G6123" s="18">
        <v>0.2</v>
      </c>
      <c r="H6123">
        <f>F6123*VLOOKUP(B6123,產品!$A$2:$H$61,7,FALSE)*(1-銷售總表!G6123)</f>
        <v>86400</v>
      </c>
      <c r="I6123" s="35">
        <f>H6123-F6123*VLOOKUP(銷售總表!B6123,產品!$A$2:$H$61,8,FALSE)</f>
        <v>43200</v>
      </c>
      <c r="J6123" s="20">
        <f t="shared" si="95"/>
        <v>0.5</v>
      </c>
    </row>
    <row r="6124" spans="1:10" x14ac:dyDescent="0.3">
      <c r="A6124" s="33">
        <v>6123</v>
      </c>
      <c r="B6124" s="4">
        <v>43</v>
      </c>
      <c r="C6124" s="15">
        <v>12</v>
      </c>
      <c r="D6124" s="16">
        <v>1</v>
      </c>
      <c r="E6124" s="22">
        <v>44983</v>
      </c>
      <c r="F6124" s="19">
        <v>10</v>
      </c>
      <c r="G6124" s="18">
        <v>0.06</v>
      </c>
      <c r="H6124">
        <f>F6124*VLOOKUP(B6124,產品!$A$2:$H$61,7,FALSE)*(1-銷售總表!G6124)</f>
        <v>169200</v>
      </c>
      <c r="I6124" s="35">
        <f>H6124-F6124*VLOOKUP(銷售總表!B6124,產品!$A$2:$H$61,8,FALSE)</f>
        <v>52200</v>
      </c>
      <c r="J6124" s="20">
        <f t="shared" si="95"/>
        <v>0.30851063829787234</v>
      </c>
    </row>
    <row r="6125" spans="1:10" x14ac:dyDescent="0.3">
      <c r="A6125" s="33">
        <v>6124</v>
      </c>
      <c r="B6125" s="4">
        <v>21</v>
      </c>
      <c r="C6125" s="15">
        <v>294</v>
      </c>
      <c r="D6125" s="16">
        <v>10</v>
      </c>
      <c r="E6125" s="22">
        <v>44983</v>
      </c>
      <c r="F6125" s="19">
        <v>180</v>
      </c>
      <c r="G6125" s="18">
        <v>0.19</v>
      </c>
      <c r="H6125">
        <f>F6125*VLOOKUP(B6125,產品!$A$2:$H$61,7,FALSE)*(1-銷售總表!G6125)</f>
        <v>262440</v>
      </c>
      <c r="I6125" s="35">
        <f>H6125-F6125*VLOOKUP(銷售總表!B6125,產品!$A$2:$H$61,8,FALSE)</f>
        <v>132840</v>
      </c>
      <c r="J6125" s="20">
        <f t="shared" si="95"/>
        <v>0.50617283950617287</v>
      </c>
    </row>
    <row r="6126" spans="1:10" x14ac:dyDescent="0.3">
      <c r="A6126" s="33">
        <v>6125</v>
      </c>
      <c r="B6126" s="4">
        <v>45</v>
      </c>
      <c r="C6126" s="15">
        <v>284</v>
      </c>
      <c r="D6126" s="16">
        <v>9</v>
      </c>
      <c r="E6126" s="22">
        <v>44983</v>
      </c>
      <c r="F6126" s="19">
        <v>5</v>
      </c>
      <c r="G6126" s="18">
        <v>0.17</v>
      </c>
      <c r="H6126">
        <f>F6126*VLOOKUP(B6126,產品!$A$2:$H$61,7,FALSE)*(1-銷售總表!G6126)</f>
        <v>58100</v>
      </c>
      <c r="I6126" s="35">
        <f>H6126-F6126*VLOOKUP(銷售總表!B6126,產品!$A$2:$H$61,8,FALSE)</f>
        <v>12600</v>
      </c>
      <c r="J6126" s="20">
        <f t="shared" si="95"/>
        <v>0.21686746987951808</v>
      </c>
    </row>
    <row r="6127" spans="1:10" x14ac:dyDescent="0.3">
      <c r="A6127" s="33">
        <v>6126</v>
      </c>
      <c r="B6127" s="4">
        <v>24</v>
      </c>
      <c r="C6127" s="15">
        <v>274</v>
      </c>
      <c r="D6127" s="16">
        <v>3</v>
      </c>
      <c r="E6127" s="23">
        <v>44983</v>
      </c>
      <c r="F6127">
        <v>13</v>
      </c>
      <c r="G6127" s="20">
        <v>7.0000000000000007E-2</v>
      </c>
      <c r="H6127">
        <f>F6127*VLOOKUP(B6127,產品!$A$2:$H$61,7,FALSE)*(1-銷售總表!G6127)</f>
        <v>21762</v>
      </c>
      <c r="I6127" s="35">
        <f>H6127-F6127*VLOOKUP(銷售總表!B6127,產品!$A$2:$H$61,8,FALSE)</f>
        <v>12402</v>
      </c>
      <c r="J6127" s="20">
        <f t="shared" si="95"/>
        <v>0.56989247311827962</v>
      </c>
    </row>
    <row r="6128" spans="1:10" x14ac:dyDescent="0.3">
      <c r="A6128" s="33">
        <v>6127</v>
      </c>
      <c r="B6128" s="4">
        <v>15</v>
      </c>
      <c r="C6128" s="15">
        <v>289</v>
      </c>
      <c r="D6128" s="16">
        <v>3</v>
      </c>
      <c r="E6128" s="23">
        <v>44983</v>
      </c>
      <c r="F6128">
        <v>50</v>
      </c>
      <c r="G6128" s="20">
        <v>0.14000000000000001</v>
      </c>
      <c r="H6128">
        <f>F6128*VLOOKUP(B6128,產品!$A$2:$H$61,7,FALSE)*(1-銷售總表!G6128)</f>
        <v>77400</v>
      </c>
      <c r="I6128" s="35">
        <f>H6128-F6128*VLOOKUP(銷售總表!B6128,產品!$A$2:$H$61,8,FALSE)</f>
        <v>41400</v>
      </c>
      <c r="J6128" s="20">
        <f t="shared" si="95"/>
        <v>0.53488372093023251</v>
      </c>
    </row>
    <row r="6129" spans="1:10" x14ac:dyDescent="0.3">
      <c r="A6129" s="33">
        <v>6128</v>
      </c>
      <c r="B6129" s="4">
        <v>7</v>
      </c>
      <c r="C6129" s="15">
        <v>276</v>
      </c>
      <c r="D6129" s="16">
        <v>6</v>
      </c>
      <c r="E6129" s="22">
        <v>44984</v>
      </c>
      <c r="F6129" s="19">
        <v>14</v>
      </c>
      <c r="G6129" s="18">
        <v>0.08</v>
      </c>
      <c r="H6129">
        <f>F6129*VLOOKUP(B6129,產品!$A$2:$H$61,7,FALSE)*(1-銷售總表!G6129)</f>
        <v>12880</v>
      </c>
      <c r="I6129" s="35">
        <f>H6129-F6129*VLOOKUP(銷售總表!B6129,產品!$A$2:$H$61,8,FALSE)</f>
        <v>7280</v>
      </c>
      <c r="J6129" s="20">
        <f t="shared" si="95"/>
        <v>0.56521739130434778</v>
      </c>
    </row>
    <row r="6130" spans="1:10" x14ac:dyDescent="0.3">
      <c r="A6130" s="33">
        <v>6129</v>
      </c>
      <c r="B6130" s="4">
        <v>20</v>
      </c>
      <c r="C6130" s="15">
        <v>293</v>
      </c>
      <c r="D6130" s="16">
        <v>5</v>
      </c>
      <c r="E6130" s="22">
        <v>44984</v>
      </c>
      <c r="F6130" s="19">
        <v>10</v>
      </c>
      <c r="G6130" s="18">
        <v>0.14000000000000001</v>
      </c>
      <c r="H6130">
        <f>F6130*VLOOKUP(B6130,產品!$A$2:$H$61,7,FALSE)*(1-銷售總表!G6130)</f>
        <v>15480</v>
      </c>
      <c r="I6130" s="35">
        <f>H6130-F6130*VLOOKUP(銷售總表!B6130,產品!$A$2:$H$61,8,FALSE)</f>
        <v>8280</v>
      </c>
      <c r="J6130" s="20">
        <f t="shared" si="95"/>
        <v>0.53488372093023251</v>
      </c>
    </row>
    <row r="6131" spans="1:10" x14ac:dyDescent="0.3">
      <c r="A6131" s="33">
        <v>6130</v>
      </c>
      <c r="B6131" s="4">
        <v>39</v>
      </c>
      <c r="C6131" s="15">
        <v>138</v>
      </c>
      <c r="D6131" s="16">
        <v>2</v>
      </c>
      <c r="E6131" s="22">
        <v>44985</v>
      </c>
      <c r="F6131" s="19">
        <v>9</v>
      </c>
      <c r="G6131" s="18">
        <v>0.08</v>
      </c>
      <c r="H6131">
        <f>F6131*VLOOKUP(B6131,產品!$A$2:$H$61,7,FALSE)*(1-銷售總表!G6131)</f>
        <v>149040</v>
      </c>
      <c r="I6131" s="35">
        <f>H6131-F6131*VLOOKUP(銷售總表!B6131,產品!$A$2:$H$61,8,FALSE)</f>
        <v>43740</v>
      </c>
      <c r="J6131" s="20">
        <f t="shared" si="95"/>
        <v>0.29347826086956524</v>
      </c>
    </row>
    <row r="6132" spans="1:10" x14ac:dyDescent="0.3">
      <c r="A6132" s="33">
        <v>6131</v>
      </c>
      <c r="B6132" s="4">
        <v>48</v>
      </c>
      <c r="C6132" s="15">
        <v>126</v>
      </c>
      <c r="D6132" s="16">
        <v>8</v>
      </c>
      <c r="E6132" s="22">
        <v>44985</v>
      </c>
      <c r="F6132" s="19">
        <v>3</v>
      </c>
      <c r="G6132" s="18">
        <v>0.08</v>
      </c>
      <c r="H6132">
        <f>F6132*VLOOKUP(B6132,產品!$A$2:$H$61,7,FALSE)*(1-銷售總表!G6132)</f>
        <v>60720</v>
      </c>
      <c r="I6132" s="35">
        <f>H6132-F6132*VLOOKUP(銷售總表!B6132,產品!$A$2:$H$61,8,FALSE)</f>
        <v>17820</v>
      </c>
      <c r="J6132" s="20">
        <f t="shared" si="95"/>
        <v>0.29347826086956524</v>
      </c>
    </row>
    <row r="6133" spans="1:10" x14ac:dyDescent="0.3">
      <c r="A6133" s="33">
        <v>6132</v>
      </c>
      <c r="B6133" s="4">
        <v>38</v>
      </c>
      <c r="C6133" s="15">
        <v>5</v>
      </c>
      <c r="D6133" s="16">
        <v>2</v>
      </c>
      <c r="E6133" s="22">
        <v>44985</v>
      </c>
      <c r="F6133" s="19">
        <v>1</v>
      </c>
      <c r="G6133" s="18">
        <v>0.09</v>
      </c>
      <c r="H6133">
        <f>F6133*VLOOKUP(B6133,產品!$A$2:$H$61,7,FALSE)*(1-銷售總表!G6133)</f>
        <v>13650</v>
      </c>
      <c r="I6133" s="35">
        <f>H6133-F6133*VLOOKUP(銷售總表!B6133,產品!$A$2:$H$61,8,FALSE)</f>
        <v>3900</v>
      </c>
      <c r="J6133" s="20">
        <f t="shared" si="95"/>
        <v>0.2857142857142857</v>
      </c>
    </row>
    <row r="6134" spans="1:10" x14ac:dyDescent="0.3">
      <c r="A6134" s="33">
        <v>6133</v>
      </c>
      <c r="B6134" s="4">
        <v>34</v>
      </c>
      <c r="C6134" s="15">
        <v>10</v>
      </c>
      <c r="D6134" s="16">
        <v>7</v>
      </c>
      <c r="E6134" s="22">
        <v>44985</v>
      </c>
      <c r="F6134" s="19">
        <v>7</v>
      </c>
      <c r="G6134" s="18">
        <v>0.13</v>
      </c>
      <c r="H6134">
        <f>F6134*VLOOKUP(B6134,產品!$A$2:$H$61,7,FALSE)*(1-銷售總表!G6134)</f>
        <v>48720</v>
      </c>
      <c r="I6134" s="35">
        <f>H6134-F6134*VLOOKUP(銷售總表!B6134,產品!$A$2:$H$61,8,FALSE)</f>
        <v>15120</v>
      </c>
      <c r="J6134" s="20">
        <f t="shared" si="95"/>
        <v>0.31034482758620691</v>
      </c>
    </row>
    <row r="6135" spans="1:10" x14ac:dyDescent="0.3">
      <c r="A6135" s="33">
        <v>6134</v>
      </c>
      <c r="B6135" s="4">
        <v>34</v>
      </c>
      <c r="C6135" s="15">
        <v>4</v>
      </c>
      <c r="D6135" s="16">
        <v>7</v>
      </c>
      <c r="E6135" s="22">
        <v>44985</v>
      </c>
      <c r="F6135" s="19">
        <v>7</v>
      </c>
      <c r="G6135" s="18">
        <v>0.15</v>
      </c>
      <c r="H6135">
        <f>F6135*VLOOKUP(B6135,產品!$A$2:$H$61,7,FALSE)*(1-銷售總表!G6135)</f>
        <v>47600</v>
      </c>
      <c r="I6135" s="35">
        <f>H6135-F6135*VLOOKUP(銷售總表!B6135,產品!$A$2:$H$61,8,FALSE)</f>
        <v>14000</v>
      </c>
      <c r="J6135" s="20">
        <f t="shared" si="95"/>
        <v>0.29411764705882354</v>
      </c>
    </row>
    <row r="6136" spans="1:10" x14ac:dyDescent="0.3">
      <c r="A6136" s="33">
        <v>6135</v>
      </c>
      <c r="B6136" s="4">
        <v>21</v>
      </c>
      <c r="C6136" s="15">
        <v>264</v>
      </c>
      <c r="D6136" s="16">
        <v>7</v>
      </c>
      <c r="E6136" s="23">
        <v>44985</v>
      </c>
      <c r="F6136">
        <v>90</v>
      </c>
      <c r="G6136" s="20">
        <v>0.19</v>
      </c>
      <c r="H6136">
        <f>F6136*VLOOKUP(B6136,產品!$A$2:$H$61,7,FALSE)*(1-銷售總表!G6136)</f>
        <v>131220</v>
      </c>
      <c r="I6136" s="35">
        <f>H6136-F6136*VLOOKUP(銷售總表!B6136,產品!$A$2:$H$61,8,FALSE)</f>
        <v>66420</v>
      </c>
      <c r="J6136" s="20">
        <f t="shared" si="95"/>
        <v>0.50617283950617287</v>
      </c>
    </row>
    <row r="6137" spans="1:10" x14ac:dyDescent="0.3">
      <c r="A6137" s="33">
        <v>6136</v>
      </c>
      <c r="B6137" s="4">
        <v>54</v>
      </c>
      <c r="C6137" s="15">
        <v>1</v>
      </c>
      <c r="D6137" s="16">
        <v>5</v>
      </c>
      <c r="E6137" s="23">
        <v>44985</v>
      </c>
      <c r="F6137">
        <v>5</v>
      </c>
      <c r="G6137" s="20">
        <v>0.05</v>
      </c>
      <c r="H6137">
        <f>F6137*VLOOKUP(B6137,產品!$A$2:$H$61,7,FALSE)*(1-銷售總表!G6137)</f>
        <v>85500</v>
      </c>
      <c r="I6137" s="35">
        <f>H6137-F6137*VLOOKUP(銷售總表!B6137,產品!$A$2:$H$61,8,FALSE)</f>
        <v>22500</v>
      </c>
      <c r="J6137" s="20">
        <f t="shared" si="95"/>
        <v>0.26315789473684209</v>
      </c>
    </row>
    <row r="6138" spans="1:10" x14ac:dyDescent="0.3">
      <c r="A6138" s="33">
        <v>6137</v>
      </c>
      <c r="B6138" s="4">
        <v>55</v>
      </c>
      <c r="C6138" s="15">
        <v>11</v>
      </c>
      <c r="D6138" s="16">
        <v>3</v>
      </c>
      <c r="E6138" s="23">
        <v>44985</v>
      </c>
      <c r="F6138">
        <v>7</v>
      </c>
      <c r="G6138" s="20">
        <v>0.05</v>
      </c>
      <c r="H6138">
        <f>F6138*VLOOKUP(B6138,產品!$A$2:$H$61,7,FALSE)*(1-銷售總表!G6138)</f>
        <v>133000</v>
      </c>
      <c r="I6138" s="35">
        <f>H6138-F6138*VLOOKUP(銷售總表!B6138,產品!$A$2:$H$61,8,FALSE)</f>
        <v>35000</v>
      </c>
      <c r="J6138" s="20">
        <f t="shared" si="95"/>
        <v>0.26315789473684209</v>
      </c>
    </row>
    <row r="6139" spans="1:10" x14ac:dyDescent="0.3">
      <c r="A6139" s="33">
        <v>6138</v>
      </c>
      <c r="B6139" s="4">
        <v>18</v>
      </c>
      <c r="C6139" s="15">
        <v>287</v>
      </c>
      <c r="D6139" s="16">
        <v>2</v>
      </c>
      <c r="E6139" s="22">
        <v>44986</v>
      </c>
      <c r="F6139" s="19">
        <v>20</v>
      </c>
      <c r="G6139" s="18">
        <v>0.13</v>
      </c>
      <c r="H6139">
        <f>F6139*VLOOKUP(B6139,產品!$A$2:$H$61,7,FALSE)*(1-銷售總表!G6139)</f>
        <v>31320</v>
      </c>
      <c r="I6139" s="35">
        <f>H6139-F6139*VLOOKUP(銷售總表!B6139,產品!$A$2:$H$61,8,FALSE)</f>
        <v>16920</v>
      </c>
      <c r="J6139" s="20">
        <f t="shared" si="95"/>
        <v>0.54022988505747127</v>
      </c>
    </row>
    <row r="6140" spans="1:10" x14ac:dyDescent="0.3">
      <c r="A6140" s="33">
        <v>6139</v>
      </c>
      <c r="B6140" s="4">
        <v>21</v>
      </c>
      <c r="C6140" s="15">
        <v>271</v>
      </c>
      <c r="D6140" s="16">
        <v>9</v>
      </c>
      <c r="E6140" s="22">
        <v>44986</v>
      </c>
      <c r="F6140" s="19">
        <v>60</v>
      </c>
      <c r="G6140" s="18">
        <v>0.12</v>
      </c>
      <c r="H6140">
        <f>F6140*VLOOKUP(B6140,產品!$A$2:$H$61,7,FALSE)*(1-銷售總表!G6140)</f>
        <v>95040</v>
      </c>
      <c r="I6140" s="35">
        <f>H6140-F6140*VLOOKUP(銷售總表!B6140,產品!$A$2:$H$61,8,FALSE)</f>
        <v>51840</v>
      </c>
      <c r="J6140" s="20">
        <f t="shared" si="95"/>
        <v>0.54545454545454541</v>
      </c>
    </row>
    <row r="6141" spans="1:10" x14ac:dyDescent="0.3">
      <c r="A6141" s="33">
        <v>6140</v>
      </c>
      <c r="B6141" s="4">
        <v>42</v>
      </c>
      <c r="C6141" s="15">
        <v>7</v>
      </c>
      <c r="D6141" s="16">
        <v>9</v>
      </c>
      <c r="E6141" s="23">
        <v>44986</v>
      </c>
      <c r="F6141">
        <v>6</v>
      </c>
      <c r="G6141" s="20">
        <v>0.18</v>
      </c>
      <c r="H6141">
        <f>F6141*VLOOKUP(B6141,產品!$A$2:$H$61,7,FALSE)*(1-銷售總表!G6141)</f>
        <v>73800</v>
      </c>
      <c r="I6141" s="35">
        <f>H6141-F6141*VLOOKUP(銷售總表!B6141,產品!$A$2:$H$61,8,FALSE)</f>
        <v>15300</v>
      </c>
      <c r="J6141" s="20">
        <f t="shared" si="95"/>
        <v>0.2073170731707317</v>
      </c>
    </row>
    <row r="6142" spans="1:10" x14ac:dyDescent="0.3">
      <c r="A6142" s="33">
        <v>6141</v>
      </c>
      <c r="B6142" s="4">
        <v>29</v>
      </c>
      <c r="C6142" s="15">
        <v>4</v>
      </c>
      <c r="D6142" s="16">
        <v>5</v>
      </c>
      <c r="E6142" s="22">
        <v>44987</v>
      </c>
      <c r="F6142" s="19">
        <v>11</v>
      </c>
      <c r="G6142" s="18">
        <v>0.12</v>
      </c>
      <c r="H6142">
        <f>F6142*VLOOKUP(B6142,產品!$A$2:$H$61,7,FALSE)*(1-銷售總表!G6142)</f>
        <v>58080</v>
      </c>
      <c r="I6142" s="35">
        <f>H6142-F6142*VLOOKUP(銷售總表!B6142,產品!$A$2:$H$61,8,FALSE)</f>
        <v>18480</v>
      </c>
      <c r="J6142" s="20">
        <f t="shared" si="95"/>
        <v>0.31818181818181818</v>
      </c>
    </row>
    <row r="6143" spans="1:10" x14ac:dyDescent="0.3">
      <c r="A6143" s="33">
        <v>6142</v>
      </c>
      <c r="B6143" s="4">
        <v>42</v>
      </c>
      <c r="C6143" s="15">
        <v>289</v>
      </c>
      <c r="D6143" s="16">
        <v>7</v>
      </c>
      <c r="E6143" s="22">
        <v>44987</v>
      </c>
      <c r="F6143" s="19">
        <v>9</v>
      </c>
      <c r="G6143" s="18">
        <v>0.2</v>
      </c>
      <c r="H6143">
        <f>F6143*VLOOKUP(B6143,產品!$A$2:$H$61,7,FALSE)*(1-銷售總表!G6143)</f>
        <v>108000</v>
      </c>
      <c r="I6143" s="35">
        <f>H6143-F6143*VLOOKUP(銷售總表!B6143,產品!$A$2:$H$61,8,FALSE)</f>
        <v>20250</v>
      </c>
      <c r="J6143" s="20">
        <f t="shared" si="95"/>
        <v>0.1875</v>
      </c>
    </row>
    <row r="6144" spans="1:10" x14ac:dyDescent="0.3">
      <c r="A6144" s="33">
        <v>6143</v>
      </c>
      <c r="B6144" s="4">
        <v>56</v>
      </c>
      <c r="C6144" s="15">
        <v>261</v>
      </c>
      <c r="D6144" s="16">
        <v>10</v>
      </c>
      <c r="E6144" s="22">
        <v>44987</v>
      </c>
      <c r="F6144" s="19">
        <v>7</v>
      </c>
      <c r="G6144" s="18">
        <v>0.14000000000000001</v>
      </c>
      <c r="H6144">
        <f>F6144*VLOOKUP(B6144,產品!$A$2:$H$61,7,FALSE)*(1-銷售總表!G6144)</f>
        <v>132440</v>
      </c>
      <c r="I6144" s="35">
        <f>H6144-F6144*VLOOKUP(銷售總表!B6144,產品!$A$2:$H$61,8,FALSE)</f>
        <v>24640.000000000015</v>
      </c>
      <c r="J6144" s="20">
        <f t="shared" si="95"/>
        <v>0.18604651162790709</v>
      </c>
    </row>
    <row r="6145" spans="1:10" x14ac:dyDescent="0.3">
      <c r="A6145" s="33">
        <v>6144</v>
      </c>
      <c r="B6145" s="4">
        <v>33</v>
      </c>
      <c r="C6145" s="15">
        <v>11</v>
      </c>
      <c r="D6145" s="16">
        <v>6</v>
      </c>
      <c r="E6145" s="23">
        <v>44987</v>
      </c>
      <c r="F6145">
        <v>6</v>
      </c>
      <c r="G6145" s="20">
        <v>0.1</v>
      </c>
      <c r="H6145">
        <f>F6145*VLOOKUP(B6145,產品!$A$2:$H$61,7,FALSE)*(1-銷售總表!G6145)</f>
        <v>40500</v>
      </c>
      <c r="I6145" s="35">
        <f>H6145-F6145*VLOOKUP(銷售總表!B6145,產品!$A$2:$H$61,8,FALSE)</f>
        <v>13500</v>
      </c>
      <c r="J6145" s="20">
        <f t="shared" si="95"/>
        <v>0.33333333333333331</v>
      </c>
    </row>
    <row r="6146" spans="1:10" x14ac:dyDescent="0.3">
      <c r="A6146" s="33">
        <v>6145</v>
      </c>
      <c r="B6146" s="4">
        <v>7</v>
      </c>
      <c r="C6146" s="15">
        <v>134</v>
      </c>
      <c r="D6146" s="16">
        <v>5</v>
      </c>
      <c r="E6146" s="22">
        <v>44988</v>
      </c>
      <c r="F6146" s="19">
        <v>250</v>
      </c>
      <c r="G6146" s="18">
        <v>0.13</v>
      </c>
      <c r="H6146">
        <f>F6146*VLOOKUP(B6146,產品!$A$2:$H$61,7,FALSE)*(1-銷售總表!G6146)</f>
        <v>217500</v>
      </c>
      <c r="I6146" s="35">
        <f>H6146-F6146*VLOOKUP(銷售總表!B6146,產品!$A$2:$H$61,8,FALSE)</f>
        <v>117500</v>
      </c>
      <c r="J6146" s="20">
        <f t="shared" si="95"/>
        <v>0.54022988505747127</v>
      </c>
    </row>
    <row r="6147" spans="1:10" x14ac:dyDescent="0.3">
      <c r="A6147" s="33">
        <v>6146</v>
      </c>
      <c r="B6147" s="4">
        <v>15</v>
      </c>
      <c r="C6147" s="15">
        <v>261</v>
      </c>
      <c r="D6147" s="16">
        <v>8</v>
      </c>
      <c r="E6147" s="22">
        <v>44988</v>
      </c>
      <c r="F6147" s="19">
        <v>100</v>
      </c>
      <c r="G6147" s="18">
        <v>0.15</v>
      </c>
      <c r="H6147">
        <f>F6147*VLOOKUP(B6147,產品!$A$2:$H$61,7,FALSE)*(1-銷售總表!G6147)</f>
        <v>153000</v>
      </c>
      <c r="I6147" s="35">
        <f>H6147-F6147*VLOOKUP(銷售總表!B6147,產品!$A$2:$H$61,8,FALSE)</f>
        <v>81000</v>
      </c>
      <c r="J6147" s="20">
        <f t="shared" ref="J6147:J6210" si="96">I6147/H6147</f>
        <v>0.52941176470588236</v>
      </c>
    </row>
    <row r="6148" spans="1:10" x14ac:dyDescent="0.3">
      <c r="A6148" s="33">
        <v>6147</v>
      </c>
      <c r="B6148" s="4">
        <v>41</v>
      </c>
      <c r="C6148" s="15">
        <v>266</v>
      </c>
      <c r="D6148" s="16">
        <v>1</v>
      </c>
      <c r="E6148" s="22">
        <v>44988</v>
      </c>
      <c r="F6148" s="19">
        <v>4</v>
      </c>
      <c r="G6148" s="18">
        <v>7.0000000000000007E-2</v>
      </c>
      <c r="H6148">
        <f>F6148*VLOOKUP(B6148,產品!$A$2:$H$61,7,FALSE)*(1-銷售總表!G6148)</f>
        <v>44640</v>
      </c>
      <c r="I6148" s="35">
        <f>H6148-F6148*VLOOKUP(銷售總表!B6148,產品!$A$2:$H$61,8,FALSE)</f>
        <v>13440</v>
      </c>
      <c r="J6148" s="20">
        <f t="shared" si="96"/>
        <v>0.30107526881720431</v>
      </c>
    </row>
    <row r="6149" spans="1:10" x14ac:dyDescent="0.3">
      <c r="A6149" s="33">
        <v>6148</v>
      </c>
      <c r="B6149" s="4">
        <v>5</v>
      </c>
      <c r="C6149" s="15">
        <v>285</v>
      </c>
      <c r="D6149" s="16">
        <v>2</v>
      </c>
      <c r="E6149" s="23">
        <v>44988</v>
      </c>
      <c r="F6149">
        <v>13</v>
      </c>
      <c r="G6149" s="20">
        <v>0.16</v>
      </c>
      <c r="H6149">
        <f>F6149*VLOOKUP(B6149,產品!$A$2:$H$61,7,FALSE)*(1-銷售總表!G6149)</f>
        <v>10920</v>
      </c>
      <c r="I6149" s="35">
        <f>H6149-F6149*VLOOKUP(銷售總表!B6149,產品!$A$2:$H$61,8,FALSE)</f>
        <v>5720</v>
      </c>
      <c r="J6149" s="20">
        <f t="shared" si="96"/>
        <v>0.52380952380952384</v>
      </c>
    </row>
    <row r="6150" spans="1:10" x14ac:dyDescent="0.3">
      <c r="A6150" s="33">
        <v>6149</v>
      </c>
      <c r="B6150" s="4">
        <v>31</v>
      </c>
      <c r="C6150" s="15">
        <v>134</v>
      </c>
      <c r="D6150" s="16">
        <v>1</v>
      </c>
      <c r="E6150" s="22">
        <v>44989</v>
      </c>
      <c r="F6150" s="19">
        <v>25</v>
      </c>
      <c r="G6150" s="18">
        <v>0.05</v>
      </c>
      <c r="H6150">
        <f>F6150*VLOOKUP(B6150,產品!$A$2:$H$61,7,FALSE)*(1-銷售總表!G6150)</f>
        <v>166250</v>
      </c>
      <c r="I6150" s="35">
        <f>H6150-F6150*VLOOKUP(銷售總表!B6150,產品!$A$2:$H$61,8,FALSE)</f>
        <v>61250</v>
      </c>
      <c r="J6150" s="20">
        <f t="shared" si="96"/>
        <v>0.36842105263157893</v>
      </c>
    </row>
    <row r="6151" spans="1:10" x14ac:dyDescent="0.3">
      <c r="A6151" s="33">
        <v>6150</v>
      </c>
      <c r="B6151" s="4">
        <v>57</v>
      </c>
      <c r="C6151" s="15">
        <v>274</v>
      </c>
      <c r="D6151" s="16">
        <v>9</v>
      </c>
      <c r="E6151" s="22">
        <v>44989</v>
      </c>
      <c r="F6151" s="19">
        <v>5</v>
      </c>
      <c r="G6151" s="18">
        <v>0.17</v>
      </c>
      <c r="H6151">
        <f>F6151*VLOOKUP(B6151,產品!$A$2:$H$61,7,FALSE)*(1-銷售總表!G6151)</f>
        <v>74700</v>
      </c>
      <c r="I6151" s="35">
        <f>H6151-F6151*VLOOKUP(銷售總表!B6151,產品!$A$2:$H$61,8,FALSE)</f>
        <v>11700</v>
      </c>
      <c r="J6151" s="20">
        <f t="shared" si="96"/>
        <v>0.15662650602409639</v>
      </c>
    </row>
    <row r="6152" spans="1:10" x14ac:dyDescent="0.3">
      <c r="A6152" s="33">
        <v>6151</v>
      </c>
      <c r="B6152" s="4">
        <v>17</v>
      </c>
      <c r="C6152" s="15">
        <v>114</v>
      </c>
      <c r="D6152" s="16">
        <v>7</v>
      </c>
      <c r="E6152" s="23">
        <v>44989</v>
      </c>
      <c r="F6152">
        <v>90</v>
      </c>
      <c r="G6152" s="20">
        <v>0.12</v>
      </c>
      <c r="H6152">
        <f>F6152*VLOOKUP(B6152,產品!$A$2:$H$61,7,FALSE)*(1-銷售總表!G6152)</f>
        <v>142560</v>
      </c>
      <c r="I6152" s="35">
        <f>H6152-F6152*VLOOKUP(銷售總表!B6152,產品!$A$2:$H$61,8,FALSE)</f>
        <v>77760</v>
      </c>
      <c r="J6152" s="20">
        <f t="shared" si="96"/>
        <v>0.54545454545454541</v>
      </c>
    </row>
    <row r="6153" spans="1:10" x14ac:dyDescent="0.3">
      <c r="A6153" s="33">
        <v>6152</v>
      </c>
      <c r="B6153" s="4">
        <v>7</v>
      </c>
      <c r="C6153" s="15">
        <v>284</v>
      </c>
      <c r="D6153" s="16">
        <v>1</v>
      </c>
      <c r="E6153" s="22">
        <v>44990</v>
      </c>
      <c r="F6153" s="19">
        <v>50</v>
      </c>
      <c r="G6153" s="18">
        <v>0.17</v>
      </c>
      <c r="H6153">
        <f>F6153*VLOOKUP(B6153,產品!$A$2:$H$61,7,FALSE)*(1-銷售總表!G6153)</f>
        <v>41500</v>
      </c>
      <c r="I6153" s="35">
        <f>H6153-F6153*VLOOKUP(銷售總表!B6153,產品!$A$2:$H$61,8,FALSE)</f>
        <v>21500</v>
      </c>
      <c r="J6153" s="20">
        <f t="shared" si="96"/>
        <v>0.51807228915662651</v>
      </c>
    </row>
    <row r="6154" spans="1:10" x14ac:dyDescent="0.3">
      <c r="A6154" s="33">
        <v>6153</v>
      </c>
      <c r="B6154" s="4">
        <v>47</v>
      </c>
      <c r="C6154" s="15">
        <v>118</v>
      </c>
      <c r="D6154" s="16">
        <v>7</v>
      </c>
      <c r="E6154" s="23">
        <v>44990</v>
      </c>
      <c r="F6154">
        <v>11</v>
      </c>
      <c r="G6154" s="20">
        <v>0.05</v>
      </c>
      <c r="H6154">
        <f>F6154*VLOOKUP(B6154,產品!$A$2:$H$61,7,FALSE)*(1-銷售總表!G6154)</f>
        <v>209000</v>
      </c>
      <c r="I6154" s="35">
        <f>H6154-F6154*VLOOKUP(銷售總表!B6154,產品!$A$2:$H$61,8,FALSE)</f>
        <v>66000</v>
      </c>
      <c r="J6154" s="20">
        <f t="shared" si="96"/>
        <v>0.31578947368421051</v>
      </c>
    </row>
    <row r="6155" spans="1:10" x14ac:dyDescent="0.3">
      <c r="A6155" s="33">
        <v>6154</v>
      </c>
      <c r="B6155" s="4">
        <v>42</v>
      </c>
      <c r="C6155" s="15">
        <v>273</v>
      </c>
      <c r="D6155" s="16">
        <v>8</v>
      </c>
      <c r="E6155" s="22">
        <v>44991</v>
      </c>
      <c r="F6155" s="19">
        <v>8</v>
      </c>
      <c r="G6155" s="18">
        <v>0.13</v>
      </c>
      <c r="H6155">
        <f>F6155*VLOOKUP(B6155,產品!$A$2:$H$61,7,FALSE)*(1-銷售總表!G6155)</f>
        <v>104400</v>
      </c>
      <c r="I6155" s="35">
        <f>H6155-F6155*VLOOKUP(銷售總表!B6155,產品!$A$2:$H$61,8,FALSE)</f>
        <v>26400</v>
      </c>
      <c r="J6155" s="20">
        <f t="shared" si="96"/>
        <v>0.25287356321839083</v>
      </c>
    </row>
    <row r="6156" spans="1:10" x14ac:dyDescent="0.3">
      <c r="A6156" s="33">
        <v>6155</v>
      </c>
      <c r="B6156" s="4">
        <v>27</v>
      </c>
      <c r="C6156" s="15">
        <v>291</v>
      </c>
      <c r="D6156" s="16">
        <v>8</v>
      </c>
      <c r="E6156" s="22">
        <v>44991</v>
      </c>
      <c r="F6156" s="19">
        <v>2</v>
      </c>
      <c r="G6156" s="18">
        <v>0.06</v>
      </c>
      <c r="H6156">
        <f>F6156*VLOOKUP(B6156,產品!$A$2:$H$61,7,FALSE)*(1-銷售總表!G6156)</f>
        <v>13160</v>
      </c>
      <c r="I6156" s="35">
        <f>H6156-F6156*VLOOKUP(銷售總表!B6156,產品!$A$2:$H$61,8,FALSE)</f>
        <v>4760</v>
      </c>
      <c r="J6156" s="20">
        <f t="shared" si="96"/>
        <v>0.36170212765957449</v>
      </c>
    </row>
    <row r="6157" spans="1:10" x14ac:dyDescent="0.3">
      <c r="A6157" s="33">
        <v>6156</v>
      </c>
      <c r="B6157" s="4">
        <v>10</v>
      </c>
      <c r="C6157" s="15">
        <v>275</v>
      </c>
      <c r="D6157" s="16">
        <v>4</v>
      </c>
      <c r="E6157" s="22">
        <v>44991</v>
      </c>
      <c r="F6157" s="19">
        <v>10</v>
      </c>
      <c r="G6157" s="18">
        <v>0.06</v>
      </c>
      <c r="H6157">
        <f>F6157*VLOOKUP(B6157,產品!$A$2:$H$61,7,FALSE)*(1-銷售總表!G6157)</f>
        <v>9400</v>
      </c>
      <c r="I6157" s="35">
        <f>H6157-F6157*VLOOKUP(銷售總表!B6157,產品!$A$2:$H$61,8,FALSE)</f>
        <v>5400</v>
      </c>
      <c r="J6157" s="20">
        <f t="shared" si="96"/>
        <v>0.57446808510638303</v>
      </c>
    </row>
    <row r="6158" spans="1:10" x14ac:dyDescent="0.3">
      <c r="A6158" s="33">
        <v>6157</v>
      </c>
      <c r="B6158" s="4">
        <v>58</v>
      </c>
      <c r="C6158" s="15">
        <v>122</v>
      </c>
      <c r="D6158" s="16">
        <v>10</v>
      </c>
      <c r="E6158" s="22">
        <v>44991</v>
      </c>
      <c r="F6158" s="19">
        <v>8</v>
      </c>
      <c r="G6158" s="18">
        <v>0.09</v>
      </c>
      <c r="H6158">
        <f>F6158*VLOOKUP(B6158,產品!$A$2:$H$61,7,FALSE)*(1-銷售總表!G6158)</f>
        <v>152880</v>
      </c>
      <c r="I6158" s="35">
        <f>H6158-F6158*VLOOKUP(銷售總表!B6158,產品!$A$2:$H$61,8,FALSE)</f>
        <v>35280.000000000015</v>
      </c>
      <c r="J6158" s="20">
        <f t="shared" si="96"/>
        <v>0.23076923076923087</v>
      </c>
    </row>
    <row r="6159" spans="1:10" x14ac:dyDescent="0.3">
      <c r="A6159" s="33">
        <v>6158</v>
      </c>
      <c r="B6159" s="4">
        <v>47</v>
      </c>
      <c r="C6159" s="15">
        <v>4</v>
      </c>
      <c r="D6159" s="16">
        <v>8</v>
      </c>
      <c r="E6159" s="23">
        <v>44991</v>
      </c>
      <c r="F6159">
        <v>5</v>
      </c>
      <c r="G6159" s="20">
        <v>7.0000000000000007E-2</v>
      </c>
      <c r="H6159">
        <f>F6159*VLOOKUP(B6159,產品!$A$2:$H$61,7,FALSE)*(1-銷售總表!G6159)</f>
        <v>93000</v>
      </c>
      <c r="I6159" s="35">
        <f>H6159-F6159*VLOOKUP(銷售總表!B6159,產品!$A$2:$H$61,8,FALSE)</f>
        <v>28000</v>
      </c>
      <c r="J6159" s="20">
        <f t="shared" si="96"/>
        <v>0.30107526881720431</v>
      </c>
    </row>
    <row r="6160" spans="1:10" x14ac:dyDescent="0.3">
      <c r="A6160" s="33">
        <v>6159</v>
      </c>
      <c r="B6160" s="4">
        <v>53</v>
      </c>
      <c r="C6160" s="15">
        <v>119</v>
      </c>
      <c r="D6160" s="16">
        <v>6</v>
      </c>
      <c r="E6160" s="22">
        <v>44992</v>
      </c>
      <c r="F6160" s="19">
        <v>10</v>
      </c>
      <c r="G6160" s="18">
        <v>0.17</v>
      </c>
      <c r="H6160">
        <f>F6160*VLOOKUP(B6160,產品!$A$2:$H$61,7,FALSE)*(1-銷售總表!G6160)</f>
        <v>124500</v>
      </c>
      <c r="I6160" s="35">
        <f>H6160-F6160*VLOOKUP(銷售總表!B6160,產品!$A$2:$H$61,8,FALSE)</f>
        <v>19500</v>
      </c>
      <c r="J6160" s="20">
        <f t="shared" si="96"/>
        <v>0.15662650602409639</v>
      </c>
    </row>
    <row r="6161" spans="1:10" x14ac:dyDescent="0.3">
      <c r="A6161" s="33">
        <v>6160</v>
      </c>
      <c r="B6161" s="4">
        <v>57</v>
      </c>
      <c r="C6161" s="15">
        <v>135</v>
      </c>
      <c r="D6161" s="16">
        <v>6</v>
      </c>
      <c r="E6161" s="22">
        <v>44992</v>
      </c>
      <c r="F6161" s="19">
        <v>6</v>
      </c>
      <c r="G6161" s="18">
        <v>0.2</v>
      </c>
      <c r="H6161">
        <f>F6161*VLOOKUP(B6161,產品!$A$2:$H$61,7,FALSE)*(1-銷售總表!G6161)</f>
        <v>86400</v>
      </c>
      <c r="I6161" s="35">
        <f>H6161-F6161*VLOOKUP(銷售總表!B6161,產品!$A$2:$H$61,8,FALSE)</f>
        <v>10800</v>
      </c>
      <c r="J6161" s="20">
        <f t="shared" si="96"/>
        <v>0.125</v>
      </c>
    </row>
    <row r="6162" spans="1:10" x14ac:dyDescent="0.3">
      <c r="A6162" s="33">
        <v>6161</v>
      </c>
      <c r="B6162" s="4">
        <v>26</v>
      </c>
      <c r="C6162" s="15">
        <v>286</v>
      </c>
      <c r="D6162" s="16">
        <v>9</v>
      </c>
      <c r="E6162" s="22">
        <v>44992</v>
      </c>
      <c r="F6162" s="19">
        <v>4</v>
      </c>
      <c r="G6162" s="18">
        <v>0.13</v>
      </c>
      <c r="H6162">
        <f>F6162*VLOOKUP(B6162,產品!$A$2:$H$61,7,FALSE)*(1-銷售總表!G6162)</f>
        <v>22620</v>
      </c>
      <c r="I6162" s="35">
        <f>H6162-F6162*VLOOKUP(銷售總表!B6162,產品!$A$2:$H$61,8,FALSE)</f>
        <v>7020</v>
      </c>
      <c r="J6162" s="20">
        <f t="shared" si="96"/>
        <v>0.31034482758620691</v>
      </c>
    </row>
    <row r="6163" spans="1:10" x14ac:dyDescent="0.3">
      <c r="A6163" s="33">
        <v>6162</v>
      </c>
      <c r="B6163" s="4">
        <v>22</v>
      </c>
      <c r="C6163" s="15">
        <v>284</v>
      </c>
      <c r="D6163" s="16">
        <v>4</v>
      </c>
      <c r="E6163" s="23">
        <v>44992</v>
      </c>
      <c r="F6163">
        <v>100</v>
      </c>
      <c r="G6163" s="20">
        <v>0.19</v>
      </c>
      <c r="H6163">
        <f>F6163*VLOOKUP(B6163,產品!$A$2:$H$61,7,FALSE)*(1-銷售總表!G6163)</f>
        <v>145800</v>
      </c>
      <c r="I6163" s="35">
        <f>H6163-F6163*VLOOKUP(銷售總表!B6163,產品!$A$2:$H$61,8,FALSE)</f>
        <v>73800</v>
      </c>
      <c r="J6163" s="20">
        <f t="shared" si="96"/>
        <v>0.50617283950617287</v>
      </c>
    </row>
    <row r="6164" spans="1:10" x14ac:dyDescent="0.3">
      <c r="A6164" s="33">
        <v>6163</v>
      </c>
      <c r="B6164" s="4">
        <v>28</v>
      </c>
      <c r="C6164" s="15">
        <v>12</v>
      </c>
      <c r="D6164" s="16">
        <v>6</v>
      </c>
      <c r="E6164" s="22">
        <v>44993</v>
      </c>
      <c r="F6164" s="19">
        <v>9</v>
      </c>
      <c r="G6164" s="18">
        <v>0.2</v>
      </c>
      <c r="H6164">
        <f>F6164*VLOOKUP(B6164,產品!$A$2:$H$61,7,FALSE)*(1-銷售總表!G6164)</f>
        <v>54000</v>
      </c>
      <c r="I6164" s="35">
        <f>H6164-F6164*VLOOKUP(銷售總表!B6164,產品!$A$2:$H$61,8,FALSE)</f>
        <v>13500</v>
      </c>
      <c r="J6164" s="20">
        <f t="shared" si="96"/>
        <v>0.25</v>
      </c>
    </row>
    <row r="6165" spans="1:10" x14ac:dyDescent="0.3">
      <c r="A6165" s="33">
        <v>6164</v>
      </c>
      <c r="B6165" s="4">
        <v>53</v>
      </c>
      <c r="C6165" s="15">
        <v>115</v>
      </c>
      <c r="D6165" s="16">
        <v>7</v>
      </c>
      <c r="E6165" s="22">
        <v>44993</v>
      </c>
      <c r="F6165" s="19">
        <v>6</v>
      </c>
      <c r="G6165" s="18">
        <v>0.08</v>
      </c>
      <c r="H6165">
        <f>F6165*VLOOKUP(B6165,產品!$A$2:$H$61,7,FALSE)*(1-銷售總表!G6165)</f>
        <v>82800</v>
      </c>
      <c r="I6165" s="35">
        <f>H6165-F6165*VLOOKUP(銷售總表!B6165,產品!$A$2:$H$61,8,FALSE)</f>
        <v>19800</v>
      </c>
      <c r="J6165" s="20">
        <f t="shared" si="96"/>
        <v>0.2391304347826087</v>
      </c>
    </row>
    <row r="6166" spans="1:10" x14ac:dyDescent="0.3">
      <c r="A6166" s="33">
        <v>6165</v>
      </c>
      <c r="B6166" s="4">
        <v>12</v>
      </c>
      <c r="C6166" s="15">
        <v>2</v>
      </c>
      <c r="D6166" s="16">
        <v>1</v>
      </c>
      <c r="E6166" s="22">
        <v>44993</v>
      </c>
      <c r="F6166" s="19">
        <v>10</v>
      </c>
      <c r="G6166" s="18">
        <v>0.1</v>
      </c>
      <c r="H6166">
        <f>F6166*VLOOKUP(B6166,產品!$A$2:$H$61,7,FALSE)*(1-銷售總表!G6166)</f>
        <v>9000</v>
      </c>
      <c r="I6166" s="35">
        <f>H6166-F6166*VLOOKUP(銷售總表!B6166,產品!$A$2:$H$61,8,FALSE)</f>
        <v>5000</v>
      </c>
      <c r="J6166" s="20">
        <f t="shared" si="96"/>
        <v>0.55555555555555558</v>
      </c>
    </row>
    <row r="6167" spans="1:10" x14ac:dyDescent="0.3">
      <c r="A6167" s="33">
        <v>6166</v>
      </c>
      <c r="B6167" s="4">
        <v>28</v>
      </c>
      <c r="C6167" s="15">
        <v>116</v>
      </c>
      <c r="D6167" s="16">
        <v>9</v>
      </c>
      <c r="E6167" s="22">
        <v>44993</v>
      </c>
      <c r="F6167" s="19">
        <v>24</v>
      </c>
      <c r="G6167" s="18">
        <v>0.13</v>
      </c>
      <c r="H6167">
        <f>F6167*VLOOKUP(B6167,產品!$A$2:$H$61,7,FALSE)*(1-銷售總表!G6167)</f>
        <v>156600</v>
      </c>
      <c r="I6167" s="35">
        <f>H6167-F6167*VLOOKUP(銷售總表!B6167,產品!$A$2:$H$61,8,FALSE)</f>
        <v>48600</v>
      </c>
      <c r="J6167" s="20">
        <f t="shared" si="96"/>
        <v>0.31034482758620691</v>
      </c>
    </row>
    <row r="6168" spans="1:10" x14ac:dyDescent="0.3">
      <c r="A6168" s="33">
        <v>6167</v>
      </c>
      <c r="B6168" s="4">
        <v>51</v>
      </c>
      <c r="C6168" s="15">
        <v>1</v>
      </c>
      <c r="D6168" s="16">
        <v>4</v>
      </c>
      <c r="E6168" s="22">
        <v>44993</v>
      </c>
      <c r="F6168" s="19">
        <v>9</v>
      </c>
      <c r="G6168" s="18">
        <v>0.16</v>
      </c>
      <c r="H6168">
        <f>F6168*VLOOKUP(B6168,產品!$A$2:$H$61,7,FALSE)*(1-銷售總表!G6168)</f>
        <v>151200</v>
      </c>
      <c r="I6168" s="35">
        <f>H6168-F6168*VLOOKUP(銷售總表!B6168,產品!$A$2:$H$61,8,FALSE)</f>
        <v>25200</v>
      </c>
      <c r="J6168" s="20">
        <f t="shared" si="96"/>
        <v>0.16666666666666666</v>
      </c>
    </row>
    <row r="6169" spans="1:10" x14ac:dyDescent="0.3">
      <c r="A6169" s="33">
        <v>6168</v>
      </c>
      <c r="B6169" s="4">
        <v>46</v>
      </c>
      <c r="C6169" s="15">
        <v>264</v>
      </c>
      <c r="D6169" s="16">
        <v>3</v>
      </c>
      <c r="E6169" s="22">
        <v>44993</v>
      </c>
      <c r="F6169" s="19">
        <v>5</v>
      </c>
      <c r="G6169" s="18">
        <v>0.19</v>
      </c>
      <c r="H6169">
        <f>F6169*VLOOKUP(B6169,產品!$A$2:$H$61,7,FALSE)*(1-銷售總表!G6169)</f>
        <v>68850</v>
      </c>
      <c r="I6169" s="35">
        <f>H6169-F6169*VLOOKUP(銷售總表!B6169,產品!$A$2:$H$61,8,FALSE)</f>
        <v>13600</v>
      </c>
      <c r="J6169" s="20">
        <f t="shared" si="96"/>
        <v>0.19753086419753085</v>
      </c>
    </row>
    <row r="6170" spans="1:10" x14ac:dyDescent="0.3">
      <c r="A6170" s="33">
        <v>6169</v>
      </c>
      <c r="B6170" s="4">
        <v>44</v>
      </c>
      <c r="C6170" s="15">
        <v>8</v>
      </c>
      <c r="D6170" s="16">
        <v>2</v>
      </c>
      <c r="E6170" s="23">
        <v>44993</v>
      </c>
      <c r="F6170">
        <v>1</v>
      </c>
      <c r="G6170" s="20">
        <v>0.05</v>
      </c>
      <c r="H6170">
        <f>F6170*VLOOKUP(B6170,產品!$A$2:$H$61,7,FALSE)*(1-銷售總表!G6170)</f>
        <v>19000</v>
      </c>
      <c r="I6170" s="35">
        <f>H6170-F6170*VLOOKUP(銷售總表!B6170,產品!$A$2:$H$61,8,FALSE)</f>
        <v>6000</v>
      </c>
      <c r="J6170" s="20">
        <f t="shared" si="96"/>
        <v>0.31578947368421051</v>
      </c>
    </row>
    <row r="6171" spans="1:10" x14ac:dyDescent="0.3">
      <c r="A6171" s="33">
        <v>6170</v>
      </c>
      <c r="B6171" s="4">
        <v>16</v>
      </c>
      <c r="C6171" s="15">
        <v>293</v>
      </c>
      <c r="D6171" s="16">
        <v>4</v>
      </c>
      <c r="E6171" s="23">
        <v>44993</v>
      </c>
      <c r="F6171">
        <v>40</v>
      </c>
      <c r="G6171" s="20">
        <v>0.2</v>
      </c>
      <c r="H6171">
        <f>F6171*VLOOKUP(B6171,產品!$A$2:$H$61,7,FALSE)*(1-銷售總表!G6171)</f>
        <v>57600</v>
      </c>
      <c r="I6171" s="35">
        <f>H6171-F6171*VLOOKUP(銷售總表!B6171,產品!$A$2:$H$61,8,FALSE)</f>
        <v>28800</v>
      </c>
      <c r="J6171" s="20">
        <f t="shared" si="96"/>
        <v>0.5</v>
      </c>
    </row>
    <row r="6172" spans="1:10" x14ac:dyDescent="0.3">
      <c r="A6172" s="33">
        <v>6171</v>
      </c>
      <c r="B6172" s="4">
        <v>1</v>
      </c>
      <c r="C6172" s="15">
        <v>257</v>
      </c>
      <c r="D6172" s="16">
        <v>9</v>
      </c>
      <c r="E6172" s="22">
        <v>44994</v>
      </c>
      <c r="F6172" s="19">
        <v>70</v>
      </c>
      <c r="G6172" s="18">
        <v>0.2</v>
      </c>
      <c r="H6172">
        <f>F6172*VLOOKUP(B6172,產品!$A$2:$H$61,7,FALSE)*(1-銷售總表!G6172)</f>
        <v>56000</v>
      </c>
      <c r="I6172" s="35">
        <f>H6172-F6172*VLOOKUP(銷售總表!B6172,產品!$A$2:$H$61,8,FALSE)</f>
        <v>28000</v>
      </c>
      <c r="J6172" s="20">
        <f t="shared" si="96"/>
        <v>0.5</v>
      </c>
    </row>
    <row r="6173" spans="1:10" x14ac:dyDescent="0.3">
      <c r="A6173" s="33">
        <v>6172</v>
      </c>
      <c r="B6173" s="4">
        <v>13</v>
      </c>
      <c r="C6173" s="15">
        <v>257</v>
      </c>
      <c r="D6173" s="16">
        <v>8</v>
      </c>
      <c r="E6173" s="22">
        <v>44994</v>
      </c>
      <c r="F6173" s="19">
        <v>80</v>
      </c>
      <c r="G6173" s="18">
        <v>0.11</v>
      </c>
      <c r="H6173">
        <f>F6173*VLOOKUP(B6173,產品!$A$2:$H$61,7,FALSE)*(1-銷售總表!G6173)</f>
        <v>128160</v>
      </c>
      <c r="I6173" s="35">
        <f>H6173-F6173*VLOOKUP(銷售總表!B6173,產品!$A$2:$H$61,8,FALSE)</f>
        <v>70560</v>
      </c>
      <c r="J6173" s="20">
        <f t="shared" si="96"/>
        <v>0.550561797752809</v>
      </c>
    </row>
    <row r="6174" spans="1:10" x14ac:dyDescent="0.3">
      <c r="A6174" s="33">
        <v>6173</v>
      </c>
      <c r="B6174" s="4">
        <v>12</v>
      </c>
      <c r="C6174" s="15">
        <v>2</v>
      </c>
      <c r="D6174" s="16">
        <v>7</v>
      </c>
      <c r="E6174" s="22">
        <v>44994</v>
      </c>
      <c r="F6174" s="19">
        <v>10</v>
      </c>
      <c r="G6174" s="18">
        <v>0.06</v>
      </c>
      <c r="H6174">
        <f>F6174*VLOOKUP(B6174,產品!$A$2:$H$61,7,FALSE)*(1-銷售總表!G6174)</f>
        <v>9400</v>
      </c>
      <c r="I6174" s="35">
        <f>H6174-F6174*VLOOKUP(銷售總表!B6174,產品!$A$2:$H$61,8,FALSE)</f>
        <v>5400</v>
      </c>
      <c r="J6174" s="20">
        <f t="shared" si="96"/>
        <v>0.57446808510638303</v>
      </c>
    </row>
    <row r="6175" spans="1:10" x14ac:dyDescent="0.3">
      <c r="A6175" s="33">
        <v>6174</v>
      </c>
      <c r="B6175" s="4">
        <v>54</v>
      </c>
      <c r="C6175" s="15">
        <v>262</v>
      </c>
      <c r="D6175" s="16">
        <v>6</v>
      </c>
      <c r="E6175" s="23">
        <v>44994</v>
      </c>
      <c r="F6175">
        <v>4</v>
      </c>
      <c r="G6175" s="20">
        <v>0.17</v>
      </c>
      <c r="H6175">
        <f>F6175*VLOOKUP(B6175,產品!$A$2:$H$61,7,FALSE)*(1-銷售總表!G6175)</f>
        <v>59760</v>
      </c>
      <c r="I6175" s="35">
        <f>H6175-F6175*VLOOKUP(銷售總表!B6175,產品!$A$2:$H$61,8,FALSE)</f>
        <v>9360</v>
      </c>
      <c r="J6175" s="20">
        <f t="shared" si="96"/>
        <v>0.15662650602409639</v>
      </c>
    </row>
    <row r="6176" spans="1:10" x14ac:dyDescent="0.3">
      <c r="A6176" s="33">
        <v>6175</v>
      </c>
      <c r="B6176" s="4">
        <v>25</v>
      </c>
      <c r="C6176" s="15">
        <v>140</v>
      </c>
      <c r="D6176" s="16">
        <v>8</v>
      </c>
      <c r="E6176" s="22">
        <v>44994</v>
      </c>
      <c r="F6176" s="19">
        <v>2</v>
      </c>
      <c r="G6176" s="18">
        <v>0.17</v>
      </c>
      <c r="H6176">
        <f>F6176*VLOOKUP(B6176,產品!$A$2:$H$61,7,FALSE)*(1-銷售總表!G6176)</f>
        <v>9960</v>
      </c>
      <c r="I6176" s="35">
        <f>H6176-F6176*VLOOKUP(銷售總表!B6176,產品!$A$2:$H$61,8,FALSE)</f>
        <v>2760</v>
      </c>
      <c r="J6176" s="20">
        <f t="shared" si="96"/>
        <v>0.27710843373493976</v>
      </c>
    </row>
    <row r="6177" spans="1:10" x14ac:dyDescent="0.3">
      <c r="A6177" s="33">
        <v>6176</v>
      </c>
      <c r="B6177" s="4">
        <v>52</v>
      </c>
      <c r="C6177" s="15">
        <v>9</v>
      </c>
      <c r="D6177" s="16">
        <v>6</v>
      </c>
      <c r="E6177" s="22">
        <v>44995</v>
      </c>
      <c r="F6177" s="19">
        <v>6</v>
      </c>
      <c r="G6177" s="18">
        <v>0.13</v>
      </c>
      <c r="H6177">
        <f>F6177*VLOOKUP(B6177,產品!$A$2:$H$61,7,FALSE)*(1-銷售總表!G6177)</f>
        <v>114840</v>
      </c>
      <c r="I6177" s="35">
        <f>H6177-F6177*VLOOKUP(銷售總表!B6177,產品!$A$2:$H$61,8,FALSE)</f>
        <v>22440.000000000015</v>
      </c>
      <c r="J6177" s="20">
        <f t="shared" si="96"/>
        <v>0.19540229885057483</v>
      </c>
    </row>
    <row r="6178" spans="1:10" x14ac:dyDescent="0.3">
      <c r="A6178" s="33">
        <v>6177</v>
      </c>
      <c r="B6178" s="4">
        <v>35</v>
      </c>
      <c r="C6178" s="15">
        <v>293</v>
      </c>
      <c r="D6178" s="16">
        <v>4</v>
      </c>
      <c r="E6178" s="22">
        <v>44995</v>
      </c>
      <c r="F6178" s="19">
        <v>5</v>
      </c>
      <c r="G6178" s="18">
        <v>7.0000000000000007E-2</v>
      </c>
      <c r="H6178">
        <f>F6178*VLOOKUP(B6178,產品!$A$2:$H$61,7,FALSE)*(1-銷售總表!G6178)</f>
        <v>39525</v>
      </c>
      <c r="I6178" s="35">
        <f>H6178-F6178*VLOOKUP(銷售總表!B6178,產品!$A$2:$H$61,8,FALSE)</f>
        <v>14025</v>
      </c>
      <c r="J6178" s="20">
        <f t="shared" si="96"/>
        <v>0.35483870967741937</v>
      </c>
    </row>
    <row r="6179" spans="1:10" x14ac:dyDescent="0.3">
      <c r="A6179" s="33">
        <v>6178</v>
      </c>
      <c r="B6179" s="4">
        <v>56</v>
      </c>
      <c r="C6179" s="15">
        <v>272</v>
      </c>
      <c r="D6179" s="16">
        <v>1</v>
      </c>
      <c r="E6179" s="22">
        <v>44996</v>
      </c>
      <c r="F6179" s="19">
        <v>9</v>
      </c>
      <c r="G6179" s="18">
        <v>0.12</v>
      </c>
      <c r="H6179">
        <f>F6179*VLOOKUP(B6179,產品!$A$2:$H$61,7,FALSE)*(1-銷售總表!G6179)</f>
        <v>174240</v>
      </c>
      <c r="I6179" s="35">
        <f>H6179-F6179*VLOOKUP(銷售總表!B6179,產品!$A$2:$H$61,8,FALSE)</f>
        <v>35640.000000000029</v>
      </c>
      <c r="J6179" s="20">
        <f t="shared" si="96"/>
        <v>0.20454545454545472</v>
      </c>
    </row>
    <row r="6180" spans="1:10" x14ac:dyDescent="0.3">
      <c r="A6180" s="33">
        <v>6179</v>
      </c>
      <c r="B6180" s="4">
        <v>57</v>
      </c>
      <c r="C6180" s="15">
        <v>293</v>
      </c>
      <c r="D6180" s="16">
        <v>7</v>
      </c>
      <c r="E6180" s="22">
        <v>44997</v>
      </c>
      <c r="F6180" s="19">
        <v>15</v>
      </c>
      <c r="G6180" s="18">
        <v>0.18</v>
      </c>
      <c r="H6180">
        <f>F6180*VLOOKUP(B6180,產品!$A$2:$H$61,7,FALSE)*(1-銷售總表!G6180)</f>
        <v>221400.00000000003</v>
      </c>
      <c r="I6180" s="35">
        <f>H6180-F6180*VLOOKUP(銷售總表!B6180,產品!$A$2:$H$61,8,FALSE)</f>
        <v>32400.000000000029</v>
      </c>
      <c r="J6180" s="20">
        <f t="shared" si="96"/>
        <v>0.14634146341463425</v>
      </c>
    </row>
    <row r="6181" spans="1:10" x14ac:dyDescent="0.3">
      <c r="A6181" s="33">
        <v>6180</v>
      </c>
      <c r="B6181" s="4">
        <v>20</v>
      </c>
      <c r="C6181" s="15">
        <v>11</v>
      </c>
      <c r="D6181" s="16">
        <v>4</v>
      </c>
      <c r="E6181" s="22">
        <v>44997</v>
      </c>
      <c r="F6181" s="19">
        <v>10</v>
      </c>
      <c r="G6181" s="18">
        <v>0.09</v>
      </c>
      <c r="H6181">
        <f>F6181*VLOOKUP(B6181,產品!$A$2:$H$61,7,FALSE)*(1-銷售總表!G6181)</f>
        <v>16380</v>
      </c>
      <c r="I6181" s="35">
        <f>H6181-F6181*VLOOKUP(銷售總表!B6181,產品!$A$2:$H$61,8,FALSE)</f>
        <v>9180</v>
      </c>
      <c r="J6181" s="20">
        <f t="shared" si="96"/>
        <v>0.56043956043956045</v>
      </c>
    </row>
    <row r="6182" spans="1:10" x14ac:dyDescent="0.3">
      <c r="A6182" s="33">
        <v>6181</v>
      </c>
      <c r="B6182" s="4">
        <v>19</v>
      </c>
      <c r="C6182" s="15">
        <v>258</v>
      </c>
      <c r="D6182" s="16">
        <v>10</v>
      </c>
      <c r="E6182" s="22">
        <v>44997</v>
      </c>
      <c r="F6182" s="19">
        <v>195</v>
      </c>
      <c r="G6182" s="18">
        <v>0.15</v>
      </c>
      <c r="H6182">
        <f>F6182*VLOOKUP(B6182,產品!$A$2:$H$61,7,FALSE)*(1-銷售總表!G6182)</f>
        <v>298350</v>
      </c>
      <c r="I6182" s="35">
        <f>H6182-F6182*VLOOKUP(銷售總表!B6182,產品!$A$2:$H$61,8,FALSE)</f>
        <v>157950</v>
      </c>
      <c r="J6182" s="20">
        <f t="shared" si="96"/>
        <v>0.52941176470588236</v>
      </c>
    </row>
    <row r="6183" spans="1:10" x14ac:dyDescent="0.3">
      <c r="A6183" s="33">
        <v>6182</v>
      </c>
      <c r="B6183" s="4">
        <v>34</v>
      </c>
      <c r="C6183" s="15">
        <v>134</v>
      </c>
      <c r="D6183" s="16">
        <v>10</v>
      </c>
      <c r="E6183" s="23">
        <v>44997</v>
      </c>
      <c r="F6183">
        <v>25</v>
      </c>
      <c r="G6183" s="20">
        <v>0.13</v>
      </c>
      <c r="H6183">
        <f>F6183*VLOOKUP(B6183,產品!$A$2:$H$61,7,FALSE)*(1-銷售總表!G6183)</f>
        <v>174000</v>
      </c>
      <c r="I6183" s="35">
        <f>H6183-F6183*VLOOKUP(銷售總表!B6183,產品!$A$2:$H$61,8,FALSE)</f>
        <v>54000</v>
      </c>
      <c r="J6183" s="20">
        <f t="shared" si="96"/>
        <v>0.31034482758620691</v>
      </c>
    </row>
    <row r="6184" spans="1:10" x14ac:dyDescent="0.3">
      <c r="A6184" s="33">
        <v>6183</v>
      </c>
      <c r="B6184" s="4">
        <v>24</v>
      </c>
      <c r="C6184" s="15">
        <v>288</v>
      </c>
      <c r="D6184" s="16">
        <v>10</v>
      </c>
      <c r="E6184" s="22">
        <v>44998</v>
      </c>
      <c r="F6184" s="19">
        <v>90</v>
      </c>
      <c r="G6184" s="18">
        <v>0.12</v>
      </c>
      <c r="H6184">
        <f>F6184*VLOOKUP(B6184,產品!$A$2:$H$61,7,FALSE)*(1-銷售總表!G6184)</f>
        <v>142560</v>
      </c>
      <c r="I6184" s="35">
        <f>H6184-F6184*VLOOKUP(銷售總表!B6184,產品!$A$2:$H$61,8,FALSE)</f>
        <v>77760</v>
      </c>
      <c r="J6184" s="20">
        <f t="shared" si="96"/>
        <v>0.54545454545454541</v>
      </c>
    </row>
    <row r="6185" spans="1:10" x14ac:dyDescent="0.3">
      <c r="A6185" s="33">
        <v>6184</v>
      </c>
      <c r="B6185" s="4">
        <v>13</v>
      </c>
      <c r="C6185" s="15">
        <v>283</v>
      </c>
      <c r="D6185" s="16">
        <v>10</v>
      </c>
      <c r="E6185" s="22">
        <v>44998</v>
      </c>
      <c r="F6185" s="19">
        <v>75</v>
      </c>
      <c r="G6185" s="18">
        <v>0.13</v>
      </c>
      <c r="H6185">
        <f>F6185*VLOOKUP(B6185,產品!$A$2:$H$61,7,FALSE)*(1-銷售總表!G6185)</f>
        <v>117450</v>
      </c>
      <c r="I6185" s="35">
        <f>H6185-F6185*VLOOKUP(銷售總表!B6185,產品!$A$2:$H$61,8,FALSE)</f>
        <v>63450</v>
      </c>
      <c r="J6185" s="20">
        <f t="shared" si="96"/>
        <v>0.54022988505747127</v>
      </c>
    </row>
    <row r="6186" spans="1:10" x14ac:dyDescent="0.3">
      <c r="A6186" s="33">
        <v>6185</v>
      </c>
      <c r="B6186" s="4">
        <v>52</v>
      </c>
      <c r="C6186" s="15">
        <v>113</v>
      </c>
      <c r="D6186" s="16">
        <v>8</v>
      </c>
      <c r="E6186" s="22">
        <v>44998</v>
      </c>
      <c r="F6186" s="19">
        <v>14</v>
      </c>
      <c r="G6186" s="18">
        <v>0.15</v>
      </c>
      <c r="H6186">
        <f>F6186*VLOOKUP(B6186,產品!$A$2:$H$61,7,FALSE)*(1-銷售總表!G6186)</f>
        <v>261800</v>
      </c>
      <c r="I6186" s="35">
        <f>H6186-F6186*VLOOKUP(銷售總表!B6186,產品!$A$2:$H$61,8,FALSE)</f>
        <v>46200.000000000029</v>
      </c>
      <c r="J6186" s="20">
        <f t="shared" si="96"/>
        <v>0.17647058823529424</v>
      </c>
    </row>
    <row r="6187" spans="1:10" x14ac:dyDescent="0.3">
      <c r="A6187" s="33">
        <v>6186</v>
      </c>
      <c r="B6187" s="4">
        <v>46</v>
      </c>
      <c r="C6187" s="15">
        <v>137</v>
      </c>
      <c r="D6187" s="16">
        <v>5</v>
      </c>
      <c r="E6187" s="22">
        <v>44998</v>
      </c>
      <c r="F6187" s="19">
        <v>5</v>
      </c>
      <c r="G6187" s="18">
        <v>0.15</v>
      </c>
      <c r="H6187">
        <f>F6187*VLOOKUP(B6187,產品!$A$2:$H$61,7,FALSE)*(1-銷售總表!G6187)</f>
        <v>72250</v>
      </c>
      <c r="I6187" s="35">
        <f>H6187-F6187*VLOOKUP(銷售總表!B6187,產品!$A$2:$H$61,8,FALSE)</f>
        <v>17000</v>
      </c>
      <c r="J6187" s="20">
        <f t="shared" si="96"/>
        <v>0.23529411764705882</v>
      </c>
    </row>
    <row r="6188" spans="1:10" x14ac:dyDescent="0.3">
      <c r="A6188" s="33">
        <v>6187</v>
      </c>
      <c r="B6188" s="4">
        <v>59</v>
      </c>
      <c r="C6188" s="15">
        <v>123</v>
      </c>
      <c r="D6188" s="16">
        <v>9</v>
      </c>
      <c r="E6188" s="22">
        <v>44998</v>
      </c>
      <c r="F6188" s="19">
        <v>6</v>
      </c>
      <c r="G6188" s="18">
        <v>0.09</v>
      </c>
      <c r="H6188">
        <f>F6188*VLOOKUP(B6188,產品!$A$2:$H$61,7,FALSE)*(1-銷售總表!G6188)</f>
        <v>131040</v>
      </c>
      <c r="I6188" s="35">
        <f>H6188-F6188*VLOOKUP(銷售總表!B6188,產品!$A$2:$H$61,8,FALSE)</f>
        <v>30240</v>
      </c>
      <c r="J6188" s="20">
        <f t="shared" si="96"/>
        <v>0.23076923076923078</v>
      </c>
    </row>
    <row r="6189" spans="1:10" x14ac:dyDescent="0.3">
      <c r="A6189" s="33">
        <v>6188</v>
      </c>
      <c r="B6189" s="4">
        <v>20</v>
      </c>
      <c r="C6189" s="15">
        <v>280</v>
      </c>
      <c r="D6189" s="16">
        <v>9</v>
      </c>
      <c r="E6189" s="22">
        <v>44998</v>
      </c>
      <c r="F6189" s="19">
        <v>40</v>
      </c>
      <c r="G6189" s="18">
        <v>0.18</v>
      </c>
      <c r="H6189">
        <f>F6189*VLOOKUP(B6189,產品!$A$2:$H$61,7,FALSE)*(1-銷售總表!G6189)</f>
        <v>59040.000000000007</v>
      </c>
      <c r="I6189" s="35">
        <f>H6189-F6189*VLOOKUP(銷售總表!B6189,產品!$A$2:$H$61,8,FALSE)</f>
        <v>30240.000000000007</v>
      </c>
      <c r="J6189" s="20">
        <f t="shared" si="96"/>
        <v>0.51219512195121952</v>
      </c>
    </row>
    <row r="6190" spans="1:10" x14ac:dyDescent="0.3">
      <c r="A6190" s="33">
        <v>6189</v>
      </c>
      <c r="B6190" s="4">
        <v>3</v>
      </c>
      <c r="C6190" s="15">
        <v>293</v>
      </c>
      <c r="D6190" s="16">
        <v>8</v>
      </c>
      <c r="E6190" s="23">
        <v>44998</v>
      </c>
      <c r="F6190">
        <v>70</v>
      </c>
      <c r="G6190" s="20">
        <v>0.14000000000000001</v>
      </c>
      <c r="H6190">
        <f>F6190*VLOOKUP(B6190,產品!$A$2:$H$61,7,FALSE)*(1-銷售總表!G6190)</f>
        <v>60200</v>
      </c>
      <c r="I6190" s="35">
        <f>H6190-F6190*VLOOKUP(銷售總表!B6190,產品!$A$2:$H$61,8,FALSE)</f>
        <v>32200</v>
      </c>
      <c r="J6190" s="20">
        <f t="shared" si="96"/>
        <v>0.53488372093023251</v>
      </c>
    </row>
    <row r="6191" spans="1:10" x14ac:dyDescent="0.3">
      <c r="A6191" s="33">
        <v>6190</v>
      </c>
      <c r="B6191" s="4">
        <v>46</v>
      </c>
      <c r="C6191" s="15">
        <v>262</v>
      </c>
      <c r="D6191" s="16">
        <v>3</v>
      </c>
      <c r="E6191" s="22">
        <v>44999</v>
      </c>
      <c r="F6191" s="19">
        <v>19</v>
      </c>
      <c r="G6191" s="18">
        <v>0.13</v>
      </c>
      <c r="H6191">
        <f>F6191*VLOOKUP(B6191,產品!$A$2:$H$61,7,FALSE)*(1-銷售總表!G6191)</f>
        <v>281010</v>
      </c>
      <c r="I6191" s="35">
        <f>H6191-F6191*VLOOKUP(銷售總表!B6191,產品!$A$2:$H$61,8,FALSE)</f>
        <v>71060</v>
      </c>
      <c r="J6191" s="20">
        <f t="shared" si="96"/>
        <v>0.25287356321839083</v>
      </c>
    </row>
    <row r="6192" spans="1:10" x14ac:dyDescent="0.3">
      <c r="A6192" s="33">
        <v>6191</v>
      </c>
      <c r="B6192" s="4">
        <v>35</v>
      </c>
      <c r="C6192" s="15">
        <v>291</v>
      </c>
      <c r="D6192" s="16">
        <v>8</v>
      </c>
      <c r="E6192" s="23">
        <v>44999</v>
      </c>
      <c r="F6192">
        <v>4</v>
      </c>
      <c r="G6192" s="20">
        <v>0.09</v>
      </c>
      <c r="H6192">
        <f>F6192*VLOOKUP(B6192,產品!$A$2:$H$61,7,FALSE)*(1-銷售總表!G6192)</f>
        <v>30940</v>
      </c>
      <c r="I6192" s="35">
        <f>H6192-F6192*VLOOKUP(銷售總表!B6192,產品!$A$2:$H$61,8,FALSE)</f>
        <v>10540</v>
      </c>
      <c r="J6192" s="20">
        <f t="shared" si="96"/>
        <v>0.34065934065934067</v>
      </c>
    </row>
    <row r="6193" spans="1:10" x14ac:dyDescent="0.3">
      <c r="A6193" s="33">
        <v>6192</v>
      </c>
      <c r="B6193" s="4">
        <v>35</v>
      </c>
      <c r="C6193" s="15">
        <v>118</v>
      </c>
      <c r="D6193" s="16">
        <v>4</v>
      </c>
      <c r="E6193" s="22">
        <v>45000</v>
      </c>
      <c r="F6193" s="19">
        <v>5</v>
      </c>
      <c r="G6193" s="18">
        <v>0.18</v>
      </c>
      <c r="H6193">
        <f>F6193*VLOOKUP(B6193,產品!$A$2:$H$61,7,FALSE)*(1-銷售總表!G6193)</f>
        <v>34850</v>
      </c>
      <c r="I6193" s="35">
        <f>H6193-F6193*VLOOKUP(銷售總表!B6193,產品!$A$2:$H$61,8,FALSE)</f>
        <v>9350</v>
      </c>
      <c r="J6193" s="20">
        <f t="shared" si="96"/>
        <v>0.26829268292682928</v>
      </c>
    </row>
    <row r="6194" spans="1:10" x14ac:dyDescent="0.3">
      <c r="A6194" s="33">
        <v>6193</v>
      </c>
      <c r="B6194" s="4">
        <v>42</v>
      </c>
      <c r="C6194" s="15">
        <v>7</v>
      </c>
      <c r="D6194" s="16">
        <v>7</v>
      </c>
      <c r="E6194" s="22">
        <v>45000</v>
      </c>
      <c r="F6194" s="19">
        <v>12</v>
      </c>
      <c r="G6194" s="18">
        <v>0.16</v>
      </c>
      <c r="H6194">
        <f>F6194*VLOOKUP(B6194,產品!$A$2:$H$61,7,FALSE)*(1-銷售總表!G6194)</f>
        <v>151200</v>
      </c>
      <c r="I6194" s="35">
        <f>H6194-F6194*VLOOKUP(銷售總表!B6194,產品!$A$2:$H$61,8,FALSE)</f>
        <v>34200</v>
      </c>
      <c r="J6194" s="20">
        <f t="shared" si="96"/>
        <v>0.22619047619047619</v>
      </c>
    </row>
    <row r="6195" spans="1:10" x14ac:dyDescent="0.3">
      <c r="A6195" s="33">
        <v>6194</v>
      </c>
      <c r="B6195" s="4">
        <v>14</v>
      </c>
      <c r="C6195" s="15">
        <v>268</v>
      </c>
      <c r="D6195" s="16">
        <v>4</v>
      </c>
      <c r="E6195" s="22">
        <v>45000</v>
      </c>
      <c r="F6195" s="19">
        <v>100</v>
      </c>
      <c r="G6195" s="18">
        <v>0.17</v>
      </c>
      <c r="H6195">
        <f>F6195*VLOOKUP(B6195,產品!$A$2:$H$61,7,FALSE)*(1-銷售總表!G6195)</f>
        <v>149400</v>
      </c>
      <c r="I6195" s="35">
        <f>H6195-F6195*VLOOKUP(銷售總表!B6195,產品!$A$2:$H$61,8,FALSE)</f>
        <v>77400</v>
      </c>
      <c r="J6195" s="20">
        <f t="shared" si="96"/>
        <v>0.51807228915662651</v>
      </c>
    </row>
    <row r="6196" spans="1:10" x14ac:dyDescent="0.3">
      <c r="A6196" s="33">
        <v>6195</v>
      </c>
      <c r="B6196" s="4">
        <v>57</v>
      </c>
      <c r="C6196" s="15">
        <v>1</v>
      </c>
      <c r="D6196" s="16">
        <v>4</v>
      </c>
      <c r="E6196" s="22">
        <v>45001</v>
      </c>
      <c r="F6196" s="19">
        <v>10</v>
      </c>
      <c r="G6196" s="18">
        <v>0.15</v>
      </c>
      <c r="H6196">
        <f>F6196*VLOOKUP(B6196,產品!$A$2:$H$61,7,FALSE)*(1-銷售總表!G6196)</f>
        <v>153000</v>
      </c>
      <c r="I6196" s="35">
        <f>H6196-F6196*VLOOKUP(銷售總表!B6196,產品!$A$2:$H$61,8,FALSE)</f>
        <v>27000</v>
      </c>
      <c r="J6196" s="20">
        <f t="shared" si="96"/>
        <v>0.17647058823529413</v>
      </c>
    </row>
    <row r="6197" spans="1:10" x14ac:dyDescent="0.3">
      <c r="A6197" s="33">
        <v>6196</v>
      </c>
      <c r="B6197" s="4">
        <v>45</v>
      </c>
      <c r="C6197" s="15">
        <v>261</v>
      </c>
      <c r="D6197" s="16">
        <v>1</v>
      </c>
      <c r="E6197" s="22">
        <v>45001</v>
      </c>
      <c r="F6197" s="19">
        <v>9</v>
      </c>
      <c r="G6197" s="18">
        <v>0.06</v>
      </c>
      <c r="H6197">
        <f>F6197*VLOOKUP(B6197,產品!$A$2:$H$61,7,FALSE)*(1-銷售總表!G6197)</f>
        <v>118440</v>
      </c>
      <c r="I6197" s="35">
        <f>H6197-F6197*VLOOKUP(銷售總表!B6197,產品!$A$2:$H$61,8,FALSE)</f>
        <v>36540</v>
      </c>
      <c r="J6197" s="20">
        <f t="shared" si="96"/>
        <v>0.30851063829787234</v>
      </c>
    </row>
    <row r="6198" spans="1:10" x14ac:dyDescent="0.3">
      <c r="A6198" s="33">
        <v>6197</v>
      </c>
      <c r="B6198" s="4">
        <v>57</v>
      </c>
      <c r="C6198" s="15">
        <v>278</v>
      </c>
      <c r="D6198" s="16">
        <v>10</v>
      </c>
      <c r="E6198" s="22">
        <v>45002</v>
      </c>
      <c r="F6198" s="19">
        <v>10</v>
      </c>
      <c r="G6198" s="18">
        <v>0.12</v>
      </c>
      <c r="H6198">
        <f>F6198*VLOOKUP(B6198,產品!$A$2:$H$61,7,FALSE)*(1-銷售總表!G6198)</f>
        <v>158400</v>
      </c>
      <c r="I6198" s="35">
        <f>H6198-F6198*VLOOKUP(銷售總表!B6198,產品!$A$2:$H$61,8,FALSE)</f>
        <v>32400</v>
      </c>
      <c r="J6198" s="20">
        <f t="shared" si="96"/>
        <v>0.20454545454545456</v>
      </c>
    </row>
    <row r="6199" spans="1:10" x14ac:dyDescent="0.3">
      <c r="A6199" s="33">
        <v>6198</v>
      </c>
      <c r="B6199" s="4">
        <v>14</v>
      </c>
      <c r="C6199" s="15">
        <v>116</v>
      </c>
      <c r="D6199" s="16">
        <v>4</v>
      </c>
      <c r="E6199" s="22">
        <v>45002</v>
      </c>
      <c r="F6199" s="19">
        <v>150</v>
      </c>
      <c r="G6199" s="18">
        <v>0.05</v>
      </c>
      <c r="H6199">
        <f>F6199*VLOOKUP(B6199,產品!$A$2:$H$61,7,FALSE)*(1-銷售總表!G6199)</f>
        <v>256500</v>
      </c>
      <c r="I6199" s="35">
        <f>H6199-F6199*VLOOKUP(銷售總表!B6199,產品!$A$2:$H$61,8,FALSE)</f>
        <v>148500</v>
      </c>
      <c r="J6199" s="20">
        <f t="shared" si="96"/>
        <v>0.57894736842105265</v>
      </c>
    </row>
    <row r="6200" spans="1:10" x14ac:dyDescent="0.3">
      <c r="A6200" s="33">
        <v>6199</v>
      </c>
      <c r="B6200" s="4">
        <v>14</v>
      </c>
      <c r="C6200" s="15">
        <v>275</v>
      </c>
      <c r="D6200" s="16">
        <v>3</v>
      </c>
      <c r="E6200" s="22">
        <v>45002</v>
      </c>
      <c r="F6200" s="19">
        <v>200</v>
      </c>
      <c r="G6200" s="18">
        <v>0.19</v>
      </c>
      <c r="H6200">
        <f>F6200*VLOOKUP(B6200,產品!$A$2:$H$61,7,FALSE)*(1-銷售總表!G6200)</f>
        <v>291600</v>
      </c>
      <c r="I6200" s="35">
        <f>H6200-F6200*VLOOKUP(銷售總表!B6200,產品!$A$2:$H$61,8,FALSE)</f>
        <v>147600</v>
      </c>
      <c r="J6200" s="20">
        <f t="shared" si="96"/>
        <v>0.50617283950617287</v>
      </c>
    </row>
    <row r="6201" spans="1:10" x14ac:dyDescent="0.3">
      <c r="A6201" s="33">
        <v>6200</v>
      </c>
      <c r="B6201" s="4">
        <v>24</v>
      </c>
      <c r="C6201" s="15">
        <v>2</v>
      </c>
      <c r="D6201" s="16">
        <v>4</v>
      </c>
      <c r="E6201" s="22">
        <v>45002</v>
      </c>
      <c r="F6201" s="19">
        <v>60</v>
      </c>
      <c r="G6201" s="18">
        <v>7.0000000000000007E-2</v>
      </c>
      <c r="H6201">
        <f>F6201*VLOOKUP(B6201,產品!$A$2:$H$61,7,FALSE)*(1-銷售總表!G6201)</f>
        <v>100440</v>
      </c>
      <c r="I6201" s="35">
        <f>H6201-F6201*VLOOKUP(銷售總表!B6201,產品!$A$2:$H$61,8,FALSE)</f>
        <v>57240</v>
      </c>
      <c r="J6201" s="20">
        <f t="shared" si="96"/>
        <v>0.56989247311827962</v>
      </c>
    </row>
    <row r="6202" spans="1:10" x14ac:dyDescent="0.3">
      <c r="A6202" s="33">
        <v>6201</v>
      </c>
      <c r="B6202" s="4">
        <v>26</v>
      </c>
      <c r="C6202" s="15">
        <v>1</v>
      </c>
      <c r="D6202" s="16">
        <v>4</v>
      </c>
      <c r="E6202" s="22">
        <v>45002</v>
      </c>
      <c r="F6202" s="19">
        <v>4</v>
      </c>
      <c r="G6202" s="18">
        <v>0.19</v>
      </c>
      <c r="H6202">
        <f>F6202*VLOOKUP(B6202,產品!$A$2:$H$61,7,FALSE)*(1-銷售總表!G6202)</f>
        <v>21060</v>
      </c>
      <c r="I6202" s="35">
        <f>H6202-F6202*VLOOKUP(銷售總表!B6202,產品!$A$2:$H$61,8,FALSE)</f>
        <v>5460</v>
      </c>
      <c r="J6202" s="20">
        <f t="shared" si="96"/>
        <v>0.25925925925925924</v>
      </c>
    </row>
    <row r="6203" spans="1:10" x14ac:dyDescent="0.3">
      <c r="A6203" s="33">
        <v>6202</v>
      </c>
      <c r="B6203" s="4">
        <v>8</v>
      </c>
      <c r="C6203" s="15">
        <v>4</v>
      </c>
      <c r="D6203" s="16">
        <v>5</v>
      </c>
      <c r="E6203" s="23">
        <v>45002</v>
      </c>
      <c r="F6203">
        <v>10</v>
      </c>
      <c r="G6203" s="20">
        <v>7.0000000000000007E-2</v>
      </c>
      <c r="H6203">
        <f>F6203*VLOOKUP(B6203,產品!$A$2:$H$61,7,FALSE)*(1-銷售總表!G6203)</f>
        <v>9300</v>
      </c>
      <c r="I6203" s="35">
        <f>H6203-F6203*VLOOKUP(銷售總表!B6203,產品!$A$2:$H$61,8,FALSE)</f>
        <v>5300</v>
      </c>
      <c r="J6203" s="20">
        <f t="shared" si="96"/>
        <v>0.56989247311827962</v>
      </c>
    </row>
    <row r="6204" spans="1:10" x14ac:dyDescent="0.3">
      <c r="A6204" s="33">
        <v>6203</v>
      </c>
      <c r="B6204" s="4">
        <v>5</v>
      </c>
      <c r="C6204" s="15">
        <v>258</v>
      </c>
      <c r="D6204" s="16">
        <v>4</v>
      </c>
      <c r="E6204" s="22">
        <v>45003</v>
      </c>
      <c r="F6204" s="19">
        <v>60</v>
      </c>
      <c r="G6204" s="18">
        <v>0.05</v>
      </c>
      <c r="H6204">
        <f>F6204*VLOOKUP(B6204,產品!$A$2:$H$61,7,FALSE)*(1-銷售總表!G6204)</f>
        <v>57000</v>
      </c>
      <c r="I6204" s="35">
        <f>H6204-F6204*VLOOKUP(銷售總表!B6204,產品!$A$2:$H$61,8,FALSE)</f>
        <v>33000</v>
      </c>
      <c r="J6204" s="20">
        <f t="shared" si="96"/>
        <v>0.57894736842105265</v>
      </c>
    </row>
    <row r="6205" spans="1:10" x14ac:dyDescent="0.3">
      <c r="A6205" s="33">
        <v>6204</v>
      </c>
      <c r="B6205" s="4">
        <v>26</v>
      </c>
      <c r="C6205" s="15">
        <v>6</v>
      </c>
      <c r="D6205" s="16">
        <v>2</v>
      </c>
      <c r="E6205" s="22">
        <v>45003</v>
      </c>
      <c r="F6205" s="19">
        <v>9</v>
      </c>
      <c r="G6205" s="18">
        <v>0.15</v>
      </c>
      <c r="H6205">
        <f>F6205*VLOOKUP(B6205,產品!$A$2:$H$61,7,FALSE)*(1-銷售總表!G6205)</f>
        <v>49725</v>
      </c>
      <c r="I6205" s="35">
        <f>H6205-F6205*VLOOKUP(銷售總表!B6205,產品!$A$2:$H$61,8,FALSE)</f>
        <v>14625</v>
      </c>
      <c r="J6205" s="20">
        <f t="shared" si="96"/>
        <v>0.29411764705882354</v>
      </c>
    </row>
    <row r="6206" spans="1:10" x14ac:dyDescent="0.3">
      <c r="A6206" s="33">
        <v>6205</v>
      </c>
      <c r="B6206" s="4">
        <v>5</v>
      </c>
      <c r="C6206" s="15">
        <v>277</v>
      </c>
      <c r="D6206" s="16">
        <v>9</v>
      </c>
      <c r="E6206" s="22">
        <v>45003</v>
      </c>
      <c r="F6206" s="19">
        <v>80</v>
      </c>
      <c r="G6206" s="18">
        <v>0.18</v>
      </c>
      <c r="H6206">
        <f>F6206*VLOOKUP(B6206,產品!$A$2:$H$61,7,FALSE)*(1-銷售總表!G6206)</f>
        <v>65600</v>
      </c>
      <c r="I6206" s="35">
        <f>H6206-F6206*VLOOKUP(銷售總表!B6206,產品!$A$2:$H$61,8,FALSE)</f>
        <v>33600</v>
      </c>
      <c r="J6206" s="20">
        <f t="shared" si="96"/>
        <v>0.51219512195121952</v>
      </c>
    </row>
    <row r="6207" spans="1:10" x14ac:dyDescent="0.3">
      <c r="A6207" s="33">
        <v>6206</v>
      </c>
      <c r="B6207" s="4">
        <v>13</v>
      </c>
      <c r="C6207" s="15">
        <v>10</v>
      </c>
      <c r="D6207" s="16">
        <v>3</v>
      </c>
      <c r="E6207" s="22">
        <v>45003</v>
      </c>
      <c r="F6207" s="19">
        <v>100</v>
      </c>
      <c r="G6207" s="18">
        <v>0.17</v>
      </c>
      <c r="H6207">
        <f>F6207*VLOOKUP(B6207,產品!$A$2:$H$61,7,FALSE)*(1-銷售總表!G6207)</f>
        <v>149400</v>
      </c>
      <c r="I6207" s="35">
        <f>H6207-F6207*VLOOKUP(銷售總表!B6207,產品!$A$2:$H$61,8,FALSE)</f>
        <v>77400</v>
      </c>
      <c r="J6207" s="20">
        <f t="shared" si="96"/>
        <v>0.51807228915662651</v>
      </c>
    </row>
    <row r="6208" spans="1:10" x14ac:dyDescent="0.3">
      <c r="A6208" s="33">
        <v>6207</v>
      </c>
      <c r="B6208" s="4">
        <v>26</v>
      </c>
      <c r="C6208" s="15">
        <v>6</v>
      </c>
      <c r="D6208" s="16">
        <v>7</v>
      </c>
      <c r="E6208" s="22">
        <v>45003</v>
      </c>
      <c r="F6208" s="19">
        <v>8</v>
      </c>
      <c r="G6208" s="18">
        <v>0.08</v>
      </c>
      <c r="H6208">
        <f>F6208*VLOOKUP(B6208,產品!$A$2:$H$61,7,FALSE)*(1-銷售總表!G6208)</f>
        <v>47840</v>
      </c>
      <c r="I6208" s="35">
        <f>H6208-F6208*VLOOKUP(銷售總表!B6208,產品!$A$2:$H$61,8,FALSE)</f>
        <v>16640</v>
      </c>
      <c r="J6208" s="20">
        <f t="shared" si="96"/>
        <v>0.34782608695652173</v>
      </c>
    </row>
    <row r="6209" spans="1:10" x14ac:dyDescent="0.3">
      <c r="A6209" s="33">
        <v>6208</v>
      </c>
      <c r="B6209" s="4">
        <v>57</v>
      </c>
      <c r="C6209" s="15">
        <v>138</v>
      </c>
      <c r="D6209" s="16">
        <v>6</v>
      </c>
      <c r="E6209" s="22">
        <v>45004</v>
      </c>
      <c r="F6209" s="19">
        <v>15</v>
      </c>
      <c r="G6209" s="18">
        <v>0.12</v>
      </c>
      <c r="H6209">
        <f>F6209*VLOOKUP(B6209,產品!$A$2:$H$61,7,FALSE)*(1-銷售總表!G6209)</f>
        <v>237600</v>
      </c>
      <c r="I6209" s="35">
        <f>H6209-F6209*VLOOKUP(銷售總表!B6209,產品!$A$2:$H$61,8,FALSE)</f>
        <v>48600</v>
      </c>
      <c r="J6209" s="20">
        <f t="shared" si="96"/>
        <v>0.20454545454545456</v>
      </c>
    </row>
    <row r="6210" spans="1:10" x14ac:dyDescent="0.3">
      <c r="A6210" s="33">
        <v>6209</v>
      </c>
      <c r="B6210" s="4">
        <v>55</v>
      </c>
      <c r="C6210" s="15">
        <v>284</v>
      </c>
      <c r="D6210" s="16">
        <v>6</v>
      </c>
      <c r="E6210" s="22">
        <v>45004</v>
      </c>
      <c r="F6210" s="19">
        <v>8</v>
      </c>
      <c r="G6210" s="18">
        <v>0.19</v>
      </c>
      <c r="H6210">
        <f>F6210*VLOOKUP(B6210,產品!$A$2:$H$61,7,FALSE)*(1-銷售總表!G6210)</f>
        <v>129600.00000000001</v>
      </c>
      <c r="I6210" s="35">
        <f>H6210-F6210*VLOOKUP(銷售總表!B6210,產品!$A$2:$H$61,8,FALSE)</f>
        <v>17600.000000000015</v>
      </c>
      <c r="J6210" s="20">
        <f t="shared" si="96"/>
        <v>0.13580246913580257</v>
      </c>
    </row>
    <row r="6211" spans="1:10" x14ac:dyDescent="0.3">
      <c r="A6211" s="33">
        <v>6210</v>
      </c>
      <c r="B6211" s="4">
        <v>27</v>
      </c>
      <c r="C6211" s="15">
        <v>124</v>
      </c>
      <c r="D6211" s="16">
        <v>6</v>
      </c>
      <c r="E6211" s="22">
        <v>45004</v>
      </c>
      <c r="F6211" s="19">
        <v>4</v>
      </c>
      <c r="G6211" s="18">
        <v>0.09</v>
      </c>
      <c r="H6211">
        <f>F6211*VLOOKUP(B6211,產品!$A$2:$H$61,7,FALSE)*(1-銷售總表!G6211)</f>
        <v>25480</v>
      </c>
      <c r="I6211" s="35">
        <f>H6211-F6211*VLOOKUP(銷售總表!B6211,產品!$A$2:$H$61,8,FALSE)</f>
        <v>8680</v>
      </c>
      <c r="J6211" s="20">
        <f t="shared" ref="J6211:J6274" si="97">I6211/H6211</f>
        <v>0.34065934065934067</v>
      </c>
    </row>
    <row r="6212" spans="1:10" x14ac:dyDescent="0.3">
      <c r="A6212" s="33">
        <v>6211</v>
      </c>
      <c r="B6212" s="4">
        <v>46</v>
      </c>
      <c r="C6212" s="15">
        <v>276</v>
      </c>
      <c r="D6212" s="16">
        <v>8</v>
      </c>
      <c r="E6212" s="23">
        <v>45004</v>
      </c>
      <c r="F6212">
        <v>4</v>
      </c>
      <c r="G6212" s="20">
        <v>0.15</v>
      </c>
      <c r="H6212">
        <f>F6212*VLOOKUP(B6212,產品!$A$2:$H$61,7,FALSE)*(1-銷售總表!G6212)</f>
        <v>57800</v>
      </c>
      <c r="I6212" s="35">
        <f>H6212-F6212*VLOOKUP(銷售總表!B6212,產品!$A$2:$H$61,8,FALSE)</f>
        <v>13600</v>
      </c>
      <c r="J6212" s="20">
        <f t="shared" si="97"/>
        <v>0.23529411764705882</v>
      </c>
    </row>
    <row r="6213" spans="1:10" x14ac:dyDescent="0.3">
      <c r="A6213" s="33">
        <v>6212</v>
      </c>
      <c r="B6213" s="4">
        <v>1</v>
      </c>
      <c r="C6213" s="15">
        <v>115</v>
      </c>
      <c r="D6213" s="16">
        <v>1</v>
      </c>
      <c r="E6213" s="22">
        <v>45005</v>
      </c>
      <c r="F6213" s="19">
        <v>90</v>
      </c>
      <c r="G6213" s="18">
        <v>7.0000000000000007E-2</v>
      </c>
      <c r="H6213">
        <f>F6213*VLOOKUP(B6213,產品!$A$2:$H$61,7,FALSE)*(1-銷售總表!G6213)</f>
        <v>83700</v>
      </c>
      <c r="I6213" s="35">
        <f>H6213-F6213*VLOOKUP(銷售總表!B6213,產品!$A$2:$H$61,8,FALSE)</f>
        <v>47700</v>
      </c>
      <c r="J6213" s="20">
        <f t="shared" si="97"/>
        <v>0.56989247311827962</v>
      </c>
    </row>
    <row r="6214" spans="1:10" x14ac:dyDescent="0.3">
      <c r="A6214" s="33">
        <v>6213</v>
      </c>
      <c r="B6214" s="4">
        <v>20</v>
      </c>
      <c r="C6214" s="15">
        <v>8</v>
      </c>
      <c r="D6214" s="16">
        <v>9</v>
      </c>
      <c r="E6214" s="22">
        <v>45005</v>
      </c>
      <c r="F6214" s="19">
        <v>40</v>
      </c>
      <c r="G6214" s="18">
        <v>0.17</v>
      </c>
      <c r="H6214">
        <f>F6214*VLOOKUP(B6214,產品!$A$2:$H$61,7,FALSE)*(1-銷售總表!G6214)</f>
        <v>59760</v>
      </c>
      <c r="I6214" s="35">
        <f>H6214-F6214*VLOOKUP(銷售總表!B6214,產品!$A$2:$H$61,8,FALSE)</f>
        <v>30960</v>
      </c>
      <c r="J6214" s="20">
        <f t="shared" si="97"/>
        <v>0.51807228915662651</v>
      </c>
    </row>
    <row r="6215" spans="1:10" x14ac:dyDescent="0.3">
      <c r="A6215" s="33">
        <v>6214</v>
      </c>
      <c r="B6215" s="4">
        <v>42</v>
      </c>
      <c r="C6215" s="15">
        <v>278</v>
      </c>
      <c r="D6215" s="16">
        <v>10</v>
      </c>
      <c r="E6215" s="22">
        <v>45005</v>
      </c>
      <c r="F6215" s="19">
        <v>6</v>
      </c>
      <c r="G6215" s="18">
        <v>0.1</v>
      </c>
      <c r="H6215">
        <f>F6215*VLOOKUP(B6215,產品!$A$2:$H$61,7,FALSE)*(1-銷售總表!G6215)</f>
        <v>81000</v>
      </c>
      <c r="I6215" s="35">
        <f>H6215-F6215*VLOOKUP(銷售總表!B6215,產品!$A$2:$H$61,8,FALSE)</f>
        <v>22500</v>
      </c>
      <c r="J6215" s="20">
        <f t="shared" si="97"/>
        <v>0.27777777777777779</v>
      </c>
    </row>
    <row r="6216" spans="1:10" x14ac:dyDescent="0.3">
      <c r="A6216" s="33">
        <v>6215</v>
      </c>
      <c r="B6216" s="4">
        <v>55</v>
      </c>
      <c r="C6216" s="15">
        <v>269</v>
      </c>
      <c r="D6216" s="16">
        <v>3</v>
      </c>
      <c r="E6216" s="22">
        <v>45006</v>
      </c>
      <c r="F6216" s="19">
        <v>5</v>
      </c>
      <c r="G6216" s="18">
        <v>0.16</v>
      </c>
      <c r="H6216">
        <f>F6216*VLOOKUP(B6216,產品!$A$2:$H$61,7,FALSE)*(1-銷售總表!G6216)</f>
        <v>84000</v>
      </c>
      <c r="I6216" s="35">
        <f>H6216-F6216*VLOOKUP(銷售總表!B6216,產品!$A$2:$H$61,8,FALSE)</f>
        <v>14000</v>
      </c>
      <c r="J6216" s="20">
        <f t="shared" si="97"/>
        <v>0.16666666666666666</v>
      </c>
    </row>
    <row r="6217" spans="1:10" x14ac:dyDescent="0.3">
      <c r="A6217" s="33">
        <v>6216</v>
      </c>
      <c r="B6217" s="4">
        <v>4</v>
      </c>
      <c r="C6217" s="15">
        <v>140</v>
      </c>
      <c r="D6217" s="16">
        <v>4</v>
      </c>
      <c r="E6217" s="22">
        <v>45006</v>
      </c>
      <c r="F6217" s="19">
        <v>14</v>
      </c>
      <c r="G6217" s="18">
        <v>0.16</v>
      </c>
      <c r="H6217">
        <f>F6217*VLOOKUP(B6217,產品!$A$2:$H$61,7,FALSE)*(1-銷售總表!G6217)</f>
        <v>11760</v>
      </c>
      <c r="I6217" s="35">
        <f>H6217-F6217*VLOOKUP(銷售總表!B6217,產品!$A$2:$H$61,8,FALSE)</f>
        <v>6160</v>
      </c>
      <c r="J6217" s="20">
        <f t="shared" si="97"/>
        <v>0.52380952380952384</v>
      </c>
    </row>
    <row r="6218" spans="1:10" x14ac:dyDescent="0.3">
      <c r="A6218" s="33">
        <v>6217</v>
      </c>
      <c r="B6218" s="4">
        <v>49</v>
      </c>
      <c r="C6218" s="15">
        <v>126</v>
      </c>
      <c r="D6218" s="16">
        <v>5</v>
      </c>
      <c r="E6218" s="23">
        <v>45006</v>
      </c>
      <c r="F6218">
        <v>5</v>
      </c>
      <c r="G6218" s="20">
        <v>0.17</v>
      </c>
      <c r="H6218">
        <f>F6218*VLOOKUP(B6218,產品!$A$2:$H$61,7,FALSE)*(1-銷售總表!G6218)</f>
        <v>62250</v>
      </c>
      <c r="I6218" s="35">
        <f>H6218-F6218*VLOOKUP(銷售總表!B6218,產品!$A$2:$H$61,8,FALSE)</f>
        <v>9750</v>
      </c>
      <c r="J6218" s="20">
        <f t="shared" si="97"/>
        <v>0.15662650602409639</v>
      </c>
    </row>
    <row r="6219" spans="1:10" x14ac:dyDescent="0.3">
      <c r="A6219" s="33">
        <v>6218</v>
      </c>
      <c r="B6219" s="4">
        <v>2</v>
      </c>
      <c r="C6219" s="15">
        <v>2</v>
      </c>
      <c r="D6219" s="16">
        <v>5</v>
      </c>
      <c r="E6219" s="23">
        <v>45006</v>
      </c>
      <c r="F6219">
        <v>40</v>
      </c>
      <c r="G6219" s="20">
        <v>0.09</v>
      </c>
      <c r="H6219">
        <f>F6219*VLOOKUP(B6219,產品!$A$2:$H$61,7,FALSE)*(1-銷售總表!G6219)</f>
        <v>36400</v>
      </c>
      <c r="I6219" s="35">
        <f>H6219-F6219*VLOOKUP(銷售總表!B6219,產品!$A$2:$H$61,8,FALSE)</f>
        <v>20400</v>
      </c>
      <c r="J6219" s="20">
        <f t="shared" si="97"/>
        <v>0.56043956043956045</v>
      </c>
    </row>
    <row r="6220" spans="1:10" x14ac:dyDescent="0.3">
      <c r="A6220" s="33">
        <v>6219</v>
      </c>
      <c r="B6220" s="4">
        <v>13</v>
      </c>
      <c r="C6220" s="15">
        <v>293</v>
      </c>
      <c r="D6220" s="16">
        <v>3</v>
      </c>
      <c r="E6220" s="23">
        <v>45006</v>
      </c>
      <c r="F6220">
        <v>90</v>
      </c>
      <c r="G6220" s="20">
        <v>0.17</v>
      </c>
      <c r="H6220">
        <f>F6220*VLOOKUP(B6220,產品!$A$2:$H$61,7,FALSE)*(1-銷售總表!G6220)</f>
        <v>134460</v>
      </c>
      <c r="I6220" s="35">
        <f>H6220-F6220*VLOOKUP(銷售總表!B6220,產品!$A$2:$H$61,8,FALSE)</f>
        <v>69660</v>
      </c>
      <c r="J6220" s="20">
        <f t="shared" si="97"/>
        <v>0.51807228915662651</v>
      </c>
    </row>
    <row r="6221" spans="1:10" x14ac:dyDescent="0.3">
      <c r="A6221" s="33">
        <v>6220</v>
      </c>
      <c r="B6221" s="4">
        <v>36</v>
      </c>
      <c r="C6221" s="15">
        <v>291</v>
      </c>
      <c r="D6221" s="16">
        <v>3</v>
      </c>
      <c r="E6221" s="23">
        <v>45006</v>
      </c>
      <c r="F6221">
        <v>5</v>
      </c>
      <c r="G6221" s="20">
        <v>0.13</v>
      </c>
      <c r="H6221">
        <f>F6221*VLOOKUP(B6221,產品!$A$2:$H$61,7,FALSE)*(1-銷售總表!G6221)</f>
        <v>39150</v>
      </c>
      <c r="I6221" s="35">
        <f>H6221-F6221*VLOOKUP(銷售總表!B6221,產品!$A$2:$H$61,8,FALSE)</f>
        <v>12150</v>
      </c>
      <c r="J6221" s="20">
        <f t="shared" si="97"/>
        <v>0.31034482758620691</v>
      </c>
    </row>
    <row r="6222" spans="1:10" x14ac:dyDescent="0.3">
      <c r="A6222" s="33">
        <v>6221</v>
      </c>
      <c r="B6222" s="4">
        <v>28</v>
      </c>
      <c r="C6222" s="15">
        <v>257</v>
      </c>
      <c r="D6222" s="16">
        <v>3</v>
      </c>
      <c r="E6222" s="23">
        <v>45006</v>
      </c>
      <c r="F6222">
        <v>8</v>
      </c>
      <c r="G6222" s="20">
        <v>0.09</v>
      </c>
      <c r="H6222">
        <f>F6222*VLOOKUP(B6222,產品!$A$2:$H$61,7,FALSE)*(1-銷售總表!G6222)</f>
        <v>54600</v>
      </c>
      <c r="I6222" s="35">
        <f>H6222-F6222*VLOOKUP(銷售總表!B6222,產品!$A$2:$H$61,8,FALSE)</f>
        <v>18600</v>
      </c>
      <c r="J6222" s="20">
        <f t="shared" si="97"/>
        <v>0.34065934065934067</v>
      </c>
    </row>
    <row r="6223" spans="1:10" x14ac:dyDescent="0.3">
      <c r="A6223" s="33">
        <v>6222</v>
      </c>
      <c r="B6223" s="4">
        <v>3</v>
      </c>
      <c r="C6223" s="15">
        <v>258</v>
      </c>
      <c r="D6223" s="16">
        <v>10</v>
      </c>
      <c r="E6223" s="22">
        <v>45007</v>
      </c>
      <c r="F6223" s="19">
        <v>15</v>
      </c>
      <c r="G6223" s="18">
        <v>0.05</v>
      </c>
      <c r="H6223">
        <f>F6223*VLOOKUP(B6223,產品!$A$2:$H$61,7,FALSE)*(1-銷售總表!G6223)</f>
        <v>14250</v>
      </c>
      <c r="I6223" s="35">
        <f>H6223-F6223*VLOOKUP(銷售總表!B6223,產品!$A$2:$H$61,8,FALSE)</f>
        <v>8250</v>
      </c>
      <c r="J6223" s="20">
        <f t="shared" si="97"/>
        <v>0.57894736842105265</v>
      </c>
    </row>
    <row r="6224" spans="1:10" x14ac:dyDescent="0.3">
      <c r="A6224" s="33">
        <v>6223</v>
      </c>
      <c r="B6224" s="4">
        <v>40</v>
      </c>
      <c r="C6224" s="15">
        <v>115</v>
      </c>
      <c r="D6224" s="16">
        <v>1</v>
      </c>
      <c r="E6224" s="22">
        <v>45008</v>
      </c>
      <c r="F6224" s="19">
        <v>12</v>
      </c>
      <c r="G6224" s="18">
        <v>0.2</v>
      </c>
      <c r="H6224">
        <f>F6224*VLOOKUP(B6224,產品!$A$2:$H$61,7,FALSE)*(1-銷售總表!G6224)</f>
        <v>192000</v>
      </c>
      <c r="I6224" s="35">
        <f>H6224-F6224*VLOOKUP(銷售總表!B6224,產品!$A$2:$H$61,8,FALSE)</f>
        <v>36000</v>
      </c>
      <c r="J6224" s="20">
        <f t="shared" si="97"/>
        <v>0.1875</v>
      </c>
    </row>
    <row r="6225" spans="1:10" x14ac:dyDescent="0.3">
      <c r="A6225" s="33">
        <v>6224</v>
      </c>
      <c r="B6225" s="4">
        <v>4</v>
      </c>
      <c r="C6225" s="15">
        <v>118</v>
      </c>
      <c r="D6225" s="16">
        <v>10</v>
      </c>
      <c r="E6225" s="22">
        <v>45008</v>
      </c>
      <c r="F6225" s="19">
        <v>11</v>
      </c>
      <c r="G6225" s="18">
        <v>0.15</v>
      </c>
      <c r="H6225">
        <f>F6225*VLOOKUP(B6225,產品!$A$2:$H$61,7,FALSE)*(1-銷售總表!G6225)</f>
        <v>9350</v>
      </c>
      <c r="I6225" s="35">
        <f>H6225-F6225*VLOOKUP(銷售總表!B6225,產品!$A$2:$H$61,8,FALSE)</f>
        <v>4950</v>
      </c>
      <c r="J6225" s="20">
        <f t="shared" si="97"/>
        <v>0.52941176470588236</v>
      </c>
    </row>
    <row r="6226" spans="1:10" x14ac:dyDescent="0.3">
      <c r="A6226" s="33">
        <v>6225</v>
      </c>
      <c r="B6226" s="4">
        <v>48</v>
      </c>
      <c r="C6226" s="15">
        <v>11</v>
      </c>
      <c r="D6226" s="16">
        <v>7</v>
      </c>
      <c r="E6226" s="22">
        <v>45008</v>
      </c>
      <c r="F6226" s="19">
        <v>10</v>
      </c>
      <c r="G6226" s="18">
        <v>0.17</v>
      </c>
      <c r="H6226">
        <f>F6226*VLOOKUP(B6226,產品!$A$2:$H$61,7,FALSE)*(1-銷售總表!G6226)</f>
        <v>182600</v>
      </c>
      <c r="I6226" s="35">
        <f>H6226-F6226*VLOOKUP(銷售總表!B6226,產品!$A$2:$H$61,8,FALSE)</f>
        <v>39600</v>
      </c>
      <c r="J6226" s="20">
        <f t="shared" si="97"/>
        <v>0.21686746987951808</v>
      </c>
    </row>
    <row r="6227" spans="1:10" x14ac:dyDescent="0.3">
      <c r="A6227" s="33">
        <v>6226</v>
      </c>
      <c r="B6227" s="4">
        <v>44</v>
      </c>
      <c r="C6227" s="15">
        <v>283</v>
      </c>
      <c r="D6227" s="16">
        <v>7</v>
      </c>
      <c r="E6227" s="22">
        <v>45008</v>
      </c>
      <c r="F6227" s="19">
        <v>5</v>
      </c>
      <c r="G6227" s="18">
        <v>0.13</v>
      </c>
      <c r="H6227">
        <f>F6227*VLOOKUP(B6227,產品!$A$2:$H$61,7,FALSE)*(1-銷售總表!G6227)</f>
        <v>87000</v>
      </c>
      <c r="I6227" s="35">
        <f>H6227-F6227*VLOOKUP(銷售總表!B6227,產品!$A$2:$H$61,8,FALSE)</f>
        <v>22000</v>
      </c>
      <c r="J6227" s="20">
        <f t="shared" si="97"/>
        <v>0.25287356321839083</v>
      </c>
    </row>
    <row r="6228" spans="1:10" x14ac:dyDescent="0.3">
      <c r="A6228" s="33">
        <v>6227</v>
      </c>
      <c r="B6228" s="4">
        <v>24</v>
      </c>
      <c r="C6228" s="15">
        <v>9</v>
      </c>
      <c r="D6228" s="16">
        <v>6</v>
      </c>
      <c r="E6228" s="22">
        <v>45008</v>
      </c>
      <c r="F6228" s="19">
        <v>80</v>
      </c>
      <c r="G6228" s="18">
        <v>0.18</v>
      </c>
      <c r="H6228">
        <f>F6228*VLOOKUP(B6228,產品!$A$2:$H$61,7,FALSE)*(1-銷售總表!G6228)</f>
        <v>118080.00000000001</v>
      </c>
      <c r="I6228" s="35">
        <f>H6228-F6228*VLOOKUP(銷售總表!B6228,產品!$A$2:$H$61,8,FALSE)</f>
        <v>60480.000000000015</v>
      </c>
      <c r="J6228" s="20">
        <f t="shared" si="97"/>
        <v>0.51219512195121952</v>
      </c>
    </row>
    <row r="6229" spans="1:10" x14ac:dyDescent="0.3">
      <c r="A6229" s="33">
        <v>6228</v>
      </c>
      <c r="B6229" s="4">
        <v>39</v>
      </c>
      <c r="C6229" s="15">
        <v>121</v>
      </c>
      <c r="D6229" s="16">
        <v>8</v>
      </c>
      <c r="E6229" s="22">
        <v>45008</v>
      </c>
      <c r="F6229" s="19">
        <v>6</v>
      </c>
      <c r="G6229" s="18">
        <v>0.06</v>
      </c>
      <c r="H6229">
        <f>F6229*VLOOKUP(B6229,產品!$A$2:$H$61,7,FALSE)*(1-銷售總表!G6229)</f>
        <v>101520</v>
      </c>
      <c r="I6229" s="35">
        <f>H6229-F6229*VLOOKUP(銷售總表!B6229,產品!$A$2:$H$61,8,FALSE)</f>
        <v>31320</v>
      </c>
      <c r="J6229" s="20">
        <f t="shared" si="97"/>
        <v>0.30851063829787234</v>
      </c>
    </row>
    <row r="6230" spans="1:10" x14ac:dyDescent="0.3">
      <c r="A6230" s="33">
        <v>6229</v>
      </c>
      <c r="B6230" s="4">
        <v>14</v>
      </c>
      <c r="C6230" s="15">
        <v>275</v>
      </c>
      <c r="D6230" s="16">
        <v>4</v>
      </c>
      <c r="E6230" s="22">
        <v>45008</v>
      </c>
      <c r="F6230" s="19">
        <v>100</v>
      </c>
      <c r="G6230" s="18">
        <v>7.0000000000000007E-2</v>
      </c>
      <c r="H6230">
        <f>F6230*VLOOKUP(B6230,產品!$A$2:$H$61,7,FALSE)*(1-銷售總表!G6230)</f>
        <v>167400</v>
      </c>
      <c r="I6230" s="35">
        <f>H6230-F6230*VLOOKUP(銷售總表!B6230,產品!$A$2:$H$61,8,FALSE)</f>
        <v>95400</v>
      </c>
      <c r="J6230" s="20">
        <f t="shared" si="97"/>
        <v>0.56989247311827962</v>
      </c>
    </row>
    <row r="6231" spans="1:10" x14ac:dyDescent="0.3">
      <c r="A6231" s="33">
        <v>6230</v>
      </c>
      <c r="B6231" s="4">
        <v>29</v>
      </c>
      <c r="C6231" s="15">
        <v>1</v>
      </c>
      <c r="D6231" s="16">
        <v>8</v>
      </c>
      <c r="E6231" s="23">
        <v>45008</v>
      </c>
      <c r="F6231">
        <v>7</v>
      </c>
      <c r="G6231" s="20">
        <v>0.05</v>
      </c>
      <c r="H6231">
        <f>F6231*VLOOKUP(B6231,產品!$A$2:$H$61,7,FALSE)*(1-銷售總表!G6231)</f>
        <v>39900</v>
      </c>
      <c r="I6231" s="35">
        <f>H6231-F6231*VLOOKUP(銷售總表!B6231,產品!$A$2:$H$61,8,FALSE)</f>
        <v>14700</v>
      </c>
      <c r="J6231" s="20">
        <f t="shared" si="97"/>
        <v>0.36842105263157893</v>
      </c>
    </row>
    <row r="6232" spans="1:10" x14ac:dyDescent="0.3">
      <c r="A6232" s="33">
        <v>6231</v>
      </c>
      <c r="B6232" s="4">
        <v>9</v>
      </c>
      <c r="C6232" s="15">
        <v>273</v>
      </c>
      <c r="D6232" s="16">
        <v>3</v>
      </c>
      <c r="E6232" s="22">
        <v>45009</v>
      </c>
      <c r="F6232" s="19">
        <v>90</v>
      </c>
      <c r="G6232" s="18">
        <v>0.16</v>
      </c>
      <c r="H6232">
        <f>F6232*VLOOKUP(B6232,產品!$A$2:$H$61,7,FALSE)*(1-銷售總表!G6232)</f>
        <v>75600</v>
      </c>
      <c r="I6232" s="35">
        <f>H6232-F6232*VLOOKUP(銷售總表!B6232,產品!$A$2:$H$61,8,FALSE)</f>
        <v>39600</v>
      </c>
      <c r="J6232" s="20">
        <f t="shared" si="97"/>
        <v>0.52380952380952384</v>
      </c>
    </row>
    <row r="6233" spans="1:10" x14ac:dyDescent="0.3">
      <c r="A6233" s="33">
        <v>6232</v>
      </c>
      <c r="B6233" s="4">
        <v>6</v>
      </c>
      <c r="C6233" s="15">
        <v>6</v>
      </c>
      <c r="D6233" s="16">
        <v>8</v>
      </c>
      <c r="E6233" s="22">
        <v>45009</v>
      </c>
      <c r="F6233" s="19">
        <v>50</v>
      </c>
      <c r="G6233" s="18">
        <v>0.16</v>
      </c>
      <c r="H6233">
        <f>F6233*VLOOKUP(B6233,產品!$A$2:$H$61,7,FALSE)*(1-銷售總表!G6233)</f>
        <v>42000</v>
      </c>
      <c r="I6233" s="35">
        <f>H6233-F6233*VLOOKUP(銷售總表!B6233,產品!$A$2:$H$61,8,FALSE)</f>
        <v>22000</v>
      </c>
      <c r="J6233" s="20">
        <f t="shared" si="97"/>
        <v>0.52380952380952384</v>
      </c>
    </row>
    <row r="6234" spans="1:10" x14ac:dyDescent="0.3">
      <c r="A6234" s="33">
        <v>6233</v>
      </c>
      <c r="B6234" s="4">
        <v>30</v>
      </c>
      <c r="C6234" s="15">
        <v>9</v>
      </c>
      <c r="D6234" s="16">
        <v>9</v>
      </c>
      <c r="E6234" s="22">
        <v>45009</v>
      </c>
      <c r="F6234" s="19">
        <v>21</v>
      </c>
      <c r="G6234" s="18">
        <v>0.14000000000000001</v>
      </c>
      <c r="H6234">
        <f>F6234*VLOOKUP(B6234,產品!$A$2:$H$61,7,FALSE)*(1-銷售總表!G6234)</f>
        <v>117390</v>
      </c>
      <c r="I6234" s="35">
        <f>H6234-F6234*VLOOKUP(銷售總表!B6234,產品!$A$2:$H$61,8,FALSE)</f>
        <v>35490</v>
      </c>
      <c r="J6234" s="20">
        <f t="shared" si="97"/>
        <v>0.30232558139534882</v>
      </c>
    </row>
    <row r="6235" spans="1:10" x14ac:dyDescent="0.3">
      <c r="A6235" s="33">
        <v>6234</v>
      </c>
      <c r="B6235" s="4">
        <v>23</v>
      </c>
      <c r="C6235" s="15">
        <v>4</v>
      </c>
      <c r="D6235" s="16">
        <v>1</v>
      </c>
      <c r="E6235" s="22">
        <v>45009</v>
      </c>
      <c r="F6235" s="19">
        <v>100</v>
      </c>
      <c r="G6235" s="18">
        <v>0.05</v>
      </c>
      <c r="H6235">
        <f>F6235*VLOOKUP(B6235,產品!$A$2:$H$61,7,FALSE)*(1-銷售總表!G6235)</f>
        <v>171000</v>
      </c>
      <c r="I6235" s="35">
        <f>H6235-F6235*VLOOKUP(銷售總表!B6235,產品!$A$2:$H$61,8,FALSE)</f>
        <v>99000</v>
      </c>
      <c r="J6235" s="20">
        <f t="shared" si="97"/>
        <v>0.57894736842105265</v>
      </c>
    </row>
    <row r="6236" spans="1:10" x14ac:dyDescent="0.3">
      <c r="A6236" s="33">
        <v>6235</v>
      </c>
      <c r="B6236" s="4">
        <v>9</v>
      </c>
      <c r="C6236" s="15">
        <v>284</v>
      </c>
      <c r="D6236" s="16">
        <v>3</v>
      </c>
      <c r="E6236" s="22">
        <v>45010</v>
      </c>
      <c r="F6236" s="19">
        <v>20</v>
      </c>
      <c r="G6236" s="18">
        <v>0.05</v>
      </c>
      <c r="H6236">
        <f>F6236*VLOOKUP(B6236,產品!$A$2:$H$61,7,FALSE)*(1-銷售總表!G6236)</f>
        <v>19000</v>
      </c>
      <c r="I6236" s="35">
        <f>H6236-F6236*VLOOKUP(銷售總表!B6236,產品!$A$2:$H$61,8,FALSE)</f>
        <v>11000</v>
      </c>
      <c r="J6236" s="20">
        <f t="shared" si="97"/>
        <v>0.57894736842105265</v>
      </c>
    </row>
    <row r="6237" spans="1:10" x14ac:dyDescent="0.3">
      <c r="A6237" s="33">
        <v>6236</v>
      </c>
      <c r="B6237" s="4">
        <v>18</v>
      </c>
      <c r="C6237" s="15">
        <v>121</v>
      </c>
      <c r="D6237" s="16">
        <v>8</v>
      </c>
      <c r="E6237" s="22">
        <v>45010</v>
      </c>
      <c r="F6237" s="19">
        <v>30</v>
      </c>
      <c r="G6237" s="18">
        <v>0.14000000000000001</v>
      </c>
      <c r="H6237">
        <f>F6237*VLOOKUP(B6237,產品!$A$2:$H$61,7,FALSE)*(1-銷售總表!G6237)</f>
        <v>46440</v>
      </c>
      <c r="I6237" s="35">
        <f>H6237-F6237*VLOOKUP(銷售總表!B6237,產品!$A$2:$H$61,8,FALSE)</f>
        <v>24840</v>
      </c>
      <c r="J6237" s="20">
        <f t="shared" si="97"/>
        <v>0.53488372093023251</v>
      </c>
    </row>
    <row r="6238" spans="1:10" x14ac:dyDescent="0.3">
      <c r="A6238" s="33">
        <v>6237</v>
      </c>
      <c r="B6238" s="4">
        <v>54</v>
      </c>
      <c r="C6238" s="15">
        <v>290</v>
      </c>
      <c r="D6238" s="16">
        <v>3</v>
      </c>
      <c r="E6238" s="22">
        <v>45010</v>
      </c>
      <c r="F6238" s="19">
        <v>7</v>
      </c>
      <c r="G6238" s="18">
        <v>0.06</v>
      </c>
      <c r="H6238">
        <f>F6238*VLOOKUP(B6238,產品!$A$2:$H$61,7,FALSE)*(1-銷售總表!G6238)</f>
        <v>118440</v>
      </c>
      <c r="I6238" s="35">
        <f>H6238-F6238*VLOOKUP(銷售總表!B6238,產品!$A$2:$H$61,8,FALSE)</f>
        <v>30240</v>
      </c>
      <c r="J6238" s="20">
        <f t="shared" si="97"/>
        <v>0.25531914893617019</v>
      </c>
    </row>
    <row r="6239" spans="1:10" x14ac:dyDescent="0.3">
      <c r="A6239" s="33">
        <v>6238</v>
      </c>
      <c r="B6239" s="4">
        <v>20</v>
      </c>
      <c r="C6239" s="15">
        <v>290</v>
      </c>
      <c r="D6239" s="16">
        <v>5</v>
      </c>
      <c r="E6239" s="22">
        <v>45010</v>
      </c>
      <c r="F6239" s="19">
        <v>50</v>
      </c>
      <c r="G6239" s="18">
        <v>0.13</v>
      </c>
      <c r="H6239">
        <f>F6239*VLOOKUP(B6239,產品!$A$2:$H$61,7,FALSE)*(1-銷售總表!G6239)</f>
        <v>78300</v>
      </c>
      <c r="I6239" s="35">
        <f>H6239-F6239*VLOOKUP(銷售總表!B6239,產品!$A$2:$H$61,8,FALSE)</f>
        <v>42300</v>
      </c>
      <c r="J6239" s="20">
        <f t="shared" si="97"/>
        <v>0.54022988505747127</v>
      </c>
    </row>
    <row r="6240" spans="1:10" x14ac:dyDescent="0.3">
      <c r="A6240" s="33">
        <v>6239</v>
      </c>
      <c r="B6240" s="4">
        <v>32</v>
      </c>
      <c r="C6240" s="15">
        <v>3</v>
      </c>
      <c r="D6240" s="16">
        <v>8</v>
      </c>
      <c r="E6240" s="22">
        <v>45010</v>
      </c>
      <c r="F6240" s="19">
        <v>6</v>
      </c>
      <c r="G6240" s="18">
        <v>0.13</v>
      </c>
      <c r="H6240">
        <f>F6240*VLOOKUP(B6240,產品!$A$2:$H$61,7,FALSE)*(1-銷售總表!G6240)</f>
        <v>39150</v>
      </c>
      <c r="I6240" s="35">
        <f>H6240-F6240*VLOOKUP(銷售總表!B6240,產品!$A$2:$H$61,8,FALSE)</f>
        <v>12150</v>
      </c>
      <c r="J6240" s="20">
        <f t="shared" si="97"/>
        <v>0.31034482758620691</v>
      </c>
    </row>
    <row r="6241" spans="1:10" x14ac:dyDescent="0.3">
      <c r="A6241" s="33">
        <v>6240</v>
      </c>
      <c r="B6241" s="4">
        <v>9</v>
      </c>
      <c r="C6241" s="15">
        <v>262</v>
      </c>
      <c r="D6241" s="16">
        <v>8</v>
      </c>
      <c r="E6241" s="22">
        <v>45011</v>
      </c>
      <c r="F6241" s="19">
        <v>90</v>
      </c>
      <c r="G6241" s="18">
        <v>7.0000000000000007E-2</v>
      </c>
      <c r="H6241">
        <f>F6241*VLOOKUP(B6241,產品!$A$2:$H$61,7,FALSE)*(1-銷售總表!G6241)</f>
        <v>83700</v>
      </c>
      <c r="I6241" s="35">
        <f>H6241-F6241*VLOOKUP(銷售總表!B6241,產品!$A$2:$H$61,8,FALSE)</f>
        <v>47700</v>
      </c>
      <c r="J6241" s="20">
        <f t="shared" si="97"/>
        <v>0.56989247311827962</v>
      </c>
    </row>
    <row r="6242" spans="1:10" x14ac:dyDescent="0.3">
      <c r="A6242" s="33">
        <v>6241</v>
      </c>
      <c r="B6242" s="4">
        <v>39</v>
      </c>
      <c r="C6242" s="15">
        <v>11</v>
      </c>
      <c r="D6242" s="16">
        <v>2</v>
      </c>
      <c r="E6242" s="22">
        <v>45011</v>
      </c>
      <c r="F6242" s="19">
        <v>5</v>
      </c>
      <c r="G6242" s="18">
        <v>0.05</v>
      </c>
      <c r="H6242">
        <f>F6242*VLOOKUP(B6242,產品!$A$2:$H$61,7,FALSE)*(1-銷售總表!G6242)</f>
        <v>85500</v>
      </c>
      <c r="I6242" s="35">
        <f>H6242-F6242*VLOOKUP(銷售總表!B6242,產品!$A$2:$H$61,8,FALSE)</f>
        <v>27000</v>
      </c>
      <c r="J6242" s="20">
        <f t="shared" si="97"/>
        <v>0.31578947368421051</v>
      </c>
    </row>
    <row r="6243" spans="1:10" x14ac:dyDescent="0.3">
      <c r="A6243" s="33">
        <v>6242</v>
      </c>
      <c r="B6243" s="4">
        <v>55</v>
      </c>
      <c r="C6243" s="15">
        <v>266</v>
      </c>
      <c r="D6243" s="16">
        <v>5</v>
      </c>
      <c r="E6243" s="22">
        <v>45011</v>
      </c>
      <c r="F6243" s="19">
        <v>9</v>
      </c>
      <c r="G6243" s="18">
        <v>0.12</v>
      </c>
      <c r="H6243">
        <f>F6243*VLOOKUP(B6243,產品!$A$2:$H$61,7,FALSE)*(1-銷售總表!G6243)</f>
        <v>158400</v>
      </c>
      <c r="I6243" s="35">
        <f>H6243-F6243*VLOOKUP(銷售總表!B6243,產品!$A$2:$H$61,8,FALSE)</f>
        <v>32400</v>
      </c>
      <c r="J6243" s="20">
        <f t="shared" si="97"/>
        <v>0.20454545454545456</v>
      </c>
    </row>
    <row r="6244" spans="1:10" x14ac:dyDescent="0.3">
      <c r="A6244" s="33">
        <v>6243</v>
      </c>
      <c r="B6244" s="4">
        <v>18</v>
      </c>
      <c r="C6244" s="15">
        <v>268</v>
      </c>
      <c r="D6244" s="16">
        <v>8</v>
      </c>
      <c r="E6244" s="23">
        <v>45011</v>
      </c>
      <c r="F6244">
        <v>35</v>
      </c>
      <c r="G6244" s="20">
        <v>0.2</v>
      </c>
      <c r="H6244">
        <f>F6244*VLOOKUP(B6244,產品!$A$2:$H$61,7,FALSE)*(1-銷售總表!G6244)</f>
        <v>50400</v>
      </c>
      <c r="I6244" s="35">
        <f>H6244-F6244*VLOOKUP(銷售總表!B6244,產品!$A$2:$H$61,8,FALSE)</f>
        <v>25200</v>
      </c>
      <c r="J6244" s="20">
        <f t="shared" si="97"/>
        <v>0.5</v>
      </c>
    </row>
    <row r="6245" spans="1:10" x14ac:dyDescent="0.3">
      <c r="A6245" s="33">
        <v>6244</v>
      </c>
      <c r="B6245" s="4">
        <v>18</v>
      </c>
      <c r="C6245" s="15">
        <v>115</v>
      </c>
      <c r="D6245" s="16">
        <v>2</v>
      </c>
      <c r="E6245" s="22">
        <v>45012</v>
      </c>
      <c r="F6245" s="19">
        <v>100</v>
      </c>
      <c r="G6245" s="18">
        <v>0.05</v>
      </c>
      <c r="H6245">
        <f>F6245*VLOOKUP(B6245,產品!$A$2:$H$61,7,FALSE)*(1-銷售總表!G6245)</f>
        <v>171000</v>
      </c>
      <c r="I6245" s="35">
        <f>H6245-F6245*VLOOKUP(銷售總表!B6245,產品!$A$2:$H$61,8,FALSE)</f>
        <v>99000</v>
      </c>
      <c r="J6245" s="20">
        <f t="shared" si="97"/>
        <v>0.57894736842105265</v>
      </c>
    </row>
    <row r="6246" spans="1:10" x14ac:dyDescent="0.3">
      <c r="A6246" s="33">
        <v>6245</v>
      </c>
      <c r="B6246" s="4">
        <v>49</v>
      </c>
      <c r="C6246" s="15">
        <v>271</v>
      </c>
      <c r="D6246" s="16">
        <v>3</v>
      </c>
      <c r="E6246" s="22">
        <v>45012</v>
      </c>
      <c r="F6246" s="19">
        <v>9</v>
      </c>
      <c r="G6246" s="18">
        <v>7.0000000000000007E-2</v>
      </c>
      <c r="H6246">
        <f>F6246*VLOOKUP(B6246,產品!$A$2:$H$61,7,FALSE)*(1-銷售總表!G6246)</f>
        <v>125549.99999999999</v>
      </c>
      <c r="I6246" s="35">
        <f>H6246-F6246*VLOOKUP(銷售總表!B6246,產品!$A$2:$H$61,8,FALSE)</f>
        <v>31049.999999999985</v>
      </c>
      <c r="J6246" s="20">
        <f t="shared" si="97"/>
        <v>0.24731182795698917</v>
      </c>
    </row>
    <row r="6247" spans="1:10" x14ac:dyDescent="0.3">
      <c r="A6247" s="33">
        <v>6246</v>
      </c>
      <c r="B6247" s="4">
        <v>14</v>
      </c>
      <c r="C6247" s="15">
        <v>284</v>
      </c>
      <c r="D6247" s="16">
        <v>6</v>
      </c>
      <c r="E6247" s="23">
        <v>45012</v>
      </c>
      <c r="F6247">
        <v>11</v>
      </c>
      <c r="G6247" s="20">
        <v>0.14000000000000001</v>
      </c>
      <c r="H6247">
        <f>F6247*VLOOKUP(B6247,產品!$A$2:$H$61,7,FALSE)*(1-銷售總表!G6247)</f>
        <v>17028</v>
      </c>
      <c r="I6247" s="35">
        <f>H6247-F6247*VLOOKUP(銷售總表!B6247,產品!$A$2:$H$61,8,FALSE)</f>
        <v>9108</v>
      </c>
      <c r="J6247" s="20">
        <f t="shared" si="97"/>
        <v>0.53488372093023251</v>
      </c>
    </row>
    <row r="6248" spans="1:10" x14ac:dyDescent="0.3">
      <c r="A6248" s="33">
        <v>6247</v>
      </c>
      <c r="B6248" s="4">
        <v>19</v>
      </c>
      <c r="C6248" s="15">
        <v>5</v>
      </c>
      <c r="D6248" s="16">
        <v>9</v>
      </c>
      <c r="E6248" s="23">
        <v>45013</v>
      </c>
      <c r="F6248">
        <v>60</v>
      </c>
      <c r="G6248" s="20">
        <v>0.12</v>
      </c>
      <c r="H6248">
        <f>F6248*VLOOKUP(B6248,產品!$A$2:$H$61,7,FALSE)*(1-銷售總表!G6248)</f>
        <v>95040</v>
      </c>
      <c r="I6248" s="35">
        <f>H6248-F6248*VLOOKUP(銷售總表!B6248,產品!$A$2:$H$61,8,FALSE)</f>
        <v>51840</v>
      </c>
      <c r="J6248" s="20">
        <f t="shared" si="97"/>
        <v>0.54545454545454541</v>
      </c>
    </row>
    <row r="6249" spans="1:10" x14ac:dyDescent="0.3">
      <c r="A6249" s="33">
        <v>6248</v>
      </c>
      <c r="B6249" s="4">
        <v>27</v>
      </c>
      <c r="C6249" s="15">
        <v>113</v>
      </c>
      <c r="D6249" s="16">
        <v>4</v>
      </c>
      <c r="E6249" s="22">
        <v>45013</v>
      </c>
      <c r="F6249" s="19">
        <v>3</v>
      </c>
      <c r="G6249" s="18">
        <v>0.16</v>
      </c>
      <c r="H6249">
        <f>F6249*VLOOKUP(B6249,產品!$A$2:$H$61,7,FALSE)*(1-銷售總表!G6249)</f>
        <v>17640</v>
      </c>
      <c r="I6249" s="35">
        <f>H6249-F6249*VLOOKUP(銷售總表!B6249,產品!$A$2:$H$61,8,FALSE)</f>
        <v>5040</v>
      </c>
      <c r="J6249" s="20">
        <f t="shared" si="97"/>
        <v>0.2857142857142857</v>
      </c>
    </row>
    <row r="6250" spans="1:10" x14ac:dyDescent="0.3">
      <c r="A6250" s="33">
        <v>6249</v>
      </c>
      <c r="B6250" s="4">
        <v>60</v>
      </c>
      <c r="C6250" s="15">
        <v>2</v>
      </c>
      <c r="D6250" s="16">
        <v>2</v>
      </c>
      <c r="E6250" s="22">
        <v>45013</v>
      </c>
      <c r="F6250" s="19">
        <v>9</v>
      </c>
      <c r="G6250" s="18">
        <v>7.0000000000000007E-2</v>
      </c>
      <c r="H6250">
        <f>F6250*VLOOKUP(B6250,產品!$A$2:$H$61,7,FALSE)*(1-銷售總表!G6250)</f>
        <v>209250</v>
      </c>
      <c r="I6250" s="35">
        <f>H6250-F6250*VLOOKUP(銷售總表!B6250,產品!$A$2:$H$61,8,FALSE)</f>
        <v>51750</v>
      </c>
      <c r="J6250" s="20">
        <f t="shared" si="97"/>
        <v>0.24731182795698925</v>
      </c>
    </row>
    <row r="6251" spans="1:10" x14ac:dyDescent="0.3">
      <c r="A6251" s="33">
        <v>6250</v>
      </c>
      <c r="B6251" s="4">
        <v>2</v>
      </c>
      <c r="C6251" s="15">
        <v>4</v>
      </c>
      <c r="D6251" s="16">
        <v>10</v>
      </c>
      <c r="E6251" s="22">
        <v>45014</v>
      </c>
      <c r="F6251" s="19">
        <v>20</v>
      </c>
      <c r="G6251" s="18">
        <v>0.11</v>
      </c>
      <c r="H6251">
        <f>F6251*VLOOKUP(B6251,產品!$A$2:$H$61,7,FALSE)*(1-銷售總表!G6251)</f>
        <v>17800</v>
      </c>
      <c r="I6251" s="35">
        <f>H6251-F6251*VLOOKUP(銷售總表!B6251,產品!$A$2:$H$61,8,FALSE)</f>
        <v>9800</v>
      </c>
      <c r="J6251" s="20">
        <f t="shared" si="97"/>
        <v>0.550561797752809</v>
      </c>
    </row>
    <row r="6252" spans="1:10" x14ac:dyDescent="0.3">
      <c r="A6252" s="33">
        <v>6251</v>
      </c>
      <c r="B6252" s="4">
        <v>47</v>
      </c>
      <c r="C6252" s="15">
        <v>4</v>
      </c>
      <c r="D6252" s="16">
        <v>4</v>
      </c>
      <c r="E6252" s="22">
        <v>45014</v>
      </c>
      <c r="F6252" s="19">
        <v>10</v>
      </c>
      <c r="G6252" s="18">
        <v>0.19</v>
      </c>
      <c r="H6252">
        <f>F6252*VLOOKUP(B6252,產品!$A$2:$H$61,7,FALSE)*(1-銷售總表!G6252)</f>
        <v>162000</v>
      </c>
      <c r="I6252" s="35">
        <f>H6252-F6252*VLOOKUP(銷售總表!B6252,產品!$A$2:$H$61,8,FALSE)</f>
        <v>32000</v>
      </c>
      <c r="J6252" s="20">
        <f t="shared" si="97"/>
        <v>0.19753086419753085</v>
      </c>
    </row>
    <row r="6253" spans="1:10" x14ac:dyDescent="0.3">
      <c r="A6253" s="33">
        <v>6252</v>
      </c>
      <c r="B6253" s="4">
        <v>36</v>
      </c>
      <c r="C6253" s="15">
        <v>4</v>
      </c>
      <c r="D6253" s="16">
        <v>7</v>
      </c>
      <c r="E6253" s="22">
        <v>45014</v>
      </c>
      <c r="F6253" s="19">
        <v>6</v>
      </c>
      <c r="G6253" s="18">
        <v>7.0000000000000007E-2</v>
      </c>
      <c r="H6253">
        <f>F6253*VLOOKUP(B6253,產品!$A$2:$H$61,7,FALSE)*(1-銷售總表!G6253)</f>
        <v>50220</v>
      </c>
      <c r="I6253" s="35">
        <f>H6253-F6253*VLOOKUP(銷售總表!B6253,產品!$A$2:$H$61,8,FALSE)</f>
        <v>17820</v>
      </c>
      <c r="J6253" s="20">
        <f t="shared" si="97"/>
        <v>0.35483870967741937</v>
      </c>
    </row>
    <row r="6254" spans="1:10" x14ac:dyDescent="0.3">
      <c r="A6254" s="33">
        <v>6253</v>
      </c>
      <c r="B6254" s="4">
        <v>11</v>
      </c>
      <c r="C6254" s="15">
        <v>266</v>
      </c>
      <c r="D6254" s="16">
        <v>1</v>
      </c>
      <c r="E6254" s="22">
        <v>45015</v>
      </c>
      <c r="F6254" s="19">
        <v>20</v>
      </c>
      <c r="G6254" s="18">
        <v>7.0000000000000007E-2</v>
      </c>
      <c r="H6254">
        <f>F6254*VLOOKUP(B6254,產品!$A$2:$H$61,7,FALSE)*(1-銷售總表!G6254)</f>
        <v>18600</v>
      </c>
      <c r="I6254" s="35">
        <f>H6254-F6254*VLOOKUP(銷售總表!B6254,產品!$A$2:$H$61,8,FALSE)</f>
        <v>10600</v>
      </c>
      <c r="J6254" s="20">
        <f t="shared" si="97"/>
        <v>0.56989247311827962</v>
      </c>
    </row>
    <row r="6255" spans="1:10" x14ac:dyDescent="0.3">
      <c r="A6255" s="33">
        <v>6254</v>
      </c>
      <c r="B6255" s="4">
        <v>31</v>
      </c>
      <c r="C6255" s="15">
        <v>267</v>
      </c>
      <c r="D6255" s="16">
        <v>8</v>
      </c>
      <c r="E6255" s="22">
        <v>45015</v>
      </c>
      <c r="F6255" s="19">
        <v>3</v>
      </c>
      <c r="G6255" s="18">
        <v>0.13</v>
      </c>
      <c r="H6255">
        <f>F6255*VLOOKUP(B6255,產品!$A$2:$H$61,7,FALSE)*(1-銷售總表!G6255)</f>
        <v>18270</v>
      </c>
      <c r="I6255" s="35">
        <f>H6255-F6255*VLOOKUP(銷售總表!B6255,產品!$A$2:$H$61,8,FALSE)</f>
        <v>5670</v>
      </c>
      <c r="J6255" s="20">
        <f t="shared" si="97"/>
        <v>0.31034482758620691</v>
      </c>
    </row>
    <row r="6256" spans="1:10" x14ac:dyDescent="0.3">
      <c r="A6256" s="33">
        <v>6255</v>
      </c>
      <c r="B6256" s="4">
        <v>13</v>
      </c>
      <c r="C6256" s="15">
        <v>9</v>
      </c>
      <c r="D6256" s="16">
        <v>10</v>
      </c>
      <c r="E6256" s="23">
        <v>45015</v>
      </c>
      <c r="F6256">
        <v>70</v>
      </c>
      <c r="G6256" s="20">
        <v>0.06</v>
      </c>
      <c r="H6256">
        <f>F6256*VLOOKUP(B6256,產品!$A$2:$H$61,7,FALSE)*(1-銷售總表!G6256)</f>
        <v>118440</v>
      </c>
      <c r="I6256" s="35">
        <f>H6256-F6256*VLOOKUP(銷售總表!B6256,產品!$A$2:$H$61,8,FALSE)</f>
        <v>68040</v>
      </c>
      <c r="J6256" s="20">
        <f t="shared" si="97"/>
        <v>0.57446808510638303</v>
      </c>
    </row>
    <row r="6257" spans="1:10" x14ac:dyDescent="0.3">
      <c r="A6257" s="33">
        <v>6256</v>
      </c>
      <c r="B6257" s="4">
        <v>31</v>
      </c>
      <c r="C6257" s="15">
        <v>121</v>
      </c>
      <c r="D6257" s="16">
        <v>5</v>
      </c>
      <c r="E6257" s="23">
        <v>45015</v>
      </c>
      <c r="F6257">
        <v>8</v>
      </c>
      <c r="G6257" s="20">
        <v>0.1</v>
      </c>
      <c r="H6257">
        <f>F6257*VLOOKUP(B6257,產品!$A$2:$H$61,7,FALSE)*(1-銷售總表!G6257)</f>
        <v>50400</v>
      </c>
      <c r="I6257" s="35">
        <f>H6257-F6257*VLOOKUP(銷售總表!B6257,產品!$A$2:$H$61,8,FALSE)</f>
        <v>16800</v>
      </c>
      <c r="J6257" s="20">
        <f t="shared" si="97"/>
        <v>0.33333333333333331</v>
      </c>
    </row>
    <row r="6258" spans="1:10" x14ac:dyDescent="0.3">
      <c r="A6258" s="33">
        <v>6257</v>
      </c>
      <c r="B6258" s="4">
        <v>55</v>
      </c>
      <c r="C6258" s="15">
        <v>116</v>
      </c>
      <c r="D6258" s="16">
        <v>8</v>
      </c>
      <c r="E6258" s="22">
        <v>45016</v>
      </c>
      <c r="F6258" s="19">
        <v>10</v>
      </c>
      <c r="G6258" s="18">
        <v>0.12</v>
      </c>
      <c r="H6258">
        <f>F6258*VLOOKUP(B6258,產品!$A$2:$H$61,7,FALSE)*(1-銷售總表!G6258)</f>
        <v>176000</v>
      </c>
      <c r="I6258" s="35">
        <f>H6258-F6258*VLOOKUP(銷售總表!B6258,產品!$A$2:$H$61,8,FALSE)</f>
        <v>36000</v>
      </c>
      <c r="J6258" s="20">
        <f t="shared" si="97"/>
        <v>0.20454545454545456</v>
      </c>
    </row>
    <row r="6259" spans="1:10" x14ac:dyDescent="0.3">
      <c r="A6259" s="33">
        <v>6258</v>
      </c>
      <c r="B6259" s="4">
        <v>16</v>
      </c>
      <c r="C6259" s="15">
        <v>117</v>
      </c>
      <c r="D6259" s="16">
        <v>9</v>
      </c>
      <c r="E6259" s="22">
        <v>45016</v>
      </c>
      <c r="F6259" s="19">
        <v>120</v>
      </c>
      <c r="G6259" s="18">
        <v>0.05</v>
      </c>
      <c r="H6259">
        <f>F6259*VLOOKUP(B6259,產品!$A$2:$H$61,7,FALSE)*(1-銷售總表!G6259)</f>
        <v>205200</v>
      </c>
      <c r="I6259" s="35">
        <f>H6259-F6259*VLOOKUP(銷售總表!B6259,產品!$A$2:$H$61,8,FALSE)</f>
        <v>118800</v>
      </c>
      <c r="J6259" s="20">
        <f t="shared" si="97"/>
        <v>0.57894736842105265</v>
      </c>
    </row>
    <row r="6260" spans="1:10" x14ac:dyDescent="0.3">
      <c r="A6260" s="33">
        <v>6259</v>
      </c>
      <c r="B6260" s="4">
        <v>23</v>
      </c>
      <c r="C6260" s="15">
        <v>257</v>
      </c>
      <c r="D6260" s="16">
        <v>2</v>
      </c>
      <c r="E6260" s="22">
        <v>45016</v>
      </c>
      <c r="F6260" s="19">
        <v>15</v>
      </c>
      <c r="G6260" s="18">
        <v>0.19</v>
      </c>
      <c r="H6260">
        <f>F6260*VLOOKUP(B6260,產品!$A$2:$H$61,7,FALSE)*(1-銷售總表!G6260)</f>
        <v>21870</v>
      </c>
      <c r="I6260" s="35">
        <f>H6260-F6260*VLOOKUP(銷售總表!B6260,產品!$A$2:$H$61,8,FALSE)</f>
        <v>11070</v>
      </c>
      <c r="J6260" s="20">
        <f t="shared" si="97"/>
        <v>0.50617283950617287</v>
      </c>
    </row>
    <row r="6261" spans="1:10" x14ac:dyDescent="0.3">
      <c r="A6261" s="33">
        <v>6260</v>
      </c>
      <c r="B6261" s="4">
        <v>35</v>
      </c>
      <c r="C6261" s="15">
        <v>3</v>
      </c>
      <c r="D6261" s="16">
        <v>9</v>
      </c>
      <c r="E6261" s="23">
        <v>45016</v>
      </c>
      <c r="F6261">
        <v>6</v>
      </c>
      <c r="G6261" s="20">
        <v>7.0000000000000007E-2</v>
      </c>
      <c r="H6261">
        <f>F6261*VLOOKUP(B6261,產品!$A$2:$H$61,7,FALSE)*(1-銷售總表!G6261)</f>
        <v>47430</v>
      </c>
      <c r="I6261" s="35">
        <f>H6261-F6261*VLOOKUP(銷售總表!B6261,產品!$A$2:$H$61,8,FALSE)</f>
        <v>16830</v>
      </c>
      <c r="J6261" s="20">
        <f t="shared" si="97"/>
        <v>0.35483870967741937</v>
      </c>
    </row>
    <row r="6262" spans="1:10" x14ac:dyDescent="0.3">
      <c r="A6262" s="33">
        <v>6261</v>
      </c>
      <c r="B6262" s="4">
        <v>59</v>
      </c>
      <c r="C6262" s="15">
        <v>9</v>
      </c>
      <c r="D6262" s="16">
        <v>10</v>
      </c>
      <c r="E6262" s="22">
        <v>45017</v>
      </c>
      <c r="F6262" s="19">
        <v>4</v>
      </c>
      <c r="G6262" s="18">
        <v>0.09</v>
      </c>
      <c r="H6262">
        <f>F6262*VLOOKUP(B6262,產品!$A$2:$H$61,7,FALSE)*(1-銷售總表!G6262)</f>
        <v>87360</v>
      </c>
      <c r="I6262" s="35">
        <f>H6262-F6262*VLOOKUP(銷售總表!B6262,產品!$A$2:$H$61,8,FALSE)</f>
        <v>20160</v>
      </c>
      <c r="J6262" s="20">
        <f t="shared" si="97"/>
        <v>0.23076923076923078</v>
      </c>
    </row>
    <row r="6263" spans="1:10" x14ac:dyDescent="0.3">
      <c r="A6263" s="33">
        <v>6262</v>
      </c>
      <c r="B6263" s="4">
        <v>29</v>
      </c>
      <c r="C6263" s="15">
        <v>140</v>
      </c>
      <c r="D6263" s="16">
        <v>10</v>
      </c>
      <c r="E6263" s="22">
        <v>45018</v>
      </c>
      <c r="F6263" s="19">
        <v>9</v>
      </c>
      <c r="G6263" s="18">
        <v>0.14000000000000001</v>
      </c>
      <c r="H6263">
        <f>F6263*VLOOKUP(B6263,產品!$A$2:$H$61,7,FALSE)*(1-銷售總表!G6263)</f>
        <v>46440</v>
      </c>
      <c r="I6263" s="35">
        <f>H6263-F6263*VLOOKUP(銷售總表!B6263,產品!$A$2:$H$61,8,FALSE)</f>
        <v>14040</v>
      </c>
      <c r="J6263" s="20">
        <f t="shared" si="97"/>
        <v>0.30232558139534882</v>
      </c>
    </row>
    <row r="6264" spans="1:10" x14ac:dyDescent="0.3">
      <c r="A6264" s="33">
        <v>6263</v>
      </c>
      <c r="B6264" s="4">
        <v>41</v>
      </c>
      <c r="C6264" s="15">
        <v>4</v>
      </c>
      <c r="D6264" s="16">
        <v>6</v>
      </c>
      <c r="E6264" s="22">
        <v>45018</v>
      </c>
      <c r="F6264" s="19">
        <v>8</v>
      </c>
      <c r="G6264" s="18">
        <v>0.1</v>
      </c>
      <c r="H6264">
        <f>F6264*VLOOKUP(B6264,產品!$A$2:$H$61,7,FALSE)*(1-銷售總表!G6264)</f>
        <v>86400</v>
      </c>
      <c r="I6264" s="35">
        <f>H6264-F6264*VLOOKUP(銷售總表!B6264,產品!$A$2:$H$61,8,FALSE)</f>
        <v>24000</v>
      </c>
      <c r="J6264" s="20">
        <f t="shared" si="97"/>
        <v>0.27777777777777779</v>
      </c>
    </row>
    <row r="6265" spans="1:10" x14ac:dyDescent="0.3">
      <c r="A6265" s="33">
        <v>6264</v>
      </c>
      <c r="B6265" s="4">
        <v>47</v>
      </c>
      <c r="C6265" s="15">
        <v>276</v>
      </c>
      <c r="D6265" s="16">
        <v>5</v>
      </c>
      <c r="E6265" s="22">
        <v>45018</v>
      </c>
      <c r="F6265" s="19">
        <v>5</v>
      </c>
      <c r="G6265" s="18">
        <v>0.18</v>
      </c>
      <c r="H6265">
        <f>F6265*VLOOKUP(B6265,產品!$A$2:$H$61,7,FALSE)*(1-銷售總表!G6265)</f>
        <v>82000</v>
      </c>
      <c r="I6265" s="35">
        <f>H6265-F6265*VLOOKUP(銷售總表!B6265,產品!$A$2:$H$61,8,FALSE)</f>
        <v>17000</v>
      </c>
      <c r="J6265" s="20">
        <f t="shared" si="97"/>
        <v>0.2073170731707317</v>
      </c>
    </row>
    <row r="6266" spans="1:10" x14ac:dyDescent="0.3">
      <c r="A6266" s="33">
        <v>6265</v>
      </c>
      <c r="B6266" s="4">
        <v>37</v>
      </c>
      <c r="C6266" s="15">
        <v>10</v>
      </c>
      <c r="D6266" s="16">
        <v>10</v>
      </c>
      <c r="E6266" s="22">
        <v>45018</v>
      </c>
      <c r="F6266" s="19">
        <v>12</v>
      </c>
      <c r="G6266" s="18">
        <v>0.19</v>
      </c>
      <c r="H6266">
        <f>F6266*VLOOKUP(B6266,產品!$A$2:$H$61,7,FALSE)*(1-銷售總表!G6266)</f>
        <v>116640.00000000001</v>
      </c>
      <c r="I6266" s="35">
        <f>H6266-F6266*VLOOKUP(銷售總表!B6266,產品!$A$2:$H$61,8,FALSE)</f>
        <v>23040.000000000015</v>
      </c>
      <c r="J6266" s="20">
        <f t="shared" si="97"/>
        <v>0.19753086419753096</v>
      </c>
    </row>
    <row r="6267" spans="1:10" x14ac:dyDescent="0.3">
      <c r="A6267" s="33">
        <v>6266</v>
      </c>
      <c r="B6267" s="4">
        <v>7</v>
      </c>
      <c r="C6267" s="15">
        <v>3</v>
      </c>
      <c r="D6267" s="16">
        <v>7</v>
      </c>
      <c r="E6267" s="22">
        <v>45019</v>
      </c>
      <c r="F6267" s="19">
        <v>20</v>
      </c>
      <c r="G6267" s="18">
        <v>0.13</v>
      </c>
      <c r="H6267">
        <f>F6267*VLOOKUP(B6267,產品!$A$2:$H$61,7,FALSE)*(1-銷售總表!G6267)</f>
        <v>17400</v>
      </c>
      <c r="I6267" s="35">
        <f>H6267-F6267*VLOOKUP(銷售總表!B6267,產品!$A$2:$H$61,8,FALSE)</f>
        <v>9400</v>
      </c>
      <c r="J6267" s="20">
        <f t="shared" si="97"/>
        <v>0.54022988505747127</v>
      </c>
    </row>
    <row r="6268" spans="1:10" x14ac:dyDescent="0.3">
      <c r="A6268" s="33">
        <v>6267</v>
      </c>
      <c r="B6268" s="4">
        <v>32</v>
      </c>
      <c r="C6268" s="15">
        <v>5</v>
      </c>
      <c r="D6268" s="16">
        <v>7</v>
      </c>
      <c r="E6268" s="22">
        <v>45019</v>
      </c>
      <c r="F6268" s="19">
        <v>3</v>
      </c>
      <c r="G6268" s="18">
        <v>0.2</v>
      </c>
      <c r="H6268">
        <f>F6268*VLOOKUP(B6268,產品!$A$2:$H$61,7,FALSE)*(1-銷售總表!G6268)</f>
        <v>18000</v>
      </c>
      <c r="I6268" s="35">
        <f>H6268-F6268*VLOOKUP(銷售總表!B6268,產品!$A$2:$H$61,8,FALSE)</f>
        <v>4500</v>
      </c>
      <c r="J6268" s="20">
        <f t="shared" si="97"/>
        <v>0.25</v>
      </c>
    </row>
    <row r="6269" spans="1:10" x14ac:dyDescent="0.3">
      <c r="A6269" s="33">
        <v>6268</v>
      </c>
      <c r="B6269" s="4">
        <v>35</v>
      </c>
      <c r="C6269" s="15">
        <v>113</v>
      </c>
      <c r="D6269" s="16">
        <v>4</v>
      </c>
      <c r="E6269" s="22">
        <v>45019</v>
      </c>
      <c r="F6269" s="19">
        <v>8</v>
      </c>
      <c r="G6269" s="18">
        <v>0.13</v>
      </c>
      <c r="H6269">
        <f>F6269*VLOOKUP(B6269,產品!$A$2:$H$61,7,FALSE)*(1-銷售總表!G6269)</f>
        <v>59160</v>
      </c>
      <c r="I6269" s="35">
        <f>H6269-F6269*VLOOKUP(銷售總表!B6269,產品!$A$2:$H$61,8,FALSE)</f>
        <v>18360</v>
      </c>
      <c r="J6269" s="20">
        <f t="shared" si="97"/>
        <v>0.31034482758620691</v>
      </c>
    </row>
    <row r="6270" spans="1:10" x14ac:dyDescent="0.3">
      <c r="A6270" s="33">
        <v>6269</v>
      </c>
      <c r="B6270" s="4">
        <v>8</v>
      </c>
      <c r="C6270" s="15">
        <v>10</v>
      </c>
      <c r="D6270" s="16">
        <v>2</v>
      </c>
      <c r="E6270" s="22">
        <v>45019</v>
      </c>
      <c r="F6270" s="19">
        <v>90</v>
      </c>
      <c r="G6270" s="18">
        <v>7.0000000000000007E-2</v>
      </c>
      <c r="H6270">
        <f>F6270*VLOOKUP(B6270,產品!$A$2:$H$61,7,FALSE)*(1-銷售總表!G6270)</f>
        <v>83700</v>
      </c>
      <c r="I6270" s="35">
        <f>H6270-F6270*VLOOKUP(銷售總表!B6270,產品!$A$2:$H$61,8,FALSE)</f>
        <v>47700</v>
      </c>
      <c r="J6270" s="20">
        <f t="shared" si="97"/>
        <v>0.56989247311827962</v>
      </c>
    </row>
    <row r="6271" spans="1:10" x14ac:dyDescent="0.3">
      <c r="A6271" s="33">
        <v>6270</v>
      </c>
      <c r="B6271" s="4">
        <v>1</v>
      </c>
      <c r="C6271" s="15">
        <v>123</v>
      </c>
      <c r="D6271" s="16">
        <v>7</v>
      </c>
      <c r="E6271" s="22">
        <v>45019</v>
      </c>
      <c r="F6271" s="19">
        <v>80</v>
      </c>
      <c r="G6271" s="18">
        <v>0.19</v>
      </c>
      <c r="H6271">
        <f>F6271*VLOOKUP(B6271,產品!$A$2:$H$61,7,FALSE)*(1-銷售總表!G6271)</f>
        <v>64800.000000000007</v>
      </c>
      <c r="I6271" s="35">
        <f>H6271-F6271*VLOOKUP(銷售總表!B6271,產品!$A$2:$H$61,8,FALSE)</f>
        <v>32800.000000000007</v>
      </c>
      <c r="J6271" s="20">
        <f t="shared" si="97"/>
        <v>0.50617283950617287</v>
      </c>
    </row>
    <row r="6272" spans="1:10" x14ac:dyDescent="0.3">
      <c r="A6272" s="33">
        <v>6271</v>
      </c>
      <c r="B6272" s="4">
        <v>12</v>
      </c>
      <c r="C6272" s="15">
        <v>284</v>
      </c>
      <c r="D6272" s="16">
        <v>2</v>
      </c>
      <c r="E6272" s="22">
        <v>45019</v>
      </c>
      <c r="F6272" s="19">
        <v>15</v>
      </c>
      <c r="G6272" s="18">
        <v>0.15</v>
      </c>
      <c r="H6272">
        <f>F6272*VLOOKUP(B6272,產品!$A$2:$H$61,7,FALSE)*(1-銷售總表!G6272)</f>
        <v>12750</v>
      </c>
      <c r="I6272" s="35">
        <f>H6272-F6272*VLOOKUP(銷售總表!B6272,產品!$A$2:$H$61,8,FALSE)</f>
        <v>6750</v>
      </c>
      <c r="J6272" s="20">
        <f t="shared" si="97"/>
        <v>0.52941176470588236</v>
      </c>
    </row>
    <row r="6273" spans="1:10" x14ac:dyDescent="0.3">
      <c r="A6273" s="33">
        <v>6272</v>
      </c>
      <c r="B6273" s="4">
        <v>57</v>
      </c>
      <c r="C6273" s="15">
        <v>258</v>
      </c>
      <c r="D6273" s="16">
        <v>5</v>
      </c>
      <c r="E6273" s="22">
        <v>45019</v>
      </c>
      <c r="F6273" s="19">
        <v>14</v>
      </c>
      <c r="G6273" s="18">
        <v>0.08</v>
      </c>
      <c r="H6273">
        <f>F6273*VLOOKUP(B6273,產品!$A$2:$H$61,7,FALSE)*(1-銷售總表!G6273)</f>
        <v>231840</v>
      </c>
      <c r="I6273" s="35">
        <f>H6273-F6273*VLOOKUP(銷售總表!B6273,產品!$A$2:$H$61,8,FALSE)</f>
        <v>55440</v>
      </c>
      <c r="J6273" s="20">
        <f t="shared" si="97"/>
        <v>0.2391304347826087</v>
      </c>
    </row>
    <row r="6274" spans="1:10" x14ac:dyDescent="0.3">
      <c r="A6274" s="33">
        <v>6273</v>
      </c>
      <c r="B6274" s="4">
        <v>2</v>
      </c>
      <c r="C6274" s="15">
        <v>272</v>
      </c>
      <c r="D6274" s="16">
        <v>2</v>
      </c>
      <c r="E6274" s="22">
        <v>45019</v>
      </c>
      <c r="F6274" s="19">
        <v>11</v>
      </c>
      <c r="G6274" s="18">
        <v>0.05</v>
      </c>
      <c r="H6274">
        <f>F6274*VLOOKUP(B6274,產品!$A$2:$H$61,7,FALSE)*(1-銷售總表!G6274)</f>
        <v>10450</v>
      </c>
      <c r="I6274" s="35">
        <f>H6274-F6274*VLOOKUP(銷售總表!B6274,產品!$A$2:$H$61,8,FALSE)</f>
        <v>6050</v>
      </c>
      <c r="J6274" s="20">
        <f t="shared" si="97"/>
        <v>0.57894736842105265</v>
      </c>
    </row>
    <row r="6275" spans="1:10" x14ac:dyDescent="0.3">
      <c r="A6275" s="33">
        <v>6274</v>
      </c>
      <c r="B6275" s="4">
        <v>25</v>
      </c>
      <c r="C6275" s="15">
        <v>1</v>
      </c>
      <c r="D6275" s="16">
        <v>6</v>
      </c>
      <c r="E6275" s="22">
        <v>45020</v>
      </c>
      <c r="F6275" s="19">
        <v>3</v>
      </c>
      <c r="G6275" s="18">
        <v>0.2</v>
      </c>
      <c r="H6275">
        <f>F6275*VLOOKUP(B6275,產品!$A$2:$H$61,7,FALSE)*(1-銷售總表!G6275)</f>
        <v>14400</v>
      </c>
      <c r="I6275" s="35">
        <f>H6275-F6275*VLOOKUP(銷售總表!B6275,產品!$A$2:$H$61,8,FALSE)</f>
        <v>3600</v>
      </c>
      <c r="J6275" s="20">
        <f t="shared" ref="J6275:J6338" si="98">I6275/H6275</f>
        <v>0.25</v>
      </c>
    </row>
    <row r="6276" spans="1:10" x14ac:dyDescent="0.3">
      <c r="A6276" s="33">
        <v>6275</v>
      </c>
      <c r="B6276" s="4">
        <v>40</v>
      </c>
      <c r="C6276" s="15">
        <v>6</v>
      </c>
      <c r="D6276" s="16">
        <v>1</v>
      </c>
      <c r="E6276" s="22">
        <v>45020</v>
      </c>
      <c r="F6276" s="19">
        <v>6</v>
      </c>
      <c r="G6276" s="18">
        <v>0.19</v>
      </c>
      <c r="H6276">
        <f>F6276*VLOOKUP(B6276,產品!$A$2:$H$61,7,FALSE)*(1-銷售總表!G6276)</f>
        <v>97200</v>
      </c>
      <c r="I6276" s="35">
        <f>H6276-F6276*VLOOKUP(銷售總表!B6276,產品!$A$2:$H$61,8,FALSE)</f>
        <v>19200</v>
      </c>
      <c r="J6276" s="20">
        <f t="shared" si="98"/>
        <v>0.19753086419753085</v>
      </c>
    </row>
    <row r="6277" spans="1:10" x14ac:dyDescent="0.3">
      <c r="A6277" s="33">
        <v>6276</v>
      </c>
      <c r="B6277" s="4">
        <v>34</v>
      </c>
      <c r="C6277" s="15">
        <v>258</v>
      </c>
      <c r="D6277" s="16">
        <v>4</v>
      </c>
      <c r="E6277" s="22">
        <v>45020</v>
      </c>
      <c r="F6277" s="19">
        <v>7</v>
      </c>
      <c r="G6277" s="18">
        <v>0.17</v>
      </c>
      <c r="H6277">
        <f>F6277*VLOOKUP(B6277,產品!$A$2:$H$61,7,FALSE)*(1-銷售總表!G6277)</f>
        <v>46480</v>
      </c>
      <c r="I6277" s="35">
        <f>H6277-F6277*VLOOKUP(銷售總表!B6277,產品!$A$2:$H$61,8,FALSE)</f>
        <v>12880</v>
      </c>
      <c r="J6277" s="20">
        <f t="shared" si="98"/>
        <v>0.27710843373493976</v>
      </c>
    </row>
    <row r="6278" spans="1:10" x14ac:dyDescent="0.3">
      <c r="A6278" s="33">
        <v>6277</v>
      </c>
      <c r="B6278" s="4">
        <v>15</v>
      </c>
      <c r="C6278" s="15">
        <v>274</v>
      </c>
      <c r="D6278" s="16">
        <v>9</v>
      </c>
      <c r="E6278" s="22">
        <v>45020</v>
      </c>
      <c r="F6278" s="19">
        <v>14</v>
      </c>
      <c r="G6278" s="18">
        <v>0.18</v>
      </c>
      <c r="H6278">
        <f>F6278*VLOOKUP(B6278,產品!$A$2:$H$61,7,FALSE)*(1-銷售總表!G6278)</f>
        <v>20664</v>
      </c>
      <c r="I6278" s="35">
        <f>H6278-F6278*VLOOKUP(銷售總表!B6278,產品!$A$2:$H$61,8,FALSE)</f>
        <v>10584</v>
      </c>
      <c r="J6278" s="20">
        <f t="shared" si="98"/>
        <v>0.51219512195121952</v>
      </c>
    </row>
    <row r="6279" spans="1:10" x14ac:dyDescent="0.3">
      <c r="A6279" s="33">
        <v>6278</v>
      </c>
      <c r="B6279" s="4">
        <v>33</v>
      </c>
      <c r="C6279" s="15">
        <v>122</v>
      </c>
      <c r="D6279" s="16">
        <v>1</v>
      </c>
      <c r="E6279" s="22">
        <v>45021</v>
      </c>
      <c r="F6279" s="19">
        <v>20</v>
      </c>
      <c r="G6279" s="18">
        <v>7.0000000000000007E-2</v>
      </c>
      <c r="H6279">
        <f>F6279*VLOOKUP(B6279,產品!$A$2:$H$61,7,FALSE)*(1-銷售總表!G6279)</f>
        <v>139500</v>
      </c>
      <c r="I6279" s="35">
        <f>H6279-F6279*VLOOKUP(銷售總表!B6279,產品!$A$2:$H$61,8,FALSE)</f>
        <v>49500</v>
      </c>
      <c r="J6279" s="20">
        <f t="shared" si="98"/>
        <v>0.35483870967741937</v>
      </c>
    </row>
    <row r="6280" spans="1:10" x14ac:dyDescent="0.3">
      <c r="A6280" s="33">
        <v>6279</v>
      </c>
      <c r="B6280" s="4">
        <v>27</v>
      </c>
      <c r="C6280" s="15">
        <v>6</v>
      </c>
      <c r="D6280" s="16">
        <v>1</v>
      </c>
      <c r="E6280" s="22">
        <v>45021</v>
      </c>
      <c r="F6280" s="19">
        <v>4</v>
      </c>
      <c r="G6280" s="18">
        <v>0.18</v>
      </c>
      <c r="H6280">
        <f>F6280*VLOOKUP(B6280,產品!$A$2:$H$61,7,FALSE)*(1-銷售總表!G6280)</f>
        <v>22960</v>
      </c>
      <c r="I6280" s="35">
        <f>H6280-F6280*VLOOKUP(銷售總表!B6280,產品!$A$2:$H$61,8,FALSE)</f>
        <v>6160</v>
      </c>
      <c r="J6280" s="20">
        <f t="shared" si="98"/>
        <v>0.26829268292682928</v>
      </c>
    </row>
    <row r="6281" spans="1:10" x14ac:dyDescent="0.3">
      <c r="A6281" s="33">
        <v>6280</v>
      </c>
      <c r="B6281" s="4">
        <v>32</v>
      </c>
      <c r="C6281" s="15">
        <v>140</v>
      </c>
      <c r="D6281" s="16">
        <v>9</v>
      </c>
      <c r="E6281" s="23">
        <v>45022</v>
      </c>
      <c r="F6281">
        <v>8</v>
      </c>
      <c r="G6281" s="20">
        <v>0.17</v>
      </c>
      <c r="H6281">
        <f>F6281*VLOOKUP(B6281,產品!$A$2:$H$61,7,FALSE)*(1-銷售總表!G6281)</f>
        <v>49800</v>
      </c>
      <c r="I6281" s="35">
        <f>H6281-F6281*VLOOKUP(銷售總表!B6281,產品!$A$2:$H$61,8,FALSE)</f>
        <v>13800</v>
      </c>
      <c r="J6281" s="20">
        <f t="shared" si="98"/>
        <v>0.27710843373493976</v>
      </c>
    </row>
    <row r="6282" spans="1:10" x14ac:dyDescent="0.3">
      <c r="A6282" s="33">
        <v>6281</v>
      </c>
      <c r="B6282" s="4">
        <v>6</v>
      </c>
      <c r="C6282" s="15">
        <v>276</v>
      </c>
      <c r="D6282" s="16">
        <v>2</v>
      </c>
      <c r="E6282" s="22">
        <v>45022</v>
      </c>
      <c r="F6282" s="19">
        <v>300</v>
      </c>
      <c r="G6282" s="18">
        <v>0.1</v>
      </c>
      <c r="H6282">
        <f>F6282*VLOOKUP(B6282,產品!$A$2:$H$61,7,FALSE)*(1-銷售總表!G6282)</f>
        <v>270000</v>
      </c>
      <c r="I6282" s="35">
        <f>H6282-F6282*VLOOKUP(銷售總表!B6282,產品!$A$2:$H$61,8,FALSE)</f>
        <v>150000</v>
      </c>
      <c r="J6282" s="20">
        <f t="shared" si="98"/>
        <v>0.55555555555555558</v>
      </c>
    </row>
    <row r="6283" spans="1:10" x14ac:dyDescent="0.3">
      <c r="A6283" s="33">
        <v>6282</v>
      </c>
      <c r="B6283" s="4">
        <v>1</v>
      </c>
      <c r="C6283" s="15">
        <v>123</v>
      </c>
      <c r="D6283" s="16">
        <v>4</v>
      </c>
      <c r="E6283" s="22">
        <v>45023</v>
      </c>
      <c r="F6283" s="19">
        <v>250</v>
      </c>
      <c r="G6283" s="18">
        <v>0.12</v>
      </c>
      <c r="H6283">
        <f>F6283*VLOOKUP(B6283,產品!$A$2:$H$61,7,FALSE)*(1-銷售總表!G6283)</f>
        <v>220000</v>
      </c>
      <c r="I6283" s="35">
        <f>H6283-F6283*VLOOKUP(銷售總表!B6283,產品!$A$2:$H$61,8,FALSE)</f>
        <v>120000</v>
      </c>
      <c r="J6283" s="20">
        <f t="shared" si="98"/>
        <v>0.54545454545454541</v>
      </c>
    </row>
    <row r="6284" spans="1:10" x14ac:dyDescent="0.3">
      <c r="A6284" s="33">
        <v>6283</v>
      </c>
      <c r="B6284" s="4">
        <v>31</v>
      </c>
      <c r="C6284" s="15">
        <v>135</v>
      </c>
      <c r="D6284" s="16">
        <v>4</v>
      </c>
      <c r="E6284" s="22">
        <v>45023</v>
      </c>
      <c r="F6284" s="19">
        <v>6</v>
      </c>
      <c r="G6284" s="18">
        <v>0.19</v>
      </c>
      <c r="H6284">
        <f>F6284*VLOOKUP(B6284,產品!$A$2:$H$61,7,FALSE)*(1-銷售總表!G6284)</f>
        <v>34020</v>
      </c>
      <c r="I6284" s="35">
        <f>H6284-F6284*VLOOKUP(銷售總表!B6284,產品!$A$2:$H$61,8,FALSE)</f>
        <v>8820</v>
      </c>
      <c r="J6284" s="20">
        <f t="shared" si="98"/>
        <v>0.25925925925925924</v>
      </c>
    </row>
    <row r="6285" spans="1:10" x14ac:dyDescent="0.3">
      <c r="A6285" s="33">
        <v>6284</v>
      </c>
      <c r="B6285" s="4">
        <v>48</v>
      </c>
      <c r="C6285" s="15">
        <v>1</v>
      </c>
      <c r="D6285" s="16">
        <v>7</v>
      </c>
      <c r="E6285" s="22">
        <v>45023</v>
      </c>
      <c r="F6285" s="19">
        <v>2</v>
      </c>
      <c r="G6285" s="18">
        <v>0.17</v>
      </c>
      <c r="H6285">
        <f>F6285*VLOOKUP(B6285,產品!$A$2:$H$61,7,FALSE)*(1-銷售總表!G6285)</f>
        <v>36520</v>
      </c>
      <c r="I6285" s="35">
        <f>H6285-F6285*VLOOKUP(銷售總表!B6285,產品!$A$2:$H$61,8,FALSE)</f>
        <v>7920</v>
      </c>
      <c r="J6285" s="20">
        <f t="shared" si="98"/>
        <v>0.21686746987951808</v>
      </c>
    </row>
    <row r="6286" spans="1:10" x14ac:dyDescent="0.3">
      <c r="A6286" s="33">
        <v>6285</v>
      </c>
      <c r="B6286" s="4">
        <v>42</v>
      </c>
      <c r="C6286" s="15">
        <v>117</v>
      </c>
      <c r="D6286" s="16">
        <v>10</v>
      </c>
      <c r="E6286" s="22">
        <v>45023</v>
      </c>
      <c r="F6286" s="19">
        <v>9</v>
      </c>
      <c r="G6286" s="18">
        <v>0.13</v>
      </c>
      <c r="H6286">
        <f>F6286*VLOOKUP(B6286,產品!$A$2:$H$61,7,FALSE)*(1-銷售總表!G6286)</f>
        <v>117450</v>
      </c>
      <c r="I6286" s="35">
        <f>H6286-F6286*VLOOKUP(銷售總表!B6286,產品!$A$2:$H$61,8,FALSE)</f>
        <v>29700</v>
      </c>
      <c r="J6286" s="20">
        <f t="shared" si="98"/>
        <v>0.25287356321839083</v>
      </c>
    </row>
    <row r="6287" spans="1:10" x14ac:dyDescent="0.3">
      <c r="A6287" s="33">
        <v>6286</v>
      </c>
      <c r="B6287" s="4">
        <v>48</v>
      </c>
      <c r="C6287" s="15">
        <v>282</v>
      </c>
      <c r="D6287" s="16">
        <v>1</v>
      </c>
      <c r="E6287" s="22">
        <v>45023</v>
      </c>
      <c r="F6287" s="19">
        <v>3</v>
      </c>
      <c r="G6287" s="18">
        <v>0.16</v>
      </c>
      <c r="H6287">
        <f>F6287*VLOOKUP(B6287,產品!$A$2:$H$61,7,FALSE)*(1-銷售總表!G6287)</f>
        <v>55440</v>
      </c>
      <c r="I6287" s="35">
        <f>H6287-F6287*VLOOKUP(銷售總表!B6287,產品!$A$2:$H$61,8,FALSE)</f>
        <v>12540</v>
      </c>
      <c r="J6287" s="20">
        <f t="shared" si="98"/>
        <v>0.22619047619047619</v>
      </c>
    </row>
    <row r="6288" spans="1:10" x14ac:dyDescent="0.3">
      <c r="A6288" s="33">
        <v>6287</v>
      </c>
      <c r="B6288" s="4">
        <v>44</v>
      </c>
      <c r="C6288" s="15">
        <v>122</v>
      </c>
      <c r="D6288" s="16">
        <v>3</v>
      </c>
      <c r="E6288" s="22">
        <v>45023</v>
      </c>
      <c r="F6288" s="19">
        <v>5</v>
      </c>
      <c r="G6288" s="18">
        <v>0.16</v>
      </c>
      <c r="H6288">
        <f>F6288*VLOOKUP(B6288,產品!$A$2:$H$61,7,FALSE)*(1-銷售總表!G6288)</f>
        <v>84000</v>
      </c>
      <c r="I6288" s="35">
        <f>H6288-F6288*VLOOKUP(銷售總表!B6288,產品!$A$2:$H$61,8,FALSE)</f>
        <v>19000</v>
      </c>
      <c r="J6288" s="20">
        <f t="shared" si="98"/>
        <v>0.22619047619047619</v>
      </c>
    </row>
    <row r="6289" spans="1:10" x14ac:dyDescent="0.3">
      <c r="A6289" s="33">
        <v>6288</v>
      </c>
      <c r="B6289" s="4">
        <v>27</v>
      </c>
      <c r="C6289" s="15">
        <v>120</v>
      </c>
      <c r="D6289" s="16">
        <v>3</v>
      </c>
      <c r="E6289" s="22">
        <v>45023</v>
      </c>
      <c r="F6289" s="19">
        <v>13</v>
      </c>
      <c r="G6289" s="18">
        <v>7.0000000000000007E-2</v>
      </c>
      <c r="H6289">
        <f>F6289*VLOOKUP(B6289,產品!$A$2:$H$61,7,FALSE)*(1-銷售總表!G6289)</f>
        <v>84630</v>
      </c>
      <c r="I6289" s="35">
        <f>H6289-F6289*VLOOKUP(銷售總表!B6289,產品!$A$2:$H$61,8,FALSE)</f>
        <v>30030</v>
      </c>
      <c r="J6289" s="20">
        <f t="shared" si="98"/>
        <v>0.35483870967741937</v>
      </c>
    </row>
    <row r="6290" spans="1:10" x14ac:dyDescent="0.3">
      <c r="A6290" s="33">
        <v>6289</v>
      </c>
      <c r="B6290" s="4">
        <v>57</v>
      </c>
      <c r="C6290" s="15">
        <v>276</v>
      </c>
      <c r="D6290" s="16">
        <v>4</v>
      </c>
      <c r="E6290" s="22">
        <v>45024</v>
      </c>
      <c r="F6290" s="19">
        <v>5</v>
      </c>
      <c r="G6290" s="18">
        <v>0.1</v>
      </c>
      <c r="H6290">
        <f>F6290*VLOOKUP(B6290,產品!$A$2:$H$61,7,FALSE)*(1-銷售總表!G6290)</f>
        <v>81000</v>
      </c>
      <c r="I6290" s="35">
        <f>H6290-F6290*VLOOKUP(銷售總表!B6290,產品!$A$2:$H$61,8,FALSE)</f>
        <v>18000</v>
      </c>
      <c r="J6290" s="20">
        <f t="shared" si="98"/>
        <v>0.22222222222222221</v>
      </c>
    </row>
    <row r="6291" spans="1:10" x14ac:dyDescent="0.3">
      <c r="A6291" s="33">
        <v>6290</v>
      </c>
      <c r="B6291" s="4">
        <v>18</v>
      </c>
      <c r="C6291" s="15">
        <v>12</v>
      </c>
      <c r="D6291" s="16">
        <v>5</v>
      </c>
      <c r="E6291" s="22">
        <v>45024</v>
      </c>
      <c r="F6291" s="19">
        <v>100</v>
      </c>
      <c r="G6291" s="18">
        <v>0.12</v>
      </c>
      <c r="H6291">
        <f>F6291*VLOOKUP(B6291,產品!$A$2:$H$61,7,FALSE)*(1-銷售總表!G6291)</f>
        <v>158400</v>
      </c>
      <c r="I6291" s="35">
        <f>H6291-F6291*VLOOKUP(銷售總表!B6291,產品!$A$2:$H$61,8,FALSE)</f>
        <v>86400</v>
      </c>
      <c r="J6291" s="20">
        <f t="shared" si="98"/>
        <v>0.54545454545454541</v>
      </c>
    </row>
    <row r="6292" spans="1:10" x14ac:dyDescent="0.3">
      <c r="A6292" s="33">
        <v>6291</v>
      </c>
      <c r="B6292" s="4">
        <v>19</v>
      </c>
      <c r="C6292" s="15">
        <v>259</v>
      </c>
      <c r="D6292" s="16">
        <v>1</v>
      </c>
      <c r="E6292" s="22">
        <v>45024</v>
      </c>
      <c r="F6292" s="19">
        <v>150</v>
      </c>
      <c r="G6292" s="18">
        <v>0.14000000000000001</v>
      </c>
      <c r="H6292">
        <f>F6292*VLOOKUP(B6292,產品!$A$2:$H$61,7,FALSE)*(1-銷售總表!G6292)</f>
        <v>232200</v>
      </c>
      <c r="I6292" s="35">
        <f>H6292-F6292*VLOOKUP(銷售總表!B6292,產品!$A$2:$H$61,8,FALSE)</f>
        <v>124200</v>
      </c>
      <c r="J6292" s="20">
        <f t="shared" si="98"/>
        <v>0.53488372093023251</v>
      </c>
    </row>
    <row r="6293" spans="1:10" x14ac:dyDescent="0.3">
      <c r="A6293" s="33">
        <v>6292</v>
      </c>
      <c r="B6293" s="4">
        <v>46</v>
      </c>
      <c r="C6293" s="15">
        <v>112</v>
      </c>
      <c r="D6293" s="16">
        <v>8</v>
      </c>
      <c r="E6293" s="22">
        <v>45024</v>
      </c>
      <c r="F6293" s="19">
        <v>7</v>
      </c>
      <c r="G6293" s="18">
        <v>7.0000000000000007E-2</v>
      </c>
      <c r="H6293">
        <f>F6293*VLOOKUP(B6293,產品!$A$2:$H$61,7,FALSE)*(1-銷售總表!G6293)</f>
        <v>110669.99999999999</v>
      </c>
      <c r="I6293" s="35">
        <f>H6293-F6293*VLOOKUP(銷售總表!B6293,產品!$A$2:$H$61,8,FALSE)</f>
        <v>33319.999999999985</v>
      </c>
      <c r="J6293" s="20">
        <f t="shared" si="98"/>
        <v>0.3010752688172042</v>
      </c>
    </row>
    <row r="6294" spans="1:10" x14ac:dyDescent="0.3">
      <c r="A6294" s="33">
        <v>6293</v>
      </c>
      <c r="B6294" s="4">
        <v>19</v>
      </c>
      <c r="C6294" s="15">
        <v>276</v>
      </c>
      <c r="D6294" s="16">
        <v>1</v>
      </c>
      <c r="E6294" s="22">
        <v>45024</v>
      </c>
      <c r="F6294" s="19">
        <v>21</v>
      </c>
      <c r="G6294" s="18">
        <v>0.16</v>
      </c>
      <c r="H6294">
        <f>F6294*VLOOKUP(B6294,產品!$A$2:$H$61,7,FALSE)*(1-銷售總表!G6294)</f>
        <v>31752</v>
      </c>
      <c r="I6294" s="35">
        <f>H6294-F6294*VLOOKUP(銷售總表!B6294,產品!$A$2:$H$61,8,FALSE)</f>
        <v>16632</v>
      </c>
      <c r="J6294" s="20">
        <f t="shared" si="98"/>
        <v>0.52380952380952384</v>
      </c>
    </row>
    <row r="6295" spans="1:10" x14ac:dyDescent="0.3">
      <c r="A6295" s="33">
        <v>6294</v>
      </c>
      <c r="B6295" s="4">
        <v>28</v>
      </c>
      <c r="C6295" s="15">
        <v>140</v>
      </c>
      <c r="D6295" s="16">
        <v>4</v>
      </c>
      <c r="E6295" s="23">
        <v>45024</v>
      </c>
      <c r="F6295">
        <v>6</v>
      </c>
      <c r="G6295" s="20">
        <v>0.19</v>
      </c>
      <c r="H6295">
        <f>F6295*VLOOKUP(B6295,產品!$A$2:$H$61,7,FALSE)*(1-銷售總表!G6295)</f>
        <v>36450</v>
      </c>
      <c r="I6295" s="35">
        <f>H6295-F6295*VLOOKUP(銷售總表!B6295,產品!$A$2:$H$61,8,FALSE)</f>
        <v>9450</v>
      </c>
      <c r="J6295" s="20">
        <f t="shared" si="98"/>
        <v>0.25925925925925924</v>
      </c>
    </row>
    <row r="6296" spans="1:10" x14ac:dyDescent="0.3">
      <c r="A6296" s="33">
        <v>6295</v>
      </c>
      <c r="B6296" s="4">
        <v>6</v>
      </c>
      <c r="C6296" s="15">
        <v>290</v>
      </c>
      <c r="D6296" s="16">
        <v>6</v>
      </c>
      <c r="E6296" s="22">
        <v>45024</v>
      </c>
      <c r="F6296" s="19">
        <v>70</v>
      </c>
      <c r="G6296" s="18">
        <v>0.12</v>
      </c>
      <c r="H6296">
        <f>F6296*VLOOKUP(B6296,產品!$A$2:$H$61,7,FALSE)*(1-銷售總表!G6296)</f>
        <v>61600</v>
      </c>
      <c r="I6296" s="35">
        <f>H6296-F6296*VLOOKUP(銷售總表!B6296,產品!$A$2:$H$61,8,FALSE)</f>
        <v>33600</v>
      </c>
      <c r="J6296" s="20">
        <f t="shared" si="98"/>
        <v>0.54545454545454541</v>
      </c>
    </row>
    <row r="6297" spans="1:10" x14ac:dyDescent="0.3">
      <c r="A6297" s="33">
        <v>6296</v>
      </c>
      <c r="B6297" s="4">
        <v>49</v>
      </c>
      <c r="C6297" s="15">
        <v>118</v>
      </c>
      <c r="D6297" s="16">
        <v>4</v>
      </c>
      <c r="E6297" s="23">
        <v>45024</v>
      </c>
      <c r="F6297">
        <v>8</v>
      </c>
      <c r="G6297" s="20">
        <v>7.0000000000000007E-2</v>
      </c>
      <c r="H6297">
        <f>F6297*VLOOKUP(B6297,產品!$A$2:$H$61,7,FALSE)*(1-銷售總表!G6297)</f>
        <v>111599.99999999999</v>
      </c>
      <c r="I6297" s="35">
        <f>H6297-F6297*VLOOKUP(銷售總表!B6297,產品!$A$2:$H$61,8,FALSE)</f>
        <v>27599.999999999985</v>
      </c>
      <c r="J6297" s="20">
        <f t="shared" si="98"/>
        <v>0.24731182795698914</v>
      </c>
    </row>
    <row r="6298" spans="1:10" x14ac:dyDescent="0.3">
      <c r="A6298" s="33">
        <v>6297</v>
      </c>
      <c r="B6298" s="4">
        <v>37</v>
      </c>
      <c r="C6298" s="15">
        <v>286</v>
      </c>
      <c r="D6298" s="16">
        <v>7</v>
      </c>
      <c r="E6298" s="22">
        <v>45025</v>
      </c>
      <c r="F6298" s="19">
        <v>5</v>
      </c>
      <c r="G6298" s="18">
        <v>0.13</v>
      </c>
      <c r="H6298">
        <f>F6298*VLOOKUP(B6298,產品!$A$2:$H$61,7,FALSE)*(1-銷售總表!G6298)</f>
        <v>52200</v>
      </c>
      <c r="I6298" s="35">
        <f>H6298-F6298*VLOOKUP(銷售總表!B6298,產品!$A$2:$H$61,8,FALSE)</f>
        <v>13200</v>
      </c>
      <c r="J6298" s="20">
        <f t="shared" si="98"/>
        <v>0.25287356321839083</v>
      </c>
    </row>
    <row r="6299" spans="1:10" x14ac:dyDescent="0.3">
      <c r="A6299" s="33">
        <v>6298</v>
      </c>
      <c r="B6299" s="4">
        <v>12</v>
      </c>
      <c r="C6299" s="15">
        <v>138</v>
      </c>
      <c r="D6299" s="16">
        <v>6</v>
      </c>
      <c r="E6299" s="22">
        <v>45026</v>
      </c>
      <c r="F6299" s="19">
        <v>40</v>
      </c>
      <c r="G6299" s="18">
        <v>7.0000000000000007E-2</v>
      </c>
      <c r="H6299">
        <f>F6299*VLOOKUP(B6299,產品!$A$2:$H$61,7,FALSE)*(1-銷售總表!G6299)</f>
        <v>37200</v>
      </c>
      <c r="I6299" s="35">
        <f>H6299-F6299*VLOOKUP(銷售總表!B6299,產品!$A$2:$H$61,8,FALSE)</f>
        <v>21200</v>
      </c>
      <c r="J6299" s="20">
        <f t="shared" si="98"/>
        <v>0.56989247311827962</v>
      </c>
    </row>
    <row r="6300" spans="1:10" x14ac:dyDescent="0.3">
      <c r="A6300" s="33">
        <v>6299</v>
      </c>
      <c r="B6300" s="4">
        <v>34</v>
      </c>
      <c r="C6300" s="15">
        <v>2</v>
      </c>
      <c r="D6300" s="16">
        <v>9</v>
      </c>
      <c r="E6300" s="22">
        <v>45026</v>
      </c>
      <c r="F6300" s="19">
        <v>2</v>
      </c>
      <c r="G6300" s="18">
        <v>0.14000000000000001</v>
      </c>
      <c r="H6300">
        <f>F6300*VLOOKUP(B6300,產品!$A$2:$H$61,7,FALSE)*(1-銷售總表!G6300)</f>
        <v>13760</v>
      </c>
      <c r="I6300" s="35">
        <f>H6300-F6300*VLOOKUP(銷售總表!B6300,產品!$A$2:$H$61,8,FALSE)</f>
        <v>4160</v>
      </c>
      <c r="J6300" s="20">
        <f t="shared" si="98"/>
        <v>0.30232558139534882</v>
      </c>
    </row>
    <row r="6301" spans="1:10" x14ac:dyDescent="0.3">
      <c r="A6301" s="33">
        <v>6300</v>
      </c>
      <c r="B6301" s="4">
        <v>46</v>
      </c>
      <c r="C6301" s="15">
        <v>288</v>
      </c>
      <c r="D6301" s="16">
        <v>9</v>
      </c>
      <c r="E6301" s="22">
        <v>45026</v>
      </c>
      <c r="F6301" s="19">
        <v>8</v>
      </c>
      <c r="G6301" s="18">
        <v>0.08</v>
      </c>
      <c r="H6301">
        <f>F6301*VLOOKUP(B6301,產品!$A$2:$H$61,7,FALSE)*(1-銷售總表!G6301)</f>
        <v>125120</v>
      </c>
      <c r="I6301" s="35">
        <f>H6301-F6301*VLOOKUP(銷售總表!B6301,產品!$A$2:$H$61,8,FALSE)</f>
        <v>36720</v>
      </c>
      <c r="J6301" s="20">
        <f t="shared" si="98"/>
        <v>0.29347826086956524</v>
      </c>
    </row>
    <row r="6302" spans="1:10" x14ac:dyDescent="0.3">
      <c r="A6302" s="33">
        <v>6301</v>
      </c>
      <c r="B6302" s="4">
        <v>25</v>
      </c>
      <c r="C6302" s="15">
        <v>267</v>
      </c>
      <c r="D6302" s="16">
        <v>8</v>
      </c>
      <c r="E6302" s="22">
        <v>45026</v>
      </c>
      <c r="F6302" s="19">
        <v>9</v>
      </c>
      <c r="G6302" s="18">
        <v>0.19</v>
      </c>
      <c r="H6302">
        <f>F6302*VLOOKUP(B6302,產品!$A$2:$H$61,7,FALSE)*(1-銷售總表!G6302)</f>
        <v>43740</v>
      </c>
      <c r="I6302" s="35">
        <f>H6302-F6302*VLOOKUP(銷售總表!B6302,產品!$A$2:$H$61,8,FALSE)</f>
        <v>11340</v>
      </c>
      <c r="J6302" s="20">
        <f t="shared" si="98"/>
        <v>0.25925925925925924</v>
      </c>
    </row>
    <row r="6303" spans="1:10" x14ac:dyDescent="0.3">
      <c r="A6303" s="33">
        <v>6302</v>
      </c>
      <c r="B6303" s="4">
        <v>48</v>
      </c>
      <c r="C6303" s="15">
        <v>11</v>
      </c>
      <c r="D6303" s="16">
        <v>5</v>
      </c>
      <c r="E6303" s="22">
        <v>45026</v>
      </c>
      <c r="F6303" s="19">
        <v>5</v>
      </c>
      <c r="G6303" s="18">
        <v>0.12</v>
      </c>
      <c r="H6303">
        <f>F6303*VLOOKUP(B6303,產品!$A$2:$H$61,7,FALSE)*(1-銷售總表!G6303)</f>
        <v>96800</v>
      </c>
      <c r="I6303" s="35">
        <f>H6303-F6303*VLOOKUP(銷售總表!B6303,產品!$A$2:$H$61,8,FALSE)</f>
        <v>25300</v>
      </c>
      <c r="J6303" s="20">
        <f t="shared" si="98"/>
        <v>0.26136363636363635</v>
      </c>
    </row>
    <row r="6304" spans="1:10" x14ac:dyDescent="0.3">
      <c r="A6304" s="33">
        <v>6303</v>
      </c>
      <c r="B6304" s="4">
        <v>42</v>
      </c>
      <c r="C6304" s="15">
        <v>262</v>
      </c>
      <c r="D6304" s="16">
        <v>5</v>
      </c>
      <c r="E6304" s="22">
        <v>45026</v>
      </c>
      <c r="F6304" s="19">
        <v>7</v>
      </c>
      <c r="G6304" s="18">
        <v>0.2</v>
      </c>
      <c r="H6304">
        <f>F6304*VLOOKUP(B6304,產品!$A$2:$H$61,7,FALSE)*(1-銷售總表!G6304)</f>
        <v>84000</v>
      </c>
      <c r="I6304" s="35">
        <f>H6304-F6304*VLOOKUP(銷售總表!B6304,產品!$A$2:$H$61,8,FALSE)</f>
        <v>15750</v>
      </c>
      <c r="J6304" s="20">
        <f t="shared" si="98"/>
        <v>0.1875</v>
      </c>
    </row>
    <row r="6305" spans="1:10" x14ac:dyDescent="0.3">
      <c r="A6305" s="33">
        <v>6304</v>
      </c>
      <c r="B6305" s="4">
        <v>57</v>
      </c>
      <c r="C6305" s="15">
        <v>291</v>
      </c>
      <c r="D6305" s="16">
        <v>6</v>
      </c>
      <c r="E6305" s="23">
        <v>45026</v>
      </c>
      <c r="F6305">
        <v>5</v>
      </c>
      <c r="G6305" s="20">
        <v>0.18</v>
      </c>
      <c r="H6305">
        <f>F6305*VLOOKUP(B6305,產品!$A$2:$H$61,7,FALSE)*(1-銷售總表!G6305)</f>
        <v>73800</v>
      </c>
      <c r="I6305" s="35">
        <f>H6305-F6305*VLOOKUP(銷售總表!B6305,產品!$A$2:$H$61,8,FALSE)</f>
        <v>10800</v>
      </c>
      <c r="J6305" s="20">
        <f t="shared" si="98"/>
        <v>0.14634146341463414</v>
      </c>
    </row>
    <row r="6306" spans="1:10" x14ac:dyDescent="0.3">
      <c r="A6306" s="33">
        <v>6305</v>
      </c>
      <c r="B6306" s="4">
        <v>45</v>
      </c>
      <c r="C6306" s="15">
        <v>266</v>
      </c>
      <c r="D6306" s="16">
        <v>8</v>
      </c>
      <c r="E6306" s="23">
        <v>45026</v>
      </c>
      <c r="F6306">
        <v>12</v>
      </c>
      <c r="G6306" s="20">
        <v>0.2</v>
      </c>
      <c r="H6306">
        <f>F6306*VLOOKUP(B6306,產品!$A$2:$H$61,7,FALSE)*(1-銷售總表!G6306)</f>
        <v>134400</v>
      </c>
      <c r="I6306" s="35">
        <f>H6306-F6306*VLOOKUP(銷售總表!B6306,產品!$A$2:$H$61,8,FALSE)</f>
        <v>25200</v>
      </c>
      <c r="J6306" s="20">
        <f t="shared" si="98"/>
        <v>0.1875</v>
      </c>
    </row>
    <row r="6307" spans="1:10" x14ac:dyDescent="0.3">
      <c r="A6307" s="33">
        <v>6306</v>
      </c>
      <c r="B6307" s="4">
        <v>54</v>
      </c>
      <c r="C6307" s="15">
        <v>116</v>
      </c>
      <c r="D6307" s="16">
        <v>1</v>
      </c>
      <c r="E6307" s="22">
        <v>45027</v>
      </c>
      <c r="F6307" s="19">
        <v>5</v>
      </c>
      <c r="G6307" s="18">
        <v>0.12</v>
      </c>
      <c r="H6307">
        <f>F6307*VLOOKUP(B6307,產品!$A$2:$H$61,7,FALSE)*(1-銷售總表!G6307)</f>
        <v>79200</v>
      </c>
      <c r="I6307" s="35">
        <f>H6307-F6307*VLOOKUP(銷售總表!B6307,產品!$A$2:$H$61,8,FALSE)</f>
        <v>16200</v>
      </c>
      <c r="J6307" s="20">
        <f t="shared" si="98"/>
        <v>0.20454545454545456</v>
      </c>
    </row>
    <row r="6308" spans="1:10" x14ac:dyDescent="0.3">
      <c r="A6308" s="33">
        <v>6307</v>
      </c>
      <c r="B6308" s="4">
        <v>25</v>
      </c>
      <c r="C6308" s="15">
        <v>281</v>
      </c>
      <c r="D6308" s="16">
        <v>8</v>
      </c>
      <c r="E6308" s="22">
        <v>45027</v>
      </c>
      <c r="F6308" s="19">
        <v>5</v>
      </c>
      <c r="G6308" s="18">
        <v>7.0000000000000007E-2</v>
      </c>
      <c r="H6308">
        <f>F6308*VLOOKUP(B6308,產品!$A$2:$H$61,7,FALSE)*(1-銷售總表!G6308)</f>
        <v>27899.999999999996</v>
      </c>
      <c r="I6308" s="35">
        <f>H6308-F6308*VLOOKUP(銷售總表!B6308,產品!$A$2:$H$61,8,FALSE)</f>
        <v>9899.9999999999964</v>
      </c>
      <c r="J6308" s="20">
        <f t="shared" si="98"/>
        <v>0.35483870967741926</v>
      </c>
    </row>
    <row r="6309" spans="1:10" x14ac:dyDescent="0.3">
      <c r="A6309" s="33">
        <v>6308</v>
      </c>
      <c r="B6309" s="4">
        <v>27</v>
      </c>
      <c r="C6309" s="15">
        <v>118</v>
      </c>
      <c r="D6309" s="16">
        <v>3</v>
      </c>
      <c r="E6309" s="22">
        <v>45027</v>
      </c>
      <c r="F6309" s="19">
        <v>5</v>
      </c>
      <c r="G6309" s="18">
        <v>0.16</v>
      </c>
      <c r="H6309">
        <f>F6309*VLOOKUP(B6309,產品!$A$2:$H$61,7,FALSE)*(1-銷售總表!G6309)</f>
        <v>29400</v>
      </c>
      <c r="I6309" s="35">
        <f>H6309-F6309*VLOOKUP(銷售總表!B6309,產品!$A$2:$H$61,8,FALSE)</f>
        <v>8400</v>
      </c>
      <c r="J6309" s="20">
        <f t="shared" si="98"/>
        <v>0.2857142857142857</v>
      </c>
    </row>
    <row r="6310" spans="1:10" x14ac:dyDescent="0.3">
      <c r="A6310" s="33">
        <v>6309</v>
      </c>
      <c r="B6310" s="4">
        <v>10</v>
      </c>
      <c r="C6310" s="15">
        <v>259</v>
      </c>
      <c r="D6310" s="16">
        <v>8</v>
      </c>
      <c r="E6310" s="22">
        <v>45027</v>
      </c>
      <c r="F6310" s="19">
        <v>200</v>
      </c>
      <c r="G6310" s="18">
        <v>0.08</v>
      </c>
      <c r="H6310">
        <f>F6310*VLOOKUP(B6310,產品!$A$2:$H$61,7,FALSE)*(1-銷售總表!G6310)</f>
        <v>184000</v>
      </c>
      <c r="I6310" s="35">
        <f>H6310-F6310*VLOOKUP(銷售總表!B6310,產品!$A$2:$H$61,8,FALSE)</f>
        <v>104000</v>
      </c>
      <c r="J6310" s="20">
        <f t="shared" si="98"/>
        <v>0.56521739130434778</v>
      </c>
    </row>
    <row r="6311" spans="1:10" x14ac:dyDescent="0.3">
      <c r="A6311" s="33">
        <v>6310</v>
      </c>
      <c r="B6311" s="4">
        <v>60</v>
      </c>
      <c r="C6311" s="15">
        <v>260</v>
      </c>
      <c r="D6311" s="16">
        <v>9</v>
      </c>
      <c r="E6311" s="22">
        <v>45028</v>
      </c>
      <c r="F6311" s="19">
        <v>8</v>
      </c>
      <c r="G6311" s="18">
        <v>0.1</v>
      </c>
      <c r="H6311">
        <f>F6311*VLOOKUP(B6311,產品!$A$2:$H$61,7,FALSE)*(1-銷售總表!G6311)</f>
        <v>180000</v>
      </c>
      <c r="I6311" s="35">
        <f>H6311-F6311*VLOOKUP(銷售總表!B6311,產品!$A$2:$H$61,8,FALSE)</f>
        <v>40000</v>
      </c>
      <c r="J6311" s="20">
        <f t="shared" si="98"/>
        <v>0.22222222222222221</v>
      </c>
    </row>
    <row r="6312" spans="1:10" x14ac:dyDescent="0.3">
      <c r="A6312" s="33">
        <v>6311</v>
      </c>
      <c r="B6312" s="4">
        <v>59</v>
      </c>
      <c r="C6312" s="15">
        <v>3</v>
      </c>
      <c r="D6312" s="16">
        <v>8</v>
      </c>
      <c r="E6312" s="22">
        <v>45028</v>
      </c>
      <c r="F6312" s="19">
        <v>9</v>
      </c>
      <c r="G6312" s="18">
        <v>0.2</v>
      </c>
      <c r="H6312">
        <f>F6312*VLOOKUP(B6312,產品!$A$2:$H$61,7,FALSE)*(1-銷售總表!G6312)</f>
        <v>172800</v>
      </c>
      <c r="I6312" s="35">
        <f>H6312-F6312*VLOOKUP(銷售總表!B6312,產品!$A$2:$H$61,8,FALSE)</f>
        <v>21600</v>
      </c>
      <c r="J6312" s="20">
        <f t="shared" si="98"/>
        <v>0.125</v>
      </c>
    </row>
    <row r="6313" spans="1:10" x14ac:dyDescent="0.3">
      <c r="A6313" s="33">
        <v>6312</v>
      </c>
      <c r="B6313" s="4">
        <v>16</v>
      </c>
      <c r="C6313" s="15">
        <v>282</v>
      </c>
      <c r="D6313" s="16">
        <v>8</v>
      </c>
      <c r="E6313" s="22">
        <v>45028</v>
      </c>
      <c r="F6313" s="19">
        <v>90</v>
      </c>
      <c r="G6313" s="18">
        <v>0.12</v>
      </c>
      <c r="H6313">
        <f>F6313*VLOOKUP(B6313,產品!$A$2:$H$61,7,FALSE)*(1-銷售總表!G6313)</f>
        <v>142560</v>
      </c>
      <c r="I6313" s="35">
        <f>H6313-F6313*VLOOKUP(銷售總表!B6313,產品!$A$2:$H$61,8,FALSE)</f>
        <v>77760</v>
      </c>
      <c r="J6313" s="20">
        <f t="shared" si="98"/>
        <v>0.54545454545454541</v>
      </c>
    </row>
    <row r="6314" spans="1:10" x14ac:dyDescent="0.3">
      <c r="A6314" s="33">
        <v>6313</v>
      </c>
      <c r="B6314" s="4">
        <v>47</v>
      </c>
      <c r="C6314" s="15">
        <v>115</v>
      </c>
      <c r="D6314" s="16">
        <v>8</v>
      </c>
      <c r="E6314" s="22">
        <v>45028</v>
      </c>
      <c r="F6314" s="19">
        <v>16</v>
      </c>
      <c r="G6314" s="18">
        <v>0.2</v>
      </c>
      <c r="H6314">
        <f>F6314*VLOOKUP(B6314,產品!$A$2:$H$61,7,FALSE)*(1-銷售總表!G6314)</f>
        <v>256000</v>
      </c>
      <c r="I6314" s="35">
        <f>H6314-F6314*VLOOKUP(銷售總表!B6314,產品!$A$2:$H$61,8,FALSE)</f>
        <v>48000</v>
      </c>
      <c r="J6314" s="20">
        <f t="shared" si="98"/>
        <v>0.1875</v>
      </c>
    </row>
    <row r="6315" spans="1:10" x14ac:dyDescent="0.3">
      <c r="A6315" s="33">
        <v>6314</v>
      </c>
      <c r="B6315" s="4">
        <v>27</v>
      </c>
      <c r="C6315" s="15">
        <v>113</v>
      </c>
      <c r="D6315" s="16">
        <v>7</v>
      </c>
      <c r="E6315" s="22">
        <v>45028</v>
      </c>
      <c r="F6315" s="19">
        <v>15</v>
      </c>
      <c r="G6315" s="18">
        <v>0.12</v>
      </c>
      <c r="H6315">
        <f>F6315*VLOOKUP(B6315,產品!$A$2:$H$61,7,FALSE)*(1-銷售總表!G6315)</f>
        <v>92400</v>
      </c>
      <c r="I6315" s="35">
        <f>H6315-F6315*VLOOKUP(銷售總表!B6315,產品!$A$2:$H$61,8,FALSE)</f>
        <v>29400</v>
      </c>
      <c r="J6315" s="20">
        <f t="shared" si="98"/>
        <v>0.31818181818181818</v>
      </c>
    </row>
    <row r="6316" spans="1:10" x14ac:dyDescent="0.3">
      <c r="A6316" s="33">
        <v>6315</v>
      </c>
      <c r="B6316" s="4">
        <v>29</v>
      </c>
      <c r="C6316" s="15">
        <v>292</v>
      </c>
      <c r="D6316" s="16">
        <v>10</v>
      </c>
      <c r="E6316" s="23">
        <v>45028</v>
      </c>
      <c r="F6316" s="17">
        <v>3</v>
      </c>
      <c r="G6316" s="20">
        <v>0.1</v>
      </c>
      <c r="H6316">
        <f>F6316*VLOOKUP(B6316,產品!$A$2:$H$61,7,FALSE)*(1-銷售總表!G6316)</f>
        <v>16200</v>
      </c>
      <c r="I6316" s="35">
        <f>H6316-F6316*VLOOKUP(銷售總表!B6316,產品!$A$2:$H$61,8,FALSE)</f>
        <v>5400</v>
      </c>
      <c r="J6316" s="20">
        <f t="shared" si="98"/>
        <v>0.33333333333333331</v>
      </c>
    </row>
    <row r="6317" spans="1:10" x14ac:dyDescent="0.3">
      <c r="A6317" s="33">
        <v>6316</v>
      </c>
      <c r="B6317" s="4">
        <v>49</v>
      </c>
      <c r="C6317" s="15">
        <v>12</v>
      </c>
      <c r="D6317" s="16">
        <v>4</v>
      </c>
      <c r="E6317" s="22">
        <v>45029</v>
      </c>
      <c r="F6317" s="19">
        <v>16</v>
      </c>
      <c r="G6317" s="18">
        <v>0.16</v>
      </c>
      <c r="H6317">
        <f>F6317*VLOOKUP(B6317,產品!$A$2:$H$61,7,FALSE)*(1-銷售總表!G6317)</f>
        <v>201600</v>
      </c>
      <c r="I6317" s="35">
        <f>H6317-F6317*VLOOKUP(銷售總表!B6317,產品!$A$2:$H$61,8,FALSE)</f>
        <v>33600</v>
      </c>
      <c r="J6317" s="20">
        <f t="shared" si="98"/>
        <v>0.16666666666666666</v>
      </c>
    </row>
    <row r="6318" spans="1:10" x14ac:dyDescent="0.3">
      <c r="A6318" s="33">
        <v>6317</v>
      </c>
      <c r="B6318" s="4">
        <v>40</v>
      </c>
      <c r="C6318" s="15">
        <v>123</v>
      </c>
      <c r="D6318" s="16">
        <v>3</v>
      </c>
      <c r="E6318" s="22">
        <v>45029</v>
      </c>
      <c r="F6318" s="19">
        <v>6</v>
      </c>
      <c r="G6318" s="18">
        <v>0.09</v>
      </c>
      <c r="H6318">
        <f>F6318*VLOOKUP(B6318,產品!$A$2:$H$61,7,FALSE)*(1-銷售總表!G6318)</f>
        <v>109200</v>
      </c>
      <c r="I6318" s="35">
        <f>H6318-F6318*VLOOKUP(銷售總表!B6318,產品!$A$2:$H$61,8,FALSE)</f>
        <v>31200</v>
      </c>
      <c r="J6318" s="20">
        <f t="shared" si="98"/>
        <v>0.2857142857142857</v>
      </c>
    </row>
    <row r="6319" spans="1:10" x14ac:dyDescent="0.3">
      <c r="A6319" s="33">
        <v>6318</v>
      </c>
      <c r="B6319" s="4">
        <v>13</v>
      </c>
      <c r="C6319" s="15">
        <v>9</v>
      </c>
      <c r="D6319" s="16">
        <v>4</v>
      </c>
      <c r="E6319" s="22">
        <v>45029</v>
      </c>
      <c r="F6319" s="19">
        <v>175</v>
      </c>
      <c r="G6319" s="18">
        <v>0.18</v>
      </c>
      <c r="H6319">
        <f>F6319*VLOOKUP(B6319,產品!$A$2:$H$61,7,FALSE)*(1-銷售總表!G6319)</f>
        <v>258300.00000000003</v>
      </c>
      <c r="I6319" s="35">
        <f>H6319-F6319*VLOOKUP(銷售總表!B6319,產品!$A$2:$H$61,8,FALSE)</f>
        <v>132300.00000000003</v>
      </c>
      <c r="J6319" s="20">
        <f t="shared" si="98"/>
        <v>0.51219512195121952</v>
      </c>
    </row>
    <row r="6320" spans="1:10" x14ac:dyDescent="0.3">
      <c r="A6320" s="33">
        <v>6319</v>
      </c>
      <c r="B6320" s="4">
        <v>46</v>
      </c>
      <c r="C6320" s="15">
        <v>284</v>
      </c>
      <c r="D6320" s="16">
        <v>1</v>
      </c>
      <c r="E6320" s="23">
        <v>45029</v>
      </c>
      <c r="F6320">
        <v>4</v>
      </c>
      <c r="G6320" s="20">
        <v>0.14000000000000001</v>
      </c>
      <c r="H6320">
        <f>F6320*VLOOKUP(B6320,產品!$A$2:$H$61,7,FALSE)*(1-銷售總表!G6320)</f>
        <v>58480</v>
      </c>
      <c r="I6320" s="35">
        <f>H6320-F6320*VLOOKUP(銷售總表!B6320,產品!$A$2:$H$61,8,FALSE)</f>
        <v>14280</v>
      </c>
      <c r="J6320" s="20">
        <f t="shared" si="98"/>
        <v>0.2441860465116279</v>
      </c>
    </row>
    <row r="6321" spans="1:10" x14ac:dyDescent="0.3">
      <c r="A6321" s="33">
        <v>6320</v>
      </c>
      <c r="B6321" s="4">
        <v>18</v>
      </c>
      <c r="C6321" s="15">
        <v>260</v>
      </c>
      <c r="D6321" s="16">
        <v>3</v>
      </c>
      <c r="E6321" s="22">
        <v>45030</v>
      </c>
      <c r="F6321" s="19">
        <v>70</v>
      </c>
      <c r="G6321" s="18">
        <v>0.14000000000000001</v>
      </c>
      <c r="H6321">
        <f>F6321*VLOOKUP(B6321,產品!$A$2:$H$61,7,FALSE)*(1-銷售總表!G6321)</f>
        <v>108360</v>
      </c>
      <c r="I6321" s="35">
        <f>H6321-F6321*VLOOKUP(銷售總表!B6321,產品!$A$2:$H$61,8,FALSE)</f>
        <v>57960</v>
      </c>
      <c r="J6321" s="20">
        <f t="shared" si="98"/>
        <v>0.53488372093023251</v>
      </c>
    </row>
    <row r="6322" spans="1:10" x14ac:dyDescent="0.3">
      <c r="A6322" s="33">
        <v>6321</v>
      </c>
      <c r="B6322" s="4">
        <v>13</v>
      </c>
      <c r="C6322" s="15">
        <v>290</v>
      </c>
      <c r="D6322" s="16">
        <v>8</v>
      </c>
      <c r="E6322" s="22">
        <v>45031</v>
      </c>
      <c r="F6322" s="19">
        <v>30</v>
      </c>
      <c r="G6322" s="18">
        <v>0.1</v>
      </c>
      <c r="H6322">
        <f>F6322*VLOOKUP(B6322,產品!$A$2:$H$61,7,FALSE)*(1-銷售總表!G6322)</f>
        <v>48600</v>
      </c>
      <c r="I6322" s="35">
        <f>H6322-F6322*VLOOKUP(銷售總表!B6322,產品!$A$2:$H$61,8,FALSE)</f>
        <v>27000</v>
      </c>
      <c r="J6322" s="20">
        <f t="shared" si="98"/>
        <v>0.55555555555555558</v>
      </c>
    </row>
    <row r="6323" spans="1:10" x14ac:dyDescent="0.3">
      <c r="A6323" s="33">
        <v>6322</v>
      </c>
      <c r="B6323" s="4">
        <v>14</v>
      </c>
      <c r="C6323" s="15">
        <v>121</v>
      </c>
      <c r="D6323" s="16">
        <v>6</v>
      </c>
      <c r="E6323" s="22">
        <v>45031</v>
      </c>
      <c r="F6323" s="19">
        <v>30</v>
      </c>
      <c r="G6323" s="18">
        <v>0.15</v>
      </c>
      <c r="H6323">
        <f>F6323*VLOOKUP(B6323,產品!$A$2:$H$61,7,FALSE)*(1-銷售總表!G6323)</f>
        <v>45900</v>
      </c>
      <c r="I6323" s="35">
        <f>H6323-F6323*VLOOKUP(銷售總表!B6323,產品!$A$2:$H$61,8,FALSE)</f>
        <v>24300</v>
      </c>
      <c r="J6323" s="20">
        <f t="shared" si="98"/>
        <v>0.52941176470588236</v>
      </c>
    </row>
    <row r="6324" spans="1:10" x14ac:dyDescent="0.3">
      <c r="A6324" s="33">
        <v>6323</v>
      </c>
      <c r="B6324" s="4">
        <v>60</v>
      </c>
      <c r="C6324" s="15">
        <v>2</v>
      </c>
      <c r="D6324" s="16">
        <v>10</v>
      </c>
      <c r="E6324" s="22">
        <v>45031</v>
      </c>
      <c r="F6324" s="19">
        <v>3</v>
      </c>
      <c r="G6324" s="18">
        <v>0.14000000000000001</v>
      </c>
      <c r="H6324">
        <f>F6324*VLOOKUP(B6324,產品!$A$2:$H$61,7,FALSE)*(1-銷售總表!G6324)</f>
        <v>64500</v>
      </c>
      <c r="I6324" s="35">
        <f>H6324-F6324*VLOOKUP(銷售總表!B6324,產品!$A$2:$H$61,8,FALSE)</f>
        <v>12000</v>
      </c>
      <c r="J6324" s="20">
        <f t="shared" si="98"/>
        <v>0.18604651162790697</v>
      </c>
    </row>
    <row r="6325" spans="1:10" x14ac:dyDescent="0.3">
      <c r="A6325" s="33">
        <v>6324</v>
      </c>
      <c r="B6325" s="4">
        <v>9</v>
      </c>
      <c r="C6325" s="15">
        <v>112</v>
      </c>
      <c r="D6325" s="16">
        <v>3</v>
      </c>
      <c r="E6325" s="22">
        <v>45031</v>
      </c>
      <c r="F6325" s="19">
        <v>100</v>
      </c>
      <c r="G6325" s="18">
        <v>0.18</v>
      </c>
      <c r="H6325">
        <f>F6325*VLOOKUP(B6325,產品!$A$2:$H$61,7,FALSE)*(1-銷售總表!G6325)</f>
        <v>82000</v>
      </c>
      <c r="I6325" s="35">
        <f>H6325-F6325*VLOOKUP(銷售總表!B6325,產品!$A$2:$H$61,8,FALSE)</f>
        <v>42000</v>
      </c>
      <c r="J6325" s="20">
        <f t="shared" si="98"/>
        <v>0.51219512195121952</v>
      </c>
    </row>
    <row r="6326" spans="1:10" x14ac:dyDescent="0.3">
      <c r="A6326" s="33">
        <v>6325</v>
      </c>
      <c r="B6326" s="4">
        <v>22</v>
      </c>
      <c r="C6326" s="15">
        <v>7</v>
      </c>
      <c r="D6326" s="16">
        <v>6</v>
      </c>
      <c r="E6326" s="22">
        <v>45032</v>
      </c>
      <c r="F6326" s="19">
        <v>80</v>
      </c>
      <c r="G6326" s="18">
        <v>0.09</v>
      </c>
      <c r="H6326">
        <f>F6326*VLOOKUP(B6326,產品!$A$2:$H$61,7,FALSE)*(1-銷售總表!G6326)</f>
        <v>131040</v>
      </c>
      <c r="I6326" s="35">
        <f>H6326-F6326*VLOOKUP(銷售總表!B6326,產品!$A$2:$H$61,8,FALSE)</f>
        <v>73440</v>
      </c>
      <c r="J6326" s="20">
        <f t="shared" si="98"/>
        <v>0.56043956043956045</v>
      </c>
    </row>
    <row r="6327" spans="1:10" x14ac:dyDescent="0.3">
      <c r="A6327" s="33">
        <v>6326</v>
      </c>
      <c r="B6327" s="4">
        <v>11</v>
      </c>
      <c r="C6327" s="15">
        <v>3</v>
      </c>
      <c r="D6327" s="16">
        <v>10</v>
      </c>
      <c r="E6327" s="22">
        <v>45032</v>
      </c>
      <c r="F6327" s="19">
        <v>90</v>
      </c>
      <c r="G6327" s="18">
        <v>0.08</v>
      </c>
      <c r="H6327">
        <f>F6327*VLOOKUP(B6327,產品!$A$2:$H$61,7,FALSE)*(1-銷售總表!G6327)</f>
        <v>82800</v>
      </c>
      <c r="I6327" s="35">
        <f>H6327-F6327*VLOOKUP(銷售總表!B6327,產品!$A$2:$H$61,8,FALSE)</f>
        <v>46800</v>
      </c>
      <c r="J6327" s="20">
        <f t="shared" si="98"/>
        <v>0.56521739130434778</v>
      </c>
    </row>
    <row r="6328" spans="1:10" x14ac:dyDescent="0.3">
      <c r="A6328" s="33">
        <v>6327</v>
      </c>
      <c r="B6328" s="4">
        <v>59</v>
      </c>
      <c r="C6328" s="15">
        <v>285</v>
      </c>
      <c r="D6328" s="16">
        <v>2</v>
      </c>
      <c r="E6328" s="23">
        <v>45032</v>
      </c>
      <c r="F6328">
        <v>9</v>
      </c>
      <c r="G6328" s="20">
        <v>0.18</v>
      </c>
      <c r="H6328">
        <f>F6328*VLOOKUP(B6328,產品!$A$2:$H$61,7,FALSE)*(1-銷售總表!G6328)</f>
        <v>177120</v>
      </c>
      <c r="I6328" s="35">
        <f>H6328-F6328*VLOOKUP(銷售總表!B6328,產品!$A$2:$H$61,8,FALSE)</f>
        <v>25920</v>
      </c>
      <c r="J6328" s="20">
        <f t="shared" si="98"/>
        <v>0.14634146341463414</v>
      </c>
    </row>
    <row r="6329" spans="1:10" x14ac:dyDescent="0.3">
      <c r="A6329" s="33">
        <v>6328</v>
      </c>
      <c r="B6329" s="4">
        <v>21</v>
      </c>
      <c r="C6329" s="15">
        <v>125</v>
      </c>
      <c r="D6329" s="16">
        <v>9</v>
      </c>
      <c r="E6329" s="23">
        <v>45032</v>
      </c>
      <c r="F6329">
        <v>125</v>
      </c>
      <c r="G6329" s="20">
        <v>0.08</v>
      </c>
      <c r="H6329">
        <f>F6329*VLOOKUP(B6329,產品!$A$2:$H$61,7,FALSE)*(1-銷售總表!G6329)</f>
        <v>207000</v>
      </c>
      <c r="I6329" s="35">
        <f>H6329-F6329*VLOOKUP(銷售總表!B6329,產品!$A$2:$H$61,8,FALSE)</f>
        <v>117000</v>
      </c>
      <c r="J6329" s="20">
        <f t="shared" si="98"/>
        <v>0.56521739130434778</v>
      </c>
    </row>
    <row r="6330" spans="1:10" x14ac:dyDescent="0.3">
      <c r="A6330" s="33">
        <v>6329</v>
      </c>
      <c r="B6330" s="4">
        <v>24</v>
      </c>
      <c r="C6330" s="15">
        <v>8</v>
      </c>
      <c r="D6330" s="16">
        <v>3</v>
      </c>
      <c r="E6330" s="22">
        <v>45033</v>
      </c>
      <c r="F6330" s="19">
        <v>90</v>
      </c>
      <c r="G6330" s="18">
        <v>0.2</v>
      </c>
      <c r="H6330">
        <f>F6330*VLOOKUP(B6330,產品!$A$2:$H$61,7,FALSE)*(1-銷售總表!G6330)</f>
        <v>129600</v>
      </c>
      <c r="I6330" s="35">
        <f>H6330-F6330*VLOOKUP(銷售總表!B6330,產品!$A$2:$H$61,8,FALSE)</f>
        <v>64800</v>
      </c>
      <c r="J6330" s="20">
        <f t="shared" si="98"/>
        <v>0.5</v>
      </c>
    </row>
    <row r="6331" spans="1:10" x14ac:dyDescent="0.3">
      <c r="A6331" s="33">
        <v>6330</v>
      </c>
      <c r="B6331" s="4">
        <v>44</v>
      </c>
      <c r="C6331" s="15">
        <v>280</v>
      </c>
      <c r="D6331" s="16">
        <v>10</v>
      </c>
      <c r="E6331" s="22">
        <v>45033</v>
      </c>
      <c r="F6331" s="19">
        <v>11</v>
      </c>
      <c r="G6331" s="18">
        <v>0.15</v>
      </c>
      <c r="H6331">
        <f>F6331*VLOOKUP(B6331,產品!$A$2:$H$61,7,FALSE)*(1-銷售總表!G6331)</f>
        <v>187000</v>
      </c>
      <c r="I6331" s="35">
        <f>H6331-F6331*VLOOKUP(銷售總表!B6331,產品!$A$2:$H$61,8,FALSE)</f>
        <v>44000</v>
      </c>
      <c r="J6331" s="20">
        <f t="shared" si="98"/>
        <v>0.23529411764705882</v>
      </c>
    </row>
    <row r="6332" spans="1:10" x14ac:dyDescent="0.3">
      <c r="A6332" s="33">
        <v>6331</v>
      </c>
      <c r="B6332" s="4">
        <v>16</v>
      </c>
      <c r="C6332" s="15">
        <v>285</v>
      </c>
      <c r="D6332" s="16">
        <v>4</v>
      </c>
      <c r="E6332" s="22">
        <v>45033</v>
      </c>
      <c r="F6332" s="19">
        <v>80</v>
      </c>
      <c r="G6332" s="18">
        <v>0.12</v>
      </c>
      <c r="H6332">
        <f>F6332*VLOOKUP(B6332,產品!$A$2:$H$61,7,FALSE)*(1-銷售總表!G6332)</f>
        <v>126720</v>
      </c>
      <c r="I6332" s="35">
        <f>H6332-F6332*VLOOKUP(銷售總表!B6332,產品!$A$2:$H$61,8,FALSE)</f>
        <v>69120</v>
      </c>
      <c r="J6332" s="20">
        <f t="shared" si="98"/>
        <v>0.54545454545454541</v>
      </c>
    </row>
    <row r="6333" spans="1:10" x14ac:dyDescent="0.3">
      <c r="A6333" s="33">
        <v>6332</v>
      </c>
      <c r="B6333" s="4">
        <v>54</v>
      </c>
      <c r="C6333" s="15">
        <v>7</v>
      </c>
      <c r="D6333" s="16">
        <v>4</v>
      </c>
      <c r="E6333" s="23">
        <v>45033</v>
      </c>
      <c r="F6333">
        <v>11</v>
      </c>
      <c r="G6333" s="20">
        <v>0.06</v>
      </c>
      <c r="H6333">
        <f>F6333*VLOOKUP(B6333,產品!$A$2:$H$61,7,FALSE)*(1-銷售總表!G6333)</f>
        <v>186120</v>
      </c>
      <c r="I6333" s="35">
        <f>H6333-F6333*VLOOKUP(銷售總表!B6333,產品!$A$2:$H$61,8,FALSE)</f>
        <v>47520</v>
      </c>
      <c r="J6333" s="20">
        <f t="shared" si="98"/>
        <v>0.25531914893617019</v>
      </c>
    </row>
    <row r="6334" spans="1:10" x14ac:dyDescent="0.3">
      <c r="A6334" s="33">
        <v>6333</v>
      </c>
      <c r="B6334" s="4">
        <v>5</v>
      </c>
      <c r="C6334" s="15">
        <v>261</v>
      </c>
      <c r="D6334" s="16">
        <v>7</v>
      </c>
      <c r="E6334" s="23">
        <v>45033</v>
      </c>
      <c r="F6334">
        <v>200</v>
      </c>
      <c r="G6334" s="20">
        <v>0.18</v>
      </c>
      <c r="H6334">
        <f>F6334*VLOOKUP(B6334,產品!$A$2:$H$61,7,FALSE)*(1-銷售總表!G6334)</f>
        <v>164000</v>
      </c>
      <c r="I6334" s="35">
        <f>H6334-F6334*VLOOKUP(銷售總表!B6334,產品!$A$2:$H$61,8,FALSE)</f>
        <v>84000</v>
      </c>
      <c r="J6334" s="20">
        <f t="shared" si="98"/>
        <v>0.51219512195121952</v>
      </c>
    </row>
    <row r="6335" spans="1:10" x14ac:dyDescent="0.3">
      <c r="A6335" s="33">
        <v>6334</v>
      </c>
      <c r="B6335" s="4">
        <v>48</v>
      </c>
      <c r="C6335" s="15">
        <v>280</v>
      </c>
      <c r="D6335" s="16">
        <v>3</v>
      </c>
      <c r="E6335" s="23">
        <v>45034</v>
      </c>
      <c r="F6335">
        <v>7</v>
      </c>
      <c r="G6335" s="20">
        <v>0.16</v>
      </c>
      <c r="H6335">
        <f>F6335*VLOOKUP(B6335,產品!$A$2:$H$61,7,FALSE)*(1-銷售總表!G6335)</f>
        <v>129360</v>
      </c>
      <c r="I6335" s="35">
        <f>H6335-F6335*VLOOKUP(銷售總表!B6335,產品!$A$2:$H$61,8,FALSE)</f>
        <v>29260</v>
      </c>
      <c r="J6335" s="20">
        <f t="shared" si="98"/>
        <v>0.22619047619047619</v>
      </c>
    </row>
    <row r="6336" spans="1:10" x14ac:dyDescent="0.3">
      <c r="A6336" s="33">
        <v>6335</v>
      </c>
      <c r="B6336" s="4">
        <v>5</v>
      </c>
      <c r="C6336" s="15">
        <v>138</v>
      </c>
      <c r="D6336" s="16">
        <v>4</v>
      </c>
      <c r="E6336" s="23">
        <v>45034</v>
      </c>
      <c r="F6336">
        <v>50</v>
      </c>
      <c r="G6336" s="20">
        <v>0.1</v>
      </c>
      <c r="H6336">
        <f>F6336*VLOOKUP(B6336,產品!$A$2:$H$61,7,FALSE)*(1-銷售總表!G6336)</f>
        <v>45000</v>
      </c>
      <c r="I6336" s="35">
        <f>H6336-F6336*VLOOKUP(銷售總表!B6336,產品!$A$2:$H$61,8,FALSE)</f>
        <v>25000</v>
      </c>
      <c r="J6336" s="20">
        <f t="shared" si="98"/>
        <v>0.55555555555555558</v>
      </c>
    </row>
    <row r="6337" spans="1:10" x14ac:dyDescent="0.3">
      <c r="A6337" s="33">
        <v>6336</v>
      </c>
      <c r="B6337" s="4">
        <v>31</v>
      </c>
      <c r="C6337" s="15">
        <v>266</v>
      </c>
      <c r="D6337" s="16">
        <v>5</v>
      </c>
      <c r="E6337" s="22">
        <v>45035</v>
      </c>
      <c r="F6337" s="19">
        <v>5</v>
      </c>
      <c r="G6337" s="18">
        <v>0.13</v>
      </c>
      <c r="H6337">
        <f>F6337*VLOOKUP(B6337,產品!$A$2:$H$61,7,FALSE)*(1-銷售總表!G6337)</f>
        <v>30450</v>
      </c>
      <c r="I6337" s="35">
        <f>H6337-F6337*VLOOKUP(銷售總表!B6337,產品!$A$2:$H$61,8,FALSE)</f>
        <v>9450</v>
      </c>
      <c r="J6337" s="20">
        <f t="shared" si="98"/>
        <v>0.31034482758620691</v>
      </c>
    </row>
    <row r="6338" spans="1:10" x14ac:dyDescent="0.3">
      <c r="A6338" s="33">
        <v>6337</v>
      </c>
      <c r="B6338" s="4">
        <v>2</v>
      </c>
      <c r="C6338" s="15">
        <v>277</v>
      </c>
      <c r="D6338" s="16">
        <v>6</v>
      </c>
      <c r="E6338" s="22">
        <v>45036</v>
      </c>
      <c r="F6338" s="19">
        <v>90</v>
      </c>
      <c r="G6338" s="18">
        <v>0.15</v>
      </c>
      <c r="H6338">
        <f>F6338*VLOOKUP(B6338,產品!$A$2:$H$61,7,FALSE)*(1-銷售總表!G6338)</f>
        <v>76500</v>
      </c>
      <c r="I6338" s="35">
        <f>H6338-F6338*VLOOKUP(銷售總表!B6338,產品!$A$2:$H$61,8,FALSE)</f>
        <v>40500</v>
      </c>
      <c r="J6338" s="20">
        <f t="shared" si="98"/>
        <v>0.52941176470588236</v>
      </c>
    </row>
    <row r="6339" spans="1:10" x14ac:dyDescent="0.3">
      <c r="A6339" s="33">
        <v>6338</v>
      </c>
      <c r="B6339" s="4">
        <v>14</v>
      </c>
      <c r="C6339" s="15">
        <v>11</v>
      </c>
      <c r="D6339" s="16">
        <v>7</v>
      </c>
      <c r="E6339" s="22">
        <v>45036</v>
      </c>
      <c r="F6339" s="19">
        <v>60</v>
      </c>
      <c r="G6339" s="18">
        <v>0.1</v>
      </c>
      <c r="H6339">
        <f>F6339*VLOOKUP(B6339,產品!$A$2:$H$61,7,FALSE)*(1-銷售總表!G6339)</f>
        <v>97200</v>
      </c>
      <c r="I6339" s="35">
        <f>H6339-F6339*VLOOKUP(銷售總表!B6339,產品!$A$2:$H$61,8,FALSE)</f>
        <v>54000</v>
      </c>
      <c r="J6339" s="20">
        <f t="shared" ref="J6339:J6402" si="99">I6339/H6339</f>
        <v>0.55555555555555558</v>
      </c>
    </row>
    <row r="6340" spans="1:10" x14ac:dyDescent="0.3">
      <c r="A6340" s="33">
        <v>6339</v>
      </c>
      <c r="B6340" s="4">
        <v>20</v>
      </c>
      <c r="C6340" s="15">
        <v>124</v>
      </c>
      <c r="D6340" s="16">
        <v>1</v>
      </c>
      <c r="E6340" s="22">
        <v>45036</v>
      </c>
      <c r="F6340" s="19">
        <v>60</v>
      </c>
      <c r="G6340" s="18">
        <v>0.16</v>
      </c>
      <c r="H6340">
        <f>F6340*VLOOKUP(B6340,產品!$A$2:$H$61,7,FALSE)*(1-銷售總表!G6340)</f>
        <v>90720</v>
      </c>
      <c r="I6340" s="35">
        <f>H6340-F6340*VLOOKUP(銷售總表!B6340,產品!$A$2:$H$61,8,FALSE)</f>
        <v>47520</v>
      </c>
      <c r="J6340" s="20">
        <f t="shared" si="99"/>
        <v>0.52380952380952384</v>
      </c>
    </row>
    <row r="6341" spans="1:10" x14ac:dyDescent="0.3">
      <c r="A6341" s="33">
        <v>6340</v>
      </c>
      <c r="B6341" s="4">
        <v>44</v>
      </c>
      <c r="C6341" s="15">
        <v>10</v>
      </c>
      <c r="D6341" s="16">
        <v>3</v>
      </c>
      <c r="E6341" s="22">
        <v>45036</v>
      </c>
      <c r="F6341" s="19">
        <v>4</v>
      </c>
      <c r="G6341" s="18">
        <v>0.13</v>
      </c>
      <c r="H6341">
        <f>F6341*VLOOKUP(B6341,產品!$A$2:$H$61,7,FALSE)*(1-銷售總表!G6341)</f>
        <v>69600</v>
      </c>
      <c r="I6341" s="35">
        <f>H6341-F6341*VLOOKUP(銷售總表!B6341,產品!$A$2:$H$61,8,FALSE)</f>
        <v>17600</v>
      </c>
      <c r="J6341" s="20">
        <f t="shared" si="99"/>
        <v>0.25287356321839083</v>
      </c>
    </row>
    <row r="6342" spans="1:10" x14ac:dyDescent="0.3">
      <c r="A6342" s="33">
        <v>6341</v>
      </c>
      <c r="B6342" s="4">
        <v>51</v>
      </c>
      <c r="C6342" s="15">
        <v>5</v>
      </c>
      <c r="D6342" s="16">
        <v>10</v>
      </c>
      <c r="E6342" s="23">
        <v>45036</v>
      </c>
      <c r="F6342">
        <v>1</v>
      </c>
      <c r="G6342" s="20">
        <v>0.09</v>
      </c>
      <c r="H6342">
        <f>F6342*VLOOKUP(B6342,產品!$A$2:$H$61,7,FALSE)*(1-銷售總表!G6342)</f>
        <v>18200</v>
      </c>
      <c r="I6342" s="35">
        <f>H6342-F6342*VLOOKUP(銷售總表!B6342,產品!$A$2:$H$61,8,FALSE)</f>
        <v>4200</v>
      </c>
      <c r="J6342" s="20">
        <f t="shared" si="99"/>
        <v>0.23076923076923078</v>
      </c>
    </row>
    <row r="6343" spans="1:10" x14ac:dyDescent="0.3">
      <c r="A6343" s="33">
        <v>6342</v>
      </c>
      <c r="B6343" s="4">
        <v>28</v>
      </c>
      <c r="C6343" s="15">
        <v>6</v>
      </c>
      <c r="D6343" s="16">
        <v>7</v>
      </c>
      <c r="E6343" s="23">
        <v>45036</v>
      </c>
      <c r="F6343">
        <v>7</v>
      </c>
      <c r="G6343" s="20">
        <v>0.11</v>
      </c>
      <c r="H6343">
        <f>F6343*VLOOKUP(B6343,產品!$A$2:$H$61,7,FALSE)*(1-銷售總表!G6343)</f>
        <v>46725</v>
      </c>
      <c r="I6343" s="35">
        <f>H6343-F6343*VLOOKUP(銷售總表!B6343,產品!$A$2:$H$61,8,FALSE)</f>
        <v>15225</v>
      </c>
      <c r="J6343" s="20">
        <f t="shared" si="99"/>
        <v>0.3258426966292135</v>
      </c>
    </row>
    <row r="6344" spans="1:10" x14ac:dyDescent="0.3">
      <c r="A6344" s="33">
        <v>6343</v>
      </c>
      <c r="B6344" s="4">
        <v>10</v>
      </c>
      <c r="C6344" s="15">
        <v>277</v>
      </c>
      <c r="D6344" s="16">
        <v>1</v>
      </c>
      <c r="E6344" s="22">
        <v>45037</v>
      </c>
      <c r="F6344" s="19">
        <v>40</v>
      </c>
      <c r="G6344" s="18">
        <v>0.15</v>
      </c>
      <c r="H6344">
        <f>F6344*VLOOKUP(B6344,產品!$A$2:$H$61,7,FALSE)*(1-銷售總表!G6344)</f>
        <v>34000</v>
      </c>
      <c r="I6344" s="35">
        <f>H6344-F6344*VLOOKUP(銷售總表!B6344,產品!$A$2:$H$61,8,FALSE)</f>
        <v>18000</v>
      </c>
      <c r="J6344" s="20">
        <f t="shared" si="99"/>
        <v>0.52941176470588236</v>
      </c>
    </row>
    <row r="6345" spans="1:10" x14ac:dyDescent="0.3">
      <c r="A6345" s="33">
        <v>6344</v>
      </c>
      <c r="B6345" s="4">
        <v>58</v>
      </c>
      <c r="C6345" s="15">
        <v>126</v>
      </c>
      <c r="D6345" s="16">
        <v>9</v>
      </c>
      <c r="E6345" s="22">
        <v>45037</v>
      </c>
      <c r="F6345" s="19">
        <v>4</v>
      </c>
      <c r="G6345" s="18">
        <v>0.18</v>
      </c>
      <c r="H6345">
        <f>F6345*VLOOKUP(B6345,產品!$A$2:$H$61,7,FALSE)*(1-銷售總表!G6345)</f>
        <v>68880</v>
      </c>
      <c r="I6345" s="35">
        <f>H6345-F6345*VLOOKUP(銷售總表!B6345,產品!$A$2:$H$61,8,FALSE)</f>
        <v>10080.000000000007</v>
      </c>
      <c r="J6345" s="20">
        <f t="shared" si="99"/>
        <v>0.14634146341463425</v>
      </c>
    </row>
    <row r="6346" spans="1:10" x14ac:dyDescent="0.3">
      <c r="A6346" s="33">
        <v>6345</v>
      </c>
      <c r="B6346" s="4">
        <v>9</v>
      </c>
      <c r="C6346" s="15">
        <v>8</v>
      </c>
      <c r="D6346" s="16">
        <v>3</v>
      </c>
      <c r="E6346" s="23">
        <v>45037</v>
      </c>
      <c r="F6346">
        <v>10</v>
      </c>
      <c r="G6346" s="20">
        <v>0.11</v>
      </c>
      <c r="H6346">
        <f>F6346*VLOOKUP(B6346,產品!$A$2:$H$61,7,FALSE)*(1-銷售總表!G6346)</f>
        <v>8900</v>
      </c>
      <c r="I6346" s="35">
        <f>H6346-F6346*VLOOKUP(銷售總表!B6346,產品!$A$2:$H$61,8,FALSE)</f>
        <v>4900</v>
      </c>
      <c r="J6346" s="20">
        <f t="shared" si="99"/>
        <v>0.550561797752809</v>
      </c>
    </row>
    <row r="6347" spans="1:10" x14ac:dyDescent="0.3">
      <c r="A6347" s="33">
        <v>6346</v>
      </c>
      <c r="B6347" s="4">
        <v>20</v>
      </c>
      <c r="C6347" s="15">
        <v>9</v>
      </c>
      <c r="D6347" s="16">
        <v>5</v>
      </c>
      <c r="E6347" s="22">
        <v>45038</v>
      </c>
      <c r="F6347" s="19">
        <v>10</v>
      </c>
      <c r="G6347" s="18">
        <v>0.17</v>
      </c>
      <c r="H6347">
        <f>F6347*VLOOKUP(B6347,產品!$A$2:$H$61,7,FALSE)*(1-銷售總表!G6347)</f>
        <v>14940</v>
      </c>
      <c r="I6347" s="35">
        <f>H6347-F6347*VLOOKUP(銷售總表!B6347,產品!$A$2:$H$61,8,FALSE)</f>
        <v>7740</v>
      </c>
      <c r="J6347" s="20">
        <f t="shared" si="99"/>
        <v>0.51807228915662651</v>
      </c>
    </row>
    <row r="6348" spans="1:10" x14ac:dyDescent="0.3">
      <c r="A6348" s="33">
        <v>6347</v>
      </c>
      <c r="B6348" s="4">
        <v>38</v>
      </c>
      <c r="C6348" s="15">
        <v>6</v>
      </c>
      <c r="D6348" s="16">
        <v>5</v>
      </c>
      <c r="E6348" s="22">
        <v>45039</v>
      </c>
      <c r="F6348" s="19">
        <v>10</v>
      </c>
      <c r="G6348" s="18">
        <v>0.16</v>
      </c>
      <c r="H6348">
        <f>F6348*VLOOKUP(B6348,產品!$A$2:$H$61,7,FALSE)*(1-銷售總表!G6348)</f>
        <v>126000</v>
      </c>
      <c r="I6348" s="35">
        <f>H6348-F6348*VLOOKUP(銷售總表!B6348,產品!$A$2:$H$61,8,FALSE)</f>
        <v>28500</v>
      </c>
      <c r="J6348" s="20">
        <f t="shared" si="99"/>
        <v>0.22619047619047619</v>
      </c>
    </row>
    <row r="6349" spans="1:10" x14ac:dyDescent="0.3">
      <c r="A6349" s="33">
        <v>6348</v>
      </c>
      <c r="B6349" s="4">
        <v>42</v>
      </c>
      <c r="C6349" s="15">
        <v>283</v>
      </c>
      <c r="D6349" s="16">
        <v>6</v>
      </c>
      <c r="E6349" s="22">
        <v>45039</v>
      </c>
      <c r="F6349" s="19">
        <v>5</v>
      </c>
      <c r="G6349" s="18">
        <v>0.1</v>
      </c>
      <c r="H6349">
        <f>F6349*VLOOKUP(B6349,產品!$A$2:$H$61,7,FALSE)*(1-銷售總表!G6349)</f>
        <v>67500</v>
      </c>
      <c r="I6349" s="35">
        <f>H6349-F6349*VLOOKUP(銷售總表!B6349,產品!$A$2:$H$61,8,FALSE)</f>
        <v>18750</v>
      </c>
      <c r="J6349" s="20">
        <f t="shared" si="99"/>
        <v>0.27777777777777779</v>
      </c>
    </row>
    <row r="6350" spans="1:10" x14ac:dyDescent="0.3">
      <c r="A6350" s="33">
        <v>6349</v>
      </c>
      <c r="B6350" s="4">
        <v>30</v>
      </c>
      <c r="C6350" s="15">
        <v>121</v>
      </c>
      <c r="D6350" s="16">
        <v>10</v>
      </c>
      <c r="E6350" s="23">
        <v>45039</v>
      </c>
      <c r="F6350">
        <v>1</v>
      </c>
      <c r="G6350" s="20">
        <v>0.06</v>
      </c>
      <c r="H6350">
        <f>F6350*VLOOKUP(B6350,產品!$A$2:$H$61,7,FALSE)*(1-銷售總表!G6350)</f>
        <v>6110</v>
      </c>
      <c r="I6350" s="35">
        <f>H6350-F6350*VLOOKUP(銷售總表!B6350,產品!$A$2:$H$61,8,FALSE)</f>
        <v>2210</v>
      </c>
      <c r="J6350" s="20">
        <f t="shared" si="99"/>
        <v>0.36170212765957449</v>
      </c>
    </row>
    <row r="6351" spans="1:10" x14ac:dyDescent="0.3">
      <c r="A6351" s="33">
        <v>6350</v>
      </c>
      <c r="B6351" s="4">
        <v>60</v>
      </c>
      <c r="C6351" s="15">
        <v>2</v>
      </c>
      <c r="D6351" s="16">
        <v>5</v>
      </c>
      <c r="E6351" s="22">
        <v>45040</v>
      </c>
      <c r="F6351" s="19">
        <v>8</v>
      </c>
      <c r="G6351" s="18">
        <v>0.05</v>
      </c>
      <c r="H6351">
        <f>F6351*VLOOKUP(B6351,產品!$A$2:$H$61,7,FALSE)*(1-銷售總表!G6351)</f>
        <v>190000</v>
      </c>
      <c r="I6351" s="35">
        <f>H6351-F6351*VLOOKUP(銷售總表!B6351,產品!$A$2:$H$61,8,FALSE)</f>
        <v>50000</v>
      </c>
      <c r="J6351" s="20">
        <f t="shared" si="99"/>
        <v>0.26315789473684209</v>
      </c>
    </row>
    <row r="6352" spans="1:10" x14ac:dyDescent="0.3">
      <c r="A6352" s="33">
        <v>6351</v>
      </c>
      <c r="B6352" s="4">
        <v>56</v>
      </c>
      <c r="C6352" s="15">
        <v>11</v>
      </c>
      <c r="D6352" s="16">
        <v>2</v>
      </c>
      <c r="E6352" s="22">
        <v>45040</v>
      </c>
      <c r="F6352" s="19">
        <v>5</v>
      </c>
      <c r="G6352" s="18">
        <v>0.09</v>
      </c>
      <c r="H6352">
        <f>F6352*VLOOKUP(B6352,產品!$A$2:$H$61,7,FALSE)*(1-銷售總表!G6352)</f>
        <v>100100</v>
      </c>
      <c r="I6352" s="35">
        <f>H6352-F6352*VLOOKUP(銷售總表!B6352,產品!$A$2:$H$61,8,FALSE)</f>
        <v>23100.000000000015</v>
      </c>
      <c r="J6352" s="20">
        <f t="shared" si="99"/>
        <v>0.23076923076923092</v>
      </c>
    </row>
    <row r="6353" spans="1:10" x14ac:dyDescent="0.3">
      <c r="A6353" s="33">
        <v>6352</v>
      </c>
      <c r="B6353" s="4">
        <v>40</v>
      </c>
      <c r="C6353" s="15">
        <v>3</v>
      </c>
      <c r="D6353" s="16">
        <v>8</v>
      </c>
      <c r="E6353" s="22">
        <v>45040</v>
      </c>
      <c r="F6353" s="19">
        <v>6</v>
      </c>
      <c r="G6353" s="18">
        <v>0.11</v>
      </c>
      <c r="H6353">
        <f>F6353*VLOOKUP(B6353,產品!$A$2:$H$61,7,FALSE)*(1-銷售總表!G6353)</f>
        <v>106800</v>
      </c>
      <c r="I6353" s="35">
        <f>H6353-F6353*VLOOKUP(銷售總表!B6353,產品!$A$2:$H$61,8,FALSE)</f>
        <v>28800</v>
      </c>
      <c r="J6353" s="20">
        <f t="shared" si="99"/>
        <v>0.2696629213483146</v>
      </c>
    </row>
    <row r="6354" spans="1:10" x14ac:dyDescent="0.3">
      <c r="A6354" s="33">
        <v>6353</v>
      </c>
      <c r="B6354" s="4">
        <v>31</v>
      </c>
      <c r="C6354" s="15">
        <v>277</v>
      </c>
      <c r="D6354" s="16">
        <v>10</v>
      </c>
      <c r="E6354" s="22">
        <v>45040</v>
      </c>
      <c r="F6354" s="19">
        <v>5</v>
      </c>
      <c r="G6354" s="18">
        <v>0.17</v>
      </c>
      <c r="H6354">
        <f>F6354*VLOOKUP(B6354,產品!$A$2:$H$61,7,FALSE)*(1-銷售總表!G6354)</f>
        <v>29050</v>
      </c>
      <c r="I6354" s="35">
        <f>H6354-F6354*VLOOKUP(銷售總表!B6354,產品!$A$2:$H$61,8,FALSE)</f>
        <v>8050</v>
      </c>
      <c r="J6354" s="20">
        <f t="shared" si="99"/>
        <v>0.27710843373493976</v>
      </c>
    </row>
    <row r="6355" spans="1:10" x14ac:dyDescent="0.3">
      <c r="A6355" s="33">
        <v>6354</v>
      </c>
      <c r="B6355" s="4">
        <v>57</v>
      </c>
      <c r="C6355" s="15">
        <v>122</v>
      </c>
      <c r="D6355" s="16">
        <v>2</v>
      </c>
      <c r="E6355" s="22">
        <v>45040</v>
      </c>
      <c r="F6355" s="19">
        <v>4</v>
      </c>
      <c r="G6355" s="18">
        <v>0.16</v>
      </c>
      <c r="H6355">
        <f>F6355*VLOOKUP(B6355,產品!$A$2:$H$61,7,FALSE)*(1-銷售總表!G6355)</f>
        <v>60480</v>
      </c>
      <c r="I6355" s="35">
        <f>H6355-F6355*VLOOKUP(銷售總表!B6355,產品!$A$2:$H$61,8,FALSE)</f>
        <v>10080</v>
      </c>
      <c r="J6355" s="20">
        <f t="shared" si="99"/>
        <v>0.16666666666666666</v>
      </c>
    </row>
    <row r="6356" spans="1:10" x14ac:dyDescent="0.3">
      <c r="A6356" s="33">
        <v>6355</v>
      </c>
      <c r="B6356" s="4">
        <v>23</v>
      </c>
      <c r="C6356" s="15">
        <v>273</v>
      </c>
      <c r="D6356" s="16">
        <v>2</v>
      </c>
      <c r="E6356" s="22">
        <v>45040</v>
      </c>
      <c r="F6356" s="19">
        <v>10</v>
      </c>
      <c r="G6356" s="18">
        <v>0.08</v>
      </c>
      <c r="H6356">
        <f>F6356*VLOOKUP(B6356,產品!$A$2:$H$61,7,FALSE)*(1-銷售總表!G6356)</f>
        <v>16560</v>
      </c>
      <c r="I6356" s="35">
        <f>H6356-F6356*VLOOKUP(銷售總表!B6356,產品!$A$2:$H$61,8,FALSE)</f>
        <v>9360</v>
      </c>
      <c r="J6356" s="20">
        <f t="shared" si="99"/>
        <v>0.56521739130434778</v>
      </c>
    </row>
    <row r="6357" spans="1:10" x14ac:dyDescent="0.3">
      <c r="A6357" s="33">
        <v>6356</v>
      </c>
      <c r="B6357" s="4">
        <v>60</v>
      </c>
      <c r="C6357" s="15">
        <v>266</v>
      </c>
      <c r="D6357" s="16">
        <v>2</v>
      </c>
      <c r="E6357" s="22">
        <v>45040</v>
      </c>
      <c r="F6357" s="19">
        <v>5</v>
      </c>
      <c r="G6357" s="18">
        <v>0.1</v>
      </c>
      <c r="H6357">
        <f>F6357*VLOOKUP(B6357,產品!$A$2:$H$61,7,FALSE)*(1-銷售總表!G6357)</f>
        <v>112500</v>
      </c>
      <c r="I6357" s="35">
        <f>H6357-F6357*VLOOKUP(銷售總表!B6357,產品!$A$2:$H$61,8,FALSE)</f>
        <v>25000</v>
      </c>
      <c r="J6357" s="20">
        <f t="shared" si="99"/>
        <v>0.22222222222222221</v>
      </c>
    </row>
    <row r="6358" spans="1:10" x14ac:dyDescent="0.3">
      <c r="A6358" s="33">
        <v>6357</v>
      </c>
      <c r="B6358" s="4">
        <v>49</v>
      </c>
      <c r="C6358" s="15">
        <v>289</v>
      </c>
      <c r="D6358" s="16">
        <v>8</v>
      </c>
      <c r="E6358" s="23">
        <v>45040</v>
      </c>
      <c r="F6358">
        <v>10</v>
      </c>
      <c r="G6358" s="20">
        <v>0.18</v>
      </c>
      <c r="H6358">
        <f>F6358*VLOOKUP(B6358,產品!$A$2:$H$61,7,FALSE)*(1-銷售總表!G6358)</f>
        <v>123000.00000000001</v>
      </c>
      <c r="I6358" s="35">
        <f>H6358-F6358*VLOOKUP(銷售總表!B6358,產品!$A$2:$H$61,8,FALSE)</f>
        <v>18000.000000000015</v>
      </c>
      <c r="J6358" s="20">
        <f t="shared" si="99"/>
        <v>0.14634146341463425</v>
      </c>
    </row>
    <row r="6359" spans="1:10" x14ac:dyDescent="0.3">
      <c r="A6359" s="33">
        <v>6358</v>
      </c>
      <c r="B6359" s="4">
        <v>28</v>
      </c>
      <c r="C6359" s="15">
        <v>10</v>
      </c>
      <c r="D6359" s="16">
        <v>3</v>
      </c>
      <c r="E6359" s="23">
        <v>45040</v>
      </c>
      <c r="F6359">
        <v>35</v>
      </c>
      <c r="G6359" s="20">
        <v>0.12</v>
      </c>
      <c r="H6359">
        <f>F6359*VLOOKUP(B6359,產品!$A$2:$H$61,7,FALSE)*(1-銷售總表!G6359)</f>
        <v>231000</v>
      </c>
      <c r="I6359" s="35">
        <f>H6359-F6359*VLOOKUP(銷售總表!B6359,產品!$A$2:$H$61,8,FALSE)</f>
        <v>73500</v>
      </c>
      <c r="J6359" s="20">
        <f t="shared" si="99"/>
        <v>0.31818181818181818</v>
      </c>
    </row>
    <row r="6360" spans="1:10" x14ac:dyDescent="0.3">
      <c r="A6360" s="33">
        <v>6359</v>
      </c>
      <c r="B6360" s="4">
        <v>47</v>
      </c>
      <c r="C6360" s="15">
        <v>113</v>
      </c>
      <c r="D6360" s="16">
        <v>2</v>
      </c>
      <c r="E6360" s="22">
        <v>45041</v>
      </c>
      <c r="F6360" s="19">
        <v>15</v>
      </c>
      <c r="G6360" s="18">
        <v>0.05</v>
      </c>
      <c r="H6360">
        <f>F6360*VLOOKUP(B6360,產品!$A$2:$H$61,7,FALSE)*(1-銷售總表!G6360)</f>
        <v>285000</v>
      </c>
      <c r="I6360" s="35">
        <f>H6360-F6360*VLOOKUP(銷售總表!B6360,產品!$A$2:$H$61,8,FALSE)</f>
        <v>90000</v>
      </c>
      <c r="J6360" s="20">
        <f t="shared" si="99"/>
        <v>0.31578947368421051</v>
      </c>
    </row>
    <row r="6361" spans="1:10" x14ac:dyDescent="0.3">
      <c r="A6361" s="33">
        <v>6360</v>
      </c>
      <c r="B6361" s="4">
        <v>29</v>
      </c>
      <c r="C6361" s="15">
        <v>277</v>
      </c>
      <c r="D6361" s="16">
        <v>2</v>
      </c>
      <c r="E6361" s="22">
        <v>45041</v>
      </c>
      <c r="F6361" s="19">
        <v>10</v>
      </c>
      <c r="G6361" s="18">
        <v>7.0000000000000007E-2</v>
      </c>
      <c r="H6361">
        <f>F6361*VLOOKUP(B6361,產品!$A$2:$H$61,7,FALSE)*(1-銷售總表!G6361)</f>
        <v>55799.999999999993</v>
      </c>
      <c r="I6361" s="35">
        <f>H6361-F6361*VLOOKUP(銷售總表!B6361,產品!$A$2:$H$61,8,FALSE)</f>
        <v>19799.999999999993</v>
      </c>
      <c r="J6361" s="20">
        <f t="shared" si="99"/>
        <v>0.35483870967741926</v>
      </c>
    </row>
    <row r="6362" spans="1:10" x14ac:dyDescent="0.3">
      <c r="A6362" s="33">
        <v>6361</v>
      </c>
      <c r="B6362" s="4">
        <v>36</v>
      </c>
      <c r="C6362" s="15">
        <v>262</v>
      </c>
      <c r="D6362" s="16">
        <v>2</v>
      </c>
      <c r="E6362" s="23">
        <v>45041</v>
      </c>
      <c r="F6362">
        <v>11</v>
      </c>
      <c r="G6362" s="20">
        <v>0.06</v>
      </c>
      <c r="H6362">
        <f>F6362*VLOOKUP(B6362,產品!$A$2:$H$61,7,FALSE)*(1-銷售總表!G6362)</f>
        <v>93060</v>
      </c>
      <c r="I6362" s="35">
        <f>H6362-F6362*VLOOKUP(銷售總表!B6362,產品!$A$2:$H$61,8,FALSE)</f>
        <v>33660</v>
      </c>
      <c r="J6362" s="20">
        <f t="shared" si="99"/>
        <v>0.36170212765957449</v>
      </c>
    </row>
    <row r="6363" spans="1:10" x14ac:dyDescent="0.3">
      <c r="A6363" s="33">
        <v>6362</v>
      </c>
      <c r="B6363" s="4">
        <v>1</v>
      </c>
      <c r="C6363" s="15">
        <v>281</v>
      </c>
      <c r="D6363" s="16">
        <v>5</v>
      </c>
      <c r="E6363" s="23">
        <v>45041</v>
      </c>
      <c r="F6363">
        <v>10</v>
      </c>
      <c r="G6363" s="20">
        <v>0.2</v>
      </c>
      <c r="H6363">
        <f>F6363*VLOOKUP(B6363,產品!$A$2:$H$61,7,FALSE)*(1-銷售總表!G6363)</f>
        <v>8000</v>
      </c>
      <c r="I6363" s="35">
        <f>H6363-F6363*VLOOKUP(銷售總表!B6363,產品!$A$2:$H$61,8,FALSE)</f>
        <v>4000</v>
      </c>
      <c r="J6363" s="20">
        <f t="shared" si="99"/>
        <v>0.5</v>
      </c>
    </row>
    <row r="6364" spans="1:10" x14ac:dyDescent="0.3">
      <c r="A6364" s="33">
        <v>6363</v>
      </c>
      <c r="B6364" s="4">
        <v>52</v>
      </c>
      <c r="C6364" s="15">
        <v>266</v>
      </c>
      <c r="D6364" s="16">
        <v>9</v>
      </c>
      <c r="E6364" s="22">
        <v>45042</v>
      </c>
      <c r="F6364" s="19">
        <v>2</v>
      </c>
      <c r="G6364" s="18">
        <v>0.13</v>
      </c>
      <c r="H6364">
        <f>F6364*VLOOKUP(B6364,產品!$A$2:$H$61,7,FALSE)*(1-銷售總表!G6364)</f>
        <v>38280</v>
      </c>
      <c r="I6364" s="35">
        <f>H6364-F6364*VLOOKUP(銷售總表!B6364,產品!$A$2:$H$61,8,FALSE)</f>
        <v>7480.0000000000036</v>
      </c>
      <c r="J6364" s="20">
        <f t="shared" si="99"/>
        <v>0.19540229885057481</v>
      </c>
    </row>
    <row r="6365" spans="1:10" x14ac:dyDescent="0.3">
      <c r="A6365" s="33">
        <v>6364</v>
      </c>
      <c r="B6365" s="4">
        <v>52</v>
      </c>
      <c r="C6365" s="15">
        <v>258</v>
      </c>
      <c r="D6365" s="16">
        <v>8</v>
      </c>
      <c r="E6365" s="22">
        <v>45042</v>
      </c>
      <c r="F6365" s="19">
        <v>5</v>
      </c>
      <c r="G6365" s="18">
        <v>0.17</v>
      </c>
      <c r="H6365">
        <f>F6365*VLOOKUP(B6365,產品!$A$2:$H$61,7,FALSE)*(1-銷售總表!G6365)</f>
        <v>91300</v>
      </c>
      <c r="I6365" s="35">
        <f>H6365-F6365*VLOOKUP(銷售總表!B6365,產品!$A$2:$H$61,8,FALSE)</f>
        <v>14300.000000000015</v>
      </c>
      <c r="J6365" s="20">
        <f t="shared" si="99"/>
        <v>0.15662650602409656</v>
      </c>
    </row>
    <row r="6366" spans="1:10" x14ac:dyDescent="0.3">
      <c r="A6366" s="33">
        <v>6365</v>
      </c>
      <c r="B6366" s="4">
        <v>10</v>
      </c>
      <c r="C6366" s="15">
        <v>1</v>
      </c>
      <c r="D6366" s="16">
        <v>6</v>
      </c>
      <c r="E6366" s="22">
        <v>45042</v>
      </c>
      <c r="F6366" s="19">
        <v>17</v>
      </c>
      <c r="G6366" s="18">
        <v>0.15</v>
      </c>
      <c r="H6366">
        <f>F6366*VLOOKUP(B6366,產品!$A$2:$H$61,7,FALSE)*(1-銷售總表!G6366)</f>
        <v>14450</v>
      </c>
      <c r="I6366" s="35">
        <f>H6366-F6366*VLOOKUP(銷售總表!B6366,產品!$A$2:$H$61,8,FALSE)</f>
        <v>7650</v>
      </c>
      <c r="J6366" s="20">
        <f t="shared" si="99"/>
        <v>0.52941176470588236</v>
      </c>
    </row>
    <row r="6367" spans="1:10" x14ac:dyDescent="0.3">
      <c r="A6367" s="33">
        <v>6366</v>
      </c>
      <c r="B6367" s="4">
        <v>4</v>
      </c>
      <c r="C6367" s="15">
        <v>277</v>
      </c>
      <c r="D6367" s="16">
        <v>2</v>
      </c>
      <c r="E6367" s="22">
        <v>45042</v>
      </c>
      <c r="F6367" s="19">
        <v>60</v>
      </c>
      <c r="G6367" s="18">
        <v>0.11</v>
      </c>
      <c r="H6367">
        <f>F6367*VLOOKUP(B6367,產品!$A$2:$H$61,7,FALSE)*(1-銷售總表!G6367)</f>
        <v>53400</v>
      </c>
      <c r="I6367" s="35">
        <f>H6367-F6367*VLOOKUP(銷售總表!B6367,產品!$A$2:$H$61,8,FALSE)</f>
        <v>29400</v>
      </c>
      <c r="J6367" s="20">
        <f t="shared" si="99"/>
        <v>0.550561797752809</v>
      </c>
    </row>
    <row r="6368" spans="1:10" x14ac:dyDescent="0.3">
      <c r="A6368" s="33">
        <v>6367</v>
      </c>
      <c r="B6368" s="4">
        <v>39</v>
      </c>
      <c r="C6368" s="15">
        <v>273</v>
      </c>
      <c r="D6368" s="16">
        <v>2</v>
      </c>
      <c r="E6368" s="23">
        <v>45042</v>
      </c>
      <c r="F6368">
        <v>15</v>
      </c>
      <c r="G6368" s="20">
        <v>0.06</v>
      </c>
      <c r="H6368">
        <f>F6368*VLOOKUP(B6368,產品!$A$2:$H$61,7,FALSE)*(1-銷售總表!G6368)</f>
        <v>253800</v>
      </c>
      <c r="I6368" s="35">
        <f>H6368-F6368*VLOOKUP(銷售總表!B6368,產品!$A$2:$H$61,8,FALSE)</f>
        <v>78300</v>
      </c>
      <c r="J6368" s="20">
        <f t="shared" si="99"/>
        <v>0.30851063829787234</v>
      </c>
    </row>
    <row r="6369" spans="1:10" x14ac:dyDescent="0.3">
      <c r="A6369" s="33">
        <v>6368</v>
      </c>
      <c r="B6369" s="4">
        <v>43</v>
      </c>
      <c r="C6369" s="15">
        <v>279</v>
      </c>
      <c r="D6369" s="16">
        <v>8</v>
      </c>
      <c r="E6369" s="22">
        <v>45043</v>
      </c>
      <c r="F6369" s="19">
        <v>9</v>
      </c>
      <c r="G6369" s="18">
        <v>0.11</v>
      </c>
      <c r="H6369">
        <f>F6369*VLOOKUP(B6369,產品!$A$2:$H$61,7,FALSE)*(1-銷售總表!G6369)</f>
        <v>144180</v>
      </c>
      <c r="I6369" s="35">
        <f>H6369-F6369*VLOOKUP(銷售總表!B6369,產品!$A$2:$H$61,8,FALSE)</f>
        <v>38880</v>
      </c>
      <c r="J6369" s="20">
        <f t="shared" si="99"/>
        <v>0.2696629213483146</v>
      </c>
    </row>
    <row r="6370" spans="1:10" x14ac:dyDescent="0.3">
      <c r="A6370" s="33">
        <v>6369</v>
      </c>
      <c r="B6370" s="4">
        <v>31</v>
      </c>
      <c r="C6370" s="15">
        <v>270</v>
      </c>
      <c r="D6370" s="16">
        <v>1</v>
      </c>
      <c r="E6370" s="22">
        <v>45043</v>
      </c>
      <c r="F6370" s="19">
        <v>8</v>
      </c>
      <c r="G6370" s="18">
        <v>0.08</v>
      </c>
      <c r="H6370">
        <f>F6370*VLOOKUP(B6370,產品!$A$2:$H$61,7,FALSE)*(1-銷售總表!G6370)</f>
        <v>51520</v>
      </c>
      <c r="I6370" s="35">
        <f>H6370-F6370*VLOOKUP(銷售總表!B6370,產品!$A$2:$H$61,8,FALSE)</f>
        <v>17920</v>
      </c>
      <c r="J6370" s="20">
        <f t="shared" si="99"/>
        <v>0.34782608695652173</v>
      </c>
    </row>
    <row r="6371" spans="1:10" x14ac:dyDescent="0.3">
      <c r="A6371" s="33">
        <v>6370</v>
      </c>
      <c r="B6371" s="4">
        <v>27</v>
      </c>
      <c r="C6371" s="15">
        <v>265</v>
      </c>
      <c r="D6371" s="16">
        <v>2</v>
      </c>
      <c r="E6371" s="22">
        <v>45043</v>
      </c>
      <c r="F6371" s="19">
        <v>18</v>
      </c>
      <c r="G6371" s="18">
        <v>0.08</v>
      </c>
      <c r="H6371">
        <f>F6371*VLOOKUP(B6371,產品!$A$2:$H$61,7,FALSE)*(1-銷售總表!G6371)</f>
        <v>115920</v>
      </c>
      <c r="I6371" s="35">
        <f>H6371-F6371*VLOOKUP(銷售總表!B6371,產品!$A$2:$H$61,8,FALSE)</f>
        <v>40320</v>
      </c>
      <c r="J6371" s="20">
        <f t="shared" si="99"/>
        <v>0.34782608695652173</v>
      </c>
    </row>
    <row r="6372" spans="1:10" x14ac:dyDescent="0.3">
      <c r="A6372" s="33">
        <v>6371</v>
      </c>
      <c r="B6372" s="4">
        <v>10</v>
      </c>
      <c r="C6372" s="15">
        <v>112</v>
      </c>
      <c r="D6372" s="16">
        <v>9</v>
      </c>
      <c r="E6372" s="22">
        <v>45043</v>
      </c>
      <c r="F6372" s="19">
        <v>70</v>
      </c>
      <c r="G6372" s="18">
        <v>7.0000000000000007E-2</v>
      </c>
      <c r="H6372">
        <f>F6372*VLOOKUP(B6372,產品!$A$2:$H$61,7,FALSE)*(1-銷售總表!G6372)</f>
        <v>65099.999999999993</v>
      </c>
      <c r="I6372" s="35">
        <f>H6372-F6372*VLOOKUP(銷售總表!B6372,產品!$A$2:$H$61,8,FALSE)</f>
        <v>37099.999999999993</v>
      </c>
      <c r="J6372" s="20">
        <f t="shared" si="99"/>
        <v>0.56989247311827951</v>
      </c>
    </row>
    <row r="6373" spans="1:10" x14ac:dyDescent="0.3">
      <c r="A6373" s="33">
        <v>6372</v>
      </c>
      <c r="B6373" s="4">
        <v>19</v>
      </c>
      <c r="C6373" s="15">
        <v>264</v>
      </c>
      <c r="D6373" s="16">
        <v>9</v>
      </c>
      <c r="E6373" s="23">
        <v>45043</v>
      </c>
      <c r="F6373">
        <v>13</v>
      </c>
      <c r="G6373" s="20">
        <v>0.15</v>
      </c>
      <c r="H6373">
        <f>F6373*VLOOKUP(B6373,產品!$A$2:$H$61,7,FALSE)*(1-銷售總表!G6373)</f>
        <v>19890</v>
      </c>
      <c r="I6373" s="35">
        <f>H6373-F6373*VLOOKUP(銷售總表!B6373,產品!$A$2:$H$61,8,FALSE)</f>
        <v>10530</v>
      </c>
      <c r="J6373" s="20">
        <f t="shared" si="99"/>
        <v>0.52941176470588236</v>
      </c>
    </row>
    <row r="6374" spans="1:10" x14ac:dyDescent="0.3">
      <c r="A6374" s="33">
        <v>6373</v>
      </c>
      <c r="B6374" s="4">
        <v>22</v>
      </c>
      <c r="C6374" s="15">
        <v>12</v>
      </c>
      <c r="D6374" s="16">
        <v>7</v>
      </c>
      <c r="E6374" s="22">
        <v>45044</v>
      </c>
      <c r="F6374" s="19">
        <v>50</v>
      </c>
      <c r="G6374" s="18">
        <v>0.16</v>
      </c>
      <c r="H6374">
        <f>F6374*VLOOKUP(B6374,產品!$A$2:$H$61,7,FALSE)*(1-銷售總表!G6374)</f>
        <v>75600</v>
      </c>
      <c r="I6374" s="35">
        <f>H6374-F6374*VLOOKUP(銷售總表!B6374,產品!$A$2:$H$61,8,FALSE)</f>
        <v>39600</v>
      </c>
      <c r="J6374" s="20">
        <f t="shared" si="99"/>
        <v>0.52380952380952384</v>
      </c>
    </row>
    <row r="6375" spans="1:10" x14ac:dyDescent="0.3">
      <c r="A6375" s="33">
        <v>6374</v>
      </c>
      <c r="B6375" s="4">
        <v>13</v>
      </c>
      <c r="C6375" s="15">
        <v>10</v>
      </c>
      <c r="D6375" s="16">
        <v>2</v>
      </c>
      <c r="E6375" s="22">
        <v>45045</v>
      </c>
      <c r="F6375" s="19">
        <v>100</v>
      </c>
      <c r="G6375" s="18">
        <v>0.1</v>
      </c>
      <c r="H6375">
        <f>F6375*VLOOKUP(B6375,產品!$A$2:$H$61,7,FALSE)*(1-銷售總表!G6375)</f>
        <v>162000</v>
      </c>
      <c r="I6375" s="35">
        <f>H6375-F6375*VLOOKUP(銷售總表!B6375,產品!$A$2:$H$61,8,FALSE)</f>
        <v>90000</v>
      </c>
      <c r="J6375" s="20">
        <f t="shared" si="99"/>
        <v>0.55555555555555558</v>
      </c>
    </row>
    <row r="6376" spans="1:10" x14ac:dyDescent="0.3">
      <c r="A6376" s="33">
        <v>6375</v>
      </c>
      <c r="B6376" s="4">
        <v>42</v>
      </c>
      <c r="C6376" s="15">
        <v>4</v>
      </c>
      <c r="D6376" s="16">
        <v>10</v>
      </c>
      <c r="E6376" s="22">
        <v>45045</v>
      </c>
      <c r="F6376" s="19">
        <v>16</v>
      </c>
      <c r="G6376" s="18">
        <v>7.0000000000000007E-2</v>
      </c>
      <c r="H6376">
        <f>F6376*VLOOKUP(B6376,產品!$A$2:$H$61,7,FALSE)*(1-銷售總表!G6376)</f>
        <v>223199.99999999997</v>
      </c>
      <c r="I6376" s="35">
        <f>H6376-F6376*VLOOKUP(銷售總表!B6376,產品!$A$2:$H$61,8,FALSE)</f>
        <v>67199.999999999971</v>
      </c>
      <c r="J6376" s="20">
        <f t="shared" si="99"/>
        <v>0.3010752688172042</v>
      </c>
    </row>
    <row r="6377" spans="1:10" x14ac:dyDescent="0.3">
      <c r="A6377" s="33">
        <v>6376</v>
      </c>
      <c r="B6377" s="4">
        <v>23</v>
      </c>
      <c r="C6377" s="15">
        <v>117</v>
      </c>
      <c r="D6377" s="16">
        <v>9</v>
      </c>
      <c r="E6377" s="22">
        <v>45046</v>
      </c>
      <c r="F6377" s="19">
        <v>195</v>
      </c>
      <c r="G6377" s="18">
        <v>0.2</v>
      </c>
      <c r="H6377">
        <f>F6377*VLOOKUP(B6377,產品!$A$2:$H$61,7,FALSE)*(1-銷售總表!G6377)</f>
        <v>280800</v>
      </c>
      <c r="I6377" s="35">
        <f>H6377-F6377*VLOOKUP(銷售總表!B6377,產品!$A$2:$H$61,8,FALSE)</f>
        <v>140400</v>
      </c>
      <c r="J6377" s="20">
        <f t="shared" si="99"/>
        <v>0.5</v>
      </c>
    </row>
    <row r="6378" spans="1:10" x14ac:dyDescent="0.3">
      <c r="A6378" s="33">
        <v>6377</v>
      </c>
      <c r="B6378" s="4">
        <v>53</v>
      </c>
      <c r="C6378" s="15">
        <v>282</v>
      </c>
      <c r="D6378" s="16">
        <v>4</v>
      </c>
      <c r="E6378" s="22">
        <v>45046</v>
      </c>
      <c r="F6378" s="19">
        <v>7</v>
      </c>
      <c r="G6378" s="18">
        <v>0.17</v>
      </c>
      <c r="H6378">
        <f>F6378*VLOOKUP(B6378,產品!$A$2:$H$61,7,FALSE)*(1-銷售總表!G6378)</f>
        <v>87150</v>
      </c>
      <c r="I6378" s="35">
        <f>H6378-F6378*VLOOKUP(銷售總表!B6378,產品!$A$2:$H$61,8,FALSE)</f>
        <v>13650</v>
      </c>
      <c r="J6378" s="20">
        <f t="shared" si="99"/>
        <v>0.15662650602409639</v>
      </c>
    </row>
    <row r="6379" spans="1:10" x14ac:dyDescent="0.3">
      <c r="A6379" s="33">
        <v>6378</v>
      </c>
      <c r="B6379" s="4">
        <v>35</v>
      </c>
      <c r="C6379" s="15">
        <v>292</v>
      </c>
      <c r="D6379" s="16">
        <v>4</v>
      </c>
      <c r="E6379" s="23">
        <v>45046</v>
      </c>
      <c r="F6379">
        <v>5</v>
      </c>
      <c r="G6379" s="20">
        <v>0.16</v>
      </c>
      <c r="H6379">
        <f>F6379*VLOOKUP(B6379,產品!$A$2:$H$61,7,FALSE)*(1-銷售總表!G6379)</f>
        <v>35700</v>
      </c>
      <c r="I6379" s="35">
        <f>H6379-F6379*VLOOKUP(銷售總表!B6379,產品!$A$2:$H$61,8,FALSE)</f>
        <v>10200</v>
      </c>
      <c r="J6379" s="20">
        <f t="shared" si="99"/>
        <v>0.2857142857142857</v>
      </c>
    </row>
    <row r="6380" spans="1:10" x14ac:dyDescent="0.3">
      <c r="A6380" s="33">
        <v>6379</v>
      </c>
      <c r="B6380" s="4">
        <v>35</v>
      </c>
      <c r="C6380" s="15">
        <v>288</v>
      </c>
      <c r="D6380" s="16">
        <v>10</v>
      </c>
      <c r="E6380" s="22">
        <v>45047</v>
      </c>
      <c r="F6380" s="19">
        <v>8</v>
      </c>
      <c r="G6380" s="18">
        <v>0.17</v>
      </c>
      <c r="H6380">
        <f>F6380*VLOOKUP(B6380,產品!$A$2:$H$61,7,FALSE)*(1-銷售總表!G6380)</f>
        <v>56440</v>
      </c>
      <c r="I6380" s="35">
        <f>H6380-F6380*VLOOKUP(銷售總表!B6380,產品!$A$2:$H$61,8,FALSE)</f>
        <v>15640</v>
      </c>
      <c r="J6380" s="20">
        <f t="shared" si="99"/>
        <v>0.27710843373493976</v>
      </c>
    </row>
    <row r="6381" spans="1:10" x14ac:dyDescent="0.3">
      <c r="A6381" s="33">
        <v>6380</v>
      </c>
      <c r="B6381" s="4">
        <v>42</v>
      </c>
      <c r="C6381" s="15">
        <v>2</v>
      </c>
      <c r="D6381" s="16">
        <v>8</v>
      </c>
      <c r="E6381" s="23">
        <v>45047</v>
      </c>
      <c r="F6381">
        <v>3</v>
      </c>
      <c r="G6381" s="20">
        <v>0.17</v>
      </c>
      <c r="H6381">
        <f>F6381*VLOOKUP(B6381,產品!$A$2:$H$61,7,FALSE)*(1-銷售總表!G6381)</f>
        <v>37350</v>
      </c>
      <c r="I6381" s="35">
        <f>H6381-F6381*VLOOKUP(銷售總表!B6381,產品!$A$2:$H$61,8,FALSE)</f>
        <v>8100</v>
      </c>
      <c r="J6381" s="20">
        <f t="shared" si="99"/>
        <v>0.21686746987951808</v>
      </c>
    </row>
    <row r="6382" spans="1:10" x14ac:dyDescent="0.3">
      <c r="A6382" s="33">
        <v>6381</v>
      </c>
      <c r="B6382" s="4">
        <v>45</v>
      </c>
      <c r="C6382" s="15">
        <v>5</v>
      </c>
      <c r="D6382" s="16">
        <v>5</v>
      </c>
      <c r="E6382" s="23">
        <v>45048</v>
      </c>
      <c r="F6382">
        <v>10</v>
      </c>
      <c r="G6382" s="20">
        <v>0.11</v>
      </c>
      <c r="H6382">
        <f>F6382*VLOOKUP(B6382,產品!$A$2:$H$61,7,FALSE)*(1-銷售總表!G6382)</f>
        <v>124600</v>
      </c>
      <c r="I6382" s="35">
        <f>H6382-F6382*VLOOKUP(銷售總表!B6382,產品!$A$2:$H$61,8,FALSE)</f>
        <v>33600</v>
      </c>
      <c r="J6382" s="20">
        <f t="shared" si="99"/>
        <v>0.2696629213483146</v>
      </c>
    </row>
    <row r="6383" spans="1:10" x14ac:dyDescent="0.3">
      <c r="A6383" s="33">
        <v>6382</v>
      </c>
      <c r="B6383" s="4">
        <v>31</v>
      </c>
      <c r="C6383" s="15">
        <v>262</v>
      </c>
      <c r="D6383" s="16">
        <v>3</v>
      </c>
      <c r="E6383" s="22">
        <v>45048</v>
      </c>
      <c r="F6383" s="19">
        <v>8</v>
      </c>
      <c r="G6383" s="18">
        <v>0.09</v>
      </c>
      <c r="H6383">
        <f>F6383*VLOOKUP(B6383,產品!$A$2:$H$61,7,FALSE)*(1-銷售總表!G6383)</f>
        <v>50960</v>
      </c>
      <c r="I6383" s="35">
        <f>H6383-F6383*VLOOKUP(銷售總表!B6383,產品!$A$2:$H$61,8,FALSE)</f>
        <v>17360</v>
      </c>
      <c r="J6383" s="20">
        <f t="shared" si="99"/>
        <v>0.34065934065934067</v>
      </c>
    </row>
    <row r="6384" spans="1:10" x14ac:dyDescent="0.3">
      <c r="A6384" s="33">
        <v>6383</v>
      </c>
      <c r="B6384" s="4">
        <v>40</v>
      </c>
      <c r="C6384" s="15">
        <v>140</v>
      </c>
      <c r="D6384" s="16">
        <v>9</v>
      </c>
      <c r="E6384" s="23">
        <v>45048</v>
      </c>
      <c r="F6384">
        <v>4</v>
      </c>
      <c r="G6384" s="20">
        <v>0.19</v>
      </c>
      <c r="H6384">
        <f>F6384*VLOOKUP(B6384,產品!$A$2:$H$61,7,FALSE)*(1-銷售總表!G6384)</f>
        <v>64800.000000000007</v>
      </c>
      <c r="I6384" s="35">
        <f>H6384-F6384*VLOOKUP(銷售總表!B6384,產品!$A$2:$H$61,8,FALSE)</f>
        <v>12800.000000000007</v>
      </c>
      <c r="J6384" s="20">
        <f t="shared" si="99"/>
        <v>0.19753086419753096</v>
      </c>
    </row>
    <row r="6385" spans="1:10" x14ac:dyDescent="0.3">
      <c r="A6385" s="33">
        <v>6384</v>
      </c>
      <c r="B6385" s="4">
        <v>27</v>
      </c>
      <c r="C6385" s="15">
        <v>134</v>
      </c>
      <c r="D6385" s="16">
        <v>9</v>
      </c>
      <c r="E6385" s="23">
        <v>45048</v>
      </c>
      <c r="F6385">
        <v>7</v>
      </c>
      <c r="G6385" s="20">
        <v>0.08</v>
      </c>
      <c r="H6385">
        <f>F6385*VLOOKUP(B6385,產品!$A$2:$H$61,7,FALSE)*(1-銷售總表!G6385)</f>
        <v>45080</v>
      </c>
      <c r="I6385" s="35">
        <f>H6385-F6385*VLOOKUP(銷售總表!B6385,產品!$A$2:$H$61,8,FALSE)</f>
        <v>15680</v>
      </c>
      <c r="J6385" s="20">
        <f t="shared" si="99"/>
        <v>0.34782608695652173</v>
      </c>
    </row>
    <row r="6386" spans="1:10" x14ac:dyDescent="0.3">
      <c r="A6386" s="33">
        <v>6385</v>
      </c>
      <c r="B6386" s="4">
        <v>31</v>
      </c>
      <c r="C6386" s="15">
        <v>9</v>
      </c>
      <c r="D6386" s="16">
        <v>8</v>
      </c>
      <c r="E6386" s="23">
        <v>45048</v>
      </c>
      <c r="F6386">
        <v>8</v>
      </c>
      <c r="G6386" s="20">
        <v>0.18</v>
      </c>
      <c r="H6386">
        <f>F6386*VLOOKUP(B6386,產品!$A$2:$H$61,7,FALSE)*(1-銷售總表!G6386)</f>
        <v>45920</v>
      </c>
      <c r="I6386" s="35">
        <f>H6386-F6386*VLOOKUP(銷售總表!B6386,產品!$A$2:$H$61,8,FALSE)</f>
        <v>12320</v>
      </c>
      <c r="J6386" s="20">
        <f t="shared" si="99"/>
        <v>0.26829268292682928</v>
      </c>
    </row>
    <row r="6387" spans="1:10" x14ac:dyDescent="0.3">
      <c r="A6387" s="33">
        <v>6386</v>
      </c>
      <c r="B6387" s="4">
        <v>43</v>
      </c>
      <c r="C6387" s="15">
        <v>6</v>
      </c>
      <c r="D6387" s="16">
        <v>9</v>
      </c>
      <c r="E6387" s="22">
        <v>45049</v>
      </c>
      <c r="F6387" s="19">
        <v>1</v>
      </c>
      <c r="G6387" s="18">
        <v>0.13</v>
      </c>
      <c r="H6387">
        <f>F6387*VLOOKUP(B6387,產品!$A$2:$H$61,7,FALSE)*(1-銷售總表!G6387)</f>
        <v>15660</v>
      </c>
      <c r="I6387" s="35">
        <f>H6387-F6387*VLOOKUP(銷售總表!B6387,產品!$A$2:$H$61,8,FALSE)</f>
        <v>3960</v>
      </c>
      <c r="J6387" s="20">
        <f t="shared" si="99"/>
        <v>0.25287356321839083</v>
      </c>
    </row>
    <row r="6388" spans="1:10" x14ac:dyDescent="0.3">
      <c r="A6388" s="33">
        <v>6387</v>
      </c>
      <c r="B6388" s="4">
        <v>13</v>
      </c>
      <c r="C6388" s="15">
        <v>264</v>
      </c>
      <c r="D6388" s="16">
        <v>4</v>
      </c>
      <c r="E6388" s="22">
        <v>45049</v>
      </c>
      <c r="F6388" s="19">
        <v>13</v>
      </c>
      <c r="G6388" s="18">
        <v>7.0000000000000007E-2</v>
      </c>
      <c r="H6388">
        <f>F6388*VLOOKUP(B6388,產品!$A$2:$H$61,7,FALSE)*(1-銷售總表!G6388)</f>
        <v>21762</v>
      </c>
      <c r="I6388" s="35">
        <f>H6388-F6388*VLOOKUP(銷售總表!B6388,產品!$A$2:$H$61,8,FALSE)</f>
        <v>12402</v>
      </c>
      <c r="J6388" s="20">
        <f t="shared" si="99"/>
        <v>0.56989247311827962</v>
      </c>
    </row>
    <row r="6389" spans="1:10" x14ac:dyDescent="0.3">
      <c r="A6389" s="33">
        <v>6388</v>
      </c>
      <c r="B6389" s="4">
        <v>16</v>
      </c>
      <c r="C6389" s="15">
        <v>283</v>
      </c>
      <c r="D6389" s="16">
        <v>3</v>
      </c>
      <c r="E6389" s="22">
        <v>45049</v>
      </c>
      <c r="F6389" s="19">
        <v>60</v>
      </c>
      <c r="G6389" s="18">
        <v>0.17</v>
      </c>
      <c r="H6389">
        <f>F6389*VLOOKUP(B6389,產品!$A$2:$H$61,7,FALSE)*(1-銷售總表!G6389)</f>
        <v>89640</v>
      </c>
      <c r="I6389" s="35">
        <f>H6389-F6389*VLOOKUP(銷售總表!B6389,產品!$A$2:$H$61,8,FALSE)</f>
        <v>46440</v>
      </c>
      <c r="J6389" s="20">
        <f t="shared" si="99"/>
        <v>0.51807228915662651</v>
      </c>
    </row>
    <row r="6390" spans="1:10" x14ac:dyDescent="0.3">
      <c r="A6390" s="33">
        <v>6389</v>
      </c>
      <c r="B6390" s="4">
        <v>29</v>
      </c>
      <c r="C6390" s="15">
        <v>136</v>
      </c>
      <c r="D6390" s="16">
        <v>3</v>
      </c>
      <c r="E6390" s="23">
        <v>45049</v>
      </c>
      <c r="F6390">
        <v>4</v>
      </c>
      <c r="G6390" s="20">
        <v>7.0000000000000007E-2</v>
      </c>
      <c r="H6390">
        <f>F6390*VLOOKUP(B6390,產品!$A$2:$H$61,7,FALSE)*(1-銷售總表!G6390)</f>
        <v>22320</v>
      </c>
      <c r="I6390" s="35">
        <f>H6390-F6390*VLOOKUP(銷售總表!B6390,產品!$A$2:$H$61,8,FALSE)</f>
        <v>7920</v>
      </c>
      <c r="J6390" s="20">
        <f t="shared" si="99"/>
        <v>0.35483870967741937</v>
      </c>
    </row>
    <row r="6391" spans="1:10" x14ac:dyDescent="0.3">
      <c r="A6391" s="33">
        <v>6390</v>
      </c>
      <c r="B6391" s="4">
        <v>16</v>
      </c>
      <c r="C6391" s="15">
        <v>116</v>
      </c>
      <c r="D6391" s="16">
        <v>1</v>
      </c>
      <c r="E6391" s="23">
        <v>45050</v>
      </c>
      <c r="F6391">
        <v>19</v>
      </c>
      <c r="G6391" s="20">
        <v>0.17</v>
      </c>
      <c r="H6391">
        <f>F6391*VLOOKUP(B6391,產品!$A$2:$H$61,7,FALSE)*(1-銷售總表!G6391)</f>
        <v>28386</v>
      </c>
      <c r="I6391" s="35">
        <f>H6391-F6391*VLOOKUP(銷售總表!B6391,產品!$A$2:$H$61,8,FALSE)</f>
        <v>14706</v>
      </c>
      <c r="J6391" s="20">
        <f t="shared" si="99"/>
        <v>0.51807228915662651</v>
      </c>
    </row>
    <row r="6392" spans="1:10" x14ac:dyDescent="0.3">
      <c r="A6392" s="33">
        <v>6391</v>
      </c>
      <c r="B6392" s="4">
        <v>58</v>
      </c>
      <c r="C6392" s="15">
        <v>116</v>
      </c>
      <c r="D6392" s="16">
        <v>1</v>
      </c>
      <c r="E6392" s="23">
        <v>45050</v>
      </c>
      <c r="F6392">
        <v>12</v>
      </c>
      <c r="G6392" s="20">
        <v>0.17</v>
      </c>
      <c r="H6392">
        <f>F6392*VLOOKUP(B6392,產品!$A$2:$H$61,7,FALSE)*(1-銷售總表!G6392)</f>
        <v>209160</v>
      </c>
      <c r="I6392" s="35">
        <f>H6392-F6392*VLOOKUP(銷售總表!B6392,產品!$A$2:$H$61,8,FALSE)</f>
        <v>32760.000000000029</v>
      </c>
      <c r="J6392" s="20">
        <f t="shared" si="99"/>
        <v>0.15662650602409653</v>
      </c>
    </row>
    <row r="6393" spans="1:10" x14ac:dyDescent="0.3">
      <c r="A6393" s="33">
        <v>6392</v>
      </c>
      <c r="B6393" s="4">
        <v>14</v>
      </c>
      <c r="C6393" s="15">
        <v>4</v>
      </c>
      <c r="D6393" s="16">
        <v>5</v>
      </c>
      <c r="E6393" s="22">
        <v>45051</v>
      </c>
      <c r="F6393" s="19">
        <v>175</v>
      </c>
      <c r="G6393" s="18">
        <v>7.0000000000000007E-2</v>
      </c>
      <c r="H6393">
        <f>F6393*VLOOKUP(B6393,產品!$A$2:$H$61,7,FALSE)*(1-銷售總表!G6393)</f>
        <v>292950</v>
      </c>
      <c r="I6393" s="35">
        <f>H6393-F6393*VLOOKUP(銷售總表!B6393,產品!$A$2:$H$61,8,FALSE)</f>
        <v>166950</v>
      </c>
      <c r="J6393" s="20">
        <f t="shared" si="99"/>
        <v>0.56989247311827962</v>
      </c>
    </row>
    <row r="6394" spans="1:10" x14ac:dyDescent="0.3">
      <c r="A6394" s="33">
        <v>6393</v>
      </c>
      <c r="B6394" s="4">
        <v>37</v>
      </c>
      <c r="C6394" s="15">
        <v>283</v>
      </c>
      <c r="D6394" s="16">
        <v>9</v>
      </c>
      <c r="E6394" s="22">
        <v>45051</v>
      </c>
      <c r="F6394" s="19">
        <v>4</v>
      </c>
      <c r="G6394" s="18">
        <v>0.05</v>
      </c>
      <c r="H6394">
        <f>F6394*VLOOKUP(B6394,產品!$A$2:$H$61,7,FALSE)*(1-銷售總表!G6394)</f>
        <v>45600</v>
      </c>
      <c r="I6394" s="35">
        <f>H6394-F6394*VLOOKUP(銷售總表!B6394,產品!$A$2:$H$61,8,FALSE)</f>
        <v>14400</v>
      </c>
      <c r="J6394" s="20">
        <f t="shared" si="99"/>
        <v>0.31578947368421051</v>
      </c>
    </row>
    <row r="6395" spans="1:10" x14ac:dyDescent="0.3">
      <c r="A6395" s="33">
        <v>6394</v>
      </c>
      <c r="B6395" s="4">
        <v>46</v>
      </c>
      <c r="C6395" s="15">
        <v>257</v>
      </c>
      <c r="D6395" s="16">
        <v>10</v>
      </c>
      <c r="E6395" s="22">
        <v>45051</v>
      </c>
      <c r="F6395" s="19">
        <v>4</v>
      </c>
      <c r="G6395" s="18">
        <v>0.17</v>
      </c>
      <c r="H6395">
        <f>F6395*VLOOKUP(B6395,產品!$A$2:$H$61,7,FALSE)*(1-銷售總表!G6395)</f>
        <v>56440</v>
      </c>
      <c r="I6395" s="35">
        <f>H6395-F6395*VLOOKUP(銷售總表!B6395,產品!$A$2:$H$61,8,FALSE)</f>
        <v>12240</v>
      </c>
      <c r="J6395" s="20">
        <f t="shared" si="99"/>
        <v>0.21686746987951808</v>
      </c>
    </row>
    <row r="6396" spans="1:10" x14ac:dyDescent="0.3">
      <c r="A6396" s="33">
        <v>6395</v>
      </c>
      <c r="B6396" s="4">
        <v>42</v>
      </c>
      <c r="C6396" s="15">
        <v>114</v>
      </c>
      <c r="D6396" s="16">
        <v>1</v>
      </c>
      <c r="E6396" s="22">
        <v>45051</v>
      </c>
      <c r="F6396" s="19">
        <v>6</v>
      </c>
      <c r="G6396" s="18">
        <v>0.15</v>
      </c>
      <c r="H6396">
        <f>F6396*VLOOKUP(B6396,產品!$A$2:$H$61,7,FALSE)*(1-銷售總表!G6396)</f>
        <v>76500</v>
      </c>
      <c r="I6396" s="35">
        <f>H6396-F6396*VLOOKUP(銷售總表!B6396,產品!$A$2:$H$61,8,FALSE)</f>
        <v>18000</v>
      </c>
      <c r="J6396" s="20">
        <f t="shared" si="99"/>
        <v>0.23529411764705882</v>
      </c>
    </row>
    <row r="6397" spans="1:10" x14ac:dyDescent="0.3">
      <c r="A6397" s="33">
        <v>6396</v>
      </c>
      <c r="B6397" s="4">
        <v>60</v>
      </c>
      <c r="C6397" s="15">
        <v>120</v>
      </c>
      <c r="D6397" s="16">
        <v>1</v>
      </c>
      <c r="E6397" s="23">
        <v>45051</v>
      </c>
      <c r="F6397">
        <v>3</v>
      </c>
      <c r="G6397" s="20">
        <v>0.13</v>
      </c>
      <c r="H6397">
        <f>F6397*VLOOKUP(B6397,產品!$A$2:$H$61,7,FALSE)*(1-銷售總表!G6397)</f>
        <v>65250</v>
      </c>
      <c r="I6397" s="35">
        <f>H6397-F6397*VLOOKUP(銷售總表!B6397,產品!$A$2:$H$61,8,FALSE)</f>
        <v>12750</v>
      </c>
      <c r="J6397" s="20">
        <f t="shared" si="99"/>
        <v>0.19540229885057472</v>
      </c>
    </row>
    <row r="6398" spans="1:10" x14ac:dyDescent="0.3">
      <c r="A6398" s="33">
        <v>6397</v>
      </c>
      <c r="B6398" s="4">
        <v>29</v>
      </c>
      <c r="C6398" s="15">
        <v>283</v>
      </c>
      <c r="D6398" s="16">
        <v>3</v>
      </c>
      <c r="E6398" s="22">
        <v>45052</v>
      </c>
      <c r="F6398" s="19">
        <v>30</v>
      </c>
      <c r="G6398" s="18">
        <v>0.18</v>
      </c>
      <c r="H6398">
        <f>F6398*VLOOKUP(B6398,產品!$A$2:$H$61,7,FALSE)*(1-銷售總表!G6398)</f>
        <v>147600</v>
      </c>
      <c r="I6398" s="35">
        <f>H6398-F6398*VLOOKUP(銷售總表!B6398,產品!$A$2:$H$61,8,FALSE)</f>
        <v>39600</v>
      </c>
      <c r="J6398" s="20">
        <f t="shared" si="99"/>
        <v>0.26829268292682928</v>
      </c>
    </row>
    <row r="6399" spans="1:10" x14ac:dyDescent="0.3">
      <c r="A6399" s="33">
        <v>6398</v>
      </c>
      <c r="B6399" s="4">
        <v>22</v>
      </c>
      <c r="C6399" s="15">
        <v>1</v>
      </c>
      <c r="D6399" s="16">
        <v>4</v>
      </c>
      <c r="E6399" s="22">
        <v>45052</v>
      </c>
      <c r="F6399" s="19">
        <v>175</v>
      </c>
      <c r="G6399" s="18">
        <v>0.2</v>
      </c>
      <c r="H6399">
        <f>F6399*VLOOKUP(B6399,產品!$A$2:$H$61,7,FALSE)*(1-銷售總表!G6399)</f>
        <v>252000</v>
      </c>
      <c r="I6399" s="35">
        <f>H6399-F6399*VLOOKUP(銷售總表!B6399,產品!$A$2:$H$61,8,FALSE)</f>
        <v>126000</v>
      </c>
      <c r="J6399" s="20">
        <f t="shared" si="99"/>
        <v>0.5</v>
      </c>
    </row>
    <row r="6400" spans="1:10" x14ac:dyDescent="0.3">
      <c r="A6400" s="33">
        <v>6399</v>
      </c>
      <c r="B6400" s="4">
        <v>46</v>
      </c>
      <c r="C6400" s="15">
        <v>113</v>
      </c>
      <c r="D6400" s="16">
        <v>9</v>
      </c>
      <c r="E6400" s="23">
        <v>45052</v>
      </c>
      <c r="F6400">
        <v>13</v>
      </c>
      <c r="G6400" s="20">
        <v>0.06</v>
      </c>
      <c r="H6400">
        <f>F6400*VLOOKUP(B6400,產品!$A$2:$H$61,7,FALSE)*(1-銷售總表!G6400)</f>
        <v>207740</v>
      </c>
      <c r="I6400" s="35">
        <f>H6400-F6400*VLOOKUP(銷售總表!B6400,產品!$A$2:$H$61,8,FALSE)</f>
        <v>64090</v>
      </c>
      <c r="J6400" s="20">
        <f t="shared" si="99"/>
        <v>0.30851063829787234</v>
      </c>
    </row>
    <row r="6401" spans="1:10" x14ac:dyDescent="0.3">
      <c r="A6401" s="33">
        <v>6400</v>
      </c>
      <c r="B6401" s="4">
        <v>29</v>
      </c>
      <c r="C6401" s="15">
        <v>3</v>
      </c>
      <c r="D6401" s="16">
        <v>8</v>
      </c>
      <c r="E6401" s="22">
        <v>45053</v>
      </c>
      <c r="F6401" s="19">
        <v>7</v>
      </c>
      <c r="G6401" s="18">
        <v>0.1</v>
      </c>
      <c r="H6401">
        <f>F6401*VLOOKUP(B6401,產品!$A$2:$H$61,7,FALSE)*(1-銷售總表!G6401)</f>
        <v>37800</v>
      </c>
      <c r="I6401" s="35">
        <f>H6401-F6401*VLOOKUP(銷售總表!B6401,產品!$A$2:$H$61,8,FALSE)</f>
        <v>12600</v>
      </c>
      <c r="J6401" s="20">
        <f t="shared" si="99"/>
        <v>0.33333333333333331</v>
      </c>
    </row>
    <row r="6402" spans="1:10" x14ac:dyDescent="0.3">
      <c r="A6402" s="33">
        <v>6401</v>
      </c>
      <c r="B6402" s="4">
        <v>37</v>
      </c>
      <c r="C6402" s="15">
        <v>4</v>
      </c>
      <c r="D6402" s="16">
        <v>2</v>
      </c>
      <c r="E6402" s="22">
        <v>45053</v>
      </c>
      <c r="F6402" s="19">
        <v>6</v>
      </c>
      <c r="G6402" s="18">
        <v>0.08</v>
      </c>
      <c r="H6402">
        <f>F6402*VLOOKUP(B6402,產品!$A$2:$H$61,7,FALSE)*(1-銷售總表!G6402)</f>
        <v>66240</v>
      </c>
      <c r="I6402" s="35">
        <f>H6402-F6402*VLOOKUP(銷售總表!B6402,產品!$A$2:$H$61,8,FALSE)</f>
        <v>19440</v>
      </c>
      <c r="J6402" s="20">
        <f t="shared" si="99"/>
        <v>0.29347826086956524</v>
      </c>
    </row>
    <row r="6403" spans="1:10" x14ac:dyDescent="0.3">
      <c r="A6403" s="33">
        <v>6402</v>
      </c>
      <c r="B6403" s="4">
        <v>43</v>
      </c>
      <c r="C6403" s="15">
        <v>288</v>
      </c>
      <c r="D6403" s="16">
        <v>10</v>
      </c>
      <c r="E6403" s="22">
        <v>45053</v>
      </c>
      <c r="F6403" s="19">
        <v>6</v>
      </c>
      <c r="G6403" s="18">
        <v>0.12</v>
      </c>
      <c r="H6403">
        <f>F6403*VLOOKUP(B6403,產品!$A$2:$H$61,7,FALSE)*(1-銷售總表!G6403)</f>
        <v>95040</v>
      </c>
      <c r="I6403" s="35">
        <f>H6403-F6403*VLOOKUP(銷售總表!B6403,產品!$A$2:$H$61,8,FALSE)</f>
        <v>24840</v>
      </c>
      <c r="J6403" s="20">
        <f t="shared" ref="J6403:J6466" si="100">I6403/H6403</f>
        <v>0.26136363636363635</v>
      </c>
    </row>
    <row r="6404" spans="1:10" x14ac:dyDescent="0.3">
      <c r="A6404" s="33">
        <v>6403</v>
      </c>
      <c r="B6404" s="4">
        <v>28</v>
      </c>
      <c r="C6404" s="15">
        <v>280</v>
      </c>
      <c r="D6404" s="16">
        <v>2</v>
      </c>
      <c r="E6404" s="22">
        <v>45053</v>
      </c>
      <c r="F6404" s="19">
        <v>5</v>
      </c>
      <c r="G6404" s="18">
        <v>0.18</v>
      </c>
      <c r="H6404">
        <f>F6404*VLOOKUP(B6404,產品!$A$2:$H$61,7,FALSE)*(1-銷售總表!G6404)</f>
        <v>30750.000000000004</v>
      </c>
      <c r="I6404" s="35">
        <f>H6404-F6404*VLOOKUP(銷售總表!B6404,產品!$A$2:$H$61,8,FALSE)</f>
        <v>8250.0000000000036</v>
      </c>
      <c r="J6404" s="20">
        <f t="shared" si="100"/>
        <v>0.26829268292682934</v>
      </c>
    </row>
    <row r="6405" spans="1:10" x14ac:dyDescent="0.3">
      <c r="A6405" s="33">
        <v>6404</v>
      </c>
      <c r="B6405" s="4">
        <v>47</v>
      </c>
      <c r="C6405" s="15">
        <v>287</v>
      </c>
      <c r="D6405" s="16">
        <v>9</v>
      </c>
      <c r="E6405" s="23">
        <v>45053</v>
      </c>
      <c r="F6405">
        <v>5</v>
      </c>
      <c r="G6405" s="20">
        <v>0.2</v>
      </c>
      <c r="H6405">
        <f>F6405*VLOOKUP(B6405,產品!$A$2:$H$61,7,FALSE)*(1-銷售總表!G6405)</f>
        <v>80000</v>
      </c>
      <c r="I6405" s="35">
        <f>H6405-F6405*VLOOKUP(銷售總表!B6405,產品!$A$2:$H$61,8,FALSE)</f>
        <v>15000</v>
      </c>
      <c r="J6405" s="20">
        <f t="shared" si="100"/>
        <v>0.1875</v>
      </c>
    </row>
    <row r="6406" spans="1:10" x14ac:dyDescent="0.3">
      <c r="A6406" s="33">
        <v>6405</v>
      </c>
      <c r="B6406" s="4">
        <v>16</v>
      </c>
      <c r="C6406" s="15">
        <v>269</v>
      </c>
      <c r="D6406" s="16">
        <v>8</v>
      </c>
      <c r="E6406" s="22">
        <v>45054</v>
      </c>
      <c r="F6406" s="19">
        <v>30</v>
      </c>
      <c r="G6406" s="18">
        <v>0.16</v>
      </c>
      <c r="H6406">
        <f>F6406*VLOOKUP(B6406,產品!$A$2:$H$61,7,FALSE)*(1-銷售總表!G6406)</f>
        <v>45360</v>
      </c>
      <c r="I6406" s="35">
        <f>H6406-F6406*VLOOKUP(銷售總表!B6406,產品!$A$2:$H$61,8,FALSE)</f>
        <v>23760</v>
      </c>
      <c r="J6406" s="20">
        <f t="shared" si="100"/>
        <v>0.52380952380952384</v>
      </c>
    </row>
    <row r="6407" spans="1:10" x14ac:dyDescent="0.3">
      <c r="A6407" s="33">
        <v>6406</v>
      </c>
      <c r="B6407" s="4">
        <v>56</v>
      </c>
      <c r="C6407" s="15">
        <v>11</v>
      </c>
      <c r="D6407" s="16">
        <v>4</v>
      </c>
      <c r="E6407" s="22">
        <v>45054</v>
      </c>
      <c r="F6407" s="19">
        <v>11</v>
      </c>
      <c r="G6407" s="18">
        <v>0.12</v>
      </c>
      <c r="H6407">
        <f>F6407*VLOOKUP(B6407,產品!$A$2:$H$61,7,FALSE)*(1-銷售總表!G6407)</f>
        <v>212960</v>
      </c>
      <c r="I6407" s="35">
        <f>H6407-F6407*VLOOKUP(銷售總表!B6407,產品!$A$2:$H$61,8,FALSE)</f>
        <v>43560.000000000029</v>
      </c>
      <c r="J6407" s="20">
        <f t="shared" si="100"/>
        <v>0.20454545454545467</v>
      </c>
    </row>
    <row r="6408" spans="1:10" x14ac:dyDescent="0.3">
      <c r="A6408" s="33">
        <v>6407</v>
      </c>
      <c r="B6408" s="4">
        <v>49</v>
      </c>
      <c r="C6408" s="15">
        <v>2</v>
      </c>
      <c r="D6408" s="16">
        <v>4</v>
      </c>
      <c r="E6408" s="22">
        <v>45054</v>
      </c>
      <c r="F6408" s="19">
        <v>20</v>
      </c>
      <c r="G6408" s="18">
        <v>0.17</v>
      </c>
      <c r="H6408">
        <f>F6408*VLOOKUP(B6408,產品!$A$2:$H$61,7,FALSE)*(1-銷售總表!G6408)</f>
        <v>249000</v>
      </c>
      <c r="I6408" s="35">
        <f>H6408-F6408*VLOOKUP(銷售總表!B6408,產品!$A$2:$H$61,8,FALSE)</f>
        <v>39000</v>
      </c>
      <c r="J6408" s="20">
        <f t="shared" si="100"/>
        <v>0.15662650602409639</v>
      </c>
    </row>
    <row r="6409" spans="1:10" x14ac:dyDescent="0.3">
      <c r="A6409" s="33">
        <v>6408</v>
      </c>
      <c r="B6409" s="4">
        <v>15</v>
      </c>
      <c r="C6409" s="15">
        <v>4</v>
      </c>
      <c r="D6409" s="16">
        <v>1</v>
      </c>
      <c r="E6409" s="22">
        <v>45054</v>
      </c>
      <c r="F6409" s="19">
        <v>60</v>
      </c>
      <c r="G6409" s="18">
        <v>0.15</v>
      </c>
      <c r="H6409">
        <f>F6409*VLOOKUP(B6409,產品!$A$2:$H$61,7,FALSE)*(1-銷售總表!G6409)</f>
        <v>91800</v>
      </c>
      <c r="I6409" s="35">
        <f>H6409-F6409*VLOOKUP(銷售總表!B6409,產品!$A$2:$H$61,8,FALSE)</f>
        <v>48600</v>
      </c>
      <c r="J6409" s="20">
        <f t="shared" si="100"/>
        <v>0.52941176470588236</v>
      </c>
    </row>
    <row r="6410" spans="1:10" x14ac:dyDescent="0.3">
      <c r="A6410" s="33">
        <v>6409</v>
      </c>
      <c r="B6410" s="4">
        <v>32</v>
      </c>
      <c r="C6410" s="15">
        <v>115</v>
      </c>
      <c r="D6410" s="16">
        <v>1</v>
      </c>
      <c r="E6410" s="22">
        <v>45054</v>
      </c>
      <c r="F6410" s="19">
        <v>10</v>
      </c>
      <c r="G6410" s="18">
        <v>0.12</v>
      </c>
      <c r="H6410">
        <f>F6410*VLOOKUP(B6410,產品!$A$2:$H$61,7,FALSE)*(1-銷售總表!G6410)</f>
        <v>66000</v>
      </c>
      <c r="I6410" s="35">
        <f>H6410-F6410*VLOOKUP(銷售總表!B6410,產品!$A$2:$H$61,8,FALSE)</f>
        <v>21000</v>
      </c>
      <c r="J6410" s="20">
        <f t="shared" si="100"/>
        <v>0.31818181818181818</v>
      </c>
    </row>
    <row r="6411" spans="1:10" x14ac:dyDescent="0.3">
      <c r="A6411" s="33">
        <v>6410</v>
      </c>
      <c r="B6411" s="4">
        <v>50</v>
      </c>
      <c r="C6411" s="15">
        <v>138</v>
      </c>
      <c r="D6411" s="16">
        <v>2</v>
      </c>
      <c r="E6411" s="23">
        <v>45054</v>
      </c>
      <c r="F6411">
        <v>6</v>
      </c>
      <c r="G6411" s="20">
        <v>0.06</v>
      </c>
      <c r="H6411">
        <f>F6411*VLOOKUP(B6411,產品!$A$2:$H$61,7,FALSE)*(1-銷售總表!G6411)</f>
        <v>101520</v>
      </c>
      <c r="I6411" s="35">
        <f>H6411-F6411*VLOOKUP(銷售總表!B6411,產品!$A$2:$H$61,8,FALSE)</f>
        <v>25920</v>
      </c>
      <c r="J6411" s="20">
        <f t="shared" si="100"/>
        <v>0.25531914893617019</v>
      </c>
    </row>
    <row r="6412" spans="1:10" x14ac:dyDescent="0.3">
      <c r="A6412" s="33">
        <v>6411</v>
      </c>
      <c r="B6412" s="4">
        <v>9</v>
      </c>
      <c r="C6412" s="15">
        <v>286</v>
      </c>
      <c r="D6412" s="16">
        <v>2</v>
      </c>
      <c r="E6412" s="23">
        <v>45054</v>
      </c>
      <c r="F6412">
        <v>50</v>
      </c>
      <c r="G6412" s="20">
        <v>0.2</v>
      </c>
      <c r="H6412">
        <f>F6412*VLOOKUP(B6412,產品!$A$2:$H$61,7,FALSE)*(1-銷售總表!G6412)</f>
        <v>40000</v>
      </c>
      <c r="I6412" s="35">
        <f>H6412-F6412*VLOOKUP(銷售總表!B6412,產品!$A$2:$H$61,8,FALSE)</f>
        <v>20000</v>
      </c>
      <c r="J6412" s="20">
        <f t="shared" si="100"/>
        <v>0.5</v>
      </c>
    </row>
    <row r="6413" spans="1:10" x14ac:dyDescent="0.3">
      <c r="A6413" s="33">
        <v>6412</v>
      </c>
      <c r="B6413" s="4">
        <v>39</v>
      </c>
      <c r="C6413" s="15">
        <v>278</v>
      </c>
      <c r="D6413" s="16">
        <v>9</v>
      </c>
      <c r="E6413" s="22">
        <v>45055</v>
      </c>
      <c r="F6413" s="19">
        <v>2</v>
      </c>
      <c r="G6413" s="18">
        <v>0.16</v>
      </c>
      <c r="H6413">
        <f>F6413*VLOOKUP(B6413,產品!$A$2:$H$61,7,FALSE)*(1-銷售總表!G6413)</f>
        <v>30240</v>
      </c>
      <c r="I6413" s="35">
        <f>H6413-F6413*VLOOKUP(銷售總表!B6413,產品!$A$2:$H$61,8,FALSE)</f>
        <v>6840</v>
      </c>
      <c r="J6413" s="20">
        <f t="shared" si="100"/>
        <v>0.22619047619047619</v>
      </c>
    </row>
    <row r="6414" spans="1:10" x14ac:dyDescent="0.3">
      <c r="A6414" s="33">
        <v>6413</v>
      </c>
      <c r="B6414" s="4">
        <v>24</v>
      </c>
      <c r="C6414" s="15">
        <v>7</v>
      </c>
      <c r="D6414" s="16">
        <v>8</v>
      </c>
      <c r="E6414" s="22">
        <v>45055</v>
      </c>
      <c r="F6414" s="19">
        <v>90</v>
      </c>
      <c r="G6414" s="18">
        <v>0.17</v>
      </c>
      <c r="H6414">
        <f>F6414*VLOOKUP(B6414,產品!$A$2:$H$61,7,FALSE)*(1-銷售總表!G6414)</f>
        <v>134460</v>
      </c>
      <c r="I6414" s="35">
        <f>H6414-F6414*VLOOKUP(銷售總表!B6414,產品!$A$2:$H$61,8,FALSE)</f>
        <v>69660</v>
      </c>
      <c r="J6414" s="20">
        <f t="shared" si="100"/>
        <v>0.51807228915662651</v>
      </c>
    </row>
    <row r="6415" spans="1:10" x14ac:dyDescent="0.3">
      <c r="A6415" s="33">
        <v>6414</v>
      </c>
      <c r="B6415" s="4">
        <v>54</v>
      </c>
      <c r="C6415" s="15">
        <v>258</v>
      </c>
      <c r="D6415" s="16">
        <v>5</v>
      </c>
      <c r="E6415" s="22">
        <v>45055</v>
      </c>
      <c r="F6415" s="19">
        <v>5</v>
      </c>
      <c r="G6415" s="18">
        <v>0.08</v>
      </c>
      <c r="H6415">
        <f>F6415*VLOOKUP(B6415,產品!$A$2:$H$61,7,FALSE)*(1-銷售總表!G6415)</f>
        <v>82800</v>
      </c>
      <c r="I6415" s="35">
        <f>H6415-F6415*VLOOKUP(銷售總表!B6415,產品!$A$2:$H$61,8,FALSE)</f>
        <v>19800</v>
      </c>
      <c r="J6415" s="20">
        <f t="shared" si="100"/>
        <v>0.2391304347826087</v>
      </c>
    </row>
    <row r="6416" spans="1:10" x14ac:dyDescent="0.3">
      <c r="A6416" s="33">
        <v>6415</v>
      </c>
      <c r="B6416" s="4">
        <v>22</v>
      </c>
      <c r="C6416" s="15">
        <v>7</v>
      </c>
      <c r="D6416" s="16">
        <v>9</v>
      </c>
      <c r="E6416" s="22">
        <v>45055</v>
      </c>
      <c r="F6416" s="19">
        <v>15</v>
      </c>
      <c r="G6416" s="18">
        <v>0.2</v>
      </c>
      <c r="H6416">
        <f>F6416*VLOOKUP(B6416,產品!$A$2:$H$61,7,FALSE)*(1-銷售總表!G6416)</f>
        <v>21600</v>
      </c>
      <c r="I6416" s="35">
        <f>H6416-F6416*VLOOKUP(銷售總表!B6416,產品!$A$2:$H$61,8,FALSE)</f>
        <v>10800</v>
      </c>
      <c r="J6416" s="20">
        <f t="shared" si="100"/>
        <v>0.5</v>
      </c>
    </row>
    <row r="6417" spans="1:10" x14ac:dyDescent="0.3">
      <c r="A6417" s="33">
        <v>6416</v>
      </c>
      <c r="B6417" s="4">
        <v>16</v>
      </c>
      <c r="C6417" s="15">
        <v>114</v>
      </c>
      <c r="D6417" s="16">
        <v>3</v>
      </c>
      <c r="E6417" s="22">
        <v>45056</v>
      </c>
      <c r="F6417" s="19">
        <v>200</v>
      </c>
      <c r="G6417" s="18">
        <v>0.18</v>
      </c>
      <c r="H6417">
        <f>F6417*VLOOKUP(B6417,產品!$A$2:$H$61,7,FALSE)*(1-銷售總表!G6417)</f>
        <v>295200</v>
      </c>
      <c r="I6417" s="35">
        <f>H6417-F6417*VLOOKUP(銷售總表!B6417,產品!$A$2:$H$61,8,FALSE)</f>
        <v>151200</v>
      </c>
      <c r="J6417" s="20">
        <f t="shared" si="100"/>
        <v>0.51219512195121952</v>
      </c>
    </row>
    <row r="6418" spans="1:10" x14ac:dyDescent="0.3">
      <c r="A6418" s="33">
        <v>6417</v>
      </c>
      <c r="B6418" s="4">
        <v>4</v>
      </c>
      <c r="C6418" s="15">
        <v>11</v>
      </c>
      <c r="D6418" s="16">
        <v>6</v>
      </c>
      <c r="E6418" s="22">
        <v>45056</v>
      </c>
      <c r="F6418" s="19">
        <v>175</v>
      </c>
      <c r="G6418" s="18">
        <v>0.2</v>
      </c>
      <c r="H6418">
        <f>F6418*VLOOKUP(B6418,產品!$A$2:$H$61,7,FALSE)*(1-銷售總表!G6418)</f>
        <v>140000</v>
      </c>
      <c r="I6418" s="35">
        <f>H6418-F6418*VLOOKUP(銷售總表!B6418,產品!$A$2:$H$61,8,FALSE)</f>
        <v>70000</v>
      </c>
      <c r="J6418" s="20">
        <f t="shared" si="100"/>
        <v>0.5</v>
      </c>
    </row>
    <row r="6419" spans="1:10" x14ac:dyDescent="0.3">
      <c r="A6419" s="33">
        <v>6418</v>
      </c>
      <c r="B6419" s="4">
        <v>24</v>
      </c>
      <c r="C6419" s="15">
        <v>263</v>
      </c>
      <c r="D6419" s="16">
        <v>6</v>
      </c>
      <c r="E6419" s="22">
        <v>45056</v>
      </c>
      <c r="F6419" s="19">
        <v>11</v>
      </c>
      <c r="G6419" s="18">
        <v>0.08</v>
      </c>
      <c r="H6419">
        <f>F6419*VLOOKUP(B6419,產品!$A$2:$H$61,7,FALSE)*(1-銷售總表!G6419)</f>
        <v>18216</v>
      </c>
      <c r="I6419" s="35">
        <f>H6419-F6419*VLOOKUP(銷售總表!B6419,產品!$A$2:$H$61,8,FALSE)</f>
        <v>10296</v>
      </c>
      <c r="J6419" s="20">
        <f t="shared" si="100"/>
        <v>0.56521739130434778</v>
      </c>
    </row>
    <row r="6420" spans="1:10" x14ac:dyDescent="0.3">
      <c r="A6420" s="33">
        <v>6419</v>
      </c>
      <c r="B6420" s="4">
        <v>58</v>
      </c>
      <c r="C6420" s="15">
        <v>4</v>
      </c>
      <c r="D6420" s="16">
        <v>1</v>
      </c>
      <c r="E6420" s="23">
        <v>45056</v>
      </c>
      <c r="F6420">
        <v>11</v>
      </c>
      <c r="G6420" s="20">
        <v>0.1</v>
      </c>
      <c r="H6420">
        <f>F6420*VLOOKUP(B6420,產品!$A$2:$H$61,7,FALSE)*(1-銷售總表!G6420)</f>
        <v>207900</v>
      </c>
      <c r="I6420" s="35">
        <f>H6420-F6420*VLOOKUP(銷售總表!B6420,產品!$A$2:$H$61,8,FALSE)</f>
        <v>46200.000000000029</v>
      </c>
      <c r="J6420" s="20">
        <f t="shared" si="100"/>
        <v>0.22222222222222235</v>
      </c>
    </row>
    <row r="6421" spans="1:10" x14ac:dyDescent="0.3">
      <c r="A6421" s="33">
        <v>6420</v>
      </c>
      <c r="B6421" s="4">
        <v>16</v>
      </c>
      <c r="C6421" s="15">
        <v>11</v>
      </c>
      <c r="D6421" s="16">
        <v>10</v>
      </c>
      <c r="E6421" s="23">
        <v>45056</v>
      </c>
      <c r="F6421">
        <v>40</v>
      </c>
      <c r="G6421" s="20">
        <v>0.05</v>
      </c>
      <c r="H6421">
        <f>F6421*VLOOKUP(B6421,產品!$A$2:$H$61,7,FALSE)*(1-銷售總表!G6421)</f>
        <v>68400</v>
      </c>
      <c r="I6421" s="35">
        <f>H6421-F6421*VLOOKUP(銷售總表!B6421,產品!$A$2:$H$61,8,FALSE)</f>
        <v>39600</v>
      </c>
      <c r="J6421" s="20">
        <f t="shared" si="100"/>
        <v>0.57894736842105265</v>
      </c>
    </row>
    <row r="6422" spans="1:10" x14ac:dyDescent="0.3">
      <c r="A6422" s="33">
        <v>6421</v>
      </c>
      <c r="B6422" s="4">
        <v>3</v>
      </c>
      <c r="C6422" s="15">
        <v>8</v>
      </c>
      <c r="D6422" s="16">
        <v>5</v>
      </c>
      <c r="E6422" s="23">
        <v>45056</v>
      </c>
      <c r="F6422">
        <v>200</v>
      </c>
      <c r="G6422" s="20">
        <v>0.17</v>
      </c>
      <c r="H6422">
        <f>F6422*VLOOKUP(B6422,產品!$A$2:$H$61,7,FALSE)*(1-銷售總表!G6422)</f>
        <v>166000</v>
      </c>
      <c r="I6422" s="35">
        <f>H6422-F6422*VLOOKUP(銷售總表!B6422,產品!$A$2:$H$61,8,FALSE)</f>
        <v>86000</v>
      </c>
      <c r="J6422" s="20">
        <f t="shared" si="100"/>
        <v>0.51807228915662651</v>
      </c>
    </row>
    <row r="6423" spans="1:10" x14ac:dyDescent="0.3">
      <c r="A6423" s="33">
        <v>6422</v>
      </c>
      <c r="B6423" s="4">
        <v>31</v>
      </c>
      <c r="C6423" s="15">
        <v>272</v>
      </c>
      <c r="D6423" s="16">
        <v>10</v>
      </c>
      <c r="E6423" s="22">
        <v>45057</v>
      </c>
      <c r="F6423" s="19">
        <v>6</v>
      </c>
      <c r="G6423" s="18">
        <v>0.06</v>
      </c>
      <c r="H6423">
        <f>F6423*VLOOKUP(B6423,產品!$A$2:$H$61,7,FALSE)*(1-銷售總表!G6423)</f>
        <v>39480</v>
      </c>
      <c r="I6423" s="35">
        <f>H6423-F6423*VLOOKUP(銷售總表!B6423,產品!$A$2:$H$61,8,FALSE)</f>
        <v>14280</v>
      </c>
      <c r="J6423" s="20">
        <f t="shared" si="100"/>
        <v>0.36170212765957449</v>
      </c>
    </row>
    <row r="6424" spans="1:10" x14ac:dyDescent="0.3">
      <c r="A6424" s="33">
        <v>6423</v>
      </c>
      <c r="B6424" s="4">
        <v>16</v>
      </c>
      <c r="C6424" s="15">
        <v>113</v>
      </c>
      <c r="D6424" s="16">
        <v>4</v>
      </c>
      <c r="E6424" s="23">
        <v>45057</v>
      </c>
      <c r="F6424">
        <v>11</v>
      </c>
      <c r="G6424" s="20">
        <v>0.1</v>
      </c>
      <c r="H6424">
        <f>F6424*VLOOKUP(B6424,產品!$A$2:$H$61,7,FALSE)*(1-銷售總表!G6424)</f>
        <v>17820</v>
      </c>
      <c r="I6424" s="35">
        <f>H6424-F6424*VLOOKUP(銷售總表!B6424,產品!$A$2:$H$61,8,FALSE)</f>
        <v>9900</v>
      </c>
      <c r="J6424" s="20">
        <f t="shared" si="100"/>
        <v>0.55555555555555558</v>
      </c>
    </row>
    <row r="6425" spans="1:10" x14ac:dyDescent="0.3">
      <c r="A6425" s="33">
        <v>6424</v>
      </c>
      <c r="B6425" s="4">
        <v>26</v>
      </c>
      <c r="C6425" s="15">
        <v>119</v>
      </c>
      <c r="D6425" s="16">
        <v>3</v>
      </c>
      <c r="E6425" s="22">
        <v>45058</v>
      </c>
      <c r="F6425" s="19">
        <v>6</v>
      </c>
      <c r="G6425" s="18">
        <v>0.12</v>
      </c>
      <c r="H6425">
        <f>F6425*VLOOKUP(B6425,產品!$A$2:$H$61,7,FALSE)*(1-銷售總表!G6425)</f>
        <v>34320</v>
      </c>
      <c r="I6425" s="35">
        <f>H6425-F6425*VLOOKUP(銷售總表!B6425,產品!$A$2:$H$61,8,FALSE)</f>
        <v>10920</v>
      </c>
      <c r="J6425" s="20">
        <f t="shared" si="100"/>
        <v>0.31818181818181818</v>
      </c>
    </row>
    <row r="6426" spans="1:10" x14ac:dyDescent="0.3">
      <c r="A6426" s="33">
        <v>6425</v>
      </c>
      <c r="B6426" s="4">
        <v>40</v>
      </c>
      <c r="C6426" s="15">
        <v>285</v>
      </c>
      <c r="D6426" s="16">
        <v>4</v>
      </c>
      <c r="E6426" s="22">
        <v>45058</v>
      </c>
      <c r="F6426" s="19">
        <v>5</v>
      </c>
      <c r="G6426" s="18">
        <v>0.11</v>
      </c>
      <c r="H6426">
        <f>F6426*VLOOKUP(B6426,產品!$A$2:$H$61,7,FALSE)*(1-銷售總表!G6426)</f>
        <v>89000</v>
      </c>
      <c r="I6426" s="35">
        <f>H6426-F6426*VLOOKUP(銷售總表!B6426,產品!$A$2:$H$61,8,FALSE)</f>
        <v>24000</v>
      </c>
      <c r="J6426" s="20">
        <f t="shared" si="100"/>
        <v>0.2696629213483146</v>
      </c>
    </row>
    <row r="6427" spans="1:10" x14ac:dyDescent="0.3">
      <c r="A6427" s="33">
        <v>6426</v>
      </c>
      <c r="B6427" s="4">
        <v>48</v>
      </c>
      <c r="C6427" s="15">
        <v>10</v>
      </c>
      <c r="D6427" s="16">
        <v>4</v>
      </c>
      <c r="E6427" s="22">
        <v>45058</v>
      </c>
      <c r="F6427" s="19">
        <v>4</v>
      </c>
      <c r="G6427" s="18">
        <v>0.1</v>
      </c>
      <c r="H6427">
        <f>F6427*VLOOKUP(B6427,產品!$A$2:$H$61,7,FALSE)*(1-銷售總表!G6427)</f>
        <v>79200</v>
      </c>
      <c r="I6427" s="35">
        <f>H6427-F6427*VLOOKUP(銷售總表!B6427,產品!$A$2:$H$61,8,FALSE)</f>
        <v>22000</v>
      </c>
      <c r="J6427" s="20">
        <f t="shared" si="100"/>
        <v>0.27777777777777779</v>
      </c>
    </row>
    <row r="6428" spans="1:10" x14ac:dyDescent="0.3">
      <c r="A6428" s="33">
        <v>6427</v>
      </c>
      <c r="B6428" s="4">
        <v>52</v>
      </c>
      <c r="C6428" s="15">
        <v>126</v>
      </c>
      <c r="D6428" s="16">
        <v>7</v>
      </c>
      <c r="E6428" s="23">
        <v>45058</v>
      </c>
      <c r="F6428">
        <v>9</v>
      </c>
      <c r="G6428" s="20">
        <v>0.16</v>
      </c>
      <c r="H6428">
        <f>F6428*VLOOKUP(B6428,產品!$A$2:$H$61,7,FALSE)*(1-銷售總表!G6428)</f>
        <v>166320</v>
      </c>
      <c r="I6428" s="35">
        <f>H6428-F6428*VLOOKUP(銷售總表!B6428,產品!$A$2:$H$61,8,FALSE)</f>
        <v>27720.000000000029</v>
      </c>
      <c r="J6428" s="20">
        <f t="shared" si="100"/>
        <v>0.16666666666666685</v>
      </c>
    </row>
    <row r="6429" spans="1:10" x14ac:dyDescent="0.3">
      <c r="A6429" s="33">
        <v>6428</v>
      </c>
      <c r="B6429" s="4">
        <v>12</v>
      </c>
      <c r="C6429" s="15">
        <v>135</v>
      </c>
      <c r="D6429" s="16">
        <v>2</v>
      </c>
      <c r="E6429" s="22">
        <v>45059</v>
      </c>
      <c r="F6429" s="19">
        <v>70</v>
      </c>
      <c r="G6429" s="18">
        <v>0.09</v>
      </c>
      <c r="H6429">
        <f>F6429*VLOOKUP(B6429,產品!$A$2:$H$61,7,FALSE)*(1-銷售總表!G6429)</f>
        <v>63700</v>
      </c>
      <c r="I6429" s="35">
        <f>H6429-F6429*VLOOKUP(銷售總表!B6429,產品!$A$2:$H$61,8,FALSE)</f>
        <v>35700</v>
      </c>
      <c r="J6429" s="20">
        <f t="shared" si="100"/>
        <v>0.56043956043956045</v>
      </c>
    </row>
    <row r="6430" spans="1:10" x14ac:dyDescent="0.3">
      <c r="A6430" s="33">
        <v>6429</v>
      </c>
      <c r="B6430" s="4">
        <v>20</v>
      </c>
      <c r="C6430" s="15">
        <v>282</v>
      </c>
      <c r="D6430" s="16">
        <v>5</v>
      </c>
      <c r="E6430" s="22">
        <v>45059</v>
      </c>
      <c r="F6430" s="19">
        <v>60</v>
      </c>
      <c r="G6430" s="18">
        <v>0.11</v>
      </c>
      <c r="H6430">
        <f>F6430*VLOOKUP(B6430,產品!$A$2:$H$61,7,FALSE)*(1-銷售總表!G6430)</f>
        <v>96120</v>
      </c>
      <c r="I6430" s="35">
        <f>H6430-F6430*VLOOKUP(銷售總表!B6430,產品!$A$2:$H$61,8,FALSE)</f>
        <v>52920</v>
      </c>
      <c r="J6430" s="20">
        <f t="shared" si="100"/>
        <v>0.550561797752809</v>
      </c>
    </row>
    <row r="6431" spans="1:10" x14ac:dyDescent="0.3">
      <c r="A6431" s="33">
        <v>6430</v>
      </c>
      <c r="B6431" s="4">
        <v>17</v>
      </c>
      <c r="C6431" s="15">
        <v>112</v>
      </c>
      <c r="D6431" s="16">
        <v>2</v>
      </c>
      <c r="E6431" s="22">
        <v>45060</v>
      </c>
      <c r="F6431" s="19">
        <v>150</v>
      </c>
      <c r="G6431" s="18">
        <v>0.11</v>
      </c>
      <c r="H6431">
        <f>F6431*VLOOKUP(B6431,產品!$A$2:$H$61,7,FALSE)*(1-銷售總表!G6431)</f>
        <v>240300</v>
      </c>
      <c r="I6431" s="35">
        <f>H6431-F6431*VLOOKUP(銷售總表!B6431,產品!$A$2:$H$61,8,FALSE)</f>
        <v>132300</v>
      </c>
      <c r="J6431" s="20">
        <f t="shared" si="100"/>
        <v>0.550561797752809</v>
      </c>
    </row>
    <row r="6432" spans="1:10" x14ac:dyDescent="0.3">
      <c r="A6432" s="33">
        <v>6431</v>
      </c>
      <c r="B6432" s="4">
        <v>20</v>
      </c>
      <c r="C6432" s="15">
        <v>280</v>
      </c>
      <c r="D6432" s="16">
        <v>8</v>
      </c>
      <c r="E6432" s="22">
        <v>45060</v>
      </c>
      <c r="F6432" s="19">
        <v>90</v>
      </c>
      <c r="G6432" s="18">
        <v>0.08</v>
      </c>
      <c r="H6432">
        <f>F6432*VLOOKUP(B6432,產品!$A$2:$H$61,7,FALSE)*(1-銷售總表!G6432)</f>
        <v>149040</v>
      </c>
      <c r="I6432" s="35">
        <f>H6432-F6432*VLOOKUP(銷售總表!B6432,產品!$A$2:$H$61,8,FALSE)</f>
        <v>84240</v>
      </c>
      <c r="J6432" s="20">
        <f t="shared" si="100"/>
        <v>0.56521739130434778</v>
      </c>
    </row>
    <row r="6433" spans="1:10" x14ac:dyDescent="0.3">
      <c r="A6433" s="33">
        <v>6432</v>
      </c>
      <c r="B6433" s="4">
        <v>21</v>
      </c>
      <c r="C6433" s="15">
        <v>287</v>
      </c>
      <c r="D6433" s="16">
        <v>8</v>
      </c>
      <c r="E6433" s="22">
        <v>45060</v>
      </c>
      <c r="F6433" s="19">
        <v>125</v>
      </c>
      <c r="G6433" s="18">
        <v>0.12</v>
      </c>
      <c r="H6433">
        <f>F6433*VLOOKUP(B6433,產品!$A$2:$H$61,7,FALSE)*(1-銷售總表!G6433)</f>
        <v>198000</v>
      </c>
      <c r="I6433" s="35">
        <f>H6433-F6433*VLOOKUP(銷售總表!B6433,產品!$A$2:$H$61,8,FALSE)</f>
        <v>108000</v>
      </c>
      <c r="J6433" s="20">
        <f t="shared" si="100"/>
        <v>0.54545454545454541</v>
      </c>
    </row>
    <row r="6434" spans="1:10" x14ac:dyDescent="0.3">
      <c r="A6434" s="33">
        <v>6433</v>
      </c>
      <c r="B6434" s="4">
        <v>27</v>
      </c>
      <c r="C6434" s="15">
        <v>134</v>
      </c>
      <c r="D6434" s="16">
        <v>4</v>
      </c>
      <c r="E6434" s="22">
        <v>45060</v>
      </c>
      <c r="F6434" s="19">
        <v>25</v>
      </c>
      <c r="G6434" s="18">
        <v>0.1</v>
      </c>
      <c r="H6434">
        <f>F6434*VLOOKUP(B6434,產品!$A$2:$H$61,7,FALSE)*(1-銷售總表!G6434)</f>
        <v>157500</v>
      </c>
      <c r="I6434" s="35">
        <f>H6434-F6434*VLOOKUP(銷售總表!B6434,產品!$A$2:$H$61,8,FALSE)</f>
        <v>52500</v>
      </c>
      <c r="J6434" s="20">
        <f t="shared" si="100"/>
        <v>0.33333333333333331</v>
      </c>
    </row>
    <row r="6435" spans="1:10" x14ac:dyDescent="0.3">
      <c r="A6435" s="33">
        <v>6434</v>
      </c>
      <c r="B6435" s="4">
        <v>4</v>
      </c>
      <c r="C6435" s="15">
        <v>137</v>
      </c>
      <c r="D6435" s="16">
        <v>4</v>
      </c>
      <c r="E6435" s="22">
        <v>45061</v>
      </c>
      <c r="F6435" s="19">
        <v>20</v>
      </c>
      <c r="G6435" s="18">
        <v>0.08</v>
      </c>
      <c r="H6435">
        <f>F6435*VLOOKUP(B6435,產品!$A$2:$H$61,7,FALSE)*(1-銷售總表!G6435)</f>
        <v>18400</v>
      </c>
      <c r="I6435" s="35">
        <f>H6435-F6435*VLOOKUP(銷售總表!B6435,產品!$A$2:$H$61,8,FALSE)</f>
        <v>10400</v>
      </c>
      <c r="J6435" s="20">
        <f t="shared" si="100"/>
        <v>0.56521739130434778</v>
      </c>
    </row>
    <row r="6436" spans="1:10" x14ac:dyDescent="0.3">
      <c r="A6436" s="33">
        <v>6435</v>
      </c>
      <c r="B6436" s="4">
        <v>10</v>
      </c>
      <c r="C6436" s="15">
        <v>281</v>
      </c>
      <c r="D6436" s="16">
        <v>8</v>
      </c>
      <c r="E6436" s="22">
        <v>45061</v>
      </c>
      <c r="F6436" s="19">
        <v>90</v>
      </c>
      <c r="G6436" s="18">
        <v>0.19</v>
      </c>
      <c r="H6436">
        <f>F6436*VLOOKUP(B6436,產品!$A$2:$H$61,7,FALSE)*(1-銷售總表!G6436)</f>
        <v>72900</v>
      </c>
      <c r="I6436" s="35">
        <f>H6436-F6436*VLOOKUP(銷售總表!B6436,產品!$A$2:$H$61,8,FALSE)</f>
        <v>36900</v>
      </c>
      <c r="J6436" s="20">
        <f t="shared" si="100"/>
        <v>0.50617283950617287</v>
      </c>
    </row>
    <row r="6437" spans="1:10" x14ac:dyDescent="0.3">
      <c r="A6437" s="33">
        <v>6436</v>
      </c>
      <c r="B6437" s="4">
        <v>28</v>
      </c>
      <c r="C6437" s="15">
        <v>11</v>
      </c>
      <c r="D6437" s="16">
        <v>10</v>
      </c>
      <c r="E6437" s="22">
        <v>45061</v>
      </c>
      <c r="F6437" s="19">
        <v>20</v>
      </c>
      <c r="G6437" s="18">
        <v>0.16</v>
      </c>
      <c r="H6437">
        <f>F6437*VLOOKUP(B6437,產品!$A$2:$H$61,7,FALSE)*(1-銷售總表!G6437)</f>
        <v>126000</v>
      </c>
      <c r="I6437" s="35">
        <f>H6437-F6437*VLOOKUP(銷售總表!B6437,產品!$A$2:$H$61,8,FALSE)</f>
        <v>36000</v>
      </c>
      <c r="J6437" s="20">
        <f t="shared" si="100"/>
        <v>0.2857142857142857</v>
      </c>
    </row>
    <row r="6438" spans="1:10" x14ac:dyDescent="0.3">
      <c r="A6438" s="33">
        <v>6437</v>
      </c>
      <c r="B6438" s="4">
        <v>42</v>
      </c>
      <c r="C6438" s="15">
        <v>114</v>
      </c>
      <c r="D6438" s="16">
        <v>7</v>
      </c>
      <c r="E6438" s="22">
        <v>45061</v>
      </c>
      <c r="F6438" s="19">
        <v>4</v>
      </c>
      <c r="G6438" s="18">
        <v>0.11</v>
      </c>
      <c r="H6438">
        <f>F6438*VLOOKUP(B6438,產品!$A$2:$H$61,7,FALSE)*(1-銷售總表!G6438)</f>
        <v>53400</v>
      </c>
      <c r="I6438" s="35">
        <f>H6438-F6438*VLOOKUP(銷售總表!B6438,產品!$A$2:$H$61,8,FALSE)</f>
        <v>14400</v>
      </c>
      <c r="J6438" s="20">
        <f t="shared" si="100"/>
        <v>0.2696629213483146</v>
      </c>
    </row>
    <row r="6439" spans="1:10" x14ac:dyDescent="0.3">
      <c r="A6439" s="33">
        <v>6438</v>
      </c>
      <c r="B6439" s="4">
        <v>59</v>
      </c>
      <c r="C6439" s="15">
        <v>281</v>
      </c>
      <c r="D6439" s="16">
        <v>7</v>
      </c>
      <c r="E6439" s="23">
        <v>45061</v>
      </c>
      <c r="F6439">
        <v>4</v>
      </c>
      <c r="G6439" s="20">
        <v>0.11</v>
      </c>
      <c r="H6439">
        <f>F6439*VLOOKUP(B6439,產品!$A$2:$H$61,7,FALSE)*(1-銷售總表!G6439)</f>
        <v>85440</v>
      </c>
      <c r="I6439" s="35">
        <f>H6439-F6439*VLOOKUP(銷售總表!B6439,產品!$A$2:$H$61,8,FALSE)</f>
        <v>18240</v>
      </c>
      <c r="J6439" s="20">
        <f t="shared" si="100"/>
        <v>0.21348314606741572</v>
      </c>
    </row>
    <row r="6440" spans="1:10" x14ac:dyDescent="0.3">
      <c r="A6440" s="33">
        <v>6439</v>
      </c>
      <c r="B6440" s="4">
        <v>13</v>
      </c>
      <c r="C6440" s="15">
        <v>4</v>
      </c>
      <c r="D6440" s="16">
        <v>2</v>
      </c>
      <c r="E6440" s="22">
        <v>45062</v>
      </c>
      <c r="F6440" s="19">
        <v>90</v>
      </c>
      <c r="G6440" s="18">
        <v>0.14000000000000001</v>
      </c>
      <c r="H6440">
        <f>F6440*VLOOKUP(B6440,產品!$A$2:$H$61,7,FALSE)*(1-銷售總表!G6440)</f>
        <v>139320</v>
      </c>
      <c r="I6440" s="35">
        <f>H6440-F6440*VLOOKUP(銷售總表!B6440,產品!$A$2:$H$61,8,FALSE)</f>
        <v>74520</v>
      </c>
      <c r="J6440" s="20">
        <f t="shared" si="100"/>
        <v>0.53488372093023251</v>
      </c>
    </row>
    <row r="6441" spans="1:10" x14ac:dyDescent="0.3">
      <c r="A6441" s="33">
        <v>6440</v>
      </c>
      <c r="B6441" s="4">
        <v>52</v>
      </c>
      <c r="C6441" s="15">
        <v>264</v>
      </c>
      <c r="D6441" s="16">
        <v>1</v>
      </c>
      <c r="E6441" s="22">
        <v>45062</v>
      </c>
      <c r="F6441" s="19">
        <v>8</v>
      </c>
      <c r="G6441" s="18">
        <v>0.09</v>
      </c>
      <c r="H6441">
        <f>F6441*VLOOKUP(B6441,產品!$A$2:$H$61,7,FALSE)*(1-銷售總表!G6441)</f>
        <v>160160</v>
      </c>
      <c r="I6441" s="35">
        <f>H6441-F6441*VLOOKUP(銷售總表!B6441,產品!$A$2:$H$61,8,FALSE)</f>
        <v>36960.000000000015</v>
      </c>
      <c r="J6441" s="20">
        <f t="shared" si="100"/>
        <v>0.23076923076923087</v>
      </c>
    </row>
    <row r="6442" spans="1:10" x14ac:dyDescent="0.3">
      <c r="A6442" s="33">
        <v>6441</v>
      </c>
      <c r="B6442" s="4">
        <v>35</v>
      </c>
      <c r="C6442" s="15">
        <v>116</v>
      </c>
      <c r="D6442" s="16">
        <v>7</v>
      </c>
      <c r="E6442" s="23">
        <v>45062</v>
      </c>
      <c r="F6442">
        <v>6</v>
      </c>
      <c r="G6442" s="20">
        <v>0.12</v>
      </c>
      <c r="H6442">
        <f>F6442*VLOOKUP(B6442,產品!$A$2:$H$61,7,FALSE)*(1-銷售總表!G6442)</f>
        <v>44880</v>
      </c>
      <c r="I6442" s="35">
        <f>H6442-F6442*VLOOKUP(銷售總表!B6442,產品!$A$2:$H$61,8,FALSE)</f>
        <v>14280</v>
      </c>
      <c r="J6442" s="20">
        <f t="shared" si="100"/>
        <v>0.31818181818181818</v>
      </c>
    </row>
    <row r="6443" spans="1:10" x14ac:dyDescent="0.3">
      <c r="A6443" s="33">
        <v>6442</v>
      </c>
      <c r="B6443" s="4">
        <v>25</v>
      </c>
      <c r="C6443" s="15">
        <v>117</v>
      </c>
      <c r="D6443" s="16">
        <v>10</v>
      </c>
      <c r="E6443" s="23">
        <v>45063</v>
      </c>
      <c r="F6443">
        <v>6</v>
      </c>
      <c r="G6443" s="20">
        <v>0.08</v>
      </c>
      <c r="H6443">
        <f>F6443*VLOOKUP(B6443,產品!$A$2:$H$61,7,FALSE)*(1-銷售總表!G6443)</f>
        <v>33120</v>
      </c>
      <c r="I6443" s="35">
        <f>H6443-F6443*VLOOKUP(銷售總表!B6443,產品!$A$2:$H$61,8,FALSE)</f>
        <v>11520</v>
      </c>
      <c r="J6443" s="20">
        <f t="shared" si="100"/>
        <v>0.34782608695652173</v>
      </c>
    </row>
    <row r="6444" spans="1:10" x14ac:dyDescent="0.3">
      <c r="A6444" s="33">
        <v>6443</v>
      </c>
      <c r="B6444" s="4">
        <v>13</v>
      </c>
      <c r="C6444" s="15">
        <v>272</v>
      </c>
      <c r="D6444" s="16">
        <v>1</v>
      </c>
      <c r="E6444" s="23">
        <v>45063</v>
      </c>
      <c r="F6444">
        <v>60</v>
      </c>
      <c r="G6444" s="20">
        <v>0.11</v>
      </c>
      <c r="H6444">
        <f>F6444*VLOOKUP(B6444,產品!$A$2:$H$61,7,FALSE)*(1-銷售總表!G6444)</f>
        <v>96120</v>
      </c>
      <c r="I6444" s="35">
        <f>H6444-F6444*VLOOKUP(銷售總表!B6444,產品!$A$2:$H$61,8,FALSE)</f>
        <v>52920</v>
      </c>
      <c r="J6444" s="20">
        <f t="shared" si="100"/>
        <v>0.550561797752809</v>
      </c>
    </row>
    <row r="6445" spans="1:10" x14ac:dyDescent="0.3">
      <c r="A6445" s="33">
        <v>6444</v>
      </c>
      <c r="B6445" s="4">
        <v>23</v>
      </c>
      <c r="C6445" s="15">
        <v>7</v>
      </c>
      <c r="D6445" s="16">
        <v>8</v>
      </c>
      <c r="E6445" s="22">
        <v>45064</v>
      </c>
      <c r="F6445" s="19">
        <v>100</v>
      </c>
      <c r="G6445" s="18">
        <v>0.16</v>
      </c>
      <c r="H6445">
        <f>F6445*VLOOKUP(B6445,產品!$A$2:$H$61,7,FALSE)*(1-銷售總表!G6445)</f>
        <v>151200</v>
      </c>
      <c r="I6445" s="35">
        <f>H6445-F6445*VLOOKUP(銷售總表!B6445,產品!$A$2:$H$61,8,FALSE)</f>
        <v>79200</v>
      </c>
      <c r="J6445" s="20">
        <f t="shared" si="100"/>
        <v>0.52380952380952384</v>
      </c>
    </row>
    <row r="6446" spans="1:10" x14ac:dyDescent="0.3">
      <c r="A6446" s="33">
        <v>6445</v>
      </c>
      <c r="B6446" s="4">
        <v>11</v>
      </c>
      <c r="C6446" s="15">
        <v>12</v>
      </c>
      <c r="D6446" s="16">
        <v>10</v>
      </c>
      <c r="E6446" s="22">
        <v>45064</v>
      </c>
      <c r="F6446" s="19">
        <v>275</v>
      </c>
      <c r="G6446" s="18">
        <v>0.13</v>
      </c>
      <c r="H6446">
        <f>F6446*VLOOKUP(B6446,產品!$A$2:$H$61,7,FALSE)*(1-銷售總表!G6446)</f>
        <v>239250</v>
      </c>
      <c r="I6446" s="35">
        <f>H6446-F6446*VLOOKUP(銷售總表!B6446,產品!$A$2:$H$61,8,FALSE)</f>
        <v>129250</v>
      </c>
      <c r="J6446" s="20">
        <f t="shared" si="100"/>
        <v>0.54022988505747127</v>
      </c>
    </row>
    <row r="6447" spans="1:10" x14ac:dyDescent="0.3">
      <c r="A6447" s="33">
        <v>6446</v>
      </c>
      <c r="B6447" s="4">
        <v>2</v>
      </c>
      <c r="C6447" s="15">
        <v>272</v>
      </c>
      <c r="D6447" s="16">
        <v>6</v>
      </c>
      <c r="E6447" s="22">
        <v>45064</v>
      </c>
      <c r="F6447" s="19">
        <v>50</v>
      </c>
      <c r="G6447" s="18">
        <v>0.05</v>
      </c>
      <c r="H6447">
        <f>F6447*VLOOKUP(B6447,產品!$A$2:$H$61,7,FALSE)*(1-銷售總表!G6447)</f>
        <v>47500</v>
      </c>
      <c r="I6447" s="35">
        <f>H6447-F6447*VLOOKUP(銷售總表!B6447,產品!$A$2:$H$61,8,FALSE)</f>
        <v>27500</v>
      </c>
      <c r="J6447" s="20">
        <f t="shared" si="100"/>
        <v>0.57894736842105265</v>
      </c>
    </row>
    <row r="6448" spans="1:10" x14ac:dyDescent="0.3">
      <c r="A6448" s="33">
        <v>6447</v>
      </c>
      <c r="B6448" s="4">
        <v>13</v>
      </c>
      <c r="C6448" s="15">
        <v>262</v>
      </c>
      <c r="D6448" s="16">
        <v>3</v>
      </c>
      <c r="E6448" s="23">
        <v>45064</v>
      </c>
      <c r="F6448">
        <v>90</v>
      </c>
      <c r="G6448" s="20">
        <v>0.14000000000000001</v>
      </c>
      <c r="H6448">
        <f>F6448*VLOOKUP(B6448,產品!$A$2:$H$61,7,FALSE)*(1-銷售總表!G6448)</f>
        <v>139320</v>
      </c>
      <c r="I6448" s="35">
        <f>H6448-F6448*VLOOKUP(銷售總表!B6448,產品!$A$2:$H$61,8,FALSE)</f>
        <v>74520</v>
      </c>
      <c r="J6448" s="20">
        <f t="shared" si="100"/>
        <v>0.53488372093023251</v>
      </c>
    </row>
    <row r="6449" spans="1:10" x14ac:dyDescent="0.3">
      <c r="A6449" s="33">
        <v>6448</v>
      </c>
      <c r="B6449" s="4">
        <v>27</v>
      </c>
      <c r="C6449" s="15">
        <v>112</v>
      </c>
      <c r="D6449" s="16">
        <v>5</v>
      </c>
      <c r="E6449" s="22">
        <v>45065</v>
      </c>
      <c r="F6449" s="19">
        <v>5</v>
      </c>
      <c r="G6449" s="18">
        <v>0.05</v>
      </c>
      <c r="H6449">
        <f>F6449*VLOOKUP(B6449,產品!$A$2:$H$61,7,FALSE)*(1-銷售總表!G6449)</f>
        <v>33250</v>
      </c>
      <c r="I6449" s="35">
        <f>H6449-F6449*VLOOKUP(銷售總表!B6449,產品!$A$2:$H$61,8,FALSE)</f>
        <v>12250</v>
      </c>
      <c r="J6449" s="20">
        <f t="shared" si="100"/>
        <v>0.36842105263157893</v>
      </c>
    </row>
    <row r="6450" spans="1:10" x14ac:dyDescent="0.3">
      <c r="A6450" s="33">
        <v>6449</v>
      </c>
      <c r="B6450" s="4">
        <v>15</v>
      </c>
      <c r="C6450" s="15">
        <v>259</v>
      </c>
      <c r="D6450" s="16">
        <v>2</v>
      </c>
      <c r="E6450" s="22">
        <v>45065</v>
      </c>
      <c r="F6450" s="19">
        <v>175</v>
      </c>
      <c r="G6450" s="18">
        <v>0.2</v>
      </c>
      <c r="H6450">
        <f>F6450*VLOOKUP(B6450,產品!$A$2:$H$61,7,FALSE)*(1-銷售總表!G6450)</f>
        <v>252000</v>
      </c>
      <c r="I6450" s="35">
        <f>H6450-F6450*VLOOKUP(銷售總表!B6450,產品!$A$2:$H$61,8,FALSE)</f>
        <v>126000</v>
      </c>
      <c r="J6450" s="20">
        <f t="shared" si="100"/>
        <v>0.5</v>
      </c>
    </row>
    <row r="6451" spans="1:10" x14ac:dyDescent="0.3">
      <c r="A6451" s="33">
        <v>6450</v>
      </c>
      <c r="B6451" s="4">
        <v>7</v>
      </c>
      <c r="C6451" s="15">
        <v>260</v>
      </c>
      <c r="D6451" s="16">
        <v>10</v>
      </c>
      <c r="E6451" s="23">
        <v>45065</v>
      </c>
      <c r="F6451">
        <v>40</v>
      </c>
      <c r="G6451" s="20">
        <v>0.1</v>
      </c>
      <c r="H6451">
        <f>F6451*VLOOKUP(B6451,產品!$A$2:$H$61,7,FALSE)*(1-銷售總表!G6451)</f>
        <v>36000</v>
      </c>
      <c r="I6451" s="35">
        <f>H6451-F6451*VLOOKUP(銷售總表!B6451,產品!$A$2:$H$61,8,FALSE)</f>
        <v>20000</v>
      </c>
      <c r="J6451" s="20">
        <f t="shared" si="100"/>
        <v>0.55555555555555558</v>
      </c>
    </row>
    <row r="6452" spans="1:10" x14ac:dyDescent="0.3">
      <c r="A6452" s="33">
        <v>6451</v>
      </c>
      <c r="B6452" s="4">
        <v>33</v>
      </c>
      <c r="C6452" s="15">
        <v>290</v>
      </c>
      <c r="D6452" s="16">
        <v>10</v>
      </c>
      <c r="E6452" s="23">
        <v>45065</v>
      </c>
      <c r="F6452">
        <v>10</v>
      </c>
      <c r="G6452" s="20">
        <v>0.12</v>
      </c>
      <c r="H6452">
        <f>F6452*VLOOKUP(B6452,產品!$A$2:$H$61,7,FALSE)*(1-銷售總表!G6452)</f>
        <v>66000</v>
      </c>
      <c r="I6452" s="35">
        <f>H6452-F6452*VLOOKUP(銷售總表!B6452,產品!$A$2:$H$61,8,FALSE)</f>
        <v>21000</v>
      </c>
      <c r="J6452" s="20">
        <f t="shared" si="100"/>
        <v>0.31818181818181818</v>
      </c>
    </row>
    <row r="6453" spans="1:10" x14ac:dyDescent="0.3">
      <c r="A6453" s="33">
        <v>6452</v>
      </c>
      <c r="B6453" s="4">
        <v>52</v>
      </c>
      <c r="C6453" s="15">
        <v>257</v>
      </c>
      <c r="D6453" s="16">
        <v>10</v>
      </c>
      <c r="E6453" s="23">
        <v>45065</v>
      </c>
      <c r="F6453">
        <v>9</v>
      </c>
      <c r="G6453" s="20">
        <v>0.19</v>
      </c>
      <c r="H6453">
        <f>F6453*VLOOKUP(B6453,產品!$A$2:$H$61,7,FALSE)*(1-銷售總表!G6453)</f>
        <v>160380</v>
      </c>
      <c r="I6453" s="35">
        <f>H6453-F6453*VLOOKUP(銷售總表!B6453,產品!$A$2:$H$61,8,FALSE)</f>
        <v>21780.000000000029</v>
      </c>
      <c r="J6453" s="20">
        <f t="shared" si="100"/>
        <v>0.13580246913580266</v>
      </c>
    </row>
    <row r="6454" spans="1:10" x14ac:dyDescent="0.3">
      <c r="A6454" s="33">
        <v>6453</v>
      </c>
      <c r="B6454" s="4">
        <v>45</v>
      </c>
      <c r="C6454" s="15">
        <v>283</v>
      </c>
      <c r="D6454" s="16">
        <v>8</v>
      </c>
      <c r="E6454" s="22">
        <v>45066</v>
      </c>
      <c r="F6454" s="19">
        <v>5</v>
      </c>
      <c r="G6454" s="18">
        <v>0.15</v>
      </c>
      <c r="H6454">
        <f>F6454*VLOOKUP(B6454,產品!$A$2:$H$61,7,FALSE)*(1-銷售總表!G6454)</f>
        <v>59500</v>
      </c>
      <c r="I6454" s="35">
        <f>H6454-F6454*VLOOKUP(銷售總表!B6454,產品!$A$2:$H$61,8,FALSE)</f>
        <v>14000</v>
      </c>
      <c r="J6454" s="20">
        <f t="shared" si="100"/>
        <v>0.23529411764705882</v>
      </c>
    </row>
    <row r="6455" spans="1:10" x14ac:dyDescent="0.3">
      <c r="A6455" s="33">
        <v>6454</v>
      </c>
      <c r="B6455" s="4">
        <v>33</v>
      </c>
      <c r="C6455" s="15">
        <v>273</v>
      </c>
      <c r="D6455" s="16">
        <v>6</v>
      </c>
      <c r="E6455" s="22">
        <v>45066</v>
      </c>
      <c r="F6455" s="19">
        <v>12</v>
      </c>
      <c r="G6455" s="18">
        <v>0.09</v>
      </c>
      <c r="H6455">
        <f>F6455*VLOOKUP(B6455,產品!$A$2:$H$61,7,FALSE)*(1-銷售總表!G6455)</f>
        <v>81900</v>
      </c>
      <c r="I6455" s="35">
        <f>H6455-F6455*VLOOKUP(銷售總表!B6455,產品!$A$2:$H$61,8,FALSE)</f>
        <v>27900</v>
      </c>
      <c r="J6455" s="20">
        <f t="shared" si="100"/>
        <v>0.34065934065934067</v>
      </c>
    </row>
    <row r="6456" spans="1:10" x14ac:dyDescent="0.3">
      <c r="A6456" s="33">
        <v>6455</v>
      </c>
      <c r="B6456" s="4">
        <v>4</v>
      </c>
      <c r="C6456" s="15">
        <v>282</v>
      </c>
      <c r="D6456" s="16">
        <v>9</v>
      </c>
      <c r="E6456" s="22">
        <v>45066</v>
      </c>
      <c r="F6456" s="19">
        <v>40</v>
      </c>
      <c r="G6456" s="18">
        <v>0.11</v>
      </c>
      <c r="H6456">
        <f>F6456*VLOOKUP(B6456,產品!$A$2:$H$61,7,FALSE)*(1-銷售總表!G6456)</f>
        <v>35600</v>
      </c>
      <c r="I6456" s="35">
        <f>H6456-F6456*VLOOKUP(銷售總表!B6456,產品!$A$2:$H$61,8,FALSE)</f>
        <v>19600</v>
      </c>
      <c r="J6456" s="20">
        <f t="shared" si="100"/>
        <v>0.550561797752809</v>
      </c>
    </row>
    <row r="6457" spans="1:10" x14ac:dyDescent="0.3">
      <c r="A6457" s="33">
        <v>6456</v>
      </c>
      <c r="B6457" s="4">
        <v>39</v>
      </c>
      <c r="C6457" s="15">
        <v>261</v>
      </c>
      <c r="D6457" s="16">
        <v>6</v>
      </c>
      <c r="E6457" s="22">
        <v>45066</v>
      </c>
      <c r="F6457" s="19">
        <v>13</v>
      </c>
      <c r="G6457" s="18">
        <v>0.16</v>
      </c>
      <c r="H6457">
        <f>F6457*VLOOKUP(B6457,產品!$A$2:$H$61,7,FALSE)*(1-銷售總表!G6457)</f>
        <v>196560</v>
      </c>
      <c r="I6457" s="35">
        <f>H6457-F6457*VLOOKUP(銷售總表!B6457,產品!$A$2:$H$61,8,FALSE)</f>
        <v>44460</v>
      </c>
      <c r="J6457" s="20">
        <f t="shared" si="100"/>
        <v>0.22619047619047619</v>
      </c>
    </row>
    <row r="6458" spans="1:10" x14ac:dyDescent="0.3">
      <c r="A6458" s="33">
        <v>6457</v>
      </c>
      <c r="B6458" s="4">
        <v>59</v>
      </c>
      <c r="C6458" s="15">
        <v>116</v>
      </c>
      <c r="D6458" s="16">
        <v>8</v>
      </c>
      <c r="E6458" s="22">
        <v>45066</v>
      </c>
      <c r="F6458" s="19">
        <v>4</v>
      </c>
      <c r="G6458" s="18">
        <v>0.11</v>
      </c>
      <c r="H6458">
        <f>F6458*VLOOKUP(B6458,產品!$A$2:$H$61,7,FALSE)*(1-銷售總表!G6458)</f>
        <v>85440</v>
      </c>
      <c r="I6458" s="35">
        <f>H6458-F6458*VLOOKUP(銷售總表!B6458,產品!$A$2:$H$61,8,FALSE)</f>
        <v>18240</v>
      </c>
      <c r="J6458" s="20">
        <f t="shared" si="100"/>
        <v>0.21348314606741572</v>
      </c>
    </row>
    <row r="6459" spans="1:10" x14ac:dyDescent="0.3">
      <c r="A6459" s="33">
        <v>6458</v>
      </c>
      <c r="B6459" s="4">
        <v>32</v>
      </c>
      <c r="C6459" s="15">
        <v>5</v>
      </c>
      <c r="D6459" s="16">
        <v>2</v>
      </c>
      <c r="E6459" s="22">
        <v>45066</v>
      </c>
      <c r="F6459" s="19">
        <v>11</v>
      </c>
      <c r="G6459" s="18">
        <v>0.05</v>
      </c>
      <c r="H6459">
        <f>F6459*VLOOKUP(B6459,產品!$A$2:$H$61,7,FALSE)*(1-銷售總表!G6459)</f>
        <v>78375</v>
      </c>
      <c r="I6459" s="35">
        <f>H6459-F6459*VLOOKUP(銷售總表!B6459,產品!$A$2:$H$61,8,FALSE)</f>
        <v>28875</v>
      </c>
      <c r="J6459" s="20">
        <f t="shared" si="100"/>
        <v>0.36842105263157893</v>
      </c>
    </row>
    <row r="6460" spans="1:10" x14ac:dyDescent="0.3">
      <c r="A6460" s="33">
        <v>6459</v>
      </c>
      <c r="B6460" s="4">
        <v>36</v>
      </c>
      <c r="C6460" s="15">
        <v>286</v>
      </c>
      <c r="D6460" s="16">
        <v>8</v>
      </c>
      <c r="E6460" s="22">
        <v>45067</v>
      </c>
      <c r="F6460" s="19">
        <v>9</v>
      </c>
      <c r="G6460" s="18">
        <v>0.17</v>
      </c>
      <c r="H6460">
        <f>F6460*VLOOKUP(B6460,產品!$A$2:$H$61,7,FALSE)*(1-銷售總表!G6460)</f>
        <v>67230</v>
      </c>
      <c r="I6460" s="35">
        <f>H6460-F6460*VLOOKUP(銷售總表!B6460,產品!$A$2:$H$61,8,FALSE)</f>
        <v>18630</v>
      </c>
      <c r="J6460" s="20">
        <f t="shared" si="100"/>
        <v>0.27710843373493976</v>
      </c>
    </row>
    <row r="6461" spans="1:10" x14ac:dyDescent="0.3">
      <c r="A6461" s="33">
        <v>6460</v>
      </c>
      <c r="B6461" s="4">
        <v>43</v>
      </c>
      <c r="C6461" s="15">
        <v>126</v>
      </c>
      <c r="D6461" s="16">
        <v>1</v>
      </c>
      <c r="E6461" s="22">
        <v>45067</v>
      </c>
      <c r="F6461" s="19">
        <v>6</v>
      </c>
      <c r="G6461" s="18">
        <v>7.0000000000000007E-2</v>
      </c>
      <c r="H6461">
        <f>F6461*VLOOKUP(B6461,產品!$A$2:$H$61,7,FALSE)*(1-銷售總表!G6461)</f>
        <v>100440</v>
      </c>
      <c r="I6461" s="35">
        <f>H6461-F6461*VLOOKUP(銷售總表!B6461,產品!$A$2:$H$61,8,FALSE)</f>
        <v>30240</v>
      </c>
      <c r="J6461" s="20">
        <f t="shared" si="100"/>
        <v>0.30107526881720431</v>
      </c>
    </row>
    <row r="6462" spans="1:10" x14ac:dyDescent="0.3">
      <c r="A6462" s="33">
        <v>6461</v>
      </c>
      <c r="B6462" s="4">
        <v>35</v>
      </c>
      <c r="C6462" s="15">
        <v>6</v>
      </c>
      <c r="D6462" s="16">
        <v>2</v>
      </c>
      <c r="E6462" s="22">
        <v>45068</v>
      </c>
      <c r="F6462" s="19">
        <v>6</v>
      </c>
      <c r="G6462" s="18">
        <v>0.2</v>
      </c>
      <c r="H6462">
        <f>F6462*VLOOKUP(B6462,產品!$A$2:$H$61,7,FALSE)*(1-銷售總表!G6462)</f>
        <v>40800</v>
      </c>
      <c r="I6462" s="35">
        <f>H6462-F6462*VLOOKUP(銷售總表!B6462,產品!$A$2:$H$61,8,FALSE)</f>
        <v>10200</v>
      </c>
      <c r="J6462" s="20">
        <f t="shared" si="100"/>
        <v>0.25</v>
      </c>
    </row>
    <row r="6463" spans="1:10" x14ac:dyDescent="0.3">
      <c r="A6463" s="33">
        <v>6462</v>
      </c>
      <c r="B6463" s="4">
        <v>35</v>
      </c>
      <c r="C6463" s="15">
        <v>6</v>
      </c>
      <c r="D6463" s="16">
        <v>9</v>
      </c>
      <c r="E6463" s="22">
        <v>45069</v>
      </c>
      <c r="F6463" s="19">
        <v>1</v>
      </c>
      <c r="G6463" s="18">
        <v>0.2</v>
      </c>
      <c r="H6463">
        <f>F6463*VLOOKUP(B6463,產品!$A$2:$H$61,7,FALSE)*(1-銷售總表!G6463)</f>
        <v>6800</v>
      </c>
      <c r="I6463" s="35">
        <f>H6463-F6463*VLOOKUP(銷售總表!B6463,產品!$A$2:$H$61,8,FALSE)</f>
        <v>1700</v>
      </c>
      <c r="J6463" s="20">
        <f t="shared" si="100"/>
        <v>0.25</v>
      </c>
    </row>
    <row r="6464" spans="1:10" x14ac:dyDescent="0.3">
      <c r="A6464" s="33">
        <v>6463</v>
      </c>
      <c r="B6464" s="4">
        <v>58</v>
      </c>
      <c r="C6464" s="15">
        <v>6</v>
      </c>
      <c r="D6464" s="16">
        <v>6</v>
      </c>
      <c r="E6464" s="22">
        <v>45069</v>
      </c>
      <c r="F6464" s="19">
        <v>2</v>
      </c>
      <c r="G6464" s="18">
        <v>0.08</v>
      </c>
      <c r="H6464">
        <f>F6464*VLOOKUP(B6464,產品!$A$2:$H$61,7,FALSE)*(1-銷售總表!G6464)</f>
        <v>38640</v>
      </c>
      <c r="I6464" s="35">
        <f>H6464-F6464*VLOOKUP(銷售總表!B6464,產品!$A$2:$H$61,8,FALSE)</f>
        <v>9240.0000000000036</v>
      </c>
      <c r="J6464" s="20">
        <f t="shared" si="100"/>
        <v>0.23913043478260879</v>
      </c>
    </row>
    <row r="6465" spans="1:10" x14ac:dyDescent="0.3">
      <c r="A6465" s="33">
        <v>6464</v>
      </c>
      <c r="B6465" s="4">
        <v>6</v>
      </c>
      <c r="C6465" s="15">
        <v>4</v>
      </c>
      <c r="D6465" s="16">
        <v>9</v>
      </c>
      <c r="E6465" s="22">
        <v>45069</v>
      </c>
      <c r="F6465" s="19">
        <v>250</v>
      </c>
      <c r="G6465" s="18">
        <v>0.13</v>
      </c>
      <c r="H6465">
        <f>F6465*VLOOKUP(B6465,產品!$A$2:$H$61,7,FALSE)*(1-銷售總表!G6465)</f>
        <v>217500</v>
      </c>
      <c r="I6465" s="35">
        <f>H6465-F6465*VLOOKUP(銷售總表!B6465,產品!$A$2:$H$61,8,FALSE)</f>
        <v>117500</v>
      </c>
      <c r="J6465" s="20">
        <f t="shared" si="100"/>
        <v>0.54022988505747127</v>
      </c>
    </row>
    <row r="6466" spans="1:10" x14ac:dyDescent="0.3">
      <c r="A6466" s="33">
        <v>6465</v>
      </c>
      <c r="B6466" s="4">
        <v>55</v>
      </c>
      <c r="C6466" s="15">
        <v>263</v>
      </c>
      <c r="D6466" s="16">
        <v>10</v>
      </c>
      <c r="E6466" s="22">
        <v>45069</v>
      </c>
      <c r="F6466" s="19">
        <v>12</v>
      </c>
      <c r="G6466" s="18">
        <v>0.11</v>
      </c>
      <c r="H6466">
        <f>F6466*VLOOKUP(B6466,產品!$A$2:$H$61,7,FALSE)*(1-銷售總表!G6466)</f>
        <v>213600</v>
      </c>
      <c r="I6466" s="35">
        <f>H6466-F6466*VLOOKUP(銷售總表!B6466,產品!$A$2:$H$61,8,FALSE)</f>
        <v>45600</v>
      </c>
      <c r="J6466" s="20">
        <f t="shared" si="100"/>
        <v>0.21348314606741572</v>
      </c>
    </row>
    <row r="6467" spans="1:10" x14ac:dyDescent="0.3">
      <c r="A6467" s="33">
        <v>6466</v>
      </c>
      <c r="B6467" s="4">
        <v>12</v>
      </c>
      <c r="C6467" s="15">
        <v>292</v>
      </c>
      <c r="D6467" s="16">
        <v>9</v>
      </c>
      <c r="E6467" s="23">
        <v>45069</v>
      </c>
      <c r="F6467">
        <v>100</v>
      </c>
      <c r="G6467" s="20">
        <v>0.16</v>
      </c>
      <c r="H6467">
        <f>F6467*VLOOKUP(B6467,產品!$A$2:$H$61,7,FALSE)*(1-銷售總表!G6467)</f>
        <v>84000</v>
      </c>
      <c r="I6467" s="35">
        <f>H6467-F6467*VLOOKUP(銷售總表!B6467,產品!$A$2:$H$61,8,FALSE)</f>
        <v>44000</v>
      </c>
      <c r="J6467" s="20">
        <f t="shared" ref="J6467:J6530" si="101">I6467/H6467</f>
        <v>0.52380952380952384</v>
      </c>
    </row>
    <row r="6468" spans="1:10" x14ac:dyDescent="0.3">
      <c r="A6468" s="33">
        <v>6467</v>
      </c>
      <c r="B6468" s="4">
        <v>54</v>
      </c>
      <c r="C6468" s="15">
        <v>124</v>
      </c>
      <c r="D6468" s="16">
        <v>10</v>
      </c>
      <c r="E6468" s="22">
        <v>45071</v>
      </c>
      <c r="F6468" s="19">
        <v>6</v>
      </c>
      <c r="G6468" s="18">
        <v>0.11</v>
      </c>
      <c r="H6468">
        <f>F6468*VLOOKUP(B6468,產品!$A$2:$H$61,7,FALSE)*(1-銷售總表!G6468)</f>
        <v>96120</v>
      </c>
      <c r="I6468" s="35">
        <f>H6468-F6468*VLOOKUP(銷售總表!B6468,產品!$A$2:$H$61,8,FALSE)</f>
        <v>20520</v>
      </c>
      <c r="J6468" s="20">
        <f t="shared" si="101"/>
        <v>0.21348314606741572</v>
      </c>
    </row>
    <row r="6469" spans="1:10" x14ac:dyDescent="0.3">
      <c r="A6469" s="33">
        <v>6468</v>
      </c>
      <c r="B6469" s="4">
        <v>45</v>
      </c>
      <c r="C6469" s="15">
        <v>124</v>
      </c>
      <c r="D6469" s="16">
        <v>1</v>
      </c>
      <c r="E6469" s="23">
        <v>45071</v>
      </c>
      <c r="F6469">
        <v>6</v>
      </c>
      <c r="G6469" s="20">
        <v>0.08</v>
      </c>
      <c r="H6469">
        <f>F6469*VLOOKUP(B6469,產品!$A$2:$H$61,7,FALSE)*(1-銷售總表!G6469)</f>
        <v>77280</v>
      </c>
      <c r="I6469" s="35">
        <f>H6469-F6469*VLOOKUP(銷售總表!B6469,產品!$A$2:$H$61,8,FALSE)</f>
        <v>22680</v>
      </c>
      <c r="J6469" s="20">
        <f t="shared" si="101"/>
        <v>0.29347826086956524</v>
      </c>
    </row>
    <row r="6470" spans="1:10" x14ac:dyDescent="0.3">
      <c r="A6470" s="33">
        <v>6469</v>
      </c>
      <c r="B6470" s="4">
        <v>6</v>
      </c>
      <c r="C6470" s="15">
        <v>121</v>
      </c>
      <c r="D6470" s="16">
        <v>5</v>
      </c>
      <c r="E6470" s="23">
        <v>45071</v>
      </c>
      <c r="F6470">
        <v>50</v>
      </c>
      <c r="G6470" s="20">
        <v>0.16</v>
      </c>
      <c r="H6470">
        <f>F6470*VLOOKUP(B6470,產品!$A$2:$H$61,7,FALSE)*(1-銷售總表!G6470)</f>
        <v>42000</v>
      </c>
      <c r="I6470" s="35">
        <f>H6470-F6470*VLOOKUP(銷售總表!B6470,產品!$A$2:$H$61,8,FALSE)</f>
        <v>22000</v>
      </c>
      <c r="J6470" s="20">
        <f t="shared" si="101"/>
        <v>0.52380952380952384</v>
      </c>
    </row>
    <row r="6471" spans="1:10" x14ac:dyDescent="0.3">
      <c r="A6471" s="33">
        <v>6470</v>
      </c>
      <c r="B6471" s="4">
        <v>22</v>
      </c>
      <c r="C6471" s="15">
        <v>287</v>
      </c>
      <c r="D6471" s="16">
        <v>3</v>
      </c>
      <c r="E6471" s="22">
        <v>45072</v>
      </c>
      <c r="F6471" s="19">
        <v>70</v>
      </c>
      <c r="G6471" s="18">
        <v>0.11</v>
      </c>
      <c r="H6471">
        <f>F6471*VLOOKUP(B6471,產品!$A$2:$H$61,7,FALSE)*(1-銷售總表!G6471)</f>
        <v>112140</v>
      </c>
      <c r="I6471" s="35">
        <f>H6471-F6471*VLOOKUP(銷售總表!B6471,產品!$A$2:$H$61,8,FALSE)</f>
        <v>61740</v>
      </c>
      <c r="J6471" s="20">
        <f t="shared" si="101"/>
        <v>0.550561797752809</v>
      </c>
    </row>
    <row r="6472" spans="1:10" x14ac:dyDescent="0.3">
      <c r="A6472" s="33">
        <v>6471</v>
      </c>
      <c r="B6472" s="4">
        <v>20</v>
      </c>
      <c r="C6472" s="15">
        <v>113</v>
      </c>
      <c r="D6472" s="16">
        <v>2</v>
      </c>
      <c r="E6472" s="22">
        <v>45072</v>
      </c>
      <c r="F6472" s="19">
        <v>15</v>
      </c>
      <c r="G6472" s="18">
        <v>0.14000000000000001</v>
      </c>
      <c r="H6472">
        <f>F6472*VLOOKUP(B6472,產品!$A$2:$H$61,7,FALSE)*(1-銷售總表!G6472)</f>
        <v>23220</v>
      </c>
      <c r="I6472" s="35">
        <f>H6472-F6472*VLOOKUP(銷售總表!B6472,產品!$A$2:$H$61,8,FALSE)</f>
        <v>12420</v>
      </c>
      <c r="J6472" s="20">
        <f t="shared" si="101"/>
        <v>0.53488372093023251</v>
      </c>
    </row>
    <row r="6473" spans="1:10" x14ac:dyDescent="0.3">
      <c r="A6473" s="33">
        <v>6472</v>
      </c>
      <c r="B6473" s="4">
        <v>44</v>
      </c>
      <c r="C6473" s="15">
        <v>263</v>
      </c>
      <c r="D6473" s="16">
        <v>8</v>
      </c>
      <c r="E6473" s="23">
        <v>45072</v>
      </c>
      <c r="F6473">
        <v>10</v>
      </c>
      <c r="G6473" s="20">
        <v>0.1</v>
      </c>
      <c r="H6473">
        <f>F6473*VLOOKUP(B6473,產品!$A$2:$H$61,7,FALSE)*(1-銷售總表!G6473)</f>
        <v>180000</v>
      </c>
      <c r="I6473" s="35">
        <f>H6473-F6473*VLOOKUP(銷售總表!B6473,產品!$A$2:$H$61,8,FALSE)</f>
        <v>50000</v>
      </c>
      <c r="J6473" s="20">
        <f t="shared" si="101"/>
        <v>0.27777777777777779</v>
      </c>
    </row>
    <row r="6474" spans="1:10" x14ac:dyDescent="0.3">
      <c r="A6474" s="33">
        <v>6473</v>
      </c>
      <c r="B6474" s="4">
        <v>49</v>
      </c>
      <c r="C6474" s="15">
        <v>263</v>
      </c>
      <c r="D6474" s="16">
        <v>6</v>
      </c>
      <c r="E6474" s="22">
        <v>45074</v>
      </c>
      <c r="F6474" s="19">
        <v>13</v>
      </c>
      <c r="G6474" s="18">
        <v>0.08</v>
      </c>
      <c r="H6474">
        <f>F6474*VLOOKUP(B6474,產品!$A$2:$H$61,7,FALSE)*(1-銷售總表!G6474)</f>
        <v>179400</v>
      </c>
      <c r="I6474" s="35">
        <f>H6474-F6474*VLOOKUP(銷售總表!B6474,產品!$A$2:$H$61,8,FALSE)</f>
        <v>42900</v>
      </c>
      <c r="J6474" s="20">
        <f t="shared" si="101"/>
        <v>0.2391304347826087</v>
      </c>
    </row>
    <row r="6475" spans="1:10" x14ac:dyDescent="0.3">
      <c r="A6475" s="33">
        <v>6474</v>
      </c>
      <c r="B6475" s="4">
        <v>10</v>
      </c>
      <c r="C6475" s="15">
        <v>275</v>
      </c>
      <c r="D6475" s="16">
        <v>9</v>
      </c>
      <c r="E6475" s="22">
        <v>45074</v>
      </c>
      <c r="F6475" s="19">
        <v>40</v>
      </c>
      <c r="G6475" s="18">
        <v>0.17</v>
      </c>
      <c r="H6475">
        <f>F6475*VLOOKUP(B6475,產品!$A$2:$H$61,7,FALSE)*(1-銷售總表!G6475)</f>
        <v>33200</v>
      </c>
      <c r="I6475" s="35">
        <f>H6475-F6475*VLOOKUP(銷售總表!B6475,產品!$A$2:$H$61,8,FALSE)</f>
        <v>17200</v>
      </c>
      <c r="J6475" s="20">
        <f t="shared" si="101"/>
        <v>0.51807228915662651</v>
      </c>
    </row>
    <row r="6476" spans="1:10" x14ac:dyDescent="0.3">
      <c r="A6476" s="33">
        <v>6475</v>
      </c>
      <c r="B6476" s="4">
        <v>29</v>
      </c>
      <c r="C6476" s="15">
        <v>12</v>
      </c>
      <c r="D6476" s="16">
        <v>3</v>
      </c>
      <c r="E6476" s="23">
        <v>45074</v>
      </c>
      <c r="F6476">
        <v>4</v>
      </c>
      <c r="G6476" s="20">
        <v>0.1</v>
      </c>
      <c r="H6476">
        <f>F6476*VLOOKUP(B6476,產品!$A$2:$H$61,7,FALSE)*(1-銷售總表!G6476)</f>
        <v>21600</v>
      </c>
      <c r="I6476" s="35">
        <f>H6476-F6476*VLOOKUP(銷售總表!B6476,產品!$A$2:$H$61,8,FALSE)</f>
        <v>7200</v>
      </c>
      <c r="J6476" s="20">
        <f t="shared" si="101"/>
        <v>0.33333333333333331</v>
      </c>
    </row>
    <row r="6477" spans="1:10" x14ac:dyDescent="0.3">
      <c r="A6477" s="33">
        <v>6476</v>
      </c>
      <c r="B6477" s="4">
        <v>8</v>
      </c>
      <c r="C6477" s="15">
        <v>257</v>
      </c>
      <c r="D6477" s="16">
        <v>6</v>
      </c>
      <c r="E6477" s="22">
        <v>45075</v>
      </c>
      <c r="F6477" s="19">
        <v>60</v>
      </c>
      <c r="G6477" s="18">
        <v>0.2</v>
      </c>
      <c r="H6477">
        <f>F6477*VLOOKUP(B6477,產品!$A$2:$H$61,7,FALSE)*(1-銷售總表!G6477)</f>
        <v>48000</v>
      </c>
      <c r="I6477" s="35">
        <f>H6477-F6477*VLOOKUP(銷售總表!B6477,產品!$A$2:$H$61,8,FALSE)</f>
        <v>24000</v>
      </c>
      <c r="J6477" s="20">
        <f t="shared" si="101"/>
        <v>0.5</v>
      </c>
    </row>
    <row r="6478" spans="1:10" x14ac:dyDescent="0.3">
      <c r="A6478" s="33">
        <v>6477</v>
      </c>
      <c r="B6478" s="4">
        <v>47</v>
      </c>
      <c r="C6478" s="15">
        <v>140</v>
      </c>
      <c r="D6478" s="16">
        <v>3</v>
      </c>
      <c r="E6478" s="22">
        <v>45076</v>
      </c>
      <c r="F6478" s="19">
        <v>8</v>
      </c>
      <c r="G6478" s="18">
        <v>0.14000000000000001</v>
      </c>
      <c r="H6478">
        <f>F6478*VLOOKUP(B6478,產品!$A$2:$H$61,7,FALSE)*(1-銷售總表!G6478)</f>
        <v>137600</v>
      </c>
      <c r="I6478" s="35">
        <f>H6478-F6478*VLOOKUP(銷售總表!B6478,產品!$A$2:$H$61,8,FALSE)</f>
        <v>33600</v>
      </c>
      <c r="J6478" s="20">
        <f t="shared" si="101"/>
        <v>0.2441860465116279</v>
      </c>
    </row>
    <row r="6479" spans="1:10" x14ac:dyDescent="0.3">
      <c r="A6479" s="33">
        <v>6478</v>
      </c>
      <c r="B6479" s="4">
        <v>55</v>
      </c>
      <c r="C6479" s="15">
        <v>280</v>
      </c>
      <c r="D6479" s="16">
        <v>8</v>
      </c>
      <c r="E6479" s="22">
        <v>45076</v>
      </c>
      <c r="F6479" s="19">
        <v>5</v>
      </c>
      <c r="G6479" s="18">
        <v>0.09</v>
      </c>
      <c r="H6479">
        <f>F6479*VLOOKUP(B6479,產品!$A$2:$H$61,7,FALSE)*(1-銷售總表!G6479)</f>
        <v>91000</v>
      </c>
      <c r="I6479" s="35">
        <f>H6479-F6479*VLOOKUP(銷售總表!B6479,產品!$A$2:$H$61,8,FALSE)</f>
        <v>21000</v>
      </c>
      <c r="J6479" s="20">
        <f t="shared" si="101"/>
        <v>0.23076923076923078</v>
      </c>
    </row>
    <row r="6480" spans="1:10" x14ac:dyDescent="0.3">
      <c r="A6480" s="33">
        <v>6479</v>
      </c>
      <c r="B6480" s="4">
        <v>29</v>
      </c>
      <c r="C6480" s="15">
        <v>284</v>
      </c>
      <c r="D6480" s="16">
        <v>4</v>
      </c>
      <c r="E6480" s="22">
        <v>45076</v>
      </c>
      <c r="F6480" s="19">
        <v>4</v>
      </c>
      <c r="G6480" s="18">
        <v>0.06</v>
      </c>
      <c r="H6480">
        <f>F6480*VLOOKUP(B6480,產品!$A$2:$H$61,7,FALSE)*(1-銷售總表!G6480)</f>
        <v>22560</v>
      </c>
      <c r="I6480" s="35">
        <f>H6480-F6480*VLOOKUP(銷售總表!B6480,產品!$A$2:$H$61,8,FALSE)</f>
        <v>8160</v>
      </c>
      <c r="J6480" s="20">
        <f t="shared" si="101"/>
        <v>0.36170212765957449</v>
      </c>
    </row>
    <row r="6481" spans="1:10" x14ac:dyDescent="0.3">
      <c r="A6481" s="33">
        <v>6480</v>
      </c>
      <c r="B6481" s="4">
        <v>3</v>
      </c>
      <c r="C6481" s="15">
        <v>258</v>
      </c>
      <c r="D6481" s="16">
        <v>4</v>
      </c>
      <c r="E6481" s="23">
        <v>45076</v>
      </c>
      <c r="F6481">
        <v>50</v>
      </c>
      <c r="G6481" s="20">
        <v>0.11</v>
      </c>
      <c r="H6481">
        <f>F6481*VLOOKUP(B6481,產品!$A$2:$H$61,7,FALSE)*(1-銷售總表!G6481)</f>
        <v>44500</v>
      </c>
      <c r="I6481" s="35">
        <f>H6481-F6481*VLOOKUP(銷售總表!B6481,產品!$A$2:$H$61,8,FALSE)</f>
        <v>24500</v>
      </c>
      <c r="J6481" s="20">
        <f t="shared" si="101"/>
        <v>0.550561797752809</v>
      </c>
    </row>
    <row r="6482" spans="1:10" x14ac:dyDescent="0.3">
      <c r="A6482" s="33">
        <v>6481</v>
      </c>
      <c r="B6482" s="4">
        <v>10</v>
      </c>
      <c r="C6482" s="15">
        <v>137</v>
      </c>
      <c r="D6482" s="16">
        <v>10</v>
      </c>
      <c r="E6482" s="22">
        <v>45077</v>
      </c>
      <c r="F6482" s="19">
        <v>200</v>
      </c>
      <c r="G6482" s="18">
        <v>0.18</v>
      </c>
      <c r="H6482">
        <f>F6482*VLOOKUP(B6482,產品!$A$2:$H$61,7,FALSE)*(1-銷售總表!G6482)</f>
        <v>164000</v>
      </c>
      <c r="I6482" s="35">
        <f>H6482-F6482*VLOOKUP(銷售總表!B6482,產品!$A$2:$H$61,8,FALSE)</f>
        <v>84000</v>
      </c>
      <c r="J6482" s="20">
        <f t="shared" si="101"/>
        <v>0.51219512195121952</v>
      </c>
    </row>
    <row r="6483" spans="1:10" x14ac:dyDescent="0.3">
      <c r="A6483" s="33">
        <v>6482</v>
      </c>
      <c r="B6483" s="4">
        <v>55</v>
      </c>
      <c r="C6483" s="15">
        <v>124</v>
      </c>
      <c r="D6483" s="16">
        <v>9</v>
      </c>
      <c r="E6483" s="22">
        <v>45077</v>
      </c>
      <c r="F6483" s="19">
        <v>4</v>
      </c>
      <c r="G6483" s="18">
        <v>0.09</v>
      </c>
      <c r="H6483">
        <f>F6483*VLOOKUP(B6483,產品!$A$2:$H$61,7,FALSE)*(1-銷售總表!G6483)</f>
        <v>72800</v>
      </c>
      <c r="I6483" s="35">
        <f>H6483-F6483*VLOOKUP(銷售總表!B6483,產品!$A$2:$H$61,8,FALSE)</f>
        <v>16800</v>
      </c>
      <c r="J6483" s="20">
        <f t="shared" si="101"/>
        <v>0.23076923076923078</v>
      </c>
    </row>
    <row r="6484" spans="1:10" x14ac:dyDescent="0.3">
      <c r="A6484" s="33">
        <v>6483</v>
      </c>
      <c r="B6484" s="4">
        <v>40</v>
      </c>
      <c r="C6484" s="15">
        <v>115</v>
      </c>
      <c r="D6484" s="16">
        <v>7</v>
      </c>
      <c r="E6484" s="23">
        <v>45077</v>
      </c>
      <c r="F6484">
        <v>5</v>
      </c>
      <c r="G6484" s="20">
        <v>0.1</v>
      </c>
      <c r="H6484">
        <f>F6484*VLOOKUP(B6484,產品!$A$2:$H$61,7,FALSE)*(1-銷售總表!G6484)</f>
        <v>90000</v>
      </c>
      <c r="I6484" s="35">
        <f>H6484-F6484*VLOOKUP(銷售總表!B6484,產品!$A$2:$H$61,8,FALSE)</f>
        <v>25000</v>
      </c>
      <c r="J6484" s="20">
        <f t="shared" si="101"/>
        <v>0.27777777777777779</v>
      </c>
    </row>
    <row r="6485" spans="1:10" x14ac:dyDescent="0.3">
      <c r="A6485" s="33">
        <v>6484</v>
      </c>
      <c r="B6485" s="4">
        <v>36</v>
      </c>
      <c r="C6485" s="15">
        <v>258</v>
      </c>
      <c r="D6485" s="16">
        <v>1</v>
      </c>
      <c r="E6485" s="22">
        <v>45078</v>
      </c>
      <c r="F6485" s="19">
        <v>6</v>
      </c>
      <c r="G6485" s="18">
        <v>0.09</v>
      </c>
      <c r="H6485">
        <f>F6485*VLOOKUP(B6485,產品!$A$2:$H$61,7,FALSE)*(1-銷售總表!G6485)</f>
        <v>49140</v>
      </c>
      <c r="I6485" s="35">
        <f>H6485-F6485*VLOOKUP(銷售總表!B6485,產品!$A$2:$H$61,8,FALSE)</f>
        <v>16740</v>
      </c>
      <c r="J6485" s="20">
        <f t="shared" si="101"/>
        <v>0.34065934065934067</v>
      </c>
    </row>
    <row r="6486" spans="1:10" x14ac:dyDescent="0.3">
      <c r="A6486" s="33">
        <v>6485</v>
      </c>
      <c r="B6486" s="4">
        <v>27</v>
      </c>
      <c r="C6486" s="15">
        <v>8</v>
      </c>
      <c r="D6486" s="16">
        <v>8</v>
      </c>
      <c r="E6486" s="22">
        <v>45078</v>
      </c>
      <c r="F6486" s="19">
        <v>4</v>
      </c>
      <c r="G6486" s="18">
        <v>0.12</v>
      </c>
      <c r="H6486">
        <f>F6486*VLOOKUP(B6486,產品!$A$2:$H$61,7,FALSE)*(1-銷售總表!G6486)</f>
        <v>24640</v>
      </c>
      <c r="I6486" s="35">
        <f>H6486-F6486*VLOOKUP(銷售總表!B6486,產品!$A$2:$H$61,8,FALSE)</f>
        <v>7840</v>
      </c>
      <c r="J6486" s="20">
        <f t="shared" si="101"/>
        <v>0.31818181818181818</v>
      </c>
    </row>
    <row r="6487" spans="1:10" x14ac:dyDescent="0.3">
      <c r="A6487" s="33">
        <v>6486</v>
      </c>
      <c r="B6487" s="4">
        <v>60</v>
      </c>
      <c r="C6487" s="15">
        <v>10</v>
      </c>
      <c r="D6487" s="16">
        <v>9</v>
      </c>
      <c r="E6487" s="23">
        <v>45078</v>
      </c>
      <c r="F6487">
        <v>1</v>
      </c>
      <c r="G6487" s="20">
        <v>0.06</v>
      </c>
      <c r="H6487">
        <f>F6487*VLOOKUP(B6487,產品!$A$2:$H$61,7,FALSE)*(1-銷售總表!G6487)</f>
        <v>23500</v>
      </c>
      <c r="I6487" s="35">
        <f>H6487-F6487*VLOOKUP(銷售總表!B6487,產品!$A$2:$H$61,8,FALSE)</f>
        <v>6000</v>
      </c>
      <c r="J6487" s="20">
        <f t="shared" si="101"/>
        <v>0.25531914893617019</v>
      </c>
    </row>
    <row r="6488" spans="1:10" x14ac:dyDescent="0.3">
      <c r="A6488" s="33">
        <v>6487</v>
      </c>
      <c r="B6488" s="4">
        <v>37</v>
      </c>
      <c r="C6488" s="15">
        <v>6</v>
      </c>
      <c r="D6488" s="16">
        <v>10</v>
      </c>
      <c r="E6488" s="23">
        <v>45078</v>
      </c>
      <c r="F6488">
        <v>19</v>
      </c>
      <c r="G6488" s="20">
        <v>0.1</v>
      </c>
      <c r="H6488">
        <f>F6488*VLOOKUP(B6488,產品!$A$2:$H$61,7,FALSE)*(1-銷售總表!G6488)</f>
        <v>205200</v>
      </c>
      <c r="I6488" s="35">
        <f>H6488-F6488*VLOOKUP(銷售總表!B6488,產品!$A$2:$H$61,8,FALSE)</f>
        <v>57000</v>
      </c>
      <c r="J6488" s="20">
        <f t="shared" si="101"/>
        <v>0.27777777777777779</v>
      </c>
    </row>
    <row r="6489" spans="1:10" x14ac:dyDescent="0.3">
      <c r="A6489" s="33">
        <v>6488</v>
      </c>
      <c r="B6489" s="4">
        <v>2</v>
      </c>
      <c r="C6489" s="15">
        <v>267</v>
      </c>
      <c r="D6489" s="16">
        <v>5</v>
      </c>
      <c r="E6489" s="22">
        <v>45079</v>
      </c>
      <c r="F6489" s="19">
        <v>135</v>
      </c>
      <c r="G6489" s="18">
        <v>0.09</v>
      </c>
      <c r="H6489">
        <f>F6489*VLOOKUP(B6489,產品!$A$2:$H$61,7,FALSE)*(1-銷售總表!G6489)</f>
        <v>122850</v>
      </c>
      <c r="I6489" s="35">
        <f>H6489-F6489*VLOOKUP(銷售總表!B6489,產品!$A$2:$H$61,8,FALSE)</f>
        <v>68850</v>
      </c>
      <c r="J6489" s="20">
        <f t="shared" si="101"/>
        <v>0.56043956043956045</v>
      </c>
    </row>
    <row r="6490" spans="1:10" x14ac:dyDescent="0.3">
      <c r="A6490" s="33">
        <v>6489</v>
      </c>
      <c r="B6490" s="4">
        <v>42</v>
      </c>
      <c r="C6490" s="15">
        <v>7</v>
      </c>
      <c r="D6490" s="16">
        <v>5</v>
      </c>
      <c r="E6490" s="22">
        <v>45079</v>
      </c>
      <c r="F6490" s="19">
        <v>2</v>
      </c>
      <c r="G6490" s="18">
        <v>0.2</v>
      </c>
      <c r="H6490">
        <f>F6490*VLOOKUP(B6490,產品!$A$2:$H$61,7,FALSE)*(1-銷售總表!G6490)</f>
        <v>24000</v>
      </c>
      <c r="I6490" s="35">
        <f>H6490-F6490*VLOOKUP(銷售總表!B6490,產品!$A$2:$H$61,8,FALSE)</f>
        <v>4500</v>
      </c>
      <c r="J6490" s="20">
        <f t="shared" si="101"/>
        <v>0.1875</v>
      </c>
    </row>
    <row r="6491" spans="1:10" x14ac:dyDescent="0.3">
      <c r="A6491" s="33">
        <v>6490</v>
      </c>
      <c r="B6491" s="4">
        <v>53</v>
      </c>
      <c r="C6491" s="15">
        <v>136</v>
      </c>
      <c r="D6491" s="16">
        <v>5</v>
      </c>
      <c r="E6491" s="22">
        <v>45079</v>
      </c>
      <c r="F6491" s="19">
        <v>10</v>
      </c>
      <c r="G6491" s="18">
        <v>0.11</v>
      </c>
      <c r="H6491">
        <f>F6491*VLOOKUP(B6491,產品!$A$2:$H$61,7,FALSE)*(1-銷售總表!G6491)</f>
        <v>133500</v>
      </c>
      <c r="I6491" s="35">
        <f>H6491-F6491*VLOOKUP(銷售總表!B6491,產品!$A$2:$H$61,8,FALSE)</f>
        <v>28500</v>
      </c>
      <c r="J6491" s="20">
        <f t="shared" si="101"/>
        <v>0.21348314606741572</v>
      </c>
    </row>
    <row r="6492" spans="1:10" x14ac:dyDescent="0.3">
      <c r="A6492" s="33">
        <v>6491</v>
      </c>
      <c r="B6492" s="4">
        <v>54</v>
      </c>
      <c r="C6492" s="15">
        <v>264</v>
      </c>
      <c r="D6492" s="16">
        <v>6</v>
      </c>
      <c r="E6492" s="22">
        <v>45079</v>
      </c>
      <c r="F6492" s="19">
        <v>1</v>
      </c>
      <c r="G6492" s="18">
        <v>0.09</v>
      </c>
      <c r="H6492">
        <f>F6492*VLOOKUP(B6492,產品!$A$2:$H$61,7,FALSE)*(1-銷售總表!G6492)</f>
        <v>16380</v>
      </c>
      <c r="I6492" s="35">
        <f>H6492-F6492*VLOOKUP(銷售總表!B6492,產品!$A$2:$H$61,8,FALSE)</f>
        <v>3780</v>
      </c>
      <c r="J6492" s="20">
        <f t="shared" si="101"/>
        <v>0.23076923076923078</v>
      </c>
    </row>
    <row r="6493" spans="1:10" x14ac:dyDescent="0.3">
      <c r="A6493" s="33">
        <v>6492</v>
      </c>
      <c r="B6493" s="4">
        <v>24</v>
      </c>
      <c r="C6493" s="15">
        <v>116</v>
      </c>
      <c r="D6493" s="16">
        <v>4</v>
      </c>
      <c r="E6493" s="23">
        <v>45079</v>
      </c>
      <c r="F6493">
        <v>100</v>
      </c>
      <c r="G6493" s="20">
        <v>0.14000000000000001</v>
      </c>
      <c r="H6493">
        <f>F6493*VLOOKUP(B6493,產品!$A$2:$H$61,7,FALSE)*(1-銷售總表!G6493)</f>
        <v>154800</v>
      </c>
      <c r="I6493" s="35">
        <f>H6493-F6493*VLOOKUP(銷售總表!B6493,產品!$A$2:$H$61,8,FALSE)</f>
        <v>82800</v>
      </c>
      <c r="J6493" s="20">
        <f t="shared" si="101"/>
        <v>0.53488372093023251</v>
      </c>
    </row>
    <row r="6494" spans="1:10" x14ac:dyDescent="0.3">
      <c r="A6494" s="33">
        <v>6493</v>
      </c>
      <c r="B6494" s="4">
        <v>10</v>
      </c>
      <c r="C6494" s="15">
        <v>265</v>
      </c>
      <c r="D6494" s="16">
        <v>10</v>
      </c>
      <c r="E6494" s="22">
        <v>45080</v>
      </c>
      <c r="F6494" s="19">
        <v>60</v>
      </c>
      <c r="G6494" s="18">
        <v>0.14000000000000001</v>
      </c>
      <c r="H6494">
        <f>F6494*VLOOKUP(B6494,產品!$A$2:$H$61,7,FALSE)*(1-銷售總表!G6494)</f>
        <v>51600</v>
      </c>
      <c r="I6494" s="35">
        <f>H6494-F6494*VLOOKUP(銷售總表!B6494,產品!$A$2:$H$61,8,FALSE)</f>
        <v>27600</v>
      </c>
      <c r="J6494" s="20">
        <f t="shared" si="101"/>
        <v>0.53488372093023251</v>
      </c>
    </row>
    <row r="6495" spans="1:10" x14ac:dyDescent="0.3">
      <c r="A6495" s="33">
        <v>6494</v>
      </c>
      <c r="B6495" s="4">
        <v>41</v>
      </c>
      <c r="C6495" s="15">
        <v>7</v>
      </c>
      <c r="D6495" s="16">
        <v>2</v>
      </c>
      <c r="E6495" s="23">
        <v>45080</v>
      </c>
      <c r="F6495">
        <v>7</v>
      </c>
      <c r="G6495" s="20">
        <v>0.14000000000000001</v>
      </c>
      <c r="H6495">
        <f>F6495*VLOOKUP(B6495,產品!$A$2:$H$61,7,FALSE)*(1-銷售總表!G6495)</f>
        <v>72240</v>
      </c>
      <c r="I6495" s="35">
        <f>H6495-F6495*VLOOKUP(銷售總表!B6495,產品!$A$2:$H$61,8,FALSE)</f>
        <v>17640</v>
      </c>
      <c r="J6495" s="20">
        <f t="shared" si="101"/>
        <v>0.2441860465116279</v>
      </c>
    </row>
    <row r="6496" spans="1:10" x14ac:dyDescent="0.3">
      <c r="A6496" s="33">
        <v>6495</v>
      </c>
      <c r="B6496" s="4">
        <v>40</v>
      </c>
      <c r="C6496" s="15">
        <v>259</v>
      </c>
      <c r="D6496" s="16">
        <v>6</v>
      </c>
      <c r="E6496" s="22">
        <v>45081</v>
      </c>
      <c r="F6496" s="19">
        <v>3</v>
      </c>
      <c r="G6496" s="18">
        <v>0.13</v>
      </c>
      <c r="H6496">
        <f>F6496*VLOOKUP(B6496,產品!$A$2:$H$61,7,FALSE)*(1-銷售總表!G6496)</f>
        <v>52200</v>
      </c>
      <c r="I6496" s="35">
        <f>H6496-F6496*VLOOKUP(銷售總表!B6496,產品!$A$2:$H$61,8,FALSE)</f>
        <v>13200</v>
      </c>
      <c r="J6496" s="20">
        <f t="shared" si="101"/>
        <v>0.25287356321839083</v>
      </c>
    </row>
    <row r="6497" spans="1:10" x14ac:dyDescent="0.3">
      <c r="A6497" s="33">
        <v>6496</v>
      </c>
      <c r="B6497" s="4">
        <v>34</v>
      </c>
      <c r="C6497" s="15">
        <v>286</v>
      </c>
      <c r="D6497" s="16">
        <v>3</v>
      </c>
      <c r="E6497" s="22">
        <v>45081</v>
      </c>
      <c r="F6497" s="19">
        <v>4</v>
      </c>
      <c r="G6497" s="18">
        <v>0.08</v>
      </c>
      <c r="H6497">
        <f>F6497*VLOOKUP(B6497,產品!$A$2:$H$61,7,FALSE)*(1-銷售總表!G6497)</f>
        <v>29440</v>
      </c>
      <c r="I6497" s="35">
        <f>H6497-F6497*VLOOKUP(銷售總表!B6497,產品!$A$2:$H$61,8,FALSE)</f>
        <v>10240</v>
      </c>
      <c r="J6497" s="20">
        <f t="shared" si="101"/>
        <v>0.34782608695652173</v>
      </c>
    </row>
    <row r="6498" spans="1:10" x14ac:dyDescent="0.3">
      <c r="A6498" s="33">
        <v>6497</v>
      </c>
      <c r="B6498" s="4">
        <v>33</v>
      </c>
      <c r="C6498" s="15">
        <v>121</v>
      </c>
      <c r="D6498" s="16">
        <v>8</v>
      </c>
      <c r="E6498" s="22">
        <v>45081</v>
      </c>
      <c r="F6498" s="19">
        <v>6</v>
      </c>
      <c r="G6498" s="18">
        <v>0.18</v>
      </c>
      <c r="H6498">
        <f>F6498*VLOOKUP(B6498,產品!$A$2:$H$61,7,FALSE)*(1-銷售總表!G6498)</f>
        <v>36900</v>
      </c>
      <c r="I6498" s="35">
        <f>H6498-F6498*VLOOKUP(銷售總表!B6498,產品!$A$2:$H$61,8,FALSE)</f>
        <v>9900</v>
      </c>
      <c r="J6498" s="20">
        <f t="shared" si="101"/>
        <v>0.26829268292682928</v>
      </c>
    </row>
    <row r="6499" spans="1:10" x14ac:dyDescent="0.3">
      <c r="A6499" s="33">
        <v>6498</v>
      </c>
      <c r="B6499" s="4">
        <v>13</v>
      </c>
      <c r="C6499" s="15">
        <v>262</v>
      </c>
      <c r="D6499" s="16">
        <v>3</v>
      </c>
      <c r="E6499" s="23">
        <v>45081</v>
      </c>
      <c r="F6499">
        <v>90</v>
      </c>
      <c r="G6499" s="20">
        <v>0.05</v>
      </c>
      <c r="H6499">
        <f>F6499*VLOOKUP(B6499,產品!$A$2:$H$61,7,FALSE)*(1-銷售總表!G6499)</f>
        <v>153900</v>
      </c>
      <c r="I6499" s="35">
        <f>H6499-F6499*VLOOKUP(銷售總表!B6499,產品!$A$2:$H$61,8,FALSE)</f>
        <v>89100</v>
      </c>
      <c r="J6499" s="20">
        <f t="shared" si="101"/>
        <v>0.57894736842105265</v>
      </c>
    </row>
    <row r="6500" spans="1:10" x14ac:dyDescent="0.3">
      <c r="A6500" s="33">
        <v>6499</v>
      </c>
      <c r="B6500" s="4">
        <v>4</v>
      </c>
      <c r="C6500" s="15">
        <v>267</v>
      </c>
      <c r="D6500" s="16">
        <v>8</v>
      </c>
      <c r="E6500" s="22">
        <v>45082</v>
      </c>
      <c r="F6500" s="19">
        <v>18</v>
      </c>
      <c r="G6500" s="18">
        <v>0.09</v>
      </c>
      <c r="H6500">
        <f>F6500*VLOOKUP(B6500,產品!$A$2:$H$61,7,FALSE)*(1-銷售總表!G6500)</f>
        <v>16380</v>
      </c>
      <c r="I6500" s="35">
        <f>H6500-F6500*VLOOKUP(銷售總表!B6500,產品!$A$2:$H$61,8,FALSE)</f>
        <v>9180</v>
      </c>
      <c r="J6500" s="20">
        <f t="shared" si="101"/>
        <v>0.56043956043956045</v>
      </c>
    </row>
    <row r="6501" spans="1:10" x14ac:dyDescent="0.3">
      <c r="A6501" s="33">
        <v>6500</v>
      </c>
      <c r="B6501" s="4">
        <v>36</v>
      </c>
      <c r="C6501" s="15">
        <v>271</v>
      </c>
      <c r="D6501" s="16">
        <v>3</v>
      </c>
      <c r="E6501" s="22">
        <v>45082</v>
      </c>
      <c r="F6501" s="19">
        <v>20</v>
      </c>
      <c r="G6501" s="18">
        <v>0.05</v>
      </c>
      <c r="H6501">
        <f>F6501*VLOOKUP(B6501,產品!$A$2:$H$61,7,FALSE)*(1-銷售總表!G6501)</f>
        <v>171000</v>
      </c>
      <c r="I6501" s="35">
        <f>H6501-F6501*VLOOKUP(銷售總表!B6501,產品!$A$2:$H$61,8,FALSE)</f>
        <v>63000</v>
      </c>
      <c r="J6501" s="20">
        <f t="shared" si="101"/>
        <v>0.36842105263157893</v>
      </c>
    </row>
    <row r="6502" spans="1:10" x14ac:dyDescent="0.3">
      <c r="A6502" s="33">
        <v>6501</v>
      </c>
      <c r="B6502" s="4">
        <v>50</v>
      </c>
      <c r="C6502" s="15">
        <v>140</v>
      </c>
      <c r="D6502" s="16">
        <v>10</v>
      </c>
      <c r="E6502" s="22">
        <v>45083</v>
      </c>
      <c r="F6502" s="19">
        <v>7</v>
      </c>
      <c r="G6502" s="18">
        <v>0.05</v>
      </c>
      <c r="H6502">
        <f>F6502*VLOOKUP(B6502,產品!$A$2:$H$61,7,FALSE)*(1-銷售總表!G6502)</f>
        <v>119700</v>
      </c>
      <c r="I6502" s="35">
        <f>H6502-F6502*VLOOKUP(銷售總表!B6502,產品!$A$2:$H$61,8,FALSE)</f>
        <v>31500</v>
      </c>
      <c r="J6502" s="20">
        <f t="shared" si="101"/>
        <v>0.26315789473684209</v>
      </c>
    </row>
    <row r="6503" spans="1:10" x14ac:dyDescent="0.3">
      <c r="A6503" s="33">
        <v>6502</v>
      </c>
      <c r="B6503" s="4">
        <v>9</v>
      </c>
      <c r="C6503" s="15">
        <v>9</v>
      </c>
      <c r="D6503" s="16">
        <v>5</v>
      </c>
      <c r="E6503" s="22">
        <v>45083</v>
      </c>
      <c r="F6503" s="19">
        <v>11</v>
      </c>
      <c r="G6503" s="18">
        <v>0.05</v>
      </c>
      <c r="H6503">
        <f>F6503*VLOOKUP(B6503,產品!$A$2:$H$61,7,FALSE)*(1-銷售總表!G6503)</f>
        <v>10450</v>
      </c>
      <c r="I6503" s="35">
        <f>H6503-F6503*VLOOKUP(銷售總表!B6503,產品!$A$2:$H$61,8,FALSE)</f>
        <v>6050</v>
      </c>
      <c r="J6503" s="20">
        <f t="shared" si="101"/>
        <v>0.57894736842105265</v>
      </c>
    </row>
    <row r="6504" spans="1:10" x14ac:dyDescent="0.3">
      <c r="A6504" s="33">
        <v>6503</v>
      </c>
      <c r="B6504" s="4">
        <v>6</v>
      </c>
      <c r="C6504" s="15">
        <v>258</v>
      </c>
      <c r="D6504" s="16">
        <v>6</v>
      </c>
      <c r="E6504" s="23">
        <v>45083</v>
      </c>
      <c r="F6504">
        <v>200</v>
      </c>
      <c r="G6504" s="20">
        <v>0.2</v>
      </c>
      <c r="H6504">
        <f>F6504*VLOOKUP(B6504,產品!$A$2:$H$61,7,FALSE)*(1-銷售總表!G6504)</f>
        <v>160000</v>
      </c>
      <c r="I6504" s="35">
        <f>H6504-F6504*VLOOKUP(銷售總表!B6504,產品!$A$2:$H$61,8,FALSE)</f>
        <v>80000</v>
      </c>
      <c r="J6504" s="20">
        <f t="shared" si="101"/>
        <v>0.5</v>
      </c>
    </row>
    <row r="6505" spans="1:10" x14ac:dyDescent="0.3">
      <c r="A6505" s="33">
        <v>6504</v>
      </c>
      <c r="B6505" s="4">
        <v>40</v>
      </c>
      <c r="C6505" s="15">
        <v>4</v>
      </c>
      <c r="D6505" s="16">
        <v>2</v>
      </c>
      <c r="E6505" s="22">
        <v>45084</v>
      </c>
      <c r="F6505" s="19">
        <v>13</v>
      </c>
      <c r="G6505" s="18">
        <v>0.06</v>
      </c>
      <c r="H6505">
        <f>F6505*VLOOKUP(B6505,產品!$A$2:$H$61,7,FALSE)*(1-銷售總表!G6505)</f>
        <v>244400</v>
      </c>
      <c r="I6505" s="35">
        <f>H6505-F6505*VLOOKUP(銷售總表!B6505,產品!$A$2:$H$61,8,FALSE)</f>
        <v>75400</v>
      </c>
      <c r="J6505" s="20">
        <f t="shared" si="101"/>
        <v>0.30851063829787234</v>
      </c>
    </row>
    <row r="6506" spans="1:10" x14ac:dyDescent="0.3">
      <c r="A6506" s="33">
        <v>6505</v>
      </c>
      <c r="B6506" s="4">
        <v>48</v>
      </c>
      <c r="C6506" s="15">
        <v>264</v>
      </c>
      <c r="D6506" s="16">
        <v>2</v>
      </c>
      <c r="E6506" s="22">
        <v>45084</v>
      </c>
      <c r="F6506" s="19">
        <v>2</v>
      </c>
      <c r="G6506" s="18">
        <v>0.06</v>
      </c>
      <c r="H6506">
        <f>F6506*VLOOKUP(B6506,產品!$A$2:$H$61,7,FALSE)*(1-銷售總表!G6506)</f>
        <v>41360</v>
      </c>
      <c r="I6506" s="35">
        <f>H6506-F6506*VLOOKUP(銷售總表!B6506,產品!$A$2:$H$61,8,FALSE)</f>
        <v>12760</v>
      </c>
      <c r="J6506" s="20">
        <f t="shared" si="101"/>
        <v>0.30851063829787234</v>
      </c>
    </row>
    <row r="6507" spans="1:10" x14ac:dyDescent="0.3">
      <c r="A6507" s="33">
        <v>6506</v>
      </c>
      <c r="B6507" s="4">
        <v>24</v>
      </c>
      <c r="C6507" s="15">
        <v>269</v>
      </c>
      <c r="D6507" s="16">
        <v>3</v>
      </c>
      <c r="E6507" s="22">
        <v>45084</v>
      </c>
      <c r="F6507" s="19">
        <v>90</v>
      </c>
      <c r="G6507" s="18">
        <v>0.09</v>
      </c>
      <c r="H6507">
        <f>F6507*VLOOKUP(B6507,產品!$A$2:$H$61,7,FALSE)*(1-銷售總表!G6507)</f>
        <v>147420</v>
      </c>
      <c r="I6507" s="35">
        <f>H6507-F6507*VLOOKUP(銷售總表!B6507,產品!$A$2:$H$61,8,FALSE)</f>
        <v>82620</v>
      </c>
      <c r="J6507" s="20">
        <f t="shared" si="101"/>
        <v>0.56043956043956045</v>
      </c>
    </row>
    <row r="6508" spans="1:10" x14ac:dyDescent="0.3">
      <c r="A6508" s="33">
        <v>6507</v>
      </c>
      <c r="B6508" s="4">
        <v>58</v>
      </c>
      <c r="C6508" s="15">
        <v>113</v>
      </c>
      <c r="D6508" s="16">
        <v>4</v>
      </c>
      <c r="E6508" s="23">
        <v>45084</v>
      </c>
      <c r="F6508">
        <v>9</v>
      </c>
      <c r="G6508" s="20">
        <v>0.19</v>
      </c>
      <c r="H6508">
        <f>F6508*VLOOKUP(B6508,產品!$A$2:$H$61,7,FALSE)*(1-銷售總表!G6508)</f>
        <v>153090</v>
      </c>
      <c r="I6508" s="35">
        <f>H6508-F6508*VLOOKUP(銷售總表!B6508,產品!$A$2:$H$61,8,FALSE)</f>
        <v>20790.000000000029</v>
      </c>
      <c r="J6508" s="20">
        <f t="shared" si="101"/>
        <v>0.13580246913580266</v>
      </c>
    </row>
    <row r="6509" spans="1:10" x14ac:dyDescent="0.3">
      <c r="A6509" s="33">
        <v>6508</v>
      </c>
      <c r="B6509" s="4">
        <v>16</v>
      </c>
      <c r="C6509" s="15">
        <v>6</v>
      </c>
      <c r="D6509" s="16">
        <v>7</v>
      </c>
      <c r="E6509" s="23">
        <v>45085</v>
      </c>
      <c r="F6509">
        <v>70</v>
      </c>
      <c r="G6509" s="20">
        <v>0.06</v>
      </c>
      <c r="H6509">
        <f>F6509*VLOOKUP(B6509,產品!$A$2:$H$61,7,FALSE)*(1-銷售總表!G6509)</f>
        <v>118440</v>
      </c>
      <c r="I6509" s="35">
        <f>H6509-F6509*VLOOKUP(銷售總表!B6509,產品!$A$2:$H$61,8,FALSE)</f>
        <v>68040</v>
      </c>
      <c r="J6509" s="20">
        <f t="shared" si="101"/>
        <v>0.57446808510638303</v>
      </c>
    </row>
    <row r="6510" spans="1:10" x14ac:dyDescent="0.3">
      <c r="A6510" s="33">
        <v>6509</v>
      </c>
      <c r="B6510" s="4">
        <v>25</v>
      </c>
      <c r="C6510" s="15">
        <v>121</v>
      </c>
      <c r="D6510" s="16">
        <v>7</v>
      </c>
      <c r="E6510" s="23">
        <v>45085</v>
      </c>
      <c r="F6510">
        <v>5</v>
      </c>
      <c r="G6510" s="20">
        <v>0.09</v>
      </c>
      <c r="H6510">
        <f>F6510*VLOOKUP(B6510,產品!$A$2:$H$61,7,FALSE)*(1-銷售總表!G6510)</f>
        <v>27300</v>
      </c>
      <c r="I6510" s="35">
        <f>H6510-F6510*VLOOKUP(銷售總表!B6510,產品!$A$2:$H$61,8,FALSE)</f>
        <v>9300</v>
      </c>
      <c r="J6510" s="20">
        <f t="shared" si="101"/>
        <v>0.34065934065934067</v>
      </c>
    </row>
    <row r="6511" spans="1:10" x14ac:dyDescent="0.3">
      <c r="A6511" s="33">
        <v>6510</v>
      </c>
      <c r="B6511" s="4">
        <v>17</v>
      </c>
      <c r="C6511" s="15">
        <v>8</v>
      </c>
      <c r="D6511" s="16">
        <v>5</v>
      </c>
      <c r="E6511" s="23">
        <v>45085</v>
      </c>
      <c r="F6511">
        <v>70</v>
      </c>
      <c r="G6511" s="20">
        <v>0.12</v>
      </c>
      <c r="H6511">
        <f>F6511*VLOOKUP(B6511,產品!$A$2:$H$61,7,FALSE)*(1-銷售總表!G6511)</f>
        <v>110880</v>
      </c>
      <c r="I6511" s="35">
        <f>H6511-F6511*VLOOKUP(銷售總表!B6511,產品!$A$2:$H$61,8,FALSE)</f>
        <v>60480</v>
      </c>
      <c r="J6511" s="20">
        <f t="shared" si="101"/>
        <v>0.54545454545454541</v>
      </c>
    </row>
    <row r="6512" spans="1:10" x14ac:dyDescent="0.3">
      <c r="A6512" s="33">
        <v>6511</v>
      </c>
      <c r="B6512" s="4">
        <v>51</v>
      </c>
      <c r="C6512" s="15">
        <v>115</v>
      </c>
      <c r="D6512" s="16">
        <v>9</v>
      </c>
      <c r="E6512" s="22">
        <v>45086</v>
      </c>
      <c r="F6512" s="19">
        <v>12</v>
      </c>
      <c r="G6512" s="18">
        <v>0.19</v>
      </c>
      <c r="H6512">
        <f>F6512*VLOOKUP(B6512,產品!$A$2:$H$61,7,FALSE)*(1-銷售總表!G6512)</f>
        <v>194400</v>
      </c>
      <c r="I6512" s="35">
        <f>H6512-F6512*VLOOKUP(銷售總表!B6512,產品!$A$2:$H$61,8,FALSE)</f>
        <v>26400</v>
      </c>
      <c r="J6512" s="20">
        <f t="shared" si="101"/>
        <v>0.13580246913580246</v>
      </c>
    </row>
    <row r="6513" spans="1:10" x14ac:dyDescent="0.3">
      <c r="A6513" s="33">
        <v>6512</v>
      </c>
      <c r="B6513" s="4">
        <v>6</v>
      </c>
      <c r="C6513" s="15">
        <v>125</v>
      </c>
      <c r="D6513" s="16">
        <v>8</v>
      </c>
      <c r="E6513" s="22">
        <v>45087</v>
      </c>
      <c r="F6513" s="19">
        <v>40</v>
      </c>
      <c r="G6513" s="18">
        <v>0.14000000000000001</v>
      </c>
      <c r="H6513">
        <f>F6513*VLOOKUP(B6513,產品!$A$2:$H$61,7,FALSE)*(1-銷售總表!G6513)</f>
        <v>34400</v>
      </c>
      <c r="I6513" s="35">
        <f>H6513-F6513*VLOOKUP(銷售總表!B6513,產品!$A$2:$H$61,8,FALSE)</f>
        <v>18400</v>
      </c>
      <c r="J6513" s="20">
        <f t="shared" si="101"/>
        <v>0.53488372093023251</v>
      </c>
    </row>
    <row r="6514" spans="1:10" x14ac:dyDescent="0.3">
      <c r="A6514" s="33">
        <v>6513</v>
      </c>
      <c r="B6514" s="4">
        <v>54</v>
      </c>
      <c r="C6514" s="15">
        <v>2</v>
      </c>
      <c r="D6514" s="16">
        <v>7</v>
      </c>
      <c r="E6514" s="22">
        <v>45088</v>
      </c>
      <c r="F6514" s="19">
        <v>2</v>
      </c>
      <c r="G6514" s="18">
        <v>7.0000000000000007E-2</v>
      </c>
      <c r="H6514">
        <f>F6514*VLOOKUP(B6514,產品!$A$2:$H$61,7,FALSE)*(1-銷售總表!G6514)</f>
        <v>33480</v>
      </c>
      <c r="I6514" s="35">
        <f>H6514-F6514*VLOOKUP(銷售總表!B6514,產品!$A$2:$H$61,8,FALSE)</f>
        <v>8280</v>
      </c>
      <c r="J6514" s="20">
        <f t="shared" si="101"/>
        <v>0.24731182795698925</v>
      </c>
    </row>
    <row r="6515" spans="1:10" x14ac:dyDescent="0.3">
      <c r="A6515" s="33">
        <v>6514</v>
      </c>
      <c r="B6515" s="4">
        <v>26</v>
      </c>
      <c r="C6515" s="15">
        <v>271</v>
      </c>
      <c r="D6515" s="16">
        <v>1</v>
      </c>
      <c r="E6515" s="23">
        <v>45089</v>
      </c>
      <c r="F6515">
        <v>5</v>
      </c>
      <c r="G6515" s="20">
        <v>0.15</v>
      </c>
      <c r="H6515">
        <f>F6515*VLOOKUP(B6515,產品!$A$2:$H$61,7,FALSE)*(1-銷售總表!G6515)</f>
        <v>27625</v>
      </c>
      <c r="I6515" s="35">
        <f>H6515-F6515*VLOOKUP(銷售總表!B6515,產品!$A$2:$H$61,8,FALSE)</f>
        <v>8125</v>
      </c>
      <c r="J6515" s="20">
        <f t="shared" si="101"/>
        <v>0.29411764705882354</v>
      </c>
    </row>
    <row r="6516" spans="1:10" x14ac:dyDescent="0.3">
      <c r="A6516" s="33">
        <v>6515</v>
      </c>
      <c r="B6516" s="4">
        <v>40</v>
      </c>
      <c r="C6516" s="15">
        <v>6</v>
      </c>
      <c r="D6516" s="16">
        <v>10</v>
      </c>
      <c r="E6516" s="22">
        <v>45091</v>
      </c>
      <c r="F6516" s="19">
        <v>9</v>
      </c>
      <c r="G6516" s="18">
        <v>7.0000000000000007E-2</v>
      </c>
      <c r="H6516">
        <f>F6516*VLOOKUP(B6516,產品!$A$2:$H$61,7,FALSE)*(1-銷售總表!G6516)</f>
        <v>167400</v>
      </c>
      <c r="I6516" s="35">
        <f>H6516-F6516*VLOOKUP(銷售總表!B6516,產品!$A$2:$H$61,8,FALSE)</f>
        <v>50400</v>
      </c>
      <c r="J6516" s="20">
        <f t="shared" si="101"/>
        <v>0.30107526881720431</v>
      </c>
    </row>
    <row r="6517" spans="1:10" x14ac:dyDescent="0.3">
      <c r="A6517" s="33">
        <v>6516</v>
      </c>
      <c r="B6517" s="4">
        <v>16</v>
      </c>
      <c r="C6517" s="15">
        <v>265</v>
      </c>
      <c r="D6517" s="16">
        <v>7</v>
      </c>
      <c r="E6517" s="23">
        <v>45091</v>
      </c>
      <c r="F6517">
        <v>13</v>
      </c>
      <c r="G6517" s="20">
        <v>0.05</v>
      </c>
      <c r="H6517">
        <f>F6517*VLOOKUP(B6517,產品!$A$2:$H$61,7,FALSE)*(1-銷售總表!G6517)</f>
        <v>22230</v>
      </c>
      <c r="I6517" s="35">
        <f>H6517-F6517*VLOOKUP(銷售總表!B6517,產品!$A$2:$H$61,8,FALSE)</f>
        <v>12870</v>
      </c>
      <c r="J6517" s="20">
        <f t="shared" si="101"/>
        <v>0.57894736842105265</v>
      </c>
    </row>
    <row r="6518" spans="1:10" x14ac:dyDescent="0.3">
      <c r="A6518" s="33">
        <v>6517</v>
      </c>
      <c r="B6518" s="4">
        <v>3</v>
      </c>
      <c r="C6518" s="15">
        <v>9</v>
      </c>
      <c r="D6518" s="16">
        <v>6</v>
      </c>
      <c r="E6518" s="22">
        <v>45092</v>
      </c>
      <c r="F6518" s="19">
        <v>200</v>
      </c>
      <c r="G6518" s="18">
        <v>0.08</v>
      </c>
      <c r="H6518">
        <f>F6518*VLOOKUP(B6518,產品!$A$2:$H$61,7,FALSE)*(1-銷售總表!G6518)</f>
        <v>184000</v>
      </c>
      <c r="I6518" s="35">
        <f>H6518-F6518*VLOOKUP(銷售總表!B6518,產品!$A$2:$H$61,8,FALSE)</f>
        <v>104000</v>
      </c>
      <c r="J6518" s="20">
        <f t="shared" si="101"/>
        <v>0.56521739130434778</v>
      </c>
    </row>
    <row r="6519" spans="1:10" x14ac:dyDescent="0.3">
      <c r="A6519" s="33">
        <v>6518</v>
      </c>
      <c r="B6519" s="4">
        <v>4</v>
      </c>
      <c r="C6519" s="15">
        <v>120</v>
      </c>
      <c r="D6519" s="16">
        <v>1</v>
      </c>
      <c r="E6519" s="22">
        <v>45094</v>
      </c>
      <c r="F6519" s="19">
        <v>250</v>
      </c>
      <c r="G6519" s="18">
        <v>0.19</v>
      </c>
      <c r="H6519">
        <f>F6519*VLOOKUP(B6519,產品!$A$2:$H$61,7,FALSE)*(1-銷售總表!G6519)</f>
        <v>202500</v>
      </c>
      <c r="I6519" s="35">
        <f>H6519-F6519*VLOOKUP(銷售總表!B6519,產品!$A$2:$H$61,8,FALSE)</f>
        <v>102500</v>
      </c>
      <c r="J6519" s="20">
        <f t="shared" si="101"/>
        <v>0.50617283950617287</v>
      </c>
    </row>
    <row r="6520" spans="1:10" x14ac:dyDescent="0.3">
      <c r="A6520" s="33">
        <v>6519</v>
      </c>
      <c r="B6520" s="4">
        <v>55</v>
      </c>
      <c r="C6520" s="15">
        <v>292</v>
      </c>
      <c r="D6520" s="16">
        <v>6</v>
      </c>
      <c r="E6520" s="22">
        <v>45094</v>
      </c>
      <c r="F6520" s="19">
        <v>15</v>
      </c>
      <c r="G6520" s="18">
        <v>0.1</v>
      </c>
      <c r="H6520">
        <f>F6520*VLOOKUP(B6520,產品!$A$2:$H$61,7,FALSE)*(1-銷售總表!G6520)</f>
        <v>270000</v>
      </c>
      <c r="I6520" s="35">
        <f>H6520-F6520*VLOOKUP(銷售總表!B6520,產品!$A$2:$H$61,8,FALSE)</f>
        <v>60000</v>
      </c>
      <c r="J6520" s="20">
        <f t="shared" si="101"/>
        <v>0.22222222222222221</v>
      </c>
    </row>
    <row r="6521" spans="1:10" x14ac:dyDescent="0.3">
      <c r="A6521" s="33">
        <v>6520</v>
      </c>
      <c r="B6521" s="4">
        <v>56</v>
      </c>
      <c r="C6521" s="15">
        <v>6</v>
      </c>
      <c r="D6521" s="16">
        <v>2</v>
      </c>
      <c r="E6521" s="22">
        <v>45094</v>
      </c>
      <c r="F6521" s="19">
        <v>8</v>
      </c>
      <c r="G6521" s="18">
        <v>0.11</v>
      </c>
      <c r="H6521">
        <f>F6521*VLOOKUP(B6521,產品!$A$2:$H$61,7,FALSE)*(1-銷售總表!G6521)</f>
        <v>156640</v>
      </c>
      <c r="I6521" s="35">
        <f>H6521-F6521*VLOOKUP(銷售總表!B6521,產品!$A$2:$H$61,8,FALSE)</f>
        <v>33440.000000000015</v>
      </c>
      <c r="J6521" s="20">
        <f t="shared" si="101"/>
        <v>0.21348314606741584</v>
      </c>
    </row>
    <row r="6522" spans="1:10" x14ac:dyDescent="0.3">
      <c r="A6522" s="33">
        <v>6521</v>
      </c>
      <c r="B6522" s="4">
        <v>25</v>
      </c>
      <c r="C6522" s="15">
        <v>294</v>
      </c>
      <c r="D6522" s="16">
        <v>8</v>
      </c>
      <c r="E6522" s="23">
        <v>45094</v>
      </c>
      <c r="F6522">
        <v>6</v>
      </c>
      <c r="G6522" s="20">
        <v>7.0000000000000007E-2</v>
      </c>
      <c r="H6522">
        <f>F6522*VLOOKUP(B6522,產品!$A$2:$H$61,7,FALSE)*(1-銷售總表!G6522)</f>
        <v>33480</v>
      </c>
      <c r="I6522" s="35">
        <f>H6522-F6522*VLOOKUP(銷售總表!B6522,產品!$A$2:$H$61,8,FALSE)</f>
        <v>11880</v>
      </c>
      <c r="J6522" s="20">
        <f t="shared" si="101"/>
        <v>0.35483870967741937</v>
      </c>
    </row>
    <row r="6523" spans="1:10" x14ac:dyDescent="0.3">
      <c r="A6523" s="33">
        <v>6522</v>
      </c>
      <c r="B6523" s="4">
        <v>43</v>
      </c>
      <c r="C6523" s="15">
        <v>11</v>
      </c>
      <c r="D6523" s="16">
        <v>7</v>
      </c>
      <c r="E6523" s="22">
        <v>45095</v>
      </c>
      <c r="F6523" s="19">
        <v>5</v>
      </c>
      <c r="G6523" s="18">
        <v>0.12</v>
      </c>
      <c r="H6523">
        <f>F6523*VLOOKUP(B6523,產品!$A$2:$H$61,7,FALSE)*(1-銷售總表!G6523)</f>
        <v>79200</v>
      </c>
      <c r="I6523" s="35">
        <f>H6523-F6523*VLOOKUP(銷售總表!B6523,產品!$A$2:$H$61,8,FALSE)</f>
        <v>20700</v>
      </c>
      <c r="J6523" s="20">
        <f t="shared" si="101"/>
        <v>0.26136363636363635</v>
      </c>
    </row>
    <row r="6524" spans="1:10" x14ac:dyDescent="0.3">
      <c r="A6524" s="33">
        <v>6523</v>
      </c>
      <c r="B6524" s="4">
        <v>27</v>
      </c>
      <c r="C6524" s="15">
        <v>9</v>
      </c>
      <c r="D6524" s="16">
        <v>10</v>
      </c>
      <c r="E6524" s="22">
        <v>45095</v>
      </c>
      <c r="F6524" s="19">
        <v>5</v>
      </c>
      <c r="G6524" s="18">
        <v>0.05</v>
      </c>
      <c r="H6524">
        <f>F6524*VLOOKUP(B6524,產品!$A$2:$H$61,7,FALSE)*(1-銷售總表!G6524)</f>
        <v>33250</v>
      </c>
      <c r="I6524" s="35">
        <f>H6524-F6524*VLOOKUP(銷售總表!B6524,產品!$A$2:$H$61,8,FALSE)</f>
        <v>12250</v>
      </c>
      <c r="J6524" s="20">
        <f t="shared" si="101"/>
        <v>0.36842105263157893</v>
      </c>
    </row>
    <row r="6525" spans="1:10" x14ac:dyDescent="0.3">
      <c r="A6525" s="33">
        <v>6524</v>
      </c>
      <c r="B6525" s="4">
        <v>30</v>
      </c>
      <c r="C6525" s="15">
        <v>140</v>
      </c>
      <c r="D6525" s="16">
        <v>8</v>
      </c>
      <c r="E6525" s="23">
        <v>45095</v>
      </c>
      <c r="F6525">
        <v>5</v>
      </c>
      <c r="G6525" s="20">
        <v>7.0000000000000007E-2</v>
      </c>
      <c r="H6525">
        <f>F6525*VLOOKUP(B6525,產品!$A$2:$H$61,7,FALSE)*(1-銷售總表!G6525)</f>
        <v>30224.999999999996</v>
      </c>
      <c r="I6525" s="35">
        <f>H6525-F6525*VLOOKUP(銷售總表!B6525,產品!$A$2:$H$61,8,FALSE)</f>
        <v>10724.999999999996</v>
      </c>
      <c r="J6525" s="20">
        <f t="shared" si="101"/>
        <v>0.35483870967741926</v>
      </c>
    </row>
    <row r="6526" spans="1:10" x14ac:dyDescent="0.3">
      <c r="A6526" s="33">
        <v>6525</v>
      </c>
      <c r="B6526" s="4">
        <v>31</v>
      </c>
      <c r="C6526" s="15">
        <v>278</v>
      </c>
      <c r="D6526" s="16">
        <v>3</v>
      </c>
      <c r="E6526" s="22">
        <v>45095</v>
      </c>
      <c r="F6526" s="19">
        <v>5</v>
      </c>
      <c r="G6526" s="18">
        <v>0.06</v>
      </c>
      <c r="H6526">
        <f>F6526*VLOOKUP(B6526,產品!$A$2:$H$61,7,FALSE)*(1-銷售總表!G6526)</f>
        <v>32900</v>
      </c>
      <c r="I6526" s="35">
        <f>H6526-F6526*VLOOKUP(銷售總表!B6526,產品!$A$2:$H$61,8,FALSE)</f>
        <v>11900</v>
      </c>
      <c r="J6526" s="20">
        <f t="shared" si="101"/>
        <v>0.36170212765957449</v>
      </c>
    </row>
    <row r="6527" spans="1:10" x14ac:dyDescent="0.3">
      <c r="A6527" s="33">
        <v>6526</v>
      </c>
      <c r="B6527" s="4">
        <v>21</v>
      </c>
      <c r="C6527" s="15">
        <v>275</v>
      </c>
      <c r="D6527" s="16">
        <v>1</v>
      </c>
      <c r="E6527" s="23">
        <v>45095</v>
      </c>
      <c r="F6527">
        <v>150</v>
      </c>
      <c r="G6527" s="20">
        <v>0.19</v>
      </c>
      <c r="H6527">
        <f>F6527*VLOOKUP(B6527,產品!$A$2:$H$61,7,FALSE)*(1-銷售總表!G6527)</f>
        <v>218700</v>
      </c>
      <c r="I6527" s="35">
        <f>H6527-F6527*VLOOKUP(銷售總表!B6527,產品!$A$2:$H$61,8,FALSE)</f>
        <v>110700</v>
      </c>
      <c r="J6527" s="20">
        <f t="shared" si="101"/>
        <v>0.50617283950617287</v>
      </c>
    </row>
    <row r="6528" spans="1:10" x14ac:dyDescent="0.3">
      <c r="A6528" s="33">
        <v>6527</v>
      </c>
      <c r="B6528" s="4">
        <v>38</v>
      </c>
      <c r="C6528" s="15">
        <v>121</v>
      </c>
      <c r="D6528" s="16">
        <v>5</v>
      </c>
      <c r="E6528" s="22">
        <v>45096</v>
      </c>
      <c r="F6528" s="19">
        <v>18</v>
      </c>
      <c r="G6528" s="18">
        <v>0.05</v>
      </c>
      <c r="H6528">
        <f>F6528*VLOOKUP(B6528,產品!$A$2:$H$61,7,FALSE)*(1-銷售總表!G6528)</f>
        <v>256500</v>
      </c>
      <c r="I6528" s="35">
        <f>H6528-F6528*VLOOKUP(銷售總表!B6528,產品!$A$2:$H$61,8,FALSE)</f>
        <v>81000</v>
      </c>
      <c r="J6528" s="20">
        <f t="shared" si="101"/>
        <v>0.31578947368421051</v>
      </c>
    </row>
    <row r="6529" spans="1:10" x14ac:dyDescent="0.3">
      <c r="A6529" s="33">
        <v>6528</v>
      </c>
      <c r="B6529" s="4">
        <v>27</v>
      </c>
      <c r="C6529" s="15">
        <v>259</v>
      </c>
      <c r="D6529" s="16">
        <v>6</v>
      </c>
      <c r="E6529" s="22">
        <v>45096</v>
      </c>
      <c r="F6529" s="19">
        <v>4</v>
      </c>
      <c r="G6529" s="18">
        <v>0.1</v>
      </c>
      <c r="H6529">
        <f>F6529*VLOOKUP(B6529,產品!$A$2:$H$61,7,FALSE)*(1-銷售總表!G6529)</f>
        <v>25200</v>
      </c>
      <c r="I6529" s="35">
        <f>H6529-F6529*VLOOKUP(銷售總表!B6529,產品!$A$2:$H$61,8,FALSE)</f>
        <v>8400</v>
      </c>
      <c r="J6529" s="20">
        <f t="shared" si="101"/>
        <v>0.33333333333333331</v>
      </c>
    </row>
    <row r="6530" spans="1:10" x14ac:dyDescent="0.3">
      <c r="A6530" s="33">
        <v>6529</v>
      </c>
      <c r="B6530" s="4">
        <v>38</v>
      </c>
      <c r="C6530" s="15">
        <v>136</v>
      </c>
      <c r="D6530" s="16">
        <v>7</v>
      </c>
      <c r="E6530" s="22">
        <v>45096</v>
      </c>
      <c r="F6530" s="19">
        <v>10</v>
      </c>
      <c r="G6530" s="18">
        <v>0.17</v>
      </c>
      <c r="H6530">
        <f>F6530*VLOOKUP(B6530,產品!$A$2:$H$61,7,FALSE)*(1-銷售總表!G6530)</f>
        <v>124500</v>
      </c>
      <c r="I6530" s="35">
        <f>H6530-F6530*VLOOKUP(銷售總表!B6530,產品!$A$2:$H$61,8,FALSE)</f>
        <v>27000</v>
      </c>
      <c r="J6530" s="20">
        <f t="shared" si="101"/>
        <v>0.21686746987951808</v>
      </c>
    </row>
    <row r="6531" spans="1:10" x14ac:dyDescent="0.3">
      <c r="A6531" s="33">
        <v>6530</v>
      </c>
      <c r="B6531" s="4">
        <v>33</v>
      </c>
      <c r="C6531" s="15">
        <v>293</v>
      </c>
      <c r="D6531" s="16">
        <v>6</v>
      </c>
      <c r="E6531" s="22">
        <v>45096</v>
      </c>
      <c r="F6531" s="19">
        <v>10</v>
      </c>
      <c r="G6531" s="18">
        <v>0.17</v>
      </c>
      <c r="H6531">
        <f>F6531*VLOOKUP(B6531,產品!$A$2:$H$61,7,FALSE)*(1-銷售總表!G6531)</f>
        <v>62250</v>
      </c>
      <c r="I6531" s="35">
        <f>H6531-F6531*VLOOKUP(銷售總表!B6531,產品!$A$2:$H$61,8,FALSE)</f>
        <v>17250</v>
      </c>
      <c r="J6531" s="20">
        <f t="shared" ref="J6531:J6594" si="102">I6531/H6531</f>
        <v>0.27710843373493976</v>
      </c>
    </row>
    <row r="6532" spans="1:10" x14ac:dyDescent="0.3">
      <c r="A6532" s="33">
        <v>6531</v>
      </c>
      <c r="B6532" s="4">
        <v>9</v>
      </c>
      <c r="C6532" s="15">
        <v>9</v>
      </c>
      <c r="D6532" s="16">
        <v>7</v>
      </c>
      <c r="E6532" s="23">
        <v>45098</v>
      </c>
      <c r="F6532">
        <v>20</v>
      </c>
      <c r="G6532" s="20">
        <v>0.1</v>
      </c>
      <c r="H6532">
        <f>F6532*VLOOKUP(B6532,產品!$A$2:$H$61,7,FALSE)*(1-銷售總表!G6532)</f>
        <v>18000</v>
      </c>
      <c r="I6532" s="35">
        <f>H6532-F6532*VLOOKUP(銷售總表!B6532,產品!$A$2:$H$61,8,FALSE)</f>
        <v>10000</v>
      </c>
      <c r="J6532" s="20">
        <f t="shared" si="102"/>
        <v>0.55555555555555558</v>
      </c>
    </row>
    <row r="6533" spans="1:10" x14ac:dyDescent="0.3">
      <c r="A6533" s="33">
        <v>6532</v>
      </c>
      <c r="B6533" s="4">
        <v>16</v>
      </c>
      <c r="C6533" s="15">
        <v>261</v>
      </c>
      <c r="D6533" s="16">
        <v>10</v>
      </c>
      <c r="E6533" s="22">
        <v>45099</v>
      </c>
      <c r="F6533" s="19">
        <v>60</v>
      </c>
      <c r="G6533" s="18">
        <v>0.06</v>
      </c>
      <c r="H6533">
        <f>F6533*VLOOKUP(B6533,產品!$A$2:$H$61,7,FALSE)*(1-銷售總表!G6533)</f>
        <v>101520</v>
      </c>
      <c r="I6533" s="35">
        <f>H6533-F6533*VLOOKUP(銷售總表!B6533,產品!$A$2:$H$61,8,FALSE)</f>
        <v>58320</v>
      </c>
      <c r="J6533" s="20">
        <f t="shared" si="102"/>
        <v>0.57446808510638303</v>
      </c>
    </row>
    <row r="6534" spans="1:10" x14ac:dyDescent="0.3">
      <c r="A6534" s="33">
        <v>6533</v>
      </c>
      <c r="B6534" s="4">
        <v>55</v>
      </c>
      <c r="C6534" s="15">
        <v>259</v>
      </c>
      <c r="D6534" s="16">
        <v>7</v>
      </c>
      <c r="E6534" s="22">
        <v>45100</v>
      </c>
      <c r="F6534" s="19">
        <v>12</v>
      </c>
      <c r="G6534" s="18">
        <v>0.1</v>
      </c>
      <c r="H6534">
        <f>F6534*VLOOKUP(B6534,產品!$A$2:$H$61,7,FALSE)*(1-銷售總表!G6534)</f>
        <v>216000</v>
      </c>
      <c r="I6534" s="35">
        <f>H6534-F6534*VLOOKUP(銷售總表!B6534,產品!$A$2:$H$61,8,FALSE)</f>
        <v>48000</v>
      </c>
      <c r="J6534" s="20">
        <f t="shared" si="102"/>
        <v>0.22222222222222221</v>
      </c>
    </row>
    <row r="6535" spans="1:10" x14ac:dyDescent="0.3">
      <c r="A6535" s="33">
        <v>6534</v>
      </c>
      <c r="B6535" s="4">
        <v>42</v>
      </c>
      <c r="C6535" s="15">
        <v>11</v>
      </c>
      <c r="D6535" s="16">
        <v>9</v>
      </c>
      <c r="E6535" s="22">
        <v>45100</v>
      </c>
      <c r="F6535" s="19">
        <v>15</v>
      </c>
      <c r="G6535" s="18">
        <v>0.12</v>
      </c>
      <c r="H6535">
        <f>F6535*VLOOKUP(B6535,產品!$A$2:$H$61,7,FALSE)*(1-銷售總表!G6535)</f>
        <v>198000</v>
      </c>
      <c r="I6535" s="35">
        <f>H6535-F6535*VLOOKUP(銷售總表!B6535,產品!$A$2:$H$61,8,FALSE)</f>
        <v>51750</v>
      </c>
      <c r="J6535" s="20">
        <f t="shared" si="102"/>
        <v>0.26136363636363635</v>
      </c>
    </row>
    <row r="6536" spans="1:10" x14ac:dyDescent="0.3">
      <c r="A6536" s="33">
        <v>6535</v>
      </c>
      <c r="B6536" s="4">
        <v>3</v>
      </c>
      <c r="C6536" s="15">
        <v>265</v>
      </c>
      <c r="D6536" s="16">
        <v>1</v>
      </c>
      <c r="E6536" s="23">
        <v>45100</v>
      </c>
      <c r="F6536">
        <v>80</v>
      </c>
      <c r="G6536" s="20">
        <v>0.13</v>
      </c>
      <c r="H6536">
        <f>F6536*VLOOKUP(B6536,產品!$A$2:$H$61,7,FALSE)*(1-銷售總表!G6536)</f>
        <v>69600</v>
      </c>
      <c r="I6536" s="35">
        <f>H6536-F6536*VLOOKUP(銷售總表!B6536,產品!$A$2:$H$61,8,FALSE)</f>
        <v>37600</v>
      </c>
      <c r="J6536" s="20">
        <f t="shared" si="102"/>
        <v>0.54022988505747127</v>
      </c>
    </row>
    <row r="6537" spans="1:10" x14ac:dyDescent="0.3">
      <c r="A6537" s="33">
        <v>6536</v>
      </c>
      <c r="B6537" s="4">
        <v>21</v>
      </c>
      <c r="C6537" s="15">
        <v>122</v>
      </c>
      <c r="D6537" s="16">
        <v>5</v>
      </c>
      <c r="E6537" s="22">
        <v>45101</v>
      </c>
      <c r="F6537" s="19">
        <v>40</v>
      </c>
      <c r="G6537" s="18">
        <v>0.06</v>
      </c>
      <c r="H6537">
        <f>F6537*VLOOKUP(B6537,產品!$A$2:$H$61,7,FALSE)*(1-銷售總表!G6537)</f>
        <v>67680</v>
      </c>
      <c r="I6537" s="35">
        <f>H6537-F6537*VLOOKUP(銷售總表!B6537,產品!$A$2:$H$61,8,FALSE)</f>
        <v>38880</v>
      </c>
      <c r="J6537" s="20">
        <f t="shared" si="102"/>
        <v>0.57446808510638303</v>
      </c>
    </row>
    <row r="6538" spans="1:10" x14ac:dyDescent="0.3">
      <c r="A6538" s="33">
        <v>6537</v>
      </c>
      <c r="B6538" s="4">
        <v>38</v>
      </c>
      <c r="C6538" s="15">
        <v>112</v>
      </c>
      <c r="D6538" s="16">
        <v>10</v>
      </c>
      <c r="E6538" s="22">
        <v>45101</v>
      </c>
      <c r="F6538" s="19">
        <v>8</v>
      </c>
      <c r="G6538" s="18">
        <v>0.05</v>
      </c>
      <c r="H6538">
        <f>F6538*VLOOKUP(B6538,產品!$A$2:$H$61,7,FALSE)*(1-銷售總表!G6538)</f>
        <v>114000</v>
      </c>
      <c r="I6538" s="35">
        <f>H6538-F6538*VLOOKUP(銷售總表!B6538,產品!$A$2:$H$61,8,FALSE)</f>
        <v>36000</v>
      </c>
      <c r="J6538" s="20">
        <f t="shared" si="102"/>
        <v>0.31578947368421051</v>
      </c>
    </row>
    <row r="6539" spans="1:10" x14ac:dyDescent="0.3">
      <c r="A6539" s="33">
        <v>6538</v>
      </c>
      <c r="B6539" s="4">
        <v>8</v>
      </c>
      <c r="C6539" s="15">
        <v>257</v>
      </c>
      <c r="D6539" s="16">
        <v>9</v>
      </c>
      <c r="E6539" s="22">
        <v>45101</v>
      </c>
      <c r="F6539" s="19">
        <v>60</v>
      </c>
      <c r="G6539" s="18">
        <v>0.18</v>
      </c>
      <c r="H6539">
        <f>F6539*VLOOKUP(B6539,產品!$A$2:$H$61,7,FALSE)*(1-銷售總表!G6539)</f>
        <v>49200.000000000007</v>
      </c>
      <c r="I6539" s="35">
        <f>H6539-F6539*VLOOKUP(銷售總表!B6539,產品!$A$2:$H$61,8,FALSE)</f>
        <v>25200.000000000007</v>
      </c>
      <c r="J6539" s="20">
        <f t="shared" si="102"/>
        <v>0.51219512195121963</v>
      </c>
    </row>
    <row r="6540" spans="1:10" x14ac:dyDescent="0.3">
      <c r="A6540" s="33">
        <v>6539</v>
      </c>
      <c r="B6540" s="4">
        <v>12</v>
      </c>
      <c r="C6540" s="15">
        <v>123</v>
      </c>
      <c r="D6540" s="16">
        <v>9</v>
      </c>
      <c r="E6540" s="22">
        <v>45101</v>
      </c>
      <c r="F6540" s="19">
        <v>50</v>
      </c>
      <c r="G6540" s="18">
        <v>0.19</v>
      </c>
      <c r="H6540">
        <f>F6540*VLOOKUP(B6540,產品!$A$2:$H$61,7,FALSE)*(1-銷售總表!G6540)</f>
        <v>40500</v>
      </c>
      <c r="I6540" s="35">
        <f>H6540-F6540*VLOOKUP(銷售總表!B6540,產品!$A$2:$H$61,8,FALSE)</f>
        <v>20500</v>
      </c>
      <c r="J6540" s="20">
        <f t="shared" si="102"/>
        <v>0.50617283950617287</v>
      </c>
    </row>
    <row r="6541" spans="1:10" x14ac:dyDescent="0.3">
      <c r="A6541" s="33">
        <v>6540</v>
      </c>
      <c r="B6541" s="4">
        <v>42</v>
      </c>
      <c r="C6541" s="15">
        <v>275</v>
      </c>
      <c r="D6541" s="16">
        <v>4</v>
      </c>
      <c r="E6541" s="22">
        <v>45101</v>
      </c>
      <c r="F6541" s="19">
        <v>8</v>
      </c>
      <c r="G6541" s="18">
        <v>7.0000000000000007E-2</v>
      </c>
      <c r="H6541">
        <f>F6541*VLOOKUP(B6541,產品!$A$2:$H$61,7,FALSE)*(1-銷售總表!G6541)</f>
        <v>111599.99999999999</v>
      </c>
      <c r="I6541" s="35">
        <f>H6541-F6541*VLOOKUP(銷售總表!B6541,產品!$A$2:$H$61,8,FALSE)</f>
        <v>33599.999999999985</v>
      </c>
      <c r="J6541" s="20">
        <f t="shared" si="102"/>
        <v>0.3010752688172042</v>
      </c>
    </row>
    <row r="6542" spans="1:10" x14ac:dyDescent="0.3">
      <c r="A6542" s="33">
        <v>6541</v>
      </c>
      <c r="B6542" s="4">
        <v>16</v>
      </c>
      <c r="C6542" s="15">
        <v>258</v>
      </c>
      <c r="D6542" s="16">
        <v>1</v>
      </c>
      <c r="E6542" s="22">
        <v>45101</v>
      </c>
      <c r="F6542" s="19">
        <v>50</v>
      </c>
      <c r="G6542" s="18">
        <v>7.0000000000000007E-2</v>
      </c>
      <c r="H6542">
        <f>F6542*VLOOKUP(B6542,產品!$A$2:$H$61,7,FALSE)*(1-銷售總表!G6542)</f>
        <v>83700</v>
      </c>
      <c r="I6542" s="35">
        <f>H6542-F6542*VLOOKUP(銷售總表!B6542,產品!$A$2:$H$61,8,FALSE)</f>
        <v>47700</v>
      </c>
      <c r="J6542" s="20">
        <f t="shared" si="102"/>
        <v>0.56989247311827962</v>
      </c>
    </row>
    <row r="6543" spans="1:10" x14ac:dyDescent="0.3">
      <c r="A6543" s="33">
        <v>6542</v>
      </c>
      <c r="B6543" s="4">
        <v>45</v>
      </c>
      <c r="C6543" s="15">
        <v>257</v>
      </c>
      <c r="D6543" s="16">
        <v>5</v>
      </c>
      <c r="E6543" s="22">
        <v>45102</v>
      </c>
      <c r="F6543" s="19">
        <v>20</v>
      </c>
      <c r="G6543" s="18">
        <v>0.14000000000000001</v>
      </c>
      <c r="H6543">
        <f>F6543*VLOOKUP(B6543,產品!$A$2:$H$61,7,FALSE)*(1-銷售總表!G6543)</f>
        <v>240800</v>
      </c>
      <c r="I6543" s="35">
        <f>H6543-F6543*VLOOKUP(銷售總表!B6543,產品!$A$2:$H$61,8,FALSE)</f>
        <v>58800</v>
      </c>
      <c r="J6543" s="20">
        <f t="shared" si="102"/>
        <v>0.2441860465116279</v>
      </c>
    </row>
    <row r="6544" spans="1:10" x14ac:dyDescent="0.3">
      <c r="A6544" s="33">
        <v>6543</v>
      </c>
      <c r="B6544" s="4">
        <v>35</v>
      </c>
      <c r="C6544" s="15">
        <v>283</v>
      </c>
      <c r="D6544" s="16">
        <v>1</v>
      </c>
      <c r="E6544" s="22">
        <v>45102</v>
      </c>
      <c r="F6544" s="19">
        <v>7</v>
      </c>
      <c r="G6544" s="18">
        <v>0.18</v>
      </c>
      <c r="H6544">
        <f>F6544*VLOOKUP(B6544,產品!$A$2:$H$61,7,FALSE)*(1-銷售總表!G6544)</f>
        <v>48790.000000000007</v>
      </c>
      <c r="I6544" s="35">
        <f>H6544-F6544*VLOOKUP(銷售總表!B6544,產品!$A$2:$H$61,8,FALSE)</f>
        <v>13090.000000000007</v>
      </c>
      <c r="J6544" s="20">
        <f t="shared" si="102"/>
        <v>0.2682926829268294</v>
      </c>
    </row>
    <row r="6545" spans="1:10" x14ac:dyDescent="0.3">
      <c r="A6545" s="33">
        <v>6544</v>
      </c>
      <c r="B6545" s="4">
        <v>39</v>
      </c>
      <c r="C6545" s="15">
        <v>261</v>
      </c>
      <c r="D6545" s="16">
        <v>1</v>
      </c>
      <c r="E6545" s="22">
        <v>45102</v>
      </c>
      <c r="F6545" s="19">
        <v>7</v>
      </c>
      <c r="G6545" s="18">
        <v>0.08</v>
      </c>
      <c r="H6545">
        <f>F6545*VLOOKUP(B6545,產品!$A$2:$H$61,7,FALSE)*(1-銷售總表!G6545)</f>
        <v>115920</v>
      </c>
      <c r="I6545" s="35">
        <f>H6545-F6545*VLOOKUP(銷售總表!B6545,產品!$A$2:$H$61,8,FALSE)</f>
        <v>34020</v>
      </c>
      <c r="J6545" s="20">
        <f t="shared" si="102"/>
        <v>0.29347826086956524</v>
      </c>
    </row>
    <row r="6546" spans="1:10" x14ac:dyDescent="0.3">
      <c r="A6546" s="33">
        <v>6545</v>
      </c>
      <c r="B6546" s="4">
        <v>1</v>
      </c>
      <c r="C6546" s="15">
        <v>263</v>
      </c>
      <c r="D6546" s="16">
        <v>9</v>
      </c>
      <c r="E6546" s="22">
        <v>45102</v>
      </c>
      <c r="F6546" s="19">
        <v>40</v>
      </c>
      <c r="G6546" s="18">
        <v>0.2</v>
      </c>
      <c r="H6546">
        <f>F6546*VLOOKUP(B6546,產品!$A$2:$H$61,7,FALSE)*(1-銷售總表!G6546)</f>
        <v>32000</v>
      </c>
      <c r="I6546" s="35">
        <f>H6546-F6546*VLOOKUP(銷售總表!B6546,產品!$A$2:$H$61,8,FALSE)</f>
        <v>16000</v>
      </c>
      <c r="J6546" s="20">
        <f t="shared" si="102"/>
        <v>0.5</v>
      </c>
    </row>
    <row r="6547" spans="1:10" x14ac:dyDescent="0.3">
      <c r="A6547" s="33">
        <v>6546</v>
      </c>
      <c r="B6547" s="4">
        <v>51</v>
      </c>
      <c r="C6547" s="15">
        <v>3</v>
      </c>
      <c r="D6547" s="16">
        <v>3</v>
      </c>
      <c r="E6547" s="22">
        <v>45102</v>
      </c>
      <c r="F6547" s="19">
        <v>6</v>
      </c>
      <c r="G6547" s="18">
        <v>0.11</v>
      </c>
      <c r="H6547">
        <f>F6547*VLOOKUP(B6547,產品!$A$2:$H$61,7,FALSE)*(1-銷售總表!G6547)</f>
        <v>106800</v>
      </c>
      <c r="I6547" s="35">
        <f>H6547-F6547*VLOOKUP(銷售總表!B6547,產品!$A$2:$H$61,8,FALSE)</f>
        <v>22800</v>
      </c>
      <c r="J6547" s="20">
        <f t="shared" si="102"/>
        <v>0.21348314606741572</v>
      </c>
    </row>
    <row r="6548" spans="1:10" x14ac:dyDescent="0.3">
      <c r="A6548" s="33">
        <v>6547</v>
      </c>
      <c r="B6548" s="4">
        <v>15</v>
      </c>
      <c r="C6548" s="15">
        <v>270</v>
      </c>
      <c r="D6548" s="16">
        <v>10</v>
      </c>
      <c r="E6548" s="23">
        <v>45102</v>
      </c>
      <c r="F6548">
        <v>40</v>
      </c>
      <c r="G6548" s="20">
        <v>0.15</v>
      </c>
      <c r="H6548">
        <f>F6548*VLOOKUP(B6548,產品!$A$2:$H$61,7,FALSE)*(1-銷售總表!G6548)</f>
        <v>61200</v>
      </c>
      <c r="I6548" s="35">
        <f>H6548-F6548*VLOOKUP(銷售總表!B6548,產品!$A$2:$H$61,8,FALSE)</f>
        <v>32400</v>
      </c>
      <c r="J6548" s="20">
        <f t="shared" si="102"/>
        <v>0.52941176470588236</v>
      </c>
    </row>
    <row r="6549" spans="1:10" x14ac:dyDescent="0.3">
      <c r="A6549" s="33">
        <v>6548</v>
      </c>
      <c r="B6549" s="4">
        <v>47</v>
      </c>
      <c r="C6549" s="15">
        <v>267</v>
      </c>
      <c r="D6549" s="16">
        <v>10</v>
      </c>
      <c r="E6549" s="23">
        <v>45102</v>
      </c>
      <c r="F6549">
        <v>7</v>
      </c>
      <c r="G6549" s="20">
        <v>0.13</v>
      </c>
      <c r="H6549">
        <f>F6549*VLOOKUP(B6549,產品!$A$2:$H$61,7,FALSE)*(1-銷售總表!G6549)</f>
        <v>121800</v>
      </c>
      <c r="I6549" s="35">
        <f>H6549-F6549*VLOOKUP(銷售總表!B6549,產品!$A$2:$H$61,8,FALSE)</f>
        <v>30800</v>
      </c>
      <c r="J6549" s="20">
        <f t="shared" si="102"/>
        <v>0.25287356321839083</v>
      </c>
    </row>
    <row r="6550" spans="1:10" x14ac:dyDescent="0.3">
      <c r="A6550" s="33">
        <v>6549</v>
      </c>
      <c r="B6550" s="4">
        <v>14</v>
      </c>
      <c r="C6550" s="15">
        <v>118</v>
      </c>
      <c r="D6550" s="16">
        <v>6</v>
      </c>
      <c r="E6550" s="23">
        <v>45102</v>
      </c>
      <c r="F6550">
        <v>150</v>
      </c>
      <c r="G6550" s="20">
        <v>0.06</v>
      </c>
      <c r="H6550">
        <f>F6550*VLOOKUP(B6550,產品!$A$2:$H$61,7,FALSE)*(1-銷售總表!G6550)</f>
        <v>253800</v>
      </c>
      <c r="I6550" s="35">
        <f>H6550-F6550*VLOOKUP(銷售總表!B6550,產品!$A$2:$H$61,8,FALSE)</f>
        <v>145800</v>
      </c>
      <c r="J6550" s="20">
        <f t="shared" si="102"/>
        <v>0.57446808510638303</v>
      </c>
    </row>
    <row r="6551" spans="1:10" x14ac:dyDescent="0.3">
      <c r="A6551" s="33">
        <v>6550</v>
      </c>
      <c r="B6551" s="4">
        <v>56</v>
      </c>
      <c r="C6551" s="15">
        <v>275</v>
      </c>
      <c r="D6551" s="16">
        <v>9</v>
      </c>
      <c r="E6551" s="22">
        <v>45103</v>
      </c>
      <c r="F6551" s="19">
        <v>15</v>
      </c>
      <c r="G6551" s="18">
        <v>0.11</v>
      </c>
      <c r="H6551">
        <f>F6551*VLOOKUP(B6551,產品!$A$2:$H$61,7,FALSE)*(1-銷售總表!G6551)</f>
        <v>293700</v>
      </c>
      <c r="I6551" s="35">
        <f>H6551-F6551*VLOOKUP(銷售總表!B6551,產品!$A$2:$H$61,8,FALSE)</f>
        <v>62700.000000000029</v>
      </c>
      <c r="J6551" s="20">
        <f t="shared" si="102"/>
        <v>0.21348314606741584</v>
      </c>
    </row>
    <row r="6552" spans="1:10" x14ac:dyDescent="0.3">
      <c r="A6552" s="33">
        <v>6551</v>
      </c>
      <c r="B6552" s="4">
        <v>59</v>
      </c>
      <c r="C6552" s="15">
        <v>5</v>
      </c>
      <c r="D6552" s="16">
        <v>5</v>
      </c>
      <c r="E6552" s="22">
        <v>45103</v>
      </c>
      <c r="F6552" s="19">
        <v>7</v>
      </c>
      <c r="G6552" s="18">
        <v>0.16</v>
      </c>
      <c r="H6552">
        <f>F6552*VLOOKUP(B6552,產品!$A$2:$H$61,7,FALSE)*(1-銷售總表!G6552)</f>
        <v>141120</v>
      </c>
      <c r="I6552" s="35">
        <f>H6552-F6552*VLOOKUP(銷售總表!B6552,產品!$A$2:$H$61,8,FALSE)</f>
        <v>23520</v>
      </c>
      <c r="J6552" s="20">
        <f t="shared" si="102"/>
        <v>0.16666666666666666</v>
      </c>
    </row>
    <row r="6553" spans="1:10" x14ac:dyDescent="0.3">
      <c r="A6553" s="33">
        <v>6552</v>
      </c>
      <c r="B6553" s="4">
        <v>17</v>
      </c>
      <c r="C6553" s="15">
        <v>263</v>
      </c>
      <c r="D6553" s="16">
        <v>8</v>
      </c>
      <c r="E6553" s="23">
        <v>45103</v>
      </c>
      <c r="F6553">
        <v>50</v>
      </c>
      <c r="G6553" s="20">
        <v>0.06</v>
      </c>
      <c r="H6553">
        <f>F6553*VLOOKUP(B6553,產品!$A$2:$H$61,7,FALSE)*(1-銷售總表!G6553)</f>
        <v>84600</v>
      </c>
      <c r="I6553" s="35">
        <f>H6553-F6553*VLOOKUP(銷售總表!B6553,產品!$A$2:$H$61,8,FALSE)</f>
        <v>48600</v>
      </c>
      <c r="J6553" s="20">
        <f t="shared" si="102"/>
        <v>0.57446808510638303</v>
      </c>
    </row>
    <row r="6554" spans="1:10" x14ac:dyDescent="0.3">
      <c r="A6554" s="33">
        <v>6553</v>
      </c>
      <c r="B6554" s="4">
        <v>12</v>
      </c>
      <c r="C6554" s="15">
        <v>112</v>
      </c>
      <c r="D6554" s="16">
        <v>4</v>
      </c>
      <c r="E6554" s="22">
        <v>45104</v>
      </c>
      <c r="F6554" s="19">
        <v>100</v>
      </c>
      <c r="G6554" s="18">
        <v>0.2</v>
      </c>
      <c r="H6554">
        <f>F6554*VLOOKUP(B6554,產品!$A$2:$H$61,7,FALSE)*(1-銷售總表!G6554)</f>
        <v>80000</v>
      </c>
      <c r="I6554" s="35">
        <f>H6554-F6554*VLOOKUP(銷售總表!B6554,產品!$A$2:$H$61,8,FALSE)</f>
        <v>40000</v>
      </c>
      <c r="J6554" s="20">
        <f t="shared" si="102"/>
        <v>0.5</v>
      </c>
    </row>
    <row r="6555" spans="1:10" x14ac:dyDescent="0.3">
      <c r="A6555" s="33">
        <v>6554</v>
      </c>
      <c r="B6555" s="4">
        <v>31</v>
      </c>
      <c r="C6555" s="15">
        <v>261</v>
      </c>
      <c r="D6555" s="16">
        <v>8</v>
      </c>
      <c r="E6555" s="22">
        <v>45104</v>
      </c>
      <c r="F6555" s="19">
        <v>6</v>
      </c>
      <c r="G6555" s="18">
        <v>0.14000000000000001</v>
      </c>
      <c r="H6555">
        <f>F6555*VLOOKUP(B6555,產品!$A$2:$H$61,7,FALSE)*(1-銷售總表!G6555)</f>
        <v>36120</v>
      </c>
      <c r="I6555" s="35">
        <f>H6555-F6555*VLOOKUP(銷售總表!B6555,產品!$A$2:$H$61,8,FALSE)</f>
        <v>10920</v>
      </c>
      <c r="J6555" s="20">
        <f t="shared" si="102"/>
        <v>0.30232558139534882</v>
      </c>
    </row>
    <row r="6556" spans="1:10" x14ac:dyDescent="0.3">
      <c r="A6556" s="33">
        <v>6555</v>
      </c>
      <c r="B6556" s="4">
        <v>30</v>
      </c>
      <c r="C6556" s="15">
        <v>5</v>
      </c>
      <c r="D6556" s="16">
        <v>3</v>
      </c>
      <c r="E6556" s="22">
        <v>45104</v>
      </c>
      <c r="F6556" s="19">
        <v>16</v>
      </c>
      <c r="G6556" s="18">
        <v>0.06</v>
      </c>
      <c r="H6556">
        <f>F6556*VLOOKUP(B6556,產品!$A$2:$H$61,7,FALSE)*(1-銷售總表!G6556)</f>
        <v>97760</v>
      </c>
      <c r="I6556" s="35">
        <f>H6556-F6556*VLOOKUP(銷售總表!B6556,產品!$A$2:$H$61,8,FALSE)</f>
        <v>35360</v>
      </c>
      <c r="J6556" s="20">
        <f t="shared" si="102"/>
        <v>0.36170212765957449</v>
      </c>
    </row>
    <row r="6557" spans="1:10" x14ac:dyDescent="0.3">
      <c r="A6557" s="33">
        <v>6556</v>
      </c>
      <c r="B6557" s="4">
        <v>26</v>
      </c>
      <c r="C6557" s="15">
        <v>3</v>
      </c>
      <c r="D6557" s="16">
        <v>2</v>
      </c>
      <c r="E6557" s="23">
        <v>45104</v>
      </c>
      <c r="F6557">
        <v>7</v>
      </c>
      <c r="G6557" s="20">
        <v>0.18</v>
      </c>
      <c r="H6557">
        <f>F6557*VLOOKUP(B6557,產品!$A$2:$H$61,7,FALSE)*(1-銷售總表!G6557)</f>
        <v>37310</v>
      </c>
      <c r="I6557" s="35">
        <f>H6557-F6557*VLOOKUP(銷售總表!B6557,產品!$A$2:$H$61,8,FALSE)</f>
        <v>10010</v>
      </c>
      <c r="J6557" s="20">
        <f t="shared" si="102"/>
        <v>0.26829268292682928</v>
      </c>
    </row>
    <row r="6558" spans="1:10" x14ac:dyDescent="0.3">
      <c r="A6558" s="33">
        <v>6557</v>
      </c>
      <c r="B6558" s="4">
        <v>53</v>
      </c>
      <c r="C6558" s="15">
        <v>8</v>
      </c>
      <c r="D6558" s="16">
        <v>9</v>
      </c>
      <c r="E6558" s="22">
        <v>45105</v>
      </c>
      <c r="F6558" s="19">
        <v>7</v>
      </c>
      <c r="G6558" s="18">
        <v>0.17</v>
      </c>
      <c r="H6558">
        <f>F6558*VLOOKUP(B6558,產品!$A$2:$H$61,7,FALSE)*(1-銷售總表!G6558)</f>
        <v>87150</v>
      </c>
      <c r="I6558" s="35">
        <f>H6558-F6558*VLOOKUP(銷售總表!B6558,產品!$A$2:$H$61,8,FALSE)</f>
        <v>13650</v>
      </c>
      <c r="J6558" s="20">
        <f t="shared" si="102"/>
        <v>0.15662650602409639</v>
      </c>
    </row>
    <row r="6559" spans="1:10" x14ac:dyDescent="0.3">
      <c r="A6559" s="33">
        <v>6558</v>
      </c>
      <c r="B6559" s="4">
        <v>57</v>
      </c>
      <c r="C6559" s="15">
        <v>116</v>
      </c>
      <c r="D6559" s="16">
        <v>1</v>
      </c>
      <c r="E6559" s="22">
        <v>45105</v>
      </c>
      <c r="F6559" s="19">
        <v>10</v>
      </c>
      <c r="G6559" s="18">
        <v>0.06</v>
      </c>
      <c r="H6559">
        <f>F6559*VLOOKUP(B6559,產品!$A$2:$H$61,7,FALSE)*(1-銷售總表!G6559)</f>
        <v>169200</v>
      </c>
      <c r="I6559" s="35">
        <f>H6559-F6559*VLOOKUP(銷售總表!B6559,產品!$A$2:$H$61,8,FALSE)</f>
        <v>43200</v>
      </c>
      <c r="J6559" s="20">
        <f t="shared" si="102"/>
        <v>0.25531914893617019</v>
      </c>
    </row>
    <row r="6560" spans="1:10" x14ac:dyDescent="0.3">
      <c r="A6560" s="33">
        <v>6559</v>
      </c>
      <c r="B6560" s="4">
        <v>31</v>
      </c>
      <c r="C6560" s="15">
        <v>10</v>
      </c>
      <c r="D6560" s="16">
        <v>3</v>
      </c>
      <c r="E6560" s="22">
        <v>45105</v>
      </c>
      <c r="F6560" s="19">
        <v>30</v>
      </c>
      <c r="G6560" s="18">
        <v>0.14000000000000001</v>
      </c>
      <c r="H6560">
        <f>F6560*VLOOKUP(B6560,產品!$A$2:$H$61,7,FALSE)*(1-銷售總表!G6560)</f>
        <v>180600</v>
      </c>
      <c r="I6560" s="35">
        <f>H6560-F6560*VLOOKUP(銷售總表!B6560,產品!$A$2:$H$61,8,FALSE)</f>
        <v>54600</v>
      </c>
      <c r="J6560" s="20">
        <f t="shared" si="102"/>
        <v>0.30232558139534882</v>
      </c>
    </row>
    <row r="6561" spans="1:10" x14ac:dyDescent="0.3">
      <c r="A6561" s="33">
        <v>6560</v>
      </c>
      <c r="B6561" s="4">
        <v>26</v>
      </c>
      <c r="C6561" s="15">
        <v>8</v>
      </c>
      <c r="D6561" s="16">
        <v>4</v>
      </c>
      <c r="E6561" s="22">
        <v>45105</v>
      </c>
      <c r="F6561" s="19">
        <v>1</v>
      </c>
      <c r="G6561" s="18">
        <v>0.11</v>
      </c>
      <c r="H6561">
        <f>F6561*VLOOKUP(B6561,產品!$A$2:$H$61,7,FALSE)*(1-銷售總表!G6561)</f>
        <v>5785</v>
      </c>
      <c r="I6561" s="35">
        <f>H6561-F6561*VLOOKUP(銷售總表!B6561,產品!$A$2:$H$61,8,FALSE)</f>
        <v>1885</v>
      </c>
      <c r="J6561" s="20">
        <f t="shared" si="102"/>
        <v>0.3258426966292135</v>
      </c>
    </row>
    <row r="6562" spans="1:10" x14ac:dyDescent="0.3">
      <c r="A6562" s="33">
        <v>6561</v>
      </c>
      <c r="B6562" s="4">
        <v>50</v>
      </c>
      <c r="C6562" s="15">
        <v>290</v>
      </c>
      <c r="D6562" s="16">
        <v>6</v>
      </c>
      <c r="E6562" s="23">
        <v>45105</v>
      </c>
      <c r="F6562">
        <v>15</v>
      </c>
      <c r="G6562" s="20">
        <v>0.14000000000000001</v>
      </c>
      <c r="H6562">
        <f>F6562*VLOOKUP(B6562,產品!$A$2:$H$61,7,FALSE)*(1-銷售總表!G6562)</f>
        <v>232200</v>
      </c>
      <c r="I6562" s="35">
        <f>H6562-F6562*VLOOKUP(銷售總表!B6562,產品!$A$2:$H$61,8,FALSE)</f>
        <v>43200</v>
      </c>
      <c r="J6562" s="20">
        <f t="shared" si="102"/>
        <v>0.18604651162790697</v>
      </c>
    </row>
    <row r="6563" spans="1:10" x14ac:dyDescent="0.3">
      <c r="A6563" s="33">
        <v>6562</v>
      </c>
      <c r="B6563" s="4">
        <v>20</v>
      </c>
      <c r="C6563" s="15">
        <v>2</v>
      </c>
      <c r="D6563" s="16">
        <v>3</v>
      </c>
      <c r="E6563" s="22">
        <v>45106</v>
      </c>
      <c r="F6563" s="19">
        <v>21</v>
      </c>
      <c r="G6563" s="18">
        <v>0.1</v>
      </c>
      <c r="H6563">
        <f>F6563*VLOOKUP(B6563,產品!$A$2:$H$61,7,FALSE)*(1-銷售總表!G6563)</f>
        <v>34020</v>
      </c>
      <c r="I6563" s="35">
        <f>H6563-F6563*VLOOKUP(銷售總表!B6563,產品!$A$2:$H$61,8,FALSE)</f>
        <v>18900</v>
      </c>
      <c r="J6563" s="20">
        <f t="shared" si="102"/>
        <v>0.55555555555555558</v>
      </c>
    </row>
    <row r="6564" spans="1:10" x14ac:dyDescent="0.3">
      <c r="A6564" s="33">
        <v>6563</v>
      </c>
      <c r="B6564" s="4">
        <v>3</v>
      </c>
      <c r="C6564" s="15">
        <v>276</v>
      </c>
      <c r="D6564" s="16">
        <v>3</v>
      </c>
      <c r="E6564" s="22">
        <v>45106</v>
      </c>
      <c r="F6564" s="19">
        <v>40</v>
      </c>
      <c r="G6564" s="18">
        <v>0.17</v>
      </c>
      <c r="H6564">
        <f>F6564*VLOOKUP(B6564,產品!$A$2:$H$61,7,FALSE)*(1-銷售總表!G6564)</f>
        <v>33200</v>
      </c>
      <c r="I6564" s="35">
        <f>H6564-F6564*VLOOKUP(銷售總表!B6564,產品!$A$2:$H$61,8,FALSE)</f>
        <v>17200</v>
      </c>
      <c r="J6564" s="20">
        <f t="shared" si="102"/>
        <v>0.51807228915662651</v>
      </c>
    </row>
    <row r="6565" spans="1:10" x14ac:dyDescent="0.3">
      <c r="A6565" s="33">
        <v>6564</v>
      </c>
      <c r="B6565" s="4">
        <v>15</v>
      </c>
      <c r="C6565" s="15">
        <v>273</v>
      </c>
      <c r="D6565" s="16">
        <v>5</v>
      </c>
      <c r="E6565" s="23">
        <v>45106</v>
      </c>
      <c r="F6565">
        <v>100</v>
      </c>
      <c r="G6565" s="20">
        <v>7.0000000000000007E-2</v>
      </c>
      <c r="H6565">
        <f>F6565*VLOOKUP(B6565,產品!$A$2:$H$61,7,FALSE)*(1-銷售總表!G6565)</f>
        <v>167400</v>
      </c>
      <c r="I6565" s="35">
        <f>H6565-F6565*VLOOKUP(銷售總表!B6565,產品!$A$2:$H$61,8,FALSE)</f>
        <v>95400</v>
      </c>
      <c r="J6565" s="20">
        <f t="shared" si="102"/>
        <v>0.56989247311827962</v>
      </c>
    </row>
    <row r="6566" spans="1:10" x14ac:dyDescent="0.3">
      <c r="A6566" s="33">
        <v>6565</v>
      </c>
      <c r="B6566" s="4">
        <v>55</v>
      </c>
      <c r="C6566" s="15">
        <v>262</v>
      </c>
      <c r="D6566" s="16">
        <v>5</v>
      </c>
      <c r="E6566" s="22">
        <v>45107</v>
      </c>
      <c r="F6566" s="19">
        <v>7</v>
      </c>
      <c r="G6566" s="18">
        <v>0.17</v>
      </c>
      <c r="H6566">
        <f>F6566*VLOOKUP(B6566,產品!$A$2:$H$61,7,FALSE)*(1-銷售總表!G6566)</f>
        <v>116200</v>
      </c>
      <c r="I6566" s="35">
        <f>H6566-F6566*VLOOKUP(銷售總表!B6566,產品!$A$2:$H$61,8,FALSE)</f>
        <v>18200</v>
      </c>
      <c r="J6566" s="20">
        <f t="shared" si="102"/>
        <v>0.15662650602409639</v>
      </c>
    </row>
    <row r="6567" spans="1:10" x14ac:dyDescent="0.3">
      <c r="A6567" s="33">
        <v>6566</v>
      </c>
      <c r="B6567" s="4">
        <v>54</v>
      </c>
      <c r="C6567" s="15">
        <v>136</v>
      </c>
      <c r="D6567" s="16">
        <v>9</v>
      </c>
      <c r="E6567" s="23">
        <v>45107</v>
      </c>
      <c r="F6567">
        <v>11</v>
      </c>
      <c r="G6567" s="20">
        <v>0.12</v>
      </c>
      <c r="H6567">
        <f>F6567*VLOOKUP(B6567,產品!$A$2:$H$61,7,FALSE)*(1-銷售總表!G6567)</f>
        <v>174240</v>
      </c>
      <c r="I6567" s="35">
        <f>H6567-F6567*VLOOKUP(銷售總表!B6567,產品!$A$2:$H$61,8,FALSE)</f>
        <v>35640</v>
      </c>
      <c r="J6567" s="20">
        <f t="shared" si="102"/>
        <v>0.20454545454545456</v>
      </c>
    </row>
    <row r="6568" spans="1:10" x14ac:dyDescent="0.3">
      <c r="A6568" s="33">
        <v>6567</v>
      </c>
      <c r="B6568" s="4">
        <v>28</v>
      </c>
      <c r="C6568" s="15">
        <v>123</v>
      </c>
      <c r="D6568" s="16">
        <v>8</v>
      </c>
      <c r="E6568" s="23">
        <v>45108</v>
      </c>
      <c r="F6568">
        <v>9</v>
      </c>
      <c r="G6568" s="20">
        <v>0.05</v>
      </c>
      <c r="H6568">
        <f>F6568*VLOOKUP(B6568,產品!$A$2:$H$61,7,FALSE)*(1-銷售總表!G6568)</f>
        <v>64125</v>
      </c>
      <c r="I6568" s="35">
        <f>H6568-F6568*VLOOKUP(銷售總表!B6568,產品!$A$2:$H$61,8,FALSE)</f>
        <v>23625</v>
      </c>
      <c r="J6568" s="20">
        <f t="shared" si="102"/>
        <v>0.36842105263157893</v>
      </c>
    </row>
    <row r="6569" spans="1:10" x14ac:dyDescent="0.3">
      <c r="A6569" s="33">
        <v>6568</v>
      </c>
      <c r="B6569" s="4">
        <v>42</v>
      </c>
      <c r="C6569" s="15">
        <v>10</v>
      </c>
      <c r="D6569" s="16">
        <v>8</v>
      </c>
      <c r="E6569" s="22">
        <v>45109</v>
      </c>
      <c r="F6569" s="19">
        <v>9</v>
      </c>
      <c r="G6569" s="18">
        <v>0.12</v>
      </c>
      <c r="H6569">
        <f>F6569*VLOOKUP(B6569,產品!$A$2:$H$61,7,FALSE)*(1-銷售總表!G6569)</f>
        <v>118800</v>
      </c>
      <c r="I6569" s="35">
        <f>H6569-F6569*VLOOKUP(銷售總表!B6569,產品!$A$2:$H$61,8,FALSE)</f>
        <v>31050</v>
      </c>
      <c r="J6569" s="20">
        <f t="shared" si="102"/>
        <v>0.26136363636363635</v>
      </c>
    </row>
    <row r="6570" spans="1:10" x14ac:dyDescent="0.3">
      <c r="A6570" s="33">
        <v>6569</v>
      </c>
      <c r="B6570" s="4">
        <v>35</v>
      </c>
      <c r="C6570" s="15">
        <v>121</v>
      </c>
      <c r="D6570" s="16">
        <v>4</v>
      </c>
      <c r="E6570" s="22">
        <v>45109</v>
      </c>
      <c r="F6570" s="19">
        <v>14</v>
      </c>
      <c r="G6570" s="18">
        <v>7.0000000000000007E-2</v>
      </c>
      <c r="H6570">
        <f>F6570*VLOOKUP(B6570,產品!$A$2:$H$61,7,FALSE)*(1-銷售總表!G6570)</f>
        <v>110669.99999999999</v>
      </c>
      <c r="I6570" s="35">
        <f>H6570-F6570*VLOOKUP(銷售總表!B6570,產品!$A$2:$H$61,8,FALSE)</f>
        <v>39269.999999999985</v>
      </c>
      <c r="J6570" s="20">
        <f t="shared" si="102"/>
        <v>0.35483870967741926</v>
      </c>
    </row>
    <row r="6571" spans="1:10" x14ac:dyDescent="0.3">
      <c r="A6571" s="33">
        <v>6570</v>
      </c>
      <c r="B6571" s="4">
        <v>29</v>
      </c>
      <c r="C6571" s="15">
        <v>6</v>
      </c>
      <c r="D6571" s="16">
        <v>3</v>
      </c>
      <c r="E6571" s="22">
        <v>45109</v>
      </c>
      <c r="F6571" s="19">
        <v>5</v>
      </c>
      <c r="G6571" s="18">
        <v>0.06</v>
      </c>
      <c r="H6571">
        <f>F6571*VLOOKUP(B6571,產品!$A$2:$H$61,7,FALSE)*(1-銷售總表!G6571)</f>
        <v>28200</v>
      </c>
      <c r="I6571" s="35">
        <f>H6571-F6571*VLOOKUP(銷售總表!B6571,產品!$A$2:$H$61,8,FALSE)</f>
        <v>10200</v>
      </c>
      <c r="J6571" s="20">
        <f t="shared" si="102"/>
        <v>0.36170212765957449</v>
      </c>
    </row>
    <row r="6572" spans="1:10" x14ac:dyDescent="0.3">
      <c r="A6572" s="33">
        <v>6571</v>
      </c>
      <c r="B6572" s="4">
        <v>34</v>
      </c>
      <c r="C6572" s="15">
        <v>10</v>
      </c>
      <c r="D6572" s="16">
        <v>4</v>
      </c>
      <c r="E6572" s="22">
        <v>45109</v>
      </c>
      <c r="F6572" s="19">
        <v>5</v>
      </c>
      <c r="G6572" s="18">
        <v>0.18</v>
      </c>
      <c r="H6572">
        <f>F6572*VLOOKUP(B6572,產品!$A$2:$H$61,7,FALSE)*(1-銷售總表!G6572)</f>
        <v>32800</v>
      </c>
      <c r="I6572" s="35">
        <f>H6572-F6572*VLOOKUP(銷售總表!B6572,產品!$A$2:$H$61,8,FALSE)</f>
        <v>8800</v>
      </c>
      <c r="J6572" s="20">
        <f t="shared" si="102"/>
        <v>0.26829268292682928</v>
      </c>
    </row>
    <row r="6573" spans="1:10" x14ac:dyDescent="0.3">
      <c r="A6573" s="33">
        <v>6572</v>
      </c>
      <c r="B6573" s="4">
        <v>14</v>
      </c>
      <c r="C6573" s="15">
        <v>265</v>
      </c>
      <c r="D6573" s="16">
        <v>10</v>
      </c>
      <c r="E6573" s="23">
        <v>45109</v>
      </c>
      <c r="F6573">
        <v>80</v>
      </c>
      <c r="G6573" s="20">
        <v>0.13</v>
      </c>
      <c r="H6573">
        <f>F6573*VLOOKUP(B6573,產品!$A$2:$H$61,7,FALSE)*(1-銷售總表!G6573)</f>
        <v>125280</v>
      </c>
      <c r="I6573" s="35">
        <f>H6573-F6573*VLOOKUP(銷售總表!B6573,產品!$A$2:$H$61,8,FALSE)</f>
        <v>67680</v>
      </c>
      <c r="J6573" s="20">
        <f t="shared" si="102"/>
        <v>0.54022988505747127</v>
      </c>
    </row>
    <row r="6574" spans="1:10" x14ac:dyDescent="0.3">
      <c r="A6574" s="33">
        <v>6573</v>
      </c>
      <c r="B6574" s="4">
        <v>33</v>
      </c>
      <c r="C6574" s="15">
        <v>290</v>
      </c>
      <c r="D6574" s="16">
        <v>2</v>
      </c>
      <c r="E6574" s="22">
        <v>45110</v>
      </c>
      <c r="F6574" s="19">
        <v>5</v>
      </c>
      <c r="G6574" s="18">
        <v>0.15</v>
      </c>
      <c r="H6574">
        <f>F6574*VLOOKUP(B6574,產品!$A$2:$H$61,7,FALSE)*(1-銷售總表!G6574)</f>
        <v>31875</v>
      </c>
      <c r="I6574" s="35">
        <f>H6574-F6574*VLOOKUP(銷售總表!B6574,產品!$A$2:$H$61,8,FALSE)</f>
        <v>9375</v>
      </c>
      <c r="J6574" s="20">
        <f t="shared" si="102"/>
        <v>0.29411764705882354</v>
      </c>
    </row>
    <row r="6575" spans="1:10" x14ac:dyDescent="0.3">
      <c r="A6575" s="33">
        <v>6574</v>
      </c>
      <c r="B6575" s="4">
        <v>32</v>
      </c>
      <c r="C6575" s="15">
        <v>118</v>
      </c>
      <c r="D6575" s="16">
        <v>7</v>
      </c>
      <c r="E6575" s="22">
        <v>45110</v>
      </c>
      <c r="F6575" s="19">
        <v>30</v>
      </c>
      <c r="G6575" s="18">
        <v>0.09</v>
      </c>
      <c r="H6575">
        <f>F6575*VLOOKUP(B6575,產品!$A$2:$H$61,7,FALSE)*(1-銷售總表!G6575)</f>
        <v>204750</v>
      </c>
      <c r="I6575" s="35">
        <f>H6575-F6575*VLOOKUP(銷售總表!B6575,產品!$A$2:$H$61,8,FALSE)</f>
        <v>69750</v>
      </c>
      <c r="J6575" s="20">
        <f t="shared" si="102"/>
        <v>0.34065934065934067</v>
      </c>
    </row>
    <row r="6576" spans="1:10" x14ac:dyDescent="0.3">
      <c r="A6576" s="33">
        <v>6575</v>
      </c>
      <c r="B6576" s="4">
        <v>25</v>
      </c>
      <c r="C6576" s="15">
        <v>290</v>
      </c>
      <c r="D6576" s="16">
        <v>4</v>
      </c>
      <c r="E6576" s="23">
        <v>45110</v>
      </c>
      <c r="F6576">
        <v>1</v>
      </c>
      <c r="G6576" s="20">
        <v>0.19</v>
      </c>
      <c r="H6576">
        <f>F6576*VLOOKUP(B6576,產品!$A$2:$H$61,7,FALSE)*(1-銷售總表!G6576)</f>
        <v>4860</v>
      </c>
      <c r="I6576" s="35">
        <f>H6576-F6576*VLOOKUP(銷售總表!B6576,產品!$A$2:$H$61,8,FALSE)</f>
        <v>1260</v>
      </c>
      <c r="J6576" s="20">
        <f t="shared" si="102"/>
        <v>0.25925925925925924</v>
      </c>
    </row>
    <row r="6577" spans="1:10" x14ac:dyDescent="0.3">
      <c r="A6577" s="33">
        <v>6576</v>
      </c>
      <c r="B6577" s="4">
        <v>48</v>
      </c>
      <c r="C6577" s="15">
        <v>284</v>
      </c>
      <c r="D6577" s="16">
        <v>8</v>
      </c>
      <c r="E6577" s="23">
        <v>45111</v>
      </c>
      <c r="F6577">
        <v>7</v>
      </c>
      <c r="G6577" s="20">
        <v>0.06</v>
      </c>
      <c r="H6577">
        <f>F6577*VLOOKUP(B6577,產品!$A$2:$H$61,7,FALSE)*(1-銷售總表!G6577)</f>
        <v>144760</v>
      </c>
      <c r="I6577" s="35">
        <f>H6577-F6577*VLOOKUP(銷售總表!B6577,產品!$A$2:$H$61,8,FALSE)</f>
        <v>44660</v>
      </c>
      <c r="J6577" s="20">
        <f t="shared" si="102"/>
        <v>0.30851063829787234</v>
      </c>
    </row>
    <row r="6578" spans="1:10" x14ac:dyDescent="0.3">
      <c r="A6578" s="33">
        <v>6577</v>
      </c>
      <c r="B6578" s="4">
        <v>53</v>
      </c>
      <c r="C6578" s="15">
        <v>270</v>
      </c>
      <c r="D6578" s="16">
        <v>3</v>
      </c>
      <c r="E6578" s="23">
        <v>45111</v>
      </c>
      <c r="F6578">
        <v>4</v>
      </c>
      <c r="G6578" s="20">
        <v>0.09</v>
      </c>
      <c r="H6578">
        <f>F6578*VLOOKUP(B6578,產品!$A$2:$H$61,7,FALSE)*(1-銷售總表!G6578)</f>
        <v>54600</v>
      </c>
      <c r="I6578" s="35">
        <f>H6578-F6578*VLOOKUP(銷售總表!B6578,產品!$A$2:$H$61,8,FALSE)</f>
        <v>12600</v>
      </c>
      <c r="J6578" s="20">
        <f t="shared" si="102"/>
        <v>0.23076923076923078</v>
      </c>
    </row>
    <row r="6579" spans="1:10" x14ac:dyDescent="0.3">
      <c r="A6579" s="33">
        <v>6578</v>
      </c>
      <c r="B6579" s="4">
        <v>5</v>
      </c>
      <c r="C6579" s="15">
        <v>9</v>
      </c>
      <c r="D6579" s="16">
        <v>7</v>
      </c>
      <c r="E6579" s="22">
        <v>45112</v>
      </c>
      <c r="F6579" s="19">
        <v>300</v>
      </c>
      <c r="G6579" s="18">
        <v>0.13</v>
      </c>
      <c r="H6579">
        <f>F6579*VLOOKUP(B6579,產品!$A$2:$H$61,7,FALSE)*(1-銷售總表!G6579)</f>
        <v>261000</v>
      </c>
      <c r="I6579" s="35">
        <f>H6579-F6579*VLOOKUP(銷售總表!B6579,產品!$A$2:$H$61,8,FALSE)</f>
        <v>141000</v>
      </c>
      <c r="J6579" s="20">
        <f t="shared" si="102"/>
        <v>0.54022988505747127</v>
      </c>
    </row>
    <row r="6580" spans="1:10" x14ac:dyDescent="0.3">
      <c r="A6580" s="33">
        <v>6579</v>
      </c>
      <c r="B6580" s="4">
        <v>3</v>
      </c>
      <c r="C6580" s="15">
        <v>6</v>
      </c>
      <c r="D6580" s="16">
        <v>10</v>
      </c>
      <c r="E6580" s="22">
        <v>45113</v>
      </c>
      <c r="F6580" s="19">
        <v>20</v>
      </c>
      <c r="G6580" s="18">
        <v>0.11</v>
      </c>
      <c r="H6580">
        <f>F6580*VLOOKUP(B6580,產品!$A$2:$H$61,7,FALSE)*(1-銷售總表!G6580)</f>
        <v>17800</v>
      </c>
      <c r="I6580" s="35">
        <f>H6580-F6580*VLOOKUP(銷售總表!B6580,產品!$A$2:$H$61,8,FALSE)</f>
        <v>9800</v>
      </c>
      <c r="J6580" s="20">
        <f t="shared" si="102"/>
        <v>0.550561797752809</v>
      </c>
    </row>
    <row r="6581" spans="1:10" x14ac:dyDescent="0.3">
      <c r="A6581" s="33">
        <v>6580</v>
      </c>
      <c r="B6581" s="4">
        <v>21</v>
      </c>
      <c r="C6581" s="15">
        <v>269</v>
      </c>
      <c r="D6581" s="16">
        <v>10</v>
      </c>
      <c r="E6581" s="22">
        <v>45113</v>
      </c>
      <c r="F6581" s="19">
        <v>70</v>
      </c>
      <c r="G6581" s="18">
        <v>0.16</v>
      </c>
      <c r="H6581">
        <f>F6581*VLOOKUP(B6581,產品!$A$2:$H$61,7,FALSE)*(1-銷售總表!G6581)</f>
        <v>105840</v>
      </c>
      <c r="I6581" s="35">
        <f>H6581-F6581*VLOOKUP(銷售總表!B6581,產品!$A$2:$H$61,8,FALSE)</f>
        <v>55440</v>
      </c>
      <c r="J6581" s="20">
        <f t="shared" si="102"/>
        <v>0.52380952380952384</v>
      </c>
    </row>
    <row r="6582" spans="1:10" x14ac:dyDescent="0.3">
      <c r="A6582" s="33">
        <v>6581</v>
      </c>
      <c r="B6582" s="4">
        <v>17</v>
      </c>
      <c r="C6582" s="15">
        <v>276</v>
      </c>
      <c r="D6582" s="16">
        <v>3</v>
      </c>
      <c r="E6582" s="23">
        <v>45113</v>
      </c>
      <c r="F6582">
        <v>50</v>
      </c>
      <c r="G6582" s="20">
        <v>0.05</v>
      </c>
      <c r="H6582">
        <f>F6582*VLOOKUP(B6582,產品!$A$2:$H$61,7,FALSE)*(1-銷售總表!G6582)</f>
        <v>85500</v>
      </c>
      <c r="I6582" s="35">
        <f>H6582-F6582*VLOOKUP(銷售總表!B6582,產品!$A$2:$H$61,8,FALSE)</f>
        <v>49500</v>
      </c>
      <c r="J6582" s="20">
        <f t="shared" si="102"/>
        <v>0.57894736842105265</v>
      </c>
    </row>
    <row r="6583" spans="1:10" x14ac:dyDescent="0.3">
      <c r="A6583" s="33">
        <v>6582</v>
      </c>
      <c r="B6583" s="4">
        <v>14</v>
      </c>
      <c r="C6583" s="15">
        <v>261</v>
      </c>
      <c r="D6583" s="16">
        <v>9</v>
      </c>
      <c r="E6583" s="22">
        <v>45114</v>
      </c>
      <c r="F6583" s="19">
        <v>90</v>
      </c>
      <c r="G6583" s="18">
        <v>0.14000000000000001</v>
      </c>
      <c r="H6583">
        <f>F6583*VLOOKUP(B6583,產品!$A$2:$H$61,7,FALSE)*(1-銷售總表!G6583)</f>
        <v>139320</v>
      </c>
      <c r="I6583" s="35">
        <f>H6583-F6583*VLOOKUP(銷售總表!B6583,產品!$A$2:$H$61,8,FALSE)</f>
        <v>74520</v>
      </c>
      <c r="J6583" s="20">
        <f t="shared" si="102"/>
        <v>0.53488372093023251</v>
      </c>
    </row>
    <row r="6584" spans="1:10" x14ac:dyDescent="0.3">
      <c r="A6584" s="33">
        <v>6583</v>
      </c>
      <c r="B6584" s="4">
        <v>4</v>
      </c>
      <c r="C6584" s="15">
        <v>4</v>
      </c>
      <c r="D6584" s="16">
        <v>2</v>
      </c>
      <c r="E6584" s="22">
        <v>45114</v>
      </c>
      <c r="F6584" s="19">
        <v>300</v>
      </c>
      <c r="G6584" s="18">
        <v>0.13</v>
      </c>
      <c r="H6584">
        <f>F6584*VLOOKUP(B6584,產品!$A$2:$H$61,7,FALSE)*(1-銷售總表!G6584)</f>
        <v>261000</v>
      </c>
      <c r="I6584" s="35">
        <f>H6584-F6584*VLOOKUP(銷售總表!B6584,產品!$A$2:$H$61,8,FALSE)</f>
        <v>141000</v>
      </c>
      <c r="J6584" s="20">
        <f t="shared" si="102"/>
        <v>0.54022988505747127</v>
      </c>
    </row>
    <row r="6585" spans="1:10" x14ac:dyDescent="0.3">
      <c r="A6585" s="33">
        <v>6584</v>
      </c>
      <c r="B6585" s="4">
        <v>37</v>
      </c>
      <c r="C6585" s="15">
        <v>268</v>
      </c>
      <c r="D6585" s="16">
        <v>2</v>
      </c>
      <c r="E6585" s="22">
        <v>45114</v>
      </c>
      <c r="F6585" s="19">
        <v>16</v>
      </c>
      <c r="G6585" s="18">
        <v>0.14000000000000001</v>
      </c>
      <c r="H6585">
        <f>F6585*VLOOKUP(B6585,產品!$A$2:$H$61,7,FALSE)*(1-銷售總表!G6585)</f>
        <v>165120</v>
      </c>
      <c r="I6585" s="35">
        <f>H6585-F6585*VLOOKUP(銷售總表!B6585,產品!$A$2:$H$61,8,FALSE)</f>
        <v>40320</v>
      </c>
      <c r="J6585" s="20">
        <f t="shared" si="102"/>
        <v>0.2441860465116279</v>
      </c>
    </row>
    <row r="6586" spans="1:10" x14ac:dyDescent="0.3">
      <c r="A6586" s="33">
        <v>6585</v>
      </c>
      <c r="B6586" s="4">
        <v>13</v>
      </c>
      <c r="C6586" s="15">
        <v>12</v>
      </c>
      <c r="D6586" s="16">
        <v>9</v>
      </c>
      <c r="E6586" s="23">
        <v>45114</v>
      </c>
      <c r="F6586">
        <v>12</v>
      </c>
      <c r="G6586" s="20">
        <v>0.11</v>
      </c>
      <c r="H6586">
        <f>F6586*VLOOKUP(B6586,產品!$A$2:$H$61,7,FALSE)*(1-銷售總表!G6586)</f>
        <v>19224</v>
      </c>
      <c r="I6586" s="35">
        <f>H6586-F6586*VLOOKUP(銷售總表!B6586,產品!$A$2:$H$61,8,FALSE)</f>
        <v>10584</v>
      </c>
      <c r="J6586" s="20">
        <f t="shared" si="102"/>
        <v>0.550561797752809</v>
      </c>
    </row>
    <row r="6587" spans="1:10" x14ac:dyDescent="0.3">
      <c r="A6587" s="33">
        <v>6586</v>
      </c>
      <c r="B6587" s="4">
        <v>24</v>
      </c>
      <c r="C6587" s="15">
        <v>114</v>
      </c>
      <c r="D6587" s="16">
        <v>7</v>
      </c>
      <c r="E6587" s="23">
        <v>45114</v>
      </c>
      <c r="F6587">
        <v>70</v>
      </c>
      <c r="G6587" s="20">
        <v>0.12</v>
      </c>
      <c r="H6587">
        <f>F6587*VLOOKUP(B6587,產品!$A$2:$H$61,7,FALSE)*(1-銷售總表!G6587)</f>
        <v>110880</v>
      </c>
      <c r="I6587" s="35">
        <f>H6587-F6587*VLOOKUP(銷售總表!B6587,產品!$A$2:$H$61,8,FALSE)</f>
        <v>60480</v>
      </c>
      <c r="J6587" s="20">
        <f t="shared" si="102"/>
        <v>0.54545454545454541</v>
      </c>
    </row>
    <row r="6588" spans="1:10" x14ac:dyDescent="0.3">
      <c r="A6588" s="33">
        <v>6587</v>
      </c>
      <c r="B6588" s="4">
        <v>40</v>
      </c>
      <c r="C6588" s="15">
        <v>4</v>
      </c>
      <c r="D6588" s="16">
        <v>5</v>
      </c>
      <c r="E6588" s="23">
        <v>45115</v>
      </c>
      <c r="F6588">
        <v>8</v>
      </c>
      <c r="G6588" s="20">
        <v>0.08</v>
      </c>
      <c r="H6588">
        <f>F6588*VLOOKUP(B6588,產品!$A$2:$H$61,7,FALSE)*(1-銷售總表!G6588)</f>
        <v>147200</v>
      </c>
      <c r="I6588" s="35">
        <f>H6588-F6588*VLOOKUP(銷售總表!B6588,產品!$A$2:$H$61,8,FALSE)</f>
        <v>43200</v>
      </c>
      <c r="J6588" s="20">
        <f t="shared" si="102"/>
        <v>0.29347826086956524</v>
      </c>
    </row>
    <row r="6589" spans="1:10" x14ac:dyDescent="0.3">
      <c r="A6589" s="33">
        <v>6588</v>
      </c>
      <c r="B6589" s="4">
        <v>22</v>
      </c>
      <c r="C6589" s="15">
        <v>258</v>
      </c>
      <c r="D6589" s="16">
        <v>8</v>
      </c>
      <c r="E6589" s="23">
        <v>45115</v>
      </c>
      <c r="F6589">
        <v>150</v>
      </c>
      <c r="G6589" s="20">
        <v>0.2</v>
      </c>
      <c r="H6589">
        <f>F6589*VLOOKUP(B6589,產品!$A$2:$H$61,7,FALSE)*(1-銷售總表!G6589)</f>
        <v>216000</v>
      </c>
      <c r="I6589" s="35">
        <f>H6589-F6589*VLOOKUP(銷售總表!B6589,產品!$A$2:$H$61,8,FALSE)</f>
        <v>108000</v>
      </c>
      <c r="J6589" s="20">
        <f t="shared" si="102"/>
        <v>0.5</v>
      </c>
    </row>
    <row r="6590" spans="1:10" x14ac:dyDescent="0.3">
      <c r="A6590" s="33">
        <v>6589</v>
      </c>
      <c r="B6590" s="4">
        <v>1</v>
      </c>
      <c r="C6590" s="15">
        <v>140</v>
      </c>
      <c r="D6590" s="16">
        <v>7</v>
      </c>
      <c r="E6590" s="23">
        <v>45116</v>
      </c>
      <c r="F6590">
        <v>50</v>
      </c>
      <c r="G6590" s="20">
        <v>0.05</v>
      </c>
      <c r="H6590">
        <f>F6590*VLOOKUP(B6590,產品!$A$2:$H$61,7,FALSE)*(1-銷售總表!G6590)</f>
        <v>47500</v>
      </c>
      <c r="I6590" s="35">
        <f>H6590-F6590*VLOOKUP(銷售總表!B6590,產品!$A$2:$H$61,8,FALSE)</f>
        <v>27500</v>
      </c>
      <c r="J6590" s="20">
        <f t="shared" si="102"/>
        <v>0.57894736842105265</v>
      </c>
    </row>
    <row r="6591" spans="1:10" x14ac:dyDescent="0.3">
      <c r="A6591" s="33">
        <v>6590</v>
      </c>
      <c r="B6591" s="4">
        <v>30</v>
      </c>
      <c r="C6591" s="15">
        <v>134</v>
      </c>
      <c r="D6591" s="16">
        <v>9</v>
      </c>
      <c r="E6591" s="22">
        <v>45116</v>
      </c>
      <c r="F6591" s="19">
        <v>5</v>
      </c>
      <c r="G6591" s="18">
        <v>0.14000000000000001</v>
      </c>
      <c r="H6591">
        <f>F6591*VLOOKUP(B6591,產品!$A$2:$H$61,7,FALSE)*(1-銷售總表!G6591)</f>
        <v>27950</v>
      </c>
      <c r="I6591" s="35">
        <f>H6591-F6591*VLOOKUP(銷售總表!B6591,產品!$A$2:$H$61,8,FALSE)</f>
        <v>8450</v>
      </c>
      <c r="J6591" s="20">
        <f t="shared" si="102"/>
        <v>0.30232558139534882</v>
      </c>
    </row>
    <row r="6592" spans="1:10" x14ac:dyDescent="0.3">
      <c r="A6592" s="33">
        <v>6591</v>
      </c>
      <c r="B6592" s="4">
        <v>25</v>
      </c>
      <c r="C6592" s="15">
        <v>280</v>
      </c>
      <c r="D6592" s="16">
        <v>6</v>
      </c>
      <c r="E6592" s="22">
        <v>45116</v>
      </c>
      <c r="F6592" s="19">
        <v>4</v>
      </c>
      <c r="G6592" s="18">
        <v>0.12</v>
      </c>
      <c r="H6592">
        <f>F6592*VLOOKUP(B6592,產品!$A$2:$H$61,7,FALSE)*(1-銷售總表!G6592)</f>
        <v>21120</v>
      </c>
      <c r="I6592" s="35">
        <f>H6592-F6592*VLOOKUP(銷售總表!B6592,產品!$A$2:$H$61,8,FALSE)</f>
        <v>6720</v>
      </c>
      <c r="J6592" s="20">
        <f t="shared" si="102"/>
        <v>0.31818181818181818</v>
      </c>
    </row>
    <row r="6593" spans="1:10" x14ac:dyDescent="0.3">
      <c r="A6593" s="33">
        <v>6592</v>
      </c>
      <c r="B6593" s="4">
        <v>43</v>
      </c>
      <c r="C6593" s="15">
        <v>263</v>
      </c>
      <c r="D6593" s="16">
        <v>8</v>
      </c>
      <c r="E6593" s="22">
        <v>45117</v>
      </c>
      <c r="F6593" s="19">
        <v>5</v>
      </c>
      <c r="G6593" s="18">
        <v>0.11</v>
      </c>
      <c r="H6593">
        <f>F6593*VLOOKUP(B6593,產品!$A$2:$H$61,7,FALSE)*(1-銷售總表!G6593)</f>
        <v>80100</v>
      </c>
      <c r="I6593" s="35">
        <f>H6593-F6593*VLOOKUP(銷售總表!B6593,產品!$A$2:$H$61,8,FALSE)</f>
        <v>21600</v>
      </c>
      <c r="J6593" s="20">
        <f t="shared" si="102"/>
        <v>0.2696629213483146</v>
      </c>
    </row>
    <row r="6594" spans="1:10" x14ac:dyDescent="0.3">
      <c r="A6594" s="33">
        <v>6593</v>
      </c>
      <c r="B6594" s="4">
        <v>1</v>
      </c>
      <c r="C6594" s="15">
        <v>260</v>
      </c>
      <c r="D6594" s="16">
        <v>8</v>
      </c>
      <c r="E6594" s="22">
        <v>45117</v>
      </c>
      <c r="F6594" s="19">
        <v>40</v>
      </c>
      <c r="G6594" s="18">
        <v>0.15</v>
      </c>
      <c r="H6594">
        <f>F6594*VLOOKUP(B6594,產品!$A$2:$H$61,7,FALSE)*(1-銷售總表!G6594)</f>
        <v>34000</v>
      </c>
      <c r="I6594" s="35">
        <f>H6594-F6594*VLOOKUP(銷售總表!B6594,產品!$A$2:$H$61,8,FALSE)</f>
        <v>18000</v>
      </c>
      <c r="J6594" s="20">
        <f t="shared" si="102"/>
        <v>0.52941176470588236</v>
      </c>
    </row>
    <row r="6595" spans="1:10" x14ac:dyDescent="0.3">
      <c r="A6595" s="33">
        <v>6594</v>
      </c>
      <c r="B6595" s="4">
        <v>51</v>
      </c>
      <c r="C6595" s="15">
        <v>291</v>
      </c>
      <c r="D6595" s="16">
        <v>5</v>
      </c>
      <c r="E6595" s="23">
        <v>45117</v>
      </c>
      <c r="F6595">
        <v>7</v>
      </c>
      <c r="G6595" s="20">
        <v>0.13</v>
      </c>
      <c r="H6595">
        <f>F6595*VLOOKUP(B6595,產品!$A$2:$H$61,7,FALSE)*(1-銷售總表!G6595)</f>
        <v>121800</v>
      </c>
      <c r="I6595" s="35">
        <f>H6595-F6595*VLOOKUP(銷售總表!B6595,產品!$A$2:$H$61,8,FALSE)</f>
        <v>23800</v>
      </c>
      <c r="J6595" s="20">
        <f t="shared" ref="J6595:J6658" si="103">I6595/H6595</f>
        <v>0.19540229885057472</v>
      </c>
    </row>
    <row r="6596" spans="1:10" x14ac:dyDescent="0.3">
      <c r="A6596" s="33">
        <v>6595</v>
      </c>
      <c r="B6596" s="4">
        <v>32</v>
      </c>
      <c r="C6596" s="15">
        <v>277</v>
      </c>
      <c r="D6596" s="16">
        <v>9</v>
      </c>
      <c r="E6596" s="22">
        <v>45118</v>
      </c>
      <c r="F6596" s="19">
        <v>5</v>
      </c>
      <c r="G6596" s="18">
        <v>0.14000000000000001</v>
      </c>
      <c r="H6596">
        <f>F6596*VLOOKUP(B6596,產品!$A$2:$H$61,7,FALSE)*(1-銷售總表!G6596)</f>
        <v>32250</v>
      </c>
      <c r="I6596" s="35">
        <f>H6596-F6596*VLOOKUP(銷售總表!B6596,產品!$A$2:$H$61,8,FALSE)</f>
        <v>9750</v>
      </c>
      <c r="J6596" s="20">
        <f t="shared" si="103"/>
        <v>0.30232558139534882</v>
      </c>
    </row>
    <row r="6597" spans="1:10" x14ac:dyDescent="0.3">
      <c r="A6597" s="33">
        <v>6596</v>
      </c>
      <c r="B6597" s="4">
        <v>9</v>
      </c>
      <c r="C6597" s="15">
        <v>293</v>
      </c>
      <c r="D6597" s="16">
        <v>3</v>
      </c>
      <c r="E6597" s="23">
        <v>45118</v>
      </c>
      <c r="F6597">
        <v>11</v>
      </c>
      <c r="G6597" s="20">
        <v>0.17</v>
      </c>
      <c r="H6597">
        <f>F6597*VLOOKUP(B6597,產品!$A$2:$H$61,7,FALSE)*(1-銷售總表!G6597)</f>
        <v>9130</v>
      </c>
      <c r="I6597" s="35">
        <f>H6597-F6597*VLOOKUP(銷售總表!B6597,產品!$A$2:$H$61,8,FALSE)</f>
        <v>4730</v>
      </c>
      <c r="J6597" s="20">
        <f t="shared" si="103"/>
        <v>0.51807228915662651</v>
      </c>
    </row>
    <row r="6598" spans="1:10" x14ac:dyDescent="0.3">
      <c r="A6598" s="33">
        <v>6597</v>
      </c>
      <c r="B6598" s="4">
        <v>23</v>
      </c>
      <c r="C6598" s="15">
        <v>121</v>
      </c>
      <c r="D6598" s="16">
        <v>8</v>
      </c>
      <c r="E6598" s="22">
        <v>45119</v>
      </c>
      <c r="F6598" s="19">
        <v>100</v>
      </c>
      <c r="G6598" s="18">
        <v>0.16</v>
      </c>
      <c r="H6598">
        <f>F6598*VLOOKUP(B6598,產品!$A$2:$H$61,7,FALSE)*(1-銷售總表!G6598)</f>
        <v>151200</v>
      </c>
      <c r="I6598" s="35">
        <f>H6598-F6598*VLOOKUP(銷售總表!B6598,產品!$A$2:$H$61,8,FALSE)</f>
        <v>79200</v>
      </c>
      <c r="J6598" s="20">
        <f t="shared" si="103"/>
        <v>0.52380952380952384</v>
      </c>
    </row>
    <row r="6599" spans="1:10" x14ac:dyDescent="0.3">
      <c r="A6599" s="33">
        <v>6598</v>
      </c>
      <c r="B6599" s="4">
        <v>47</v>
      </c>
      <c r="C6599" s="15">
        <v>5</v>
      </c>
      <c r="D6599" s="16">
        <v>3</v>
      </c>
      <c r="E6599" s="22">
        <v>45119</v>
      </c>
      <c r="F6599" s="19">
        <v>10</v>
      </c>
      <c r="G6599" s="18">
        <v>0.08</v>
      </c>
      <c r="H6599">
        <f>F6599*VLOOKUP(B6599,產品!$A$2:$H$61,7,FALSE)*(1-銷售總表!G6599)</f>
        <v>184000</v>
      </c>
      <c r="I6599" s="35">
        <f>H6599-F6599*VLOOKUP(銷售總表!B6599,產品!$A$2:$H$61,8,FALSE)</f>
        <v>54000</v>
      </c>
      <c r="J6599" s="20">
        <f t="shared" si="103"/>
        <v>0.29347826086956524</v>
      </c>
    </row>
    <row r="6600" spans="1:10" x14ac:dyDescent="0.3">
      <c r="A6600" s="33">
        <v>6599</v>
      </c>
      <c r="B6600" s="4">
        <v>30</v>
      </c>
      <c r="C6600" s="15">
        <v>5</v>
      </c>
      <c r="D6600" s="16">
        <v>5</v>
      </c>
      <c r="E6600" s="22">
        <v>45119</v>
      </c>
      <c r="F6600" s="19">
        <v>6</v>
      </c>
      <c r="G6600" s="18">
        <v>0.2</v>
      </c>
      <c r="H6600">
        <f>F6600*VLOOKUP(B6600,產品!$A$2:$H$61,7,FALSE)*(1-銷售總表!G6600)</f>
        <v>31200</v>
      </c>
      <c r="I6600" s="35">
        <f>H6600-F6600*VLOOKUP(銷售總表!B6600,產品!$A$2:$H$61,8,FALSE)</f>
        <v>7800</v>
      </c>
      <c r="J6600" s="20">
        <f t="shared" si="103"/>
        <v>0.25</v>
      </c>
    </row>
    <row r="6601" spans="1:10" x14ac:dyDescent="0.3">
      <c r="A6601" s="33">
        <v>6600</v>
      </c>
      <c r="B6601" s="4">
        <v>29</v>
      </c>
      <c r="C6601" s="15">
        <v>123</v>
      </c>
      <c r="D6601" s="16">
        <v>1</v>
      </c>
      <c r="E6601" s="22">
        <v>45119</v>
      </c>
      <c r="F6601" s="19">
        <v>9</v>
      </c>
      <c r="G6601" s="18">
        <v>0.18</v>
      </c>
      <c r="H6601">
        <f>F6601*VLOOKUP(B6601,產品!$A$2:$H$61,7,FALSE)*(1-銷售總表!G6601)</f>
        <v>44280</v>
      </c>
      <c r="I6601" s="35">
        <f>H6601-F6601*VLOOKUP(銷售總表!B6601,產品!$A$2:$H$61,8,FALSE)</f>
        <v>11880</v>
      </c>
      <c r="J6601" s="20">
        <f t="shared" si="103"/>
        <v>0.26829268292682928</v>
      </c>
    </row>
    <row r="6602" spans="1:10" x14ac:dyDescent="0.3">
      <c r="A6602" s="33">
        <v>6601</v>
      </c>
      <c r="B6602" s="4">
        <v>34</v>
      </c>
      <c r="C6602" s="15">
        <v>123</v>
      </c>
      <c r="D6602" s="16">
        <v>6</v>
      </c>
      <c r="E6602" s="23">
        <v>45119</v>
      </c>
      <c r="F6602">
        <v>7</v>
      </c>
      <c r="G6602" s="20">
        <v>0.05</v>
      </c>
      <c r="H6602">
        <f>F6602*VLOOKUP(B6602,產品!$A$2:$H$61,7,FALSE)*(1-銷售總表!G6602)</f>
        <v>53200</v>
      </c>
      <c r="I6602" s="35">
        <f>H6602-F6602*VLOOKUP(銷售總表!B6602,產品!$A$2:$H$61,8,FALSE)</f>
        <v>19600</v>
      </c>
      <c r="J6602" s="20">
        <f t="shared" si="103"/>
        <v>0.36842105263157893</v>
      </c>
    </row>
    <row r="6603" spans="1:10" x14ac:dyDescent="0.3">
      <c r="A6603" s="33">
        <v>6602</v>
      </c>
      <c r="B6603" s="4">
        <v>32</v>
      </c>
      <c r="C6603" s="15">
        <v>8</v>
      </c>
      <c r="D6603" s="16">
        <v>10</v>
      </c>
      <c r="E6603" s="22">
        <v>45120</v>
      </c>
      <c r="F6603" s="19">
        <v>25</v>
      </c>
      <c r="G6603" s="18">
        <v>0.1</v>
      </c>
      <c r="H6603">
        <f>F6603*VLOOKUP(B6603,產品!$A$2:$H$61,7,FALSE)*(1-銷售總表!G6603)</f>
        <v>168750</v>
      </c>
      <c r="I6603" s="35">
        <f>H6603-F6603*VLOOKUP(銷售總表!B6603,產品!$A$2:$H$61,8,FALSE)</f>
        <v>56250</v>
      </c>
      <c r="J6603" s="20">
        <f t="shared" si="103"/>
        <v>0.33333333333333331</v>
      </c>
    </row>
    <row r="6604" spans="1:10" x14ac:dyDescent="0.3">
      <c r="A6604" s="33">
        <v>6603</v>
      </c>
      <c r="B6604" s="4">
        <v>25</v>
      </c>
      <c r="C6604" s="15">
        <v>3</v>
      </c>
      <c r="D6604" s="16">
        <v>1</v>
      </c>
      <c r="E6604" s="22">
        <v>45120</v>
      </c>
      <c r="F6604" s="19">
        <v>9</v>
      </c>
      <c r="G6604" s="18">
        <v>0.13</v>
      </c>
      <c r="H6604">
        <f>F6604*VLOOKUP(B6604,產品!$A$2:$H$61,7,FALSE)*(1-銷售總表!G6604)</f>
        <v>46980</v>
      </c>
      <c r="I6604" s="35">
        <f>H6604-F6604*VLOOKUP(銷售總表!B6604,產品!$A$2:$H$61,8,FALSE)</f>
        <v>14580</v>
      </c>
      <c r="J6604" s="20">
        <f t="shared" si="103"/>
        <v>0.31034482758620691</v>
      </c>
    </row>
    <row r="6605" spans="1:10" x14ac:dyDescent="0.3">
      <c r="A6605" s="33">
        <v>6604</v>
      </c>
      <c r="B6605" s="4">
        <v>12</v>
      </c>
      <c r="C6605" s="15">
        <v>2</v>
      </c>
      <c r="D6605" s="16">
        <v>7</v>
      </c>
      <c r="E6605" s="22">
        <v>45120</v>
      </c>
      <c r="F6605" s="19">
        <v>11</v>
      </c>
      <c r="G6605" s="18">
        <v>0.12</v>
      </c>
      <c r="H6605">
        <f>F6605*VLOOKUP(B6605,產品!$A$2:$H$61,7,FALSE)*(1-銷售總表!G6605)</f>
        <v>9680</v>
      </c>
      <c r="I6605" s="35">
        <f>H6605-F6605*VLOOKUP(銷售總表!B6605,產品!$A$2:$H$61,8,FALSE)</f>
        <v>5280</v>
      </c>
      <c r="J6605" s="20">
        <f t="shared" si="103"/>
        <v>0.54545454545454541</v>
      </c>
    </row>
    <row r="6606" spans="1:10" x14ac:dyDescent="0.3">
      <c r="A6606" s="33">
        <v>6605</v>
      </c>
      <c r="B6606" s="4">
        <v>23</v>
      </c>
      <c r="C6606" s="15">
        <v>138</v>
      </c>
      <c r="D6606" s="16">
        <v>1</v>
      </c>
      <c r="E6606" s="23">
        <v>45120</v>
      </c>
      <c r="F6606">
        <v>70</v>
      </c>
      <c r="G6606" s="20">
        <v>0.09</v>
      </c>
      <c r="H6606">
        <f>F6606*VLOOKUP(B6606,產品!$A$2:$H$61,7,FALSE)*(1-銷售總表!G6606)</f>
        <v>114660</v>
      </c>
      <c r="I6606" s="35">
        <f>H6606-F6606*VLOOKUP(銷售總表!B6606,產品!$A$2:$H$61,8,FALSE)</f>
        <v>64260</v>
      </c>
      <c r="J6606" s="20">
        <f t="shared" si="103"/>
        <v>0.56043956043956045</v>
      </c>
    </row>
    <row r="6607" spans="1:10" x14ac:dyDescent="0.3">
      <c r="A6607" s="33">
        <v>6606</v>
      </c>
      <c r="B6607" s="4">
        <v>14</v>
      </c>
      <c r="C6607" s="15">
        <v>5</v>
      </c>
      <c r="D6607" s="16">
        <v>7</v>
      </c>
      <c r="E6607" s="22">
        <v>45121</v>
      </c>
      <c r="F6607" s="19">
        <v>80</v>
      </c>
      <c r="G6607" s="18">
        <v>0.15</v>
      </c>
      <c r="H6607">
        <f>F6607*VLOOKUP(B6607,產品!$A$2:$H$61,7,FALSE)*(1-銷售總表!G6607)</f>
        <v>122400</v>
      </c>
      <c r="I6607" s="35">
        <f>H6607-F6607*VLOOKUP(銷售總表!B6607,產品!$A$2:$H$61,8,FALSE)</f>
        <v>64800</v>
      </c>
      <c r="J6607" s="20">
        <f t="shared" si="103"/>
        <v>0.52941176470588236</v>
      </c>
    </row>
    <row r="6608" spans="1:10" x14ac:dyDescent="0.3">
      <c r="A6608" s="33">
        <v>6607</v>
      </c>
      <c r="B6608" s="4">
        <v>51</v>
      </c>
      <c r="C6608" s="15">
        <v>272</v>
      </c>
      <c r="D6608" s="16">
        <v>2</v>
      </c>
      <c r="E6608" s="22">
        <v>45121</v>
      </c>
      <c r="F6608" s="19">
        <v>9</v>
      </c>
      <c r="G6608" s="18">
        <v>0.06</v>
      </c>
      <c r="H6608">
        <f>F6608*VLOOKUP(B6608,產品!$A$2:$H$61,7,FALSE)*(1-銷售總表!G6608)</f>
        <v>169200</v>
      </c>
      <c r="I6608" s="35">
        <f>H6608-F6608*VLOOKUP(銷售總表!B6608,產品!$A$2:$H$61,8,FALSE)</f>
        <v>43200</v>
      </c>
      <c r="J6608" s="20">
        <f t="shared" si="103"/>
        <v>0.25531914893617019</v>
      </c>
    </row>
    <row r="6609" spans="1:10" x14ac:dyDescent="0.3">
      <c r="A6609" s="33">
        <v>6608</v>
      </c>
      <c r="B6609" s="4">
        <v>33</v>
      </c>
      <c r="C6609" s="15">
        <v>138</v>
      </c>
      <c r="D6609" s="16">
        <v>2</v>
      </c>
      <c r="E6609" s="22">
        <v>45121</v>
      </c>
      <c r="F6609" s="19">
        <v>25</v>
      </c>
      <c r="G6609" s="18">
        <v>0.08</v>
      </c>
      <c r="H6609">
        <f>F6609*VLOOKUP(B6609,產品!$A$2:$H$61,7,FALSE)*(1-銷售總表!G6609)</f>
        <v>172500</v>
      </c>
      <c r="I6609" s="35">
        <f>H6609-F6609*VLOOKUP(銷售總表!B6609,產品!$A$2:$H$61,8,FALSE)</f>
        <v>60000</v>
      </c>
      <c r="J6609" s="20">
        <f t="shared" si="103"/>
        <v>0.34782608695652173</v>
      </c>
    </row>
    <row r="6610" spans="1:10" x14ac:dyDescent="0.3">
      <c r="A6610" s="33">
        <v>6609</v>
      </c>
      <c r="B6610" s="4">
        <v>18</v>
      </c>
      <c r="C6610" s="15">
        <v>257</v>
      </c>
      <c r="D6610" s="16">
        <v>6</v>
      </c>
      <c r="E6610" s="22">
        <v>45121</v>
      </c>
      <c r="F6610" s="19">
        <v>70</v>
      </c>
      <c r="G6610" s="18">
        <v>0.11</v>
      </c>
      <c r="H6610">
        <f>F6610*VLOOKUP(B6610,產品!$A$2:$H$61,7,FALSE)*(1-銷售總表!G6610)</f>
        <v>112140</v>
      </c>
      <c r="I6610" s="35">
        <f>H6610-F6610*VLOOKUP(銷售總表!B6610,產品!$A$2:$H$61,8,FALSE)</f>
        <v>61740</v>
      </c>
      <c r="J6610" s="20">
        <f t="shared" si="103"/>
        <v>0.550561797752809</v>
      </c>
    </row>
    <row r="6611" spans="1:10" x14ac:dyDescent="0.3">
      <c r="A6611" s="33">
        <v>6610</v>
      </c>
      <c r="B6611" s="4">
        <v>6</v>
      </c>
      <c r="C6611" s="15">
        <v>6</v>
      </c>
      <c r="D6611" s="16">
        <v>10</v>
      </c>
      <c r="E6611" s="22">
        <v>45122</v>
      </c>
      <c r="F6611" s="19">
        <v>40</v>
      </c>
      <c r="G6611" s="18">
        <v>7.0000000000000007E-2</v>
      </c>
      <c r="H6611">
        <f>F6611*VLOOKUP(B6611,產品!$A$2:$H$61,7,FALSE)*(1-銷售總表!G6611)</f>
        <v>37200</v>
      </c>
      <c r="I6611" s="35">
        <f>H6611-F6611*VLOOKUP(銷售總表!B6611,產品!$A$2:$H$61,8,FALSE)</f>
        <v>21200</v>
      </c>
      <c r="J6611" s="20">
        <f t="shared" si="103"/>
        <v>0.56989247311827962</v>
      </c>
    </row>
    <row r="6612" spans="1:10" x14ac:dyDescent="0.3">
      <c r="A6612" s="33">
        <v>6611</v>
      </c>
      <c r="B6612" s="4">
        <v>59</v>
      </c>
      <c r="C6612" s="15">
        <v>138</v>
      </c>
      <c r="D6612" s="16">
        <v>8</v>
      </c>
      <c r="E6612" s="23">
        <v>45122</v>
      </c>
      <c r="F6612">
        <v>11</v>
      </c>
      <c r="G6612" s="20">
        <v>0.18</v>
      </c>
      <c r="H6612">
        <f>F6612*VLOOKUP(B6612,產品!$A$2:$H$61,7,FALSE)*(1-銷售總表!G6612)</f>
        <v>216480.00000000003</v>
      </c>
      <c r="I6612" s="35">
        <f>H6612-F6612*VLOOKUP(銷售總表!B6612,產品!$A$2:$H$61,8,FALSE)</f>
        <v>31680.000000000029</v>
      </c>
      <c r="J6612" s="20">
        <f t="shared" si="103"/>
        <v>0.14634146341463425</v>
      </c>
    </row>
    <row r="6613" spans="1:10" x14ac:dyDescent="0.3">
      <c r="A6613" s="33">
        <v>6612</v>
      </c>
      <c r="B6613" s="4">
        <v>60</v>
      </c>
      <c r="C6613" s="15">
        <v>282</v>
      </c>
      <c r="D6613" s="16">
        <v>7</v>
      </c>
      <c r="E6613" s="23">
        <v>45122</v>
      </c>
      <c r="F6613">
        <v>7</v>
      </c>
      <c r="G6613" s="20">
        <v>0.06</v>
      </c>
      <c r="H6613">
        <f>F6613*VLOOKUP(B6613,產品!$A$2:$H$61,7,FALSE)*(1-銷售總表!G6613)</f>
        <v>164500</v>
      </c>
      <c r="I6613" s="35">
        <f>H6613-F6613*VLOOKUP(銷售總表!B6613,產品!$A$2:$H$61,8,FALSE)</f>
        <v>42000</v>
      </c>
      <c r="J6613" s="20">
        <f t="shared" si="103"/>
        <v>0.25531914893617019</v>
      </c>
    </row>
    <row r="6614" spans="1:10" x14ac:dyDescent="0.3">
      <c r="A6614" s="33">
        <v>6613</v>
      </c>
      <c r="B6614" s="4">
        <v>4</v>
      </c>
      <c r="C6614" s="15">
        <v>291</v>
      </c>
      <c r="D6614" s="16">
        <v>4</v>
      </c>
      <c r="E6614" s="23">
        <v>45122</v>
      </c>
      <c r="F6614">
        <v>50</v>
      </c>
      <c r="G6614" s="20">
        <v>0.19</v>
      </c>
      <c r="H6614">
        <f>F6614*VLOOKUP(B6614,產品!$A$2:$H$61,7,FALSE)*(1-銷售總表!G6614)</f>
        <v>40500</v>
      </c>
      <c r="I6614" s="35">
        <f>H6614-F6614*VLOOKUP(銷售總表!B6614,產品!$A$2:$H$61,8,FALSE)</f>
        <v>20500</v>
      </c>
      <c r="J6614" s="20">
        <f t="shared" si="103"/>
        <v>0.50617283950617287</v>
      </c>
    </row>
    <row r="6615" spans="1:10" x14ac:dyDescent="0.3">
      <c r="A6615" s="33">
        <v>6614</v>
      </c>
      <c r="B6615" s="4">
        <v>49</v>
      </c>
      <c r="C6615" s="15">
        <v>123</v>
      </c>
      <c r="D6615" s="16">
        <v>6</v>
      </c>
      <c r="E6615" s="23">
        <v>45122</v>
      </c>
      <c r="F6615">
        <v>4</v>
      </c>
      <c r="G6615" s="20">
        <v>0.09</v>
      </c>
      <c r="H6615">
        <f>F6615*VLOOKUP(B6615,產品!$A$2:$H$61,7,FALSE)*(1-銷售總表!G6615)</f>
        <v>54600</v>
      </c>
      <c r="I6615" s="35">
        <f>H6615-F6615*VLOOKUP(銷售總表!B6615,產品!$A$2:$H$61,8,FALSE)</f>
        <v>12600</v>
      </c>
      <c r="J6615" s="20">
        <f t="shared" si="103"/>
        <v>0.23076923076923078</v>
      </c>
    </row>
    <row r="6616" spans="1:10" x14ac:dyDescent="0.3">
      <c r="A6616" s="33">
        <v>6615</v>
      </c>
      <c r="B6616" s="4">
        <v>4</v>
      </c>
      <c r="C6616" s="15">
        <v>266</v>
      </c>
      <c r="D6616" s="16">
        <v>7</v>
      </c>
      <c r="E6616" s="23">
        <v>45122</v>
      </c>
      <c r="F6616">
        <v>40</v>
      </c>
      <c r="G6616" s="20">
        <v>0.17</v>
      </c>
      <c r="H6616">
        <f>F6616*VLOOKUP(B6616,產品!$A$2:$H$61,7,FALSE)*(1-銷售總表!G6616)</f>
        <v>33200</v>
      </c>
      <c r="I6616" s="35">
        <f>H6616-F6616*VLOOKUP(銷售總表!B6616,產品!$A$2:$H$61,8,FALSE)</f>
        <v>17200</v>
      </c>
      <c r="J6616" s="20">
        <f t="shared" si="103"/>
        <v>0.51807228915662651</v>
      </c>
    </row>
    <row r="6617" spans="1:10" x14ac:dyDescent="0.3">
      <c r="A6617" s="33">
        <v>6616</v>
      </c>
      <c r="B6617" s="4">
        <v>16</v>
      </c>
      <c r="C6617" s="15">
        <v>122</v>
      </c>
      <c r="D6617" s="16">
        <v>2</v>
      </c>
      <c r="E6617" s="23">
        <v>45122</v>
      </c>
      <c r="F6617">
        <v>50</v>
      </c>
      <c r="G6617" s="20">
        <v>0.1</v>
      </c>
      <c r="H6617">
        <f>F6617*VLOOKUP(B6617,產品!$A$2:$H$61,7,FALSE)*(1-銷售總表!G6617)</f>
        <v>81000</v>
      </c>
      <c r="I6617" s="35">
        <f>H6617-F6617*VLOOKUP(銷售總表!B6617,產品!$A$2:$H$61,8,FALSE)</f>
        <v>45000</v>
      </c>
      <c r="J6617" s="20">
        <f t="shared" si="103"/>
        <v>0.55555555555555558</v>
      </c>
    </row>
    <row r="6618" spans="1:10" x14ac:dyDescent="0.3">
      <c r="A6618" s="33">
        <v>6617</v>
      </c>
      <c r="B6618" s="4">
        <v>26</v>
      </c>
      <c r="C6618" s="15">
        <v>118</v>
      </c>
      <c r="D6618" s="16">
        <v>7</v>
      </c>
      <c r="E6618" s="23">
        <v>45122</v>
      </c>
      <c r="F6618">
        <v>9</v>
      </c>
      <c r="G6618" s="20">
        <v>7.0000000000000007E-2</v>
      </c>
      <c r="H6618">
        <f>F6618*VLOOKUP(B6618,產品!$A$2:$H$61,7,FALSE)*(1-銷售總表!G6618)</f>
        <v>54405</v>
      </c>
      <c r="I6618" s="35">
        <f>H6618-F6618*VLOOKUP(銷售總表!B6618,產品!$A$2:$H$61,8,FALSE)</f>
        <v>19305</v>
      </c>
      <c r="J6618" s="20">
        <f t="shared" si="103"/>
        <v>0.35483870967741937</v>
      </c>
    </row>
    <row r="6619" spans="1:10" x14ac:dyDescent="0.3">
      <c r="A6619" s="33">
        <v>6618</v>
      </c>
      <c r="B6619" s="4">
        <v>13</v>
      </c>
      <c r="C6619" s="15">
        <v>9</v>
      </c>
      <c r="D6619" s="16">
        <v>6</v>
      </c>
      <c r="E6619" s="22">
        <v>45123</v>
      </c>
      <c r="F6619" s="17">
        <v>150</v>
      </c>
      <c r="G6619" s="18">
        <v>0.15</v>
      </c>
      <c r="H6619">
        <f>F6619*VLOOKUP(B6619,產品!$A$2:$H$61,7,FALSE)*(1-銷售總表!G6619)</f>
        <v>229500</v>
      </c>
      <c r="I6619" s="35">
        <f>H6619-F6619*VLOOKUP(銷售總表!B6619,產品!$A$2:$H$61,8,FALSE)</f>
        <v>121500</v>
      </c>
      <c r="J6619" s="20">
        <f t="shared" si="103"/>
        <v>0.52941176470588236</v>
      </c>
    </row>
    <row r="6620" spans="1:10" x14ac:dyDescent="0.3">
      <c r="A6620" s="33">
        <v>6619</v>
      </c>
      <c r="B6620" s="4">
        <v>7</v>
      </c>
      <c r="C6620" s="15">
        <v>11</v>
      </c>
      <c r="D6620" s="16">
        <v>3</v>
      </c>
      <c r="E6620" s="22">
        <v>45123</v>
      </c>
      <c r="F6620" s="19">
        <v>31</v>
      </c>
      <c r="G6620" s="18">
        <v>0.2</v>
      </c>
      <c r="H6620">
        <f>F6620*VLOOKUP(B6620,產品!$A$2:$H$61,7,FALSE)*(1-銷售總表!G6620)</f>
        <v>24800</v>
      </c>
      <c r="I6620" s="35">
        <f>H6620-F6620*VLOOKUP(銷售總表!B6620,產品!$A$2:$H$61,8,FALSE)</f>
        <v>12400</v>
      </c>
      <c r="J6620" s="20">
        <f t="shared" si="103"/>
        <v>0.5</v>
      </c>
    </row>
    <row r="6621" spans="1:10" x14ac:dyDescent="0.3">
      <c r="A6621" s="33">
        <v>6620</v>
      </c>
      <c r="B6621" s="4">
        <v>18</v>
      </c>
      <c r="C6621" s="15">
        <v>9</v>
      </c>
      <c r="D6621" s="16">
        <v>1</v>
      </c>
      <c r="E6621" s="22">
        <v>45123</v>
      </c>
      <c r="F6621" s="19">
        <v>75</v>
      </c>
      <c r="G6621" s="18">
        <v>0.1</v>
      </c>
      <c r="H6621">
        <f>F6621*VLOOKUP(B6621,產品!$A$2:$H$61,7,FALSE)*(1-銷售總表!G6621)</f>
        <v>121500</v>
      </c>
      <c r="I6621" s="35">
        <f>H6621-F6621*VLOOKUP(銷售總表!B6621,產品!$A$2:$H$61,8,FALSE)</f>
        <v>67500</v>
      </c>
      <c r="J6621" s="20">
        <f t="shared" si="103"/>
        <v>0.55555555555555558</v>
      </c>
    </row>
    <row r="6622" spans="1:10" x14ac:dyDescent="0.3">
      <c r="A6622" s="33">
        <v>6621</v>
      </c>
      <c r="B6622" s="4">
        <v>5</v>
      </c>
      <c r="C6622" s="15">
        <v>116</v>
      </c>
      <c r="D6622" s="16">
        <v>8</v>
      </c>
      <c r="E6622" s="22">
        <v>45123</v>
      </c>
      <c r="F6622" s="19">
        <v>100</v>
      </c>
      <c r="G6622" s="18">
        <v>0.2</v>
      </c>
      <c r="H6622">
        <f>F6622*VLOOKUP(B6622,產品!$A$2:$H$61,7,FALSE)*(1-銷售總表!G6622)</f>
        <v>80000</v>
      </c>
      <c r="I6622" s="35">
        <f>H6622-F6622*VLOOKUP(銷售總表!B6622,產品!$A$2:$H$61,8,FALSE)</f>
        <v>40000</v>
      </c>
      <c r="J6622" s="20">
        <f t="shared" si="103"/>
        <v>0.5</v>
      </c>
    </row>
    <row r="6623" spans="1:10" x14ac:dyDescent="0.3">
      <c r="A6623" s="33">
        <v>6622</v>
      </c>
      <c r="B6623" s="4">
        <v>22</v>
      </c>
      <c r="C6623" s="15">
        <v>266</v>
      </c>
      <c r="D6623" s="16">
        <v>8</v>
      </c>
      <c r="E6623" s="22">
        <v>45123</v>
      </c>
      <c r="F6623" s="19">
        <v>60</v>
      </c>
      <c r="G6623" s="18">
        <v>7.0000000000000007E-2</v>
      </c>
      <c r="H6623">
        <f>F6623*VLOOKUP(B6623,產品!$A$2:$H$61,7,FALSE)*(1-銷售總表!G6623)</f>
        <v>100440</v>
      </c>
      <c r="I6623" s="35">
        <f>H6623-F6623*VLOOKUP(銷售總表!B6623,產品!$A$2:$H$61,8,FALSE)</f>
        <v>57240</v>
      </c>
      <c r="J6623" s="20">
        <f t="shared" si="103"/>
        <v>0.56989247311827962</v>
      </c>
    </row>
    <row r="6624" spans="1:10" x14ac:dyDescent="0.3">
      <c r="A6624" s="33">
        <v>6623</v>
      </c>
      <c r="B6624" s="4">
        <v>54</v>
      </c>
      <c r="C6624" s="15">
        <v>5</v>
      </c>
      <c r="D6624" s="16">
        <v>4</v>
      </c>
      <c r="E6624" s="22">
        <v>45123</v>
      </c>
      <c r="F6624" s="19">
        <v>5</v>
      </c>
      <c r="G6624" s="18">
        <v>0.12</v>
      </c>
      <c r="H6624">
        <f>F6624*VLOOKUP(B6624,產品!$A$2:$H$61,7,FALSE)*(1-銷售總表!G6624)</f>
        <v>79200</v>
      </c>
      <c r="I6624" s="35">
        <f>H6624-F6624*VLOOKUP(銷售總表!B6624,產品!$A$2:$H$61,8,FALSE)</f>
        <v>16200</v>
      </c>
      <c r="J6624" s="20">
        <f t="shared" si="103"/>
        <v>0.20454545454545456</v>
      </c>
    </row>
    <row r="6625" spans="1:10" x14ac:dyDescent="0.3">
      <c r="A6625" s="33">
        <v>6624</v>
      </c>
      <c r="B6625" s="4">
        <v>45</v>
      </c>
      <c r="C6625" s="15">
        <v>113</v>
      </c>
      <c r="D6625" s="16">
        <v>7</v>
      </c>
      <c r="E6625" s="22">
        <v>45123</v>
      </c>
      <c r="F6625" s="19">
        <v>13</v>
      </c>
      <c r="G6625" s="18">
        <v>7.0000000000000007E-2</v>
      </c>
      <c r="H6625">
        <f>F6625*VLOOKUP(B6625,產品!$A$2:$H$61,7,FALSE)*(1-銷售總表!G6625)</f>
        <v>169260</v>
      </c>
      <c r="I6625" s="35">
        <f>H6625-F6625*VLOOKUP(銷售總表!B6625,產品!$A$2:$H$61,8,FALSE)</f>
        <v>50960</v>
      </c>
      <c r="J6625" s="20">
        <f t="shared" si="103"/>
        <v>0.30107526881720431</v>
      </c>
    </row>
    <row r="6626" spans="1:10" x14ac:dyDescent="0.3">
      <c r="A6626" s="33">
        <v>6625</v>
      </c>
      <c r="B6626" s="4">
        <v>8</v>
      </c>
      <c r="C6626" s="15">
        <v>139</v>
      </c>
      <c r="D6626" s="16">
        <v>6</v>
      </c>
      <c r="E6626" s="23">
        <v>45123</v>
      </c>
      <c r="F6626">
        <v>40</v>
      </c>
      <c r="G6626" s="20">
        <v>0.11</v>
      </c>
      <c r="H6626">
        <f>F6626*VLOOKUP(B6626,產品!$A$2:$H$61,7,FALSE)*(1-銷售總表!G6626)</f>
        <v>35600</v>
      </c>
      <c r="I6626" s="35">
        <f>H6626-F6626*VLOOKUP(銷售總表!B6626,產品!$A$2:$H$61,8,FALSE)</f>
        <v>19600</v>
      </c>
      <c r="J6626" s="20">
        <f t="shared" si="103"/>
        <v>0.550561797752809</v>
      </c>
    </row>
    <row r="6627" spans="1:10" x14ac:dyDescent="0.3">
      <c r="A6627" s="33">
        <v>6626</v>
      </c>
      <c r="B6627" s="4">
        <v>53</v>
      </c>
      <c r="C6627" s="15">
        <v>257</v>
      </c>
      <c r="D6627" s="16">
        <v>10</v>
      </c>
      <c r="E6627" s="23">
        <v>45123</v>
      </c>
      <c r="F6627">
        <v>1</v>
      </c>
      <c r="G6627" s="20">
        <v>0.06</v>
      </c>
      <c r="H6627">
        <f>F6627*VLOOKUP(B6627,產品!$A$2:$H$61,7,FALSE)*(1-銷售總表!G6627)</f>
        <v>14100</v>
      </c>
      <c r="I6627" s="35">
        <f>H6627-F6627*VLOOKUP(銷售總表!B6627,產品!$A$2:$H$61,8,FALSE)</f>
        <v>3600</v>
      </c>
      <c r="J6627" s="20">
        <f t="shared" si="103"/>
        <v>0.25531914893617019</v>
      </c>
    </row>
    <row r="6628" spans="1:10" x14ac:dyDescent="0.3">
      <c r="A6628" s="33">
        <v>6627</v>
      </c>
      <c r="B6628" s="4">
        <v>48</v>
      </c>
      <c r="C6628" s="15">
        <v>8</v>
      </c>
      <c r="D6628" s="16">
        <v>3</v>
      </c>
      <c r="E6628" s="22">
        <v>45124</v>
      </c>
      <c r="F6628" s="19">
        <v>5</v>
      </c>
      <c r="G6628" s="18">
        <v>7.0000000000000007E-2</v>
      </c>
      <c r="H6628">
        <f>F6628*VLOOKUP(B6628,產品!$A$2:$H$61,7,FALSE)*(1-銷售總表!G6628)</f>
        <v>102300</v>
      </c>
      <c r="I6628" s="35">
        <f>H6628-F6628*VLOOKUP(銷售總表!B6628,產品!$A$2:$H$61,8,FALSE)</f>
        <v>30800</v>
      </c>
      <c r="J6628" s="20">
        <f t="shared" si="103"/>
        <v>0.30107526881720431</v>
      </c>
    </row>
    <row r="6629" spans="1:10" x14ac:dyDescent="0.3">
      <c r="A6629" s="33">
        <v>6628</v>
      </c>
      <c r="B6629" s="4">
        <v>55</v>
      </c>
      <c r="C6629" s="15">
        <v>6</v>
      </c>
      <c r="D6629" s="16">
        <v>10</v>
      </c>
      <c r="E6629" s="22">
        <v>45124</v>
      </c>
      <c r="F6629" s="19">
        <v>2</v>
      </c>
      <c r="G6629" s="18">
        <v>0.05</v>
      </c>
      <c r="H6629">
        <f>F6629*VLOOKUP(B6629,產品!$A$2:$H$61,7,FALSE)*(1-銷售總表!G6629)</f>
        <v>38000</v>
      </c>
      <c r="I6629" s="35">
        <f>H6629-F6629*VLOOKUP(銷售總表!B6629,產品!$A$2:$H$61,8,FALSE)</f>
        <v>10000</v>
      </c>
      <c r="J6629" s="20">
        <f t="shared" si="103"/>
        <v>0.26315789473684209</v>
      </c>
    </row>
    <row r="6630" spans="1:10" x14ac:dyDescent="0.3">
      <c r="A6630" s="33">
        <v>6629</v>
      </c>
      <c r="B6630" s="4">
        <v>30</v>
      </c>
      <c r="C6630" s="15">
        <v>290</v>
      </c>
      <c r="D6630" s="16">
        <v>8</v>
      </c>
      <c r="E6630" s="22">
        <v>45124</v>
      </c>
      <c r="F6630" s="19">
        <v>15</v>
      </c>
      <c r="G6630" s="18">
        <v>0.15</v>
      </c>
      <c r="H6630">
        <f>F6630*VLOOKUP(B6630,產品!$A$2:$H$61,7,FALSE)*(1-銷售總表!G6630)</f>
        <v>82875</v>
      </c>
      <c r="I6630" s="35">
        <f>H6630-F6630*VLOOKUP(銷售總表!B6630,產品!$A$2:$H$61,8,FALSE)</f>
        <v>24375</v>
      </c>
      <c r="J6630" s="20">
        <f t="shared" si="103"/>
        <v>0.29411764705882354</v>
      </c>
    </row>
    <row r="6631" spans="1:10" x14ac:dyDescent="0.3">
      <c r="A6631" s="33">
        <v>6630</v>
      </c>
      <c r="B6631" s="4">
        <v>59</v>
      </c>
      <c r="C6631" s="15">
        <v>272</v>
      </c>
      <c r="D6631" s="16">
        <v>10</v>
      </c>
      <c r="E6631" s="22">
        <v>45124</v>
      </c>
      <c r="F6631" s="19">
        <v>8</v>
      </c>
      <c r="G6631" s="18">
        <v>0.05</v>
      </c>
      <c r="H6631">
        <f>F6631*VLOOKUP(B6631,產品!$A$2:$H$61,7,FALSE)*(1-銷售總表!G6631)</f>
        <v>182400</v>
      </c>
      <c r="I6631" s="35">
        <f>H6631-F6631*VLOOKUP(銷售總表!B6631,產品!$A$2:$H$61,8,FALSE)</f>
        <v>48000</v>
      </c>
      <c r="J6631" s="20">
        <f t="shared" si="103"/>
        <v>0.26315789473684209</v>
      </c>
    </row>
    <row r="6632" spans="1:10" x14ac:dyDescent="0.3">
      <c r="A6632" s="33">
        <v>6631</v>
      </c>
      <c r="B6632" s="4">
        <v>22</v>
      </c>
      <c r="C6632" s="15">
        <v>262</v>
      </c>
      <c r="D6632" s="16">
        <v>2</v>
      </c>
      <c r="E6632" s="23">
        <v>45124</v>
      </c>
      <c r="F6632">
        <v>11</v>
      </c>
      <c r="G6632" s="20">
        <v>0.15</v>
      </c>
      <c r="H6632">
        <f>F6632*VLOOKUP(B6632,產品!$A$2:$H$61,7,FALSE)*(1-銷售總表!G6632)</f>
        <v>16830</v>
      </c>
      <c r="I6632" s="35">
        <f>H6632-F6632*VLOOKUP(銷售總表!B6632,產品!$A$2:$H$61,8,FALSE)</f>
        <v>8910</v>
      </c>
      <c r="J6632" s="20">
        <f t="shared" si="103"/>
        <v>0.52941176470588236</v>
      </c>
    </row>
    <row r="6633" spans="1:10" x14ac:dyDescent="0.3">
      <c r="A6633" s="33">
        <v>6632</v>
      </c>
      <c r="B6633" s="4">
        <v>51</v>
      </c>
      <c r="C6633" s="15">
        <v>264</v>
      </c>
      <c r="D6633" s="16">
        <v>6</v>
      </c>
      <c r="E6633" s="22">
        <v>45125</v>
      </c>
      <c r="F6633" s="19">
        <v>6</v>
      </c>
      <c r="G6633" s="18">
        <v>0.15</v>
      </c>
      <c r="H6633">
        <f>F6633*VLOOKUP(B6633,產品!$A$2:$H$61,7,FALSE)*(1-銷售總表!G6633)</f>
        <v>102000</v>
      </c>
      <c r="I6633" s="35">
        <f>H6633-F6633*VLOOKUP(銷售總表!B6633,產品!$A$2:$H$61,8,FALSE)</f>
        <v>18000</v>
      </c>
      <c r="J6633" s="20">
        <f t="shared" si="103"/>
        <v>0.17647058823529413</v>
      </c>
    </row>
    <row r="6634" spans="1:10" x14ac:dyDescent="0.3">
      <c r="A6634" s="33">
        <v>6633</v>
      </c>
      <c r="B6634" s="4">
        <v>6</v>
      </c>
      <c r="C6634" s="15">
        <v>5</v>
      </c>
      <c r="D6634" s="16">
        <v>4</v>
      </c>
      <c r="E6634" s="22">
        <v>45125</v>
      </c>
      <c r="F6634" s="19">
        <v>100</v>
      </c>
      <c r="G6634" s="18">
        <v>0.13</v>
      </c>
      <c r="H6634">
        <f>F6634*VLOOKUP(B6634,產品!$A$2:$H$61,7,FALSE)*(1-銷售總表!G6634)</f>
        <v>87000</v>
      </c>
      <c r="I6634" s="35">
        <f>H6634-F6634*VLOOKUP(銷售總表!B6634,產品!$A$2:$H$61,8,FALSE)</f>
        <v>47000</v>
      </c>
      <c r="J6634" s="20">
        <f t="shared" si="103"/>
        <v>0.54022988505747127</v>
      </c>
    </row>
    <row r="6635" spans="1:10" x14ac:dyDescent="0.3">
      <c r="A6635" s="33">
        <v>6634</v>
      </c>
      <c r="B6635" s="4">
        <v>36</v>
      </c>
      <c r="C6635" s="15">
        <v>8</v>
      </c>
      <c r="D6635" s="16">
        <v>1</v>
      </c>
      <c r="E6635" s="22">
        <v>45126</v>
      </c>
      <c r="F6635" s="19">
        <v>35</v>
      </c>
      <c r="G6635" s="18">
        <v>0.14000000000000001</v>
      </c>
      <c r="H6635">
        <f>F6635*VLOOKUP(B6635,產品!$A$2:$H$61,7,FALSE)*(1-銷售總表!G6635)</f>
        <v>270900</v>
      </c>
      <c r="I6635" s="35">
        <f>H6635-F6635*VLOOKUP(銷售總表!B6635,產品!$A$2:$H$61,8,FALSE)</f>
        <v>81900</v>
      </c>
      <c r="J6635" s="20">
        <f t="shared" si="103"/>
        <v>0.30232558139534882</v>
      </c>
    </row>
    <row r="6636" spans="1:10" x14ac:dyDescent="0.3">
      <c r="A6636" s="33">
        <v>6635</v>
      </c>
      <c r="B6636" s="4">
        <v>56</v>
      </c>
      <c r="C6636" s="15">
        <v>114</v>
      </c>
      <c r="D6636" s="16">
        <v>10</v>
      </c>
      <c r="E6636" s="22">
        <v>45126</v>
      </c>
      <c r="F6636" s="19">
        <v>12</v>
      </c>
      <c r="G6636" s="18">
        <v>0.13</v>
      </c>
      <c r="H6636">
        <f>F6636*VLOOKUP(B6636,產品!$A$2:$H$61,7,FALSE)*(1-銷售總表!G6636)</f>
        <v>229680</v>
      </c>
      <c r="I6636" s="35">
        <f>H6636-F6636*VLOOKUP(銷售總表!B6636,產品!$A$2:$H$61,8,FALSE)</f>
        <v>44880.000000000029</v>
      </c>
      <c r="J6636" s="20">
        <f t="shared" si="103"/>
        <v>0.19540229885057483</v>
      </c>
    </row>
    <row r="6637" spans="1:10" x14ac:dyDescent="0.3">
      <c r="A6637" s="33">
        <v>6636</v>
      </c>
      <c r="B6637" s="4">
        <v>20</v>
      </c>
      <c r="C6637" s="15">
        <v>282</v>
      </c>
      <c r="D6637" s="16">
        <v>9</v>
      </c>
      <c r="E6637" s="23">
        <v>45126</v>
      </c>
      <c r="F6637">
        <v>70</v>
      </c>
      <c r="G6637" s="20">
        <v>0.15</v>
      </c>
      <c r="H6637">
        <f>F6637*VLOOKUP(B6637,產品!$A$2:$H$61,7,FALSE)*(1-銷售總表!G6637)</f>
        <v>107100</v>
      </c>
      <c r="I6637" s="35">
        <f>H6637-F6637*VLOOKUP(銷售總表!B6637,產品!$A$2:$H$61,8,FALSE)</f>
        <v>56700</v>
      </c>
      <c r="J6637" s="20">
        <f t="shared" si="103"/>
        <v>0.52941176470588236</v>
      </c>
    </row>
    <row r="6638" spans="1:10" x14ac:dyDescent="0.3">
      <c r="A6638" s="33">
        <v>6637</v>
      </c>
      <c r="B6638" s="4">
        <v>47</v>
      </c>
      <c r="C6638" s="15">
        <v>116</v>
      </c>
      <c r="D6638" s="16">
        <v>1</v>
      </c>
      <c r="E6638" s="23">
        <v>45126</v>
      </c>
      <c r="F6638">
        <v>5</v>
      </c>
      <c r="G6638" s="20">
        <v>0.19</v>
      </c>
      <c r="H6638">
        <f>F6638*VLOOKUP(B6638,產品!$A$2:$H$61,7,FALSE)*(1-銷售總表!G6638)</f>
        <v>81000</v>
      </c>
      <c r="I6638" s="35">
        <f>H6638-F6638*VLOOKUP(銷售總表!B6638,產品!$A$2:$H$61,8,FALSE)</f>
        <v>16000</v>
      </c>
      <c r="J6638" s="20">
        <f t="shared" si="103"/>
        <v>0.19753086419753085</v>
      </c>
    </row>
    <row r="6639" spans="1:10" x14ac:dyDescent="0.3">
      <c r="A6639" s="33">
        <v>6638</v>
      </c>
      <c r="B6639" s="4">
        <v>50</v>
      </c>
      <c r="C6639" s="15">
        <v>258</v>
      </c>
      <c r="D6639" s="16">
        <v>8</v>
      </c>
      <c r="E6639" s="22">
        <v>45127</v>
      </c>
      <c r="F6639" s="19">
        <v>9</v>
      </c>
      <c r="G6639" s="18">
        <v>0.13</v>
      </c>
      <c r="H6639">
        <f>F6639*VLOOKUP(B6639,產品!$A$2:$H$61,7,FALSE)*(1-銷售總表!G6639)</f>
        <v>140940</v>
      </c>
      <c r="I6639" s="35">
        <f>H6639-F6639*VLOOKUP(銷售總表!B6639,產品!$A$2:$H$61,8,FALSE)</f>
        <v>27540</v>
      </c>
      <c r="J6639" s="20">
        <f t="shared" si="103"/>
        <v>0.19540229885057472</v>
      </c>
    </row>
    <row r="6640" spans="1:10" x14ac:dyDescent="0.3">
      <c r="A6640" s="33">
        <v>6639</v>
      </c>
      <c r="B6640" s="4">
        <v>26</v>
      </c>
      <c r="C6640" s="15">
        <v>138</v>
      </c>
      <c r="D6640" s="16">
        <v>9</v>
      </c>
      <c r="E6640" s="22">
        <v>45128</v>
      </c>
      <c r="F6640" s="19">
        <v>16</v>
      </c>
      <c r="G6640" s="18">
        <v>0.06</v>
      </c>
      <c r="H6640">
        <f>F6640*VLOOKUP(B6640,產品!$A$2:$H$61,7,FALSE)*(1-銷售總表!G6640)</f>
        <v>97760</v>
      </c>
      <c r="I6640" s="35">
        <f>H6640-F6640*VLOOKUP(銷售總表!B6640,產品!$A$2:$H$61,8,FALSE)</f>
        <v>35360</v>
      </c>
      <c r="J6640" s="20">
        <f t="shared" si="103"/>
        <v>0.36170212765957449</v>
      </c>
    </row>
    <row r="6641" spans="1:10" x14ac:dyDescent="0.3">
      <c r="A6641" s="33">
        <v>6640</v>
      </c>
      <c r="B6641" s="4">
        <v>25</v>
      </c>
      <c r="C6641" s="15">
        <v>269</v>
      </c>
      <c r="D6641" s="16">
        <v>3</v>
      </c>
      <c r="E6641" s="22">
        <v>45128</v>
      </c>
      <c r="F6641" s="19">
        <v>4</v>
      </c>
      <c r="G6641" s="18">
        <v>0.19</v>
      </c>
      <c r="H6641">
        <f>F6641*VLOOKUP(B6641,產品!$A$2:$H$61,7,FALSE)*(1-銷售總表!G6641)</f>
        <v>19440</v>
      </c>
      <c r="I6641" s="35">
        <f>H6641-F6641*VLOOKUP(銷售總表!B6641,產品!$A$2:$H$61,8,FALSE)</f>
        <v>5040</v>
      </c>
      <c r="J6641" s="20">
        <f t="shared" si="103"/>
        <v>0.25925925925925924</v>
      </c>
    </row>
    <row r="6642" spans="1:10" x14ac:dyDescent="0.3">
      <c r="A6642" s="33">
        <v>6641</v>
      </c>
      <c r="B6642" s="4">
        <v>25</v>
      </c>
      <c r="C6642" s="15">
        <v>139</v>
      </c>
      <c r="D6642" s="16">
        <v>4</v>
      </c>
      <c r="E6642" s="22">
        <v>45128</v>
      </c>
      <c r="F6642" s="19">
        <v>5</v>
      </c>
      <c r="G6642" s="18">
        <v>0.1</v>
      </c>
      <c r="H6642">
        <f>F6642*VLOOKUP(B6642,產品!$A$2:$H$61,7,FALSE)*(1-銷售總表!G6642)</f>
        <v>27000</v>
      </c>
      <c r="I6642" s="35">
        <f>H6642-F6642*VLOOKUP(銷售總表!B6642,產品!$A$2:$H$61,8,FALSE)</f>
        <v>9000</v>
      </c>
      <c r="J6642" s="20">
        <f t="shared" si="103"/>
        <v>0.33333333333333331</v>
      </c>
    </row>
    <row r="6643" spans="1:10" x14ac:dyDescent="0.3">
      <c r="A6643" s="33">
        <v>6642</v>
      </c>
      <c r="B6643" s="4">
        <v>32</v>
      </c>
      <c r="C6643" s="15">
        <v>271</v>
      </c>
      <c r="D6643" s="16">
        <v>2</v>
      </c>
      <c r="E6643" s="23">
        <v>45128</v>
      </c>
      <c r="F6643">
        <v>5</v>
      </c>
      <c r="G6643" s="20">
        <v>0.05</v>
      </c>
      <c r="H6643">
        <f>F6643*VLOOKUP(B6643,產品!$A$2:$H$61,7,FALSE)*(1-銷售總表!G6643)</f>
        <v>35625</v>
      </c>
      <c r="I6643" s="35">
        <f>H6643-F6643*VLOOKUP(銷售總表!B6643,產品!$A$2:$H$61,8,FALSE)</f>
        <v>13125</v>
      </c>
      <c r="J6643" s="20">
        <f t="shared" si="103"/>
        <v>0.36842105263157893</v>
      </c>
    </row>
    <row r="6644" spans="1:10" x14ac:dyDescent="0.3">
      <c r="A6644" s="33">
        <v>6643</v>
      </c>
      <c r="B6644" s="4">
        <v>6</v>
      </c>
      <c r="C6644" s="15">
        <v>5</v>
      </c>
      <c r="D6644" s="16">
        <v>3</v>
      </c>
      <c r="E6644" s="22">
        <v>45129</v>
      </c>
      <c r="F6644" s="19">
        <v>75</v>
      </c>
      <c r="G6644" s="18">
        <v>0.15</v>
      </c>
      <c r="H6644">
        <f>F6644*VLOOKUP(B6644,產品!$A$2:$H$61,7,FALSE)*(1-銷售總表!G6644)</f>
        <v>63750</v>
      </c>
      <c r="I6644" s="35">
        <f>H6644-F6644*VLOOKUP(銷售總表!B6644,產品!$A$2:$H$61,8,FALSE)</f>
        <v>33750</v>
      </c>
      <c r="J6644" s="20">
        <f t="shared" si="103"/>
        <v>0.52941176470588236</v>
      </c>
    </row>
    <row r="6645" spans="1:10" x14ac:dyDescent="0.3">
      <c r="A6645" s="33">
        <v>6644</v>
      </c>
      <c r="B6645" s="4">
        <v>41</v>
      </c>
      <c r="C6645" s="15">
        <v>112</v>
      </c>
      <c r="D6645" s="16">
        <v>6</v>
      </c>
      <c r="E6645" s="22">
        <v>45129</v>
      </c>
      <c r="F6645" s="19">
        <v>7</v>
      </c>
      <c r="G6645" s="18">
        <v>0.09</v>
      </c>
      <c r="H6645">
        <f>F6645*VLOOKUP(B6645,產品!$A$2:$H$61,7,FALSE)*(1-銷售總表!G6645)</f>
        <v>76440</v>
      </c>
      <c r="I6645" s="35">
        <f>H6645-F6645*VLOOKUP(銷售總表!B6645,產品!$A$2:$H$61,8,FALSE)</f>
        <v>21840</v>
      </c>
      <c r="J6645" s="20">
        <f t="shared" si="103"/>
        <v>0.2857142857142857</v>
      </c>
    </row>
    <row r="6646" spans="1:10" x14ac:dyDescent="0.3">
      <c r="A6646" s="33">
        <v>6645</v>
      </c>
      <c r="B6646" s="4">
        <v>49</v>
      </c>
      <c r="C6646" s="15">
        <v>291</v>
      </c>
      <c r="D6646" s="16">
        <v>6</v>
      </c>
      <c r="E6646" s="23">
        <v>45129</v>
      </c>
      <c r="F6646">
        <v>4</v>
      </c>
      <c r="G6646" s="20">
        <v>0.14000000000000001</v>
      </c>
      <c r="H6646">
        <f>F6646*VLOOKUP(B6646,產品!$A$2:$H$61,7,FALSE)*(1-銷售總表!G6646)</f>
        <v>51600</v>
      </c>
      <c r="I6646" s="35">
        <f>H6646-F6646*VLOOKUP(銷售總表!B6646,產品!$A$2:$H$61,8,FALSE)</f>
        <v>9600</v>
      </c>
      <c r="J6646" s="20">
        <f t="shared" si="103"/>
        <v>0.18604651162790697</v>
      </c>
    </row>
    <row r="6647" spans="1:10" x14ac:dyDescent="0.3">
      <c r="A6647" s="33">
        <v>6646</v>
      </c>
      <c r="B6647" s="4">
        <v>14</v>
      </c>
      <c r="C6647" s="15">
        <v>266</v>
      </c>
      <c r="D6647" s="16">
        <v>2</v>
      </c>
      <c r="E6647" s="23">
        <v>45129</v>
      </c>
      <c r="F6647">
        <v>40</v>
      </c>
      <c r="G6647" s="20">
        <v>0.12</v>
      </c>
      <c r="H6647">
        <f>F6647*VLOOKUP(B6647,產品!$A$2:$H$61,7,FALSE)*(1-銷售總表!G6647)</f>
        <v>63360</v>
      </c>
      <c r="I6647" s="35">
        <f>H6647-F6647*VLOOKUP(銷售總表!B6647,產品!$A$2:$H$61,8,FALSE)</f>
        <v>34560</v>
      </c>
      <c r="J6647" s="20">
        <f t="shared" si="103"/>
        <v>0.54545454545454541</v>
      </c>
    </row>
    <row r="6648" spans="1:10" x14ac:dyDescent="0.3">
      <c r="A6648" s="33">
        <v>6647</v>
      </c>
      <c r="B6648" s="4">
        <v>50</v>
      </c>
      <c r="C6648" s="15">
        <v>114</v>
      </c>
      <c r="D6648" s="16">
        <v>7</v>
      </c>
      <c r="E6648" s="23">
        <v>45129</v>
      </c>
      <c r="F6648">
        <v>15</v>
      </c>
      <c r="G6648" s="20">
        <v>0.08</v>
      </c>
      <c r="H6648">
        <f>F6648*VLOOKUP(B6648,產品!$A$2:$H$61,7,FALSE)*(1-銷售總表!G6648)</f>
        <v>248400</v>
      </c>
      <c r="I6648" s="35">
        <f>H6648-F6648*VLOOKUP(銷售總表!B6648,產品!$A$2:$H$61,8,FALSE)</f>
        <v>59400</v>
      </c>
      <c r="J6648" s="20">
        <f t="shared" si="103"/>
        <v>0.2391304347826087</v>
      </c>
    </row>
    <row r="6649" spans="1:10" x14ac:dyDescent="0.3">
      <c r="A6649" s="33">
        <v>6648</v>
      </c>
      <c r="B6649" s="4">
        <v>59</v>
      </c>
      <c r="C6649" s="15">
        <v>271</v>
      </c>
      <c r="D6649" s="16">
        <v>10</v>
      </c>
      <c r="E6649" s="22">
        <v>45130</v>
      </c>
      <c r="F6649" s="19">
        <v>9</v>
      </c>
      <c r="G6649" s="18">
        <v>0.11</v>
      </c>
      <c r="H6649">
        <f>F6649*VLOOKUP(B6649,產品!$A$2:$H$61,7,FALSE)*(1-銷售總表!G6649)</f>
        <v>192240</v>
      </c>
      <c r="I6649" s="35">
        <f>H6649-F6649*VLOOKUP(銷售總表!B6649,產品!$A$2:$H$61,8,FALSE)</f>
        <v>41040</v>
      </c>
      <c r="J6649" s="20">
        <f t="shared" si="103"/>
        <v>0.21348314606741572</v>
      </c>
    </row>
    <row r="6650" spans="1:10" x14ac:dyDescent="0.3">
      <c r="A6650" s="33">
        <v>6649</v>
      </c>
      <c r="B6650" s="4">
        <v>27</v>
      </c>
      <c r="C6650" s="15">
        <v>5</v>
      </c>
      <c r="D6650" s="16">
        <v>6</v>
      </c>
      <c r="E6650" s="23">
        <v>45130</v>
      </c>
      <c r="F6650">
        <v>20</v>
      </c>
      <c r="G6650" s="20">
        <v>0.17</v>
      </c>
      <c r="H6650">
        <f>F6650*VLOOKUP(B6650,產品!$A$2:$H$61,7,FALSE)*(1-銷售總表!G6650)</f>
        <v>116200</v>
      </c>
      <c r="I6650" s="35">
        <f>H6650-F6650*VLOOKUP(銷售總表!B6650,產品!$A$2:$H$61,8,FALSE)</f>
        <v>32200</v>
      </c>
      <c r="J6650" s="20">
        <f t="shared" si="103"/>
        <v>0.27710843373493976</v>
      </c>
    </row>
    <row r="6651" spans="1:10" x14ac:dyDescent="0.3">
      <c r="A6651" s="33">
        <v>6650</v>
      </c>
      <c r="B6651" s="4">
        <v>47</v>
      </c>
      <c r="C6651" s="15">
        <v>11</v>
      </c>
      <c r="D6651" s="16">
        <v>10</v>
      </c>
      <c r="E6651" s="23">
        <v>45130</v>
      </c>
      <c r="F6651">
        <v>13</v>
      </c>
      <c r="G6651" s="20">
        <v>0.1</v>
      </c>
      <c r="H6651">
        <f>F6651*VLOOKUP(B6651,產品!$A$2:$H$61,7,FALSE)*(1-銷售總表!G6651)</f>
        <v>234000</v>
      </c>
      <c r="I6651" s="35">
        <f>H6651-F6651*VLOOKUP(銷售總表!B6651,產品!$A$2:$H$61,8,FALSE)</f>
        <v>65000</v>
      </c>
      <c r="J6651" s="20">
        <f t="shared" si="103"/>
        <v>0.27777777777777779</v>
      </c>
    </row>
    <row r="6652" spans="1:10" x14ac:dyDescent="0.3">
      <c r="A6652" s="33">
        <v>6651</v>
      </c>
      <c r="B6652" s="4">
        <v>31</v>
      </c>
      <c r="C6652" s="15">
        <v>257</v>
      </c>
      <c r="D6652" s="16">
        <v>8</v>
      </c>
      <c r="E6652" s="22">
        <v>45131</v>
      </c>
      <c r="F6652" s="19">
        <v>16</v>
      </c>
      <c r="G6652" s="18">
        <v>0.17</v>
      </c>
      <c r="H6652">
        <f>F6652*VLOOKUP(B6652,產品!$A$2:$H$61,7,FALSE)*(1-銷售總表!G6652)</f>
        <v>92960</v>
      </c>
      <c r="I6652" s="35">
        <f>H6652-F6652*VLOOKUP(銷售總表!B6652,產品!$A$2:$H$61,8,FALSE)</f>
        <v>25760</v>
      </c>
      <c r="J6652" s="20">
        <f t="shared" si="103"/>
        <v>0.27710843373493976</v>
      </c>
    </row>
    <row r="6653" spans="1:10" x14ac:dyDescent="0.3">
      <c r="A6653" s="33">
        <v>6652</v>
      </c>
      <c r="B6653" s="4">
        <v>30</v>
      </c>
      <c r="C6653" s="15">
        <v>292</v>
      </c>
      <c r="D6653" s="16">
        <v>10</v>
      </c>
      <c r="E6653" s="22">
        <v>45131</v>
      </c>
      <c r="F6653" s="19">
        <v>8</v>
      </c>
      <c r="G6653" s="18">
        <v>0.17</v>
      </c>
      <c r="H6653">
        <f>F6653*VLOOKUP(B6653,產品!$A$2:$H$61,7,FALSE)*(1-銷售總表!G6653)</f>
        <v>43160</v>
      </c>
      <c r="I6653" s="35">
        <f>H6653-F6653*VLOOKUP(銷售總表!B6653,產品!$A$2:$H$61,8,FALSE)</f>
        <v>11960</v>
      </c>
      <c r="J6653" s="20">
        <f t="shared" si="103"/>
        <v>0.27710843373493976</v>
      </c>
    </row>
    <row r="6654" spans="1:10" x14ac:dyDescent="0.3">
      <c r="A6654" s="33">
        <v>6653</v>
      </c>
      <c r="B6654" s="4">
        <v>1</v>
      </c>
      <c r="C6654" s="15">
        <v>291</v>
      </c>
      <c r="D6654" s="16">
        <v>2</v>
      </c>
      <c r="E6654" s="22">
        <v>45131</v>
      </c>
      <c r="F6654" s="19">
        <v>70</v>
      </c>
      <c r="G6654" s="18">
        <v>0.06</v>
      </c>
      <c r="H6654">
        <f>F6654*VLOOKUP(B6654,產品!$A$2:$H$61,7,FALSE)*(1-銷售總表!G6654)</f>
        <v>65800</v>
      </c>
      <c r="I6654" s="35">
        <f>H6654-F6654*VLOOKUP(銷售總表!B6654,產品!$A$2:$H$61,8,FALSE)</f>
        <v>37800</v>
      </c>
      <c r="J6654" s="20">
        <f t="shared" si="103"/>
        <v>0.57446808510638303</v>
      </c>
    </row>
    <row r="6655" spans="1:10" x14ac:dyDescent="0.3">
      <c r="A6655" s="33">
        <v>6654</v>
      </c>
      <c r="B6655" s="4">
        <v>37</v>
      </c>
      <c r="C6655" s="15">
        <v>121</v>
      </c>
      <c r="D6655" s="16">
        <v>10</v>
      </c>
      <c r="E6655" s="22">
        <v>45131</v>
      </c>
      <c r="F6655" s="19">
        <v>17</v>
      </c>
      <c r="G6655" s="18">
        <v>0.19</v>
      </c>
      <c r="H6655">
        <f>F6655*VLOOKUP(B6655,產品!$A$2:$H$61,7,FALSE)*(1-銷售總表!G6655)</f>
        <v>165240</v>
      </c>
      <c r="I6655" s="35">
        <f>H6655-F6655*VLOOKUP(銷售總表!B6655,產品!$A$2:$H$61,8,FALSE)</f>
        <v>32640</v>
      </c>
      <c r="J6655" s="20">
        <f t="shared" si="103"/>
        <v>0.19753086419753085</v>
      </c>
    </row>
    <row r="6656" spans="1:10" x14ac:dyDescent="0.3">
      <c r="A6656" s="33">
        <v>6655</v>
      </c>
      <c r="B6656" s="4">
        <v>60</v>
      </c>
      <c r="C6656" s="15">
        <v>277</v>
      </c>
      <c r="D6656" s="16">
        <v>7</v>
      </c>
      <c r="E6656" s="22">
        <v>45131</v>
      </c>
      <c r="F6656" s="19">
        <v>7</v>
      </c>
      <c r="G6656" s="18">
        <v>0.18</v>
      </c>
      <c r="H6656">
        <f>F6656*VLOOKUP(B6656,產品!$A$2:$H$61,7,FALSE)*(1-銷售總表!G6656)</f>
        <v>143500</v>
      </c>
      <c r="I6656" s="35">
        <f>H6656-F6656*VLOOKUP(銷售總表!B6656,產品!$A$2:$H$61,8,FALSE)</f>
        <v>21000</v>
      </c>
      <c r="J6656" s="20">
        <f t="shared" si="103"/>
        <v>0.14634146341463414</v>
      </c>
    </row>
    <row r="6657" spans="1:10" x14ac:dyDescent="0.3">
      <c r="A6657" s="33">
        <v>6656</v>
      </c>
      <c r="B6657" s="4">
        <v>56</v>
      </c>
      <c r="C6657" s="15">
        <v>124</v>
      </c>
      <c r="D6657" s="16">
        <v>9</v>
      </c>
      <c r="E6657" s="23">
        <v>45131</v>
      </c>
      <c r="F6657">
        <v>15</v>
      </c>
      <c r="G6657" s="20">
        <v>0.1</v>
      </c>
      <c r="H6657">
        <f>F6657*VLOOKUP(B6657,產品!$A$2:$H$61,7,FALSE)*(1-銷售總表!G6657)</f>
        <v>297000</v>
      </c>
      <c r="I6657" s="35">
        <f>H6657-F6657*VLOOKUP(銷售總表!B6657,產品!$A$2:$H$61,8,FALSE)</f>
        <v>66000.000000000029</v>
      </c>
      <c r="J6657" s="20">
        <f t="shared" si="103"/>
        <v>0.22222222222222232</v>
      </c>
    </row>
    <row r="6658" spans="1:10" x14ac:dyDescent="0.3">
      <c r="A6658" s="33">
        <v>6657</v>
      </c>
      <c r="B6658" s="4">
        <v>12</v>
      </c>
      <c r="C6658" s="15">
        <v>264</v>
      </c>
      <c r="D6658" s="16">
        <v>7</v>
      </c>
      <c r="E6658" s="23">
        <v>45132</v>
      </c>
      <c r="F6658">
        <v>70</v>
      </c>
      <c r="G6658" s="20">
        <v>0.06</v>
      </c>
      <c r="H6658">
        <f>F6658*VLOOKUP(B6658,產品!$A$2:$H$61,7,FALSE)*(1-銷售總表!G6658)</f>
        <v>65800</v>
      </c>
      <c r="I6658" s="35">
        <f>H6658-F6658*VLOOKUP(銷售總表!B6658,產品!$A$2:$H$61,8,FALSE)</f>
        <v>37800</v>
      </c>
      <c r="J6658" s="20">
        <f t="shared" si="103"/>
        <v>0.57446808510638303</v>
      </c>
    </row>
    <row r="6659" spans="1:10" x14ac:dyDescent="0.3">
      <c r="A6659" s="33">
        <v>6658</v>
      </c>
      <c r="B6659" s="4">
        <v>28</v>
      </c>
      <c r="C6659" s="15">
        <v>122</v>
      </c>
      <c r="D6659" s="16">
        <v>10</v>
      </c>
      <c r="E6659" s="23">
        <v>45132</v>
      </c>
      <c r="F6659">
        <v>40</v>
      </c>
      <c r="G6659" s="20">
        <v>0.09</v>
      </c>
      <c r="H6659">
        <f>F6659*VLOOKUP(B6659,產品!$A$2:$H$61,7,FALSE)*(1-銷售總表!G6659)</f>
        <v>273000</v>
      </c>
      <c r="I6659" s="35">
        <f>H6659-F6659*VLOOKUP(銷售總表!B6659,產品!$A$2:$H$61,8,FALSE)</f>
        <v>93000</v>
      </c>
      <c r="J6659" s="20">
        <f t="shared" ref="J6659:J6722" si="104">I6659/H6659</f>
        <v>0.34065934065934067</v>
      </c>
    </row>
    <row r="6660" spans="1:10" x14ac:dyDescent="0.3">
      <c r="A6660" s="33">
        <v>6659</v>
      </c>
      <c r="B6660" s="4">
        <v>26</v>
      </c>
      <c r="C6660" s="15">
        <v>139</v>
      </c>
      <c r="D6660" s="16">
        <v>7</v>
      </c>
      <c r="E6660" s="22">
        <v>45133</v>
      </c>
      <c r="F6660" s="19">
        <v>5</v>
      </c>
      <c r="G6660" s="18">
        <v>0.1</v>
      </c>
      <c r="H6660">
        <f>F6660*VLOOKUP(B6660,產品!$A$2:$H$61,7,FALSE)*(1-銷售總表!G6660)</f>
        <v>29250</v>
      </c>
      <c r="I6660" s="35">
        <f>H6660-F6660*VLOOKUP(銷售總表!B6660,產品!$A$2:$H$61,8,FALSE)</f>
        <v>9750</v>
      </c>
      <c r="J6660" s="20">
        <f t="shared" si="104"/>
        <v>0.33333333333333331</v>
      </c>
    </row>
    <row r="6661" spans="1:10" x14ac:dyDescent="0.3">
      <c r="A6661" s="33">
        <v>6660</v>
      </c>
      <c r="B6661" s="4">
        <v>34</v>
      </c>
      <c r="C6661" s="15">
        <v>5</v>
      </c>
      <c r="D6661" s="16">
        <v>10</v>
      </c>
      <c r="E6661" s="23">
        <v>45133</v>
      </c>
      <c r="F6661">
        <v>6</v>
      </c>
      <c r="G6661" s="20">
        <v>0.05</v>
      </c>
      <c r="H6661">
        <f>F6661*VLOOKUP(B6661,產品!$A$2:$H$61,7,FALSE)*(1-銷售總表!G6661)</f>
        <v>45600</v>
      </c>
      <c r="I6661" s="35">
        <f>H6661-F6661*VLOOKUP(銷售總表!B6661,產品!$A$2:$H$61,8,FALSE)</f>
        <v>16800</v>
      </c>
      <c r="J6661" s="20">
        <f t="shared" si="104"/>
        <v>0.36842105263157893</v>
      </c>
    </row>
    <row r="6662" spans="1:10" x14ac:dyDescent="0.3">
      <c r="A6662" s="33">
        <v>6661</v>
      </c>
      <c r="B6662" s="4">
        <v>8</v>
      </c>
      <c r="C6662" s="15">
        <v>6</v>
      </c>
      <c r="D6662" s="16">
        <v>7</v>
      </c>
      <c r="E6662" s="22">
        <v>45134</v>
      </c>
      <c r="F6662" s="19">
        <v>40</v>
      </c>
      <c r="G6662" s="18">
        <v>0.11</v>
      </c>
      <c r="H6662">
        <f>F6662*VLOOKUP(B6662,產品!$A$2:$H$61,7,FALSE)*(1-銷售總表!G6662)</f>
        <v>35600</v>
      </c>
      <c r="I6662" s="35">
        <f>H6662-F6662*VLOOKUP(銷售總表!B6662,產品!$A$2:$H$61,8,FALSE)</f>
        <v>19600</v>
      </c>
      <c r="J6662" s="20">
        <f t="shared" si="104"/>
        <v>0.550561797752809</v>
      </c>
    </row>
    <row r="6663" spans="1:10" x14ac:dyDescent="0.3">
      <c r="A6663" s="33">
        <v>6662</v>
      </c>
      <c r="B6663" s="4">
        <v>16</v>
      </c>
      <c r="C6663" s="15">
        <v>4</v>
      </c>
      <c r="D6663" s="16">
        <v>1</v>
      </c>
      <c r="E6663" s="23">
        <v>45134</v>
      </c>
      <c r="F6663">
        <v>13</v>
      </c>
      <c r="G6663" s="20">
        <v>0.13</v>
      </c>
      <c r="H6663">
        <f>F6663*VLOOKUP(B6663,產品!$A$2:$H$61,7,FALSE)*(1-銷售總表!G6663)</f>
        <v>20358</v>
      </c>
      <c r="I6663" s="35">
        <f>H6663-F6663*VLOOKUP(銷售總表!B6663,產品!$A$2:$H$61,8,FALSE)</f>
        <v>10998</v>
      </c>
      <c r="J6663" s="20">
        <f t="shared" si="104"/>
        <v>0.54022988505747127</v>
      </c>
    </row>
    <row r="6664" spans="1:10" x14ac:dyDescent="0.3">
      <c r="A6664" s="33">
        <v>6663</v>
      </c>
      <c r="B6664" s="4">
        <v>54</v>
      </c>
      <c r="C6664" s="15">
        <v>3</v>
      </c>
      <c r="D6664" s="16">
        <v>5</v>
      </c>
      <c r="E6664" s="23">
        <v>45134</v>
      </c>
      <c r="F6664">
        <v>5</v>
      </c>
      <c r="G6664" s="20">
        <v>7.0000000000000007E-2</v>
      </c>
      <c r="H6664">
        <f>F6664*VLOOKUP(B6664,產品!$A$2:$H$61,7,FALSE)*(1-銷售總表!G6664)</f>
        <v>83700</v>
      </c>
      <c r="I6664" s="35">
        <f>H6664-F6664*VLOOKUP(銷售總表!B6664,產品!$A$2:$H$61,8,FALSE)</f>
        <v>20700</v>
      </c>
      <c r="J6664" s="20">
        <f t="shared" si="104"/>
        <v>0.24731182795698925</v>
      </c>
    </row>
    <row r="6665" spans="1:10" x14ac:dyDescent="0.3">
      <c r="A6665" s="33">
        <v>6664</v>
      </c>
      <c r="B6665" s="4">
        <v>31</v>
      </c>
      <c r="C6665" s="15">
        <v>272</v>
      </c>
      <c r="D6665" s="16">
        <v>7</v>
      </c>
      <c r="E6665" s="23">
        <v>45134</v>
      </c>
      <c r="F6665">
        <v>4</v>
      </c>
      <c r="G6665" s="20">
        <v>0.12</v>
      </c>
      <c r="H6665">
        <f>F6665*VLOOKUP(B6665,產品!$A$2:$H$61,7,FALSE)*(1-銷售總表!G6665)</f>
        <v>24640</v>
      </c>
      <c r="I6665" s="35">
        <f>H6665-F6665*VLOOKUP(銷售總表!B6665,產品!$A$2:$H$61,8,FALSE)</f>
        <v>7840</v>
      </c>
      <c r="J6665" s="20">
        <f t="shared" si="104"/>
        <v>0.31818181818181818</v>
      </c>
    </row>
    <row r="6666" spans="1:10" x14ac:dyDescent="0.3">
      <c r="A6666" s="33">
        <v>6665</v>
      </c>
      <c r="B6666" s="4">
        <v>48</v>
      </c>
      <c r="C6666" s="15">
        <v>291</v>
      </c>
      <c r="D6666" s="16">
        <v>9</v>
      </c>
      <c r="E6666" s="22">
        <v>45135</v>
      </c>
      <c r="F6666" s="19">
        <v>13</v>
      </c>
      <c r="G6666" s="18">
        <v>0.16</v>
      </c>
      <c r="H6666">
        <f>F6666*VLOOKUP(B6666,產品!$A$2:$H$61,7,FALSE)*(1-銷售總表!G6666)</f>
        <v>240240</v>
      </c>
      <c r="I6666" s="35">
        <f>H6666-F6666*VLOOKUP(銷售總表!B6666,產品!$A$2:$H$61,8,FALSE)</f>
        <v>54340</v>
      </c>
      <c r="J6666" s="20">
        <f t="shared" si="104"/>
        <v>0.22619047619047619</v>
      </c>
    </row>
    <row r="6667" spans="1:10" x14ac:dyDescent="0.3">
      <c r="A6667" s="33">
        <v>6666</v>
      </c>
      <c r="B6667" s="4">
        <v>55</v>
      </c>
      <c r="C6667" s="15">
        <v>137</v>
      </c>
      <c r="D6667" s="16">
        <v>8</v>
      </c>
      <c r="E6667" s="22">
        <v>45135</v>
      </c>
      <c r="F6667" s="19">
        <v>4</v>
      </c>
      <c r="G6667" s="18">
        <v>0.12</v>
      </c>
      <c r="H6667">
        <f>F6667*VLOOKUP(B6667,產品!$A$2:$H$61,7,FALSE)*(1-銷售總表!G6667)</f>
        <v>70400</v>
      </c>
      <c r="I6667" s="35">
        <f>H6667-F6667*VLOOKUP(銷售總表!B6667,產品!$A$2:$H$61,8,FALSE)</f>
        <v>14400</v>
      </c>
      <c r="J6667" s="20">
        <f t="shared" si="104"/>
        <v>0.20454545454545456</v>
      </c>
    </row>
    <row r="6668" spans="1:10" x14ac:dyDescent="0.3">
      <c r="A6668" s="33">
        <v>6667</v>
      </c>
      <c r="B6668" s="4">
        <v>12</v>
      </c>
      <c r="C6668" s="15">
        <v>258</v>
      </c>
      <c r="D6668" s="16">
        <v>8</v>
      </c>
      <c r="E6668" s="22">
        <v>45137</v>
      </c>
      <c r="F6668" s="19">
        <v>40</v>
      </c>
      <c r="G6668" s="18">
        <v>0.09</v>
      </c>
      <c r="H6668">
        <f>F6668*VLOOKUP(B6668,產品!$A$2:$H$61,7,FALSE)*(1-銷售總表!G6668)</f>
        <v>36400</v>
      </c>
      <c r="I6668" s="35">
        <f>H6668-F6668*VLOOKUP(銷售總表!B6668,產品!$A$2:$H$61,8,FALSE)</f>
        <v>20400</v>
      </c>
      <c r="J6668" s="20">
        <f t="shared" si="104"/>
        <v>0.56043956043956045</v>
      </c>
    </row>
    <row r="6669" spans="1:10" x14ac:dyDescent="0.3">
      <c r="A6669" s="33">
        <v>6668</v>
      </c>
      <c r="B6669" s="4">
        <v>39</v>
      </c>
      <c r="C6669" s="15">
        <v>258</v>
      </c>
      <c r="D6669" s="16">
        <v>2</v>
      </c>
      <c r="E6669" s="22">
        <v>45137</v>
      </c>
      <c r="F6669" s="19">
        <v>10</v>
      </c>
      <c r="G6669" s="18">
        <v>0.12</v>
      </c>
      <c r="H6669">
        <f>F6669*VLOOKUP(B6669,產品!$A$2:$H$61,7,FALSE)*(1-銷售總表!G6669)</f>
        <v>158400</v>
      </c>
      <c r="I6669" s="35">
        <f>H6669-F6669*VLOOKUP(銷售總表!B6669,產品!$A$2:$H$61,8,FALSE)</f>
        <v>41400</v>
      </c>
      <c r="J6669" s="20">
        <f t="shared" si="104"/>
        <v>0.26136363636363635</v>
      </c>
    </row>
    <row r="6670" spans="1:10" x14ac:dyDescent="0.3">
      <c r="A6670" s="33">
        <v>6669</v>
      </c>
      <c r="B6670" s="4">
        <v>20</v>
      </c>
      <c r="C6670" s="15">
        <v>113</v>
      </c>
      <c r="D6670" s="16">
        <v>4</v>
      </c>
      <c r="E6670" s="23">
        <v>45137</v>
      </c>
      <c r="F6670">
        <v>11</v>
      </c>
      <c r="G6670" s="20">
        <v>0.1</v>
      </c>
      <c r="H6670">
        <f>F6670*VLOOKUP(B6670,產品!$A$2:$H$61,7,FALSE)*(1-銷售總表!G6670)</f>
        <v>17820</v>
      </c>
      <c r="I6670" s="35">
        <f>H6670-F6670*VLOOKUP(銷售總表!B6670,產品!$A$2:$H$61,8,FALSE)</f>
        <v>9900</v>
      </c>
      <c r="J6670" s="20">
        <f t="shared" si="104"/>
        <v>0.55555555555555558</v>
      </c>
    </row>
    <row r="6671" spans="1:10" x14ac:dyDescent="0.3">
      <c r="A6671" s="33">
        <v>6670</v>
      </c>
      <c r="B6671" s="4">
        <v>39</v>
      </c>
      <c r="C6671" s="15">
        <v>9</v>
      </c>
      <c r="D6671" s="16">
        <v>6</v>
      </c>
      <c r="E6671" s="22">
        <v>45138</v>
      </c>
      <c r="F6671" s="19">
        <v>1</v>
      </c>
      <c r="G6671" s="18">
        <v>0.06</v>
      </c>
      <c r="H6671">
        <f>F6671*VLOOKUP(B6671,產品!$A$2:$H$61,7,FALSE)*(1-銷售總表!G6671)</f>
        <v>16920</v>
      </c>
      <c r="I6671" s="35">
        <f>H6671-F6671*VLOOKUP(銷售總表!B6671,產品!$A$2:$H$61,8,FALSE)</f>
        <v>5220</v>
      </c>
      <c r="J6671" s="20">
        <f t="shared" si="104"/>
        <v>0.30851063829787234</v>
      </c>
    </row>
    <row r="6672" spans="1:10" x14ac:dyDescent="0.3">
      <c r="A6672" s="33">
        <v>6671</v>
      </c>
      <c r="B6672" s="4">
        <v>9</v>
      </c>
      <c r="C6672" s="15">
        <v>285</v>
      </c>
      <c r="D6672" s="16">
        <v>5</v>
      </c>
      <c r="E6672" s="22">
        <v>45138</v>
      </c>
      <c r="F6672" s="19">
        <v>60</v>
      </c>
      <c r="G6672" s="18">
        <v>0.18</v>
      </c>
      <c r="H6672">
        <f>F6672*VLOOKUP(B6672,產品!$A$2:$H$61,7,FALSE)*(1-銷售總表!G6672)</f>
        <v>49200.000000000007</v>
      </c>
      <c r="I6672" s="35">
        <f>H6672-F6672*VLOOKUP(銷售總表!B6672,產品!$A$2:$H$61,8,FALSE)</f>
        <v>25200.000000000007</v>
      </c>
      <c r="J6672" s="20">
        <f t="shared" si="104"/>
        <v>0.51219512195121963</v>
      </c>
    </row>
    <row r="6673" spans="1:10" x14ac:dyDescent="0.3">
      <c r="A6673" s="33">
        <v>6672</v>
      </c>
      <c r="B6673" s="4">
        <v>30</v>
      </c>
      <c r="C6673" s="15">
        <v>273</v>
      </c>
      <c r="D6673" s="16">
        <v>8</v>
      </c>
      <c r="E6673" s="22">
        <v>45138</v>
      </c>
      <c r="F6673" s="19">
        <v>35</v>
      </c>
      <c r="G6673" s="18">
        <v>0.14000000000000001</v>
      </c>
      <c r="H6673">
        <f>F6673*VLOOKUP(B6673,產品!$A$2:$H$61,7,FALSE)*(1-銷售總表!G6673)</f>
        <v>195650</v>
      </c>
      <c r="I6673" s="35">
        <f>H6673-F6673*VLOOKUP(銷售總表!B6673,產品!$A$2:$H$61,8,FALSE)</f>
        <v>59150</v>
      </c>
      <c r="J6673" s="20">
        <f t="shared" si="104"/>
        <v>0.30232558139534882</v>
      </c>
    </row>
    <row r="6674" spans="1:10" x14ac:dyDescent="0.3">
      <c r="A6674" s="33">
        <v>6673</v>
      </c>
      <c r="B6674" s="4">
        <v>9</v>
      </c>
      <c r="C6674" s="15">
        <v>136</v>
      </c>
      <c r="D6674" s="16">
        <v>5</v>
      </c>
      <c r="E6674" s="22">
        <v>45138</v>
      </c>
      <c r="F6674" s="19">
        <v>80</v>
      </c>
      <c r="G6674" s="18">
        <v>0.18</v>
      </c>
      <c r="H6674">
        <f>F6674*VLOOKUP(B6674,產品!$A$2:$H$61,7,FALSE)*(1-銷售總表!G6674)</f>
        <v>65600</v>
      </c>
      <c r="I6674" s="35">
        <f>H6674-F6674*VLOOKUP(銷售總表!B6674,產品!$A$2:$H$61,8,FALSE)</f>
        <v>33600</v>
      </c>
      <c r="J6674" s="20">
        <f t="shared" si="104"/>
        <v>0.51219512195121952</v>
      </c>
    </row>
    <row r="6675" spans="1:10" x14ac:dyDescent="0.3">
      <c r="A6675" s="33">
        <v>6674</v>
      </c>
      <c r="B6675" s="4">
        <v>57</v>
      </c>
      <c r="C6675" s="15">
        <v>115</v>
      </c>
      <c r="D6675" s="16">
        <v>4</v>
      </c>
      <c r="E6675" s="22">
        <v>45138</v>
      </c>
      <c r="F6675" s="19">
        <v>8</v>
      </c>
      <c r="G6675" s="18">
        <v>0.14000000000000001</v>
      </c>
      <c r="H6675">
        <f>F6675*VLOOKUP(B6675,產品!$A$2:$H$61,7,FALSE)*(1-銷售總表!G6675)</f>
        <v>123840</v>
      </c>
      <c r="I6675" s="35">
        <f>H6675-F6675*VLOOKUP(銷售總表!B6675,產品!$A$2:$H$61,8,FALSE)</f>
        <v>23040</v>
      </c>
      <c r="J6675" s="20">
        <f t="shared" si="104"/>
        <v>0.18604651162790697</v>
      </c>
    </row>
    <row r="6676" spans="1:10" x14ac:dyDescent="0.3">
      <c r="A6676" s="33">
        <v>6675</v>
      </c>
      <c r="B6676" s="4">
        <v>28</v>
      </c>
      <c r="C6676" s="15">
        <v>282</v>
      </c>
      <c r="D6676" s="16">
        <v>2</v>
      </c>
      <c r="E6676" s="22">
        <v>45139</v>
      </c>
      <c r="F6676" s="19">
        <v>4</v>
      </c>
      <c r="G6676" s="18">
        <v>0.2</v>
      </c>
      <c r="H6676">
        <f>F6676*VLOOKUP(B6676,產品!$A$2:$H$61,7,FALSE)*(1-銷售總表!G6676)</f>
        <v>24000</v>
      </c>
      <c r="I6676" s="35">
        <f>H6676-F6676*VLOOKUP(銷售總表!B6676,產品!$A$2:$H$61,8,FALSE)</f>
        <v>6000</v>
      </c>
      <c r="J6676" s="20">
        <f t="shared" si="104"/>
        <v>0.25</v>
      </c>
    </row>
    <row r="6677" spans="1:10" x14ac:dyDescent="0.3">
      <c r="A6677" s="33">
        <v>6676</v>
      </c>
      <c r="B6677" s="4">
        <v>4</v>
      </c>
      <c r="C6677" s="15">
        <v>5</v>
      </c>
      <c r="D6677" s="16">
        <v>10</v>
      </c>
      <c r="E6677" s="23">
        <v>45139</v>
      </c>
      <c r="F6677">
        <v>60</v>
      </c>
      <c r="G6677" s="20">
        <v>7.0000000000000007E-2</v>
      </c>
      <c r="H6677">
        <f>F6677*VLOOKUP(B6677,產品!$A$2:$H$61,7,FALSE)*(1-銷售總表!G6677)</f>
        <v>55799.999999999993</v>
      </c>
      <c r="I6677" s="35">
        <f>H6677-F6677*VLOOKUP(銷售總表!B6677,產品!$A$2:$H$61,8,FALSE)</f>
        <v>31799.999999999993</v>
      </c>
      <c r="J6677" s="20">
        <f t="shared" si="104"/>
        <v>0.56989247311827951</v>
      </c>
    </row>
    <row r="6678" spans="1:10" x14ac:dyDescent="0.3">
      <c r="A6678" s="33">
        <v>6677</v>
      </c>
      <c r="B6678" s="4">
        <v>30</v>
      </c>
      <c r="C6678" s="15">
        <v>134</v>
      </c>
      <c r="D6678" s="16">
        <v>1</v>
      </c>
      <c r="E6678" s="23">
        <v>45139</v>
      </c>
      <c r="F6678">
        <v>4</v>
      </c>
      <c r="G6678" s="20">
        <v>0.1</v>
      </c>
      <c r="H6678">
        <f>F6678*VLOOKUP(B6678,產品!$A$2:$H$61,7,FALSE)*(1-銷售總表!G6678)</f>
        <v>23400</v>
      </c>
      <c r="I6678" s="35">
        <f>H6678-F6678*VLOOKUP(銷售總表!B6678,產品!$A$2:$H$61,8,FALSE)</f>
        <v>7800</v>
      </c>
      <c r="J6678" s="20">
        <f t="shared" si="104"/>
        <v>0.33333333333333331</v>
      </c>
    </row>
    <row r="6679" spans="1:10" x14ac:dyDescent="0.3">
      <c r="A6679" s="33">
        <v>6678</v>
      </c>
      <c r="B6679" s="4">
        <v>34</v>
      </c>
      <c r="C6679" s="15">
        <v>271</v>
      </c>
      <c r="D6679" s="16">
        <v>7</v>
      </c>
      <c r="E6679" s="22">
        <v>45140</v>
      </c>
      <c r="F6679" s="19">
        <v>12</v>
      </c>
      <c r="G6679" s="18">
        <v>0.18</v>
      </c>
      <c r="H6679">
        <f>F6679*VLOOKUP(B6679,產品!$A$2:$H$61,7,FALSE)*(1-銷售總表!G6679)</f>
        <v>78720</v>
      </c>
      <c r="I6679" s="35">
        <f>H6679-F6679*VLOOKUP(銷售總表!B6679,產品!$A$2:$H$61,8,FALSE)</f>
        <v>21120</v>
      </c>
      <c r="J6679" s="20">
        <f t="shared" si="104"/>
        <v>0.26829268292682928</v>
      </c>
    </row>
    <row r="6680" spans="1:10" x14ac:dyDescent="0.3">
      <c r="A6680" s="33">
        <v>6679</v>
      </c>
      <c r="B6680" s="4">
        <v>15</v>
      </c>
      <c r="C6680" s="15">
        <v>272</v>
      </c>
      <c r="D6680" s="16">
        <v>5</v>
      </c>
      <c r="E6680" s="22">
        <v>45140</v>
      </c>
      <c r="F6680" s="19">
        <v>50</v>
      </c>
      <c r="G6680" s="18">
        <v>0.06</v>
      </c>
      <c r="H6680">
        <f>F6680*VLOOKUP(B6680,產品!$A$2:$H$61,7,FALSE)*(1-銷售總表!G6680)</f>
        <v>84600</v>
      </c>
      <c r="I6680" s="35">
        <f>H6680-F6680*VLOOKUP(銷售總表!B6680,產品!$A$2:$H$61,8,FALSE)</f>
        <v>48600</v>
      </c>
      <c r="J6680" s="20">
        <f t="shared" si="104"/>
        <v>0.57446808510638303</v>
      </c>
    </row>
    <row r="6681" spans="1:10" x14ac:dyDescent="0.3">
      <c r="A6681" s="33">
        <v>6680</v>
      </c>
      <c r="B6681" s="4">
        <v>54</v>
      </c>
      <c r="C6681" s="15">
        <v>10</v>
      </c>
      <c r="D6681" s="16">
        <v>2</v>
      </c>
      <c r="E6681" s="22">
        <v>45140</v>
      </c>
      <c r="F6681" s="19">
        <v>6</v>
      </c>
      <c r="G6681" s="18">
        <v>0.05</v>
      </c>
      <c r="H6681">
        <f>F6681*VLOOKUP(B6681,產品!$A$2:$H$61,7,FALSE)*(1-銷售總表!G6681)</f>
        <v>102600</v>
      </c>
      <c r="I6681" s="35">
        <f>H6681-F6681*VLOOKUP(銷售總表!B6681,產品!$A$2:$H$61,8,FALSE)</f>
        <v>27000</v>
      </c>
      <c r="J6681" s="20">
        <f t="shared" si="104"/>
        <v>0.26315789473684209</v>
      </c>
    </row>
    <row r="6682" spans="1:10" x14ac:dyDescent="0.3">
      <c r="A6682" s="33">
        <v>6681</v>
      </c>
      <c r="B6682" s="4">
        <v>59</v>
      </c>
      <c r="C6682" s="15">
        <v>7</v>
      </c>
      <c r="D6682" s="16">
        <v>4</v>
      </c>
      <c r="E6682" s="23">
        <v>45140</v>
      </c>
      <c r="F6682">
        <v>11</v>
      </c>
      <c r="G6682" s="20">
        <v>0.19</v>
      </c>
      <c r="H6682">
        <f>F6682*VLOOKUP(B6682,產品!$A$2:$H$61,7,FALSE)*(1-銷售總表!G6682)</f>
        <v>213840</v>
      </c>
      <c r="I6682" s="35">
        <f>H6682-F6682*VLOOKUP(銷售總表!B6682,產品!$A$2:$H$61,8,FALSE)</f>
        <v>29040</v>
      </c>
      <c r="J6682" s="20">
        <f t="shared" si="104"/>
        <v>0.13580246913580246</v>
      </c>
    </row>
    <row r="6683" spans="1:10" x14ac:dyDescent="0.3">
      <c r="A6683" s="33">
        <v>6682</v>
      </c>
      <c r="B6683" s="4">
        <v>9</v>
      </c>
      <c r="C6683" s="15">
        <v>115</v>
      </c>
      <c r="D6683" s="16">
        <v>8</v>
      </c>
      <c r="E6683" s="23">
        <v>45140</v>
      </c>
      <c r="F6683">
        <v>40</v>
      </c>
      <c r="G6683" s="20">
        <v>0.19</v>
      </c>
      <c r="H6683">
        <f>F6683*VLOOKUP(B6683,產品!$A$2:$H$61,7,FALSE)*(1-銷售總表!G6683)</f>
        <v>32400.000000000004</v>
      </c>
      <c r="I6683" s="35">
        <f>H6683-F6683*VLOOKUP(銷售總表!B6683,產品!$A$2:$H$61,8,FALSE)</f>
        <v>16400.000000000004</v>
      </c>
      <c r="J6683" s="20">
        <f t="shared" si="104"/>
        <v>0.50617283950617287</v>
      </c>
    </row>
    <row r="6684" spans="1:10" x14ac:dyDescent="0.3">
      <c r="A6684" s="33">
        <v>6683</v>
      </c>
      <c r="B6684" s="4">
        <v>41</v>
      </c>
      <c r="C6684" s="15">
        <v>5</v>
      </c>
      <c r="D6684" s="16">
        <v>6</v>
      </c>
      <c r="E6684" s="22">
        <v>45141</v>
      </c>
      <c r="F6684" s="19">
        <v>9</v>
      </c>
      <c r="G6684" s="18">
        <v>0.09</v>
      </c>
      <c r="H6684">
        <f>F6684*VLOOKUP(B6684,產品!$A$2:$H$61,7,FALSE)*(1-銷售總表!G6684)</f>
        <v>98280</v>
      </c>
      <c r="I6684" s="35">
        <f>H6684-F6684*VLOOKUP(銷售總表!B6684,產品!$A$2:$H$61,8,FALSE)</f>
        <v>28080</v>
      </c>
      <c r="J6684" s="20">
        <f t="shared" si="104"/>
        <v>0.2857142857142857</v>
      </c>
    </row>
    <row r="6685" spans="1:10" x14ac:dyDescent="0.3">
      <c r="A6685" s="33">
        <v>6684</v>
      </c>
      <c r="B6685" s="4">
        <v>13</v>
      </c>
      <c r="C6685" s="15">
        <v>289</v>
      </c>
      <c r="D6685" s="16">
        <v>7</v>
      </c>
      <c r="E6685" s="22">
        <v>45141</v>
      </c>
      <c r="F6685" s="19">
        <v>20</v>
      </c>
      <c r="G6685" s="18">
        <v>0.11</v>
      </c>
      <c r="H6685">
        <f>F6685*VLOOKUP(B6685,產品!$A$2:$H$61,7,FALSE)*(1-銷售總表!G6685)</f>
        <v>32040</v>
      </c>
      <c r="I6685" s="35">
        <f>H6685-F6685*VLOOKUP(銷售總表!B6685,產品!$A$2:$H$61,8,FALSE)</f>
        <v>17640</v>
      </c>
      <c r="J6685" s="20">
        <f t="shared" si="104"/>
        <v>0.550561797752809</v>
      </c>
    </row>
    <row r="6686" spans="1:10" x14ac:dyDescent="0.3">
      <c r="A6686" s="33">
        <v>6685</v>
      </c>
      <c r="B6686" s="4">
        <v>6</v>
      </c>
      <c r="C6686" s="15">
        <v>284</v>
      </c>
      <c r="D6686" s="16">
        <v>10</v>
      </c>
      <c r="E6686" s="22">
        <v>45141</v>
      </c>
      <c r="F6686" s="19">
        <v>40</v>
      </c>
      <c r="G6686" s="18">
        <v>0.16</v>
      </c>
      <c r="H6686">
        <f>F6686*VLOOKUP(B6686,產品!$A$2:$H$61,7,FALSE)*(1-銷售總表!G6686)</f>
        <v>33600</v>
      </c>
      <c r="I6686" s="35">
        <f>H6686-F6686*VLOOKUP(銷售總表!B6686,產品!$A$2:$H$61,8,FALSE)</f>
        <v>17600</v>
      </c>
      <c r="J6686" s="20">
        <f t="shared" si="104"/>
        <v>0.52380952380952384</v>
      </c>
    </row>
    <row r="6687" spans="1:10" x14ac:dyDescent="0.3">
      <c r="A6687" s="33">
        <v>6686</v>
      </c>
      <c r="B6687" s="4">
        <v>54</v>
      </c>
      <c r="C6687" s="15">
        <v>268</v>
      </c>
      <c r="D6687" s="16">
        <v>2</v>
      </c>
      <c r="E6687" s="23">
        <v>45141</v>
      </c>
      <c r="F6687">
        <v>4</v>
      </c>
      <c r="G6687" s="20">
        <v>0.08</v>
      </c>
      <c r="H6687">
        <f>F6687*VLOOKUP(B6687,產品!$A$2:$H$61,7,FALSE)*(1-銷售總表!G6687)</f>
        <v>66240</v>
      </c>
      <c r="I6687" s="35">
        <f>H6687-F6687*VLOOKUP(銷售總表!B6687,產品!$A$2:$H$61,8,FALSE)</f>
        <v>15840</v>
      </c>
      <c r="J6687" s="20">
        <f t="shared" si="104"/>
        <v>0.2391304347826087</v>
      </c>
    </row>
    <row r="6688" spans="1:10" x14ac:dyDescent="0.3">
      <c r="A6688" s="33">
        <v>6687</v>
      </c>
      <c r="B6688" s="4">
        <v>30</v>
      </c>
      <c r="C6688" s="15">
        <v>118</v>
      </c>
      <c r="D6688" s="16">
        <v>6</v>
      </c>
      <c r="E6688" s="23">
        <v>45141</v>
      </c>
      <c r="F6688">
        <v>11</v>
      </c>
      <c r="G6688" s="20">
        <v>0.15</v>
      </c>
      <c r="H6688">
        <f>F6688*VLOOKUP(B6688,產品!$A$2:$H$61,7,FALSE)*(1-銷售總表!G6688)</f>
        <v>60775</v>
      </c>
      <c r="I6688" s="35">
        <f>H6688-F6688*VLOOKUP(銷售總表!B6688,產品!$A$2:$H$61,8,FALSE)</f>
        <v>17875</v>
      </c>
      <c r="J6688" s="20">
        <f t="shared" si="104"/>
        <v>0.29411764705882354</v>
      </c>
    </row>
    <row r="6689" spans="1:10" x14ac:dyDescent="0.3">
      <c r="A6689" s="33">
        <v>6688</v>
      </c>
      <c r="B6689" s="4">
        <v>41</v>
      </c>
      <c r="C6689" s="15">
        <v>291</v>
      </c>
      <c r="D6689" s="16">
        <v>1</v>
      </c>
      <c r="E6689" s="22">
        <v>45142</v>
      </c>
      <c r="F6689" s="19">
        <v>7</v>
      </c>
      <c r="G6689" s="18">
        <v>0.16</v>
      </c>
      <c r="H6689">
        <f>F6689*VLOOKUP(B6689,產品!$A$2:$H$61,7,FALSE)*(1-銷售總表!G6689)</f>
        <v>70560</v>
      </c>
      <c r="I6689" s="35">
        <f>H6689-F6689*VLOOKUP(銷售總表!B6689,產品!$A$2:$H$61,8,FALSE)</f>
        <v>15960</v>
      </c>
      <c r="J6689" s="20">
        <f t="shared" si="104"/>
        <v>0.22619047619047619</v>
      </c>
    </row>
    <row r="6690" spans="1:10" x14ac:dyDescent="0.3">
      <c r="A6690" s="33">
        <v>6689</v>
      </c>
      <c r="B6690" s="4">
        <v>48</v>
      </c>
      <c r="C6690" s="15">
        <v>271</v>
      </c>
      <c r="D6690" s="16">
        <v>8</v>
      </c>
      <c r="E6690" s="22">
        <v>45142</v>
      </c>
      <c r="F6690" s="19">
        <v>5</v>
      </c>
      <c r="G6690" s="18">
        <v>0.06</v>
      </c>
      <c r="H6690">
        <f>F6690*VLOOKUP(B6690,產品!$A$2:$H$61,7,FALSE)*(1-銷售總表!G6690)</f>
        <v>103400</v>
      </c>
      <c r="I6690" s="35">
        <f>H6690-F6690*VLOOKUP(銷售總表!B6690,產品!$A$2:$H$61,8,FALSE)</f>
        <v>31900</v>
      </c>
      <c r="J6690" s="20">
        <f t="shared" si="104"/>
        <v>0.30851063829787234</v>
      </c>
    </row>
    <row r="6691" spans="1:10" x14ac:dyDescent="0.3">
      <c r="A6691" s="33">
        <v>6690</v>
      </c>
      <c r="B6691" s="4">
        <v>39</v>
      </c>
      <c r="C6691" s="15">
        <v>264</v>
      </c>
      <c r="D6691" s="16">
        <v>2</v>
      </c>
      <c r="E6691" s="22">
        <v>45142</v>
      </c>
      <c r="F6691" s="19">
        <v>1</v>
      </c>
      <c r="G6691" s="18">
        <v>0.12</v>
      </c>
      <c r="H6691">
        <f>F6691*VLOOKUP(B6691,產品!$A$2:$H$61,7,FALSE)*(1-銷售總表!G6691)</f>
        <v>15840</v>
      </c>
      <c r="I6691" s="35">
        <f>H6691-F6691*VLOOKUP(銷售總表!B6691,產品!$A$2:$H$61,8,FALSE)</f>
        <v>4140</v>
      </c>
      <c r="J6691" s="20">
        <f t="shared" si="104"/>
        <v>0.26136363636363635</v>
      </c>
    </row>
    <row r="6692" spans="1:10" x14ac:dyDescent="0.3">
      <c r="A6692" s="33">
        <v>6691</v>
      </c>
      <c r="B6692" s="4">
        <v>32</v>
      </c>
      <c r="C6692" s="15">
        <v>137</v>
      </c>
      <c r="D6692" s="16">
        <v>9</v>
      </c>
      <c r="E6692" s="23">
        <v>45142</v>
      </c>
      <c r="F6692">
        <v>4</v>
      </c>
      <c r="G6692" s="20">
        <v>0.14000000000000001</v>
      </c>
      <c r="H6692">
        <f>F6692*VLOOKUP(B6692,產品!$A$2:$H$61,7,FALSE)*(1-銷售總表!G6692)</f>
        <v>25800</v>
      </c>
      <c r="I6692" s="35">
        <f>H6692-F6692*VLOOKUP(銷售總表!B6692,產品!$A$2:$H$61,8,FALSE)</f>
        <v>7800</v>
      </c>
      <c r="J6692" s="20">
        <f t="shared" si="104"/>
        <v>0.30232558139534882</v>
      </c>
    </row>
    <row r="6693" spans="1:10" x14ac:dyDescent="0.3">
      <c r="A6693" s="33">
        <v>6692</v>
      </c>
      <c r="B6693" s="4">
        <v>55</v>
      </c>
      <c r="C6693" s="15">
        <v>257</v>
      </c>
      <c r="D6693" s="16">
        <v>10</v>
      </c>
      <c r="E6693" s="22">
        <v>45143</v>
      </c>
      <c r="F6693" s="19">
        <v>6</v>
      </c>
      <c r="G6693" s="18">
        <v>0.15</v>
      </c>
      <c r="H6693">
        <f>F6693*VLOOKUP(B6693,產品!$A$2:$H$61,7,FALSE)*(1-銷售總表!G6693)</f>
        <v>102000</v>
      </c>
      <c r="I6693" s="35">
        <f>H6693-F6693*VLOOKUP(銷售總表!B6693,產品!$A$2:$H$61,8,FALSE)</f>
        <v>18000</v>
      </c>
      <c r="J6693" s="20">
        <f t="shared" si="104"/>
        <v>0.17647058823529413</v>
      </c>
    </row>
    <row r="6694" spans="1:10" x14ac:dyDescent="0.3">
      <c r="A6694" s="33">
        <v>6693</v>
      </c>
      <c r="B6694" s="4">
        <v>18</v>
      </c>
      <c r="C6694" s="15">
        <v>114</v>
      </c>
      <c r="D6694" s="16">
        <v>5</v>
      </c>
      <c r="E6694" s="22">
        <v>45143</v>
      </c>
      <c r="F6694" s="19">
        <v>90</v>
      </c>
      <c r="G6694" s="18">
        <v>0.14000000000000001</v>
      </c>
      <c r="H6694">
        <f>F6694*VLOOKUP(B6694,產品!$A$2:$H$61,7,FALSE)*(1-銷售總表!G6694)</f>
        <v>139320</v>
      </c>
      <c r="I6694" s="35">
        <f>H6694-F6694*VLOOKUP(銷售總表!B6694,產品!$A$2:$H$61,8,FALSE)</f>
        <v>74520</v>
      </c>
      <c r="J6694" s="20">
        <f t="shared" si="104"/>
        <v>0.53488372093023251</v>
      </c>
    </row>
    <row r="6695" spans="1:10" x14ac:dyDescent="0.3">
      <c r="A6695" s="33">
        <v>6694</v>
      </c>
      <c r="B6695" s="4">
        <v>31</v>
      </c>
      <c r="C6695" s="15">
        <v>261</v>
      </c>
      <c r="D6695" s="16">
        <v>8</v>
      </c>
      <c r="E6695" s="22">
        <v>45144</v>
      </c>
      <c r="F6695" s="17">
        <v>4</v>
      </c>
      <c r="G6695" s="18">
        <v>0.2</v>
      </c>
      <c r="H6695">
        <f>F6695*VLOOKUP(B6695,產品!$A$2:$H$61,7,FALSE)*(1-銷售總表!G6695)</f>
        <v>22400</v>
      </c>
      <c r="I6695" s="35">
        <f>H6695-F6695*VLOOKUP(銷售總表!B6695,產品!$A$2:$H$61,8,FALSE)</f>
        <v>5600</v>
      </c>
      <c r="J6695" s="20">
        <f t="shared" si="104"/>
        <v>0.25</v>
      </c>
    </row>
    <row r="6696" spans="1:10" x14ac:dyDescent="0.3">
      <c r="A6696" s="33">
        <v>6695</v>
      </c>
      <c r="B6696" s="4">
        <v>6</v>
      </c>
      <c r="C6696" s="15">
        <v>9</v>
      </c>
      <c r="D6696" s="16">
        <v>4</v>
      </c>
      <c r="E6696" s="22">
        <v>45144</v>
      </c>
      <c r="F6696" s="19">
        <v>90</v>
      </c>
      <c r="G6696" s="18">
        <v>0.08</v>
      </c>
      <c r="H6696">
        <f>F6696*VLOOKUP(B6696,產品!$A$2:$H$61,7,FALSE)*(1-銷售總表!G6696)</f>
        <v>82800</v>
      </c>
      <c r="I6696" s="35">
        <f>H6696-F6696*VLOOKUP(銷售總表!B6696,產品!$A$2:$H$61,8,FALSE)</f>
        <v>46800</v>
      </c>
      <c r="J6696" s="20">
        <f t="shared" si="104"/>
        <v>0.56521739130434778</v>
      </c>
    </row>
    <row r="6697" spans="1:10" x14ac:dyDescent="0.3">
      <c r="A6697" s="33">
        <v>6696</v>
      </c>
      <c r="B6697" s="4">
        <v>43</v>
      </c>
      <c r="C6697" s="15">
        <v>9</v>
      </c>
      <c r="D6697" s="16">
        <v>7</v>
      </c>
      <c r="E6697" s="23">
        <v>45144</v>
      </c>
      <c r="F6697">
        <v>7</v>
      </c>
      <c r="G6697" s="20">
        <v>0.13</v>
      </c>
      <c r="H6697">
        <f>F6697*VLOOKUP(B6697,產品!$A$2:$H$61,7,FALSE)*(1-銷售總表!G6697)</f>
        <v>109620</v>
      </c>
      <c r="I6697" s="35">
        <f>H6697-F6697*VLOOKUP(銷售總表!B6697,產品!$A$2:$H$61,8,FALSE)</f>
        <v>27720</v>
      </c>
      <c r="J6697" s="20">
        <f t="shared" si="104"/>
        <v>0.25287356321839083</v>
      </c>
    </row>
    <row r="6698" spans="1:10" x14ac:dyDescent="0.3">
      <c r="A6698" s="33">
        <v>6697</v>
      </c>
      <c r="B6698" s="4">
        <v>21</v>
      </c>
      <c r="C6698" s="15">
        <v>12</v>
      </c>
      <c r="D6698" s="16">
        <v>10</v>
      </c>
      <c r="E6698" s="23">
        <v>45145</v>
      </c>
      <c r="F6698">
        <v>40</v>
      </c>
      <c r="G6698" s="20">
        <v>0.08</v>
      </c>
      <c r="H6698">
        <f>F6698*VLOOKUP(B6698,產品!$A$2:$H$61,7,FALSE)*(1-銷售總表!G6698)</f>
        <v>66240</v>
      </c>
      <c r="I6698" s="35">
        <f>H6698-F6698*VLOOKUP(銷售總表!B6698,產品!$A$2:$H$61,8,FALSE)</f>
        <v>37440</v>
      </c>
      <c r="J6698" s="20">
        <f t="shared" si="104"/>
        <v>0.56521739130434778</v>
      </c>
    </row>
    <row r="6699" spans="1:10" x14ac:dyDescent="0.3">
      <c r="A6699" s="33">
        <v>6698</v>
      </c>
      <c r="B6699" s="4">
        <v>42</v>
      </c>
      <c r="C6699" s="15">
        <v>11</v>
      </c>
      <c r="D6699" s="16">
        <v>5</v>
      </c>
      <c r="E6699" s="22">
        <v>45146</v>
      </c>
      <c r="F6699" s="19">
        <v>6</v>
      </c>
      <c r="G6699" s="18">
        <v>7.0000000000000007E-2</v>
      </c>
      <c r="H6699">
        <f>F6699*VLOOKUP(B6699,產品!$A$2:$H$61,7,FALSE)*(1-銷售總表!G6699)</f>
        <v>83700</v>
      </c>
      <c r="I6699" s="35">
        <f>H6699-F6699*VLOOKUP(銷售總表!B6699,產品!$A$2:$H$61,8,FALSE)</f>
        <v>25200</v>
      </c>
      <c r="J6699" s="20">
        <f t="shared" si="104"/>
        <v>0.30107526881720431</v>
      </c>
    </row>
    <row r="6700" spans="1:10" x14ac:dyDescent="0.3">
      <c r="A6700" s="33">
        <v>6699</v>
      </c>
      <c r="B6700" s="4">
        <v>25</v>
      </c>
      <c r="C6700" s="15">
        <v>7</v>
      </c>
      <c r="D6700" s="16">
        <v>7</v>
      </c>
      <c r="E6700" s="22">
        <v>45147</v>
      </c>
      <c r="F6700" s="19">
        <v>30</v>
      </c>
      <c r="G6700" s="18">
        <v>0.05</v>
      </c>
      <c r="H6700">
        <f>F6700*VLOOKUP(B6700,產品!$A$2:$H$61,7,FALSE)*(1-銷售總表!G6700)</f>
        <v>171000</v>
      </c>
      <c r="I6700" s="35">
        <f>H6700-F6700*VLOOKUP(銷售總表!B6700,產品!$A$2:$H$61,8,FALSE)</f>
        <v>63000</v>
      </c>
      <c r="J6700" s="20">
        <f t="shared" si="104"/>
        <v>0.36842105263157893</v>
      </c>
    </row>
    <row r="6701" spans="1:10" x14ac:dyDescent="0.3">
      <c r="A6701" s="33">
        <v>6700</v>
      </c>
      <c r="B6701" s="4">
        <v>27</v>
      </c>
      <c r="C6701" s="15">
        <v>9</v>
      </c>
      <c r="D6701" s="16">
        <v>6</v>
      </c>
      <c r="E6701" s="22">
        <v>45147</v>
      </c>
      <c r="F6701" s="19">
        <v>9</v>
      </c>
      <c r="G6701" s="18">
        <v>0.13</v>
      </c>
      <c r="H6701">
        <f>F6701*VLOOKUP(B6701,產品!$A$2:$H$61,7,FALSE)*(1-銷售總表!G6701)</f>
        <v>54810</v>
      </c>
      <c r="I6701" s="35">
        <f>H6701-F6701*VLOOKUP(銷售總表!B6701,產品!$A$2:$H$61,8,FALSE)</f>
        <v>17010</v>
      </c>
      <c r="J6701" s="20">
        <f t="shared" si="104"/>
        <v>0.31034482758620691</v>
      </c>
    </row>
    <row r="6702" spans="1:10" x14ac:dyDescent="0.3">
      <c r="A6702" s="33">
        <v>6701</v>
      </c>
      <c r="B6702" s="4">
        <v>34</v>
      </c>
      <c r="C6702" s="15">
        <v>118</v>
      </c>
      <c r="D6702" s="16">
        <v>5</v>
      </c>
      <c r="E6702" s="22">
        <v>45147</v>
      </c>
      <c r="F6702" s="19">
        <v>4</v>
      </c>
      <c r="G6702" s="18">
        <v>0.09</v>
      </c>
      <c r="H6702">
        <f>F6702*VLOOKUP(B6702,產品!$A$2:$H$61,7,FALSE)*(1-銷售總表!G6702)</f>
        <v>29120</v>
      </c>
      <c r="I6702" s="35">
        <f>H6702-F6702*VLOOKUP(銷售總表!B6702,產品!$A$2:$H$61,8,FALSE)</f>
        <v>9920</v>
      </c>
      <c r="J6702" s="20">
        <f t="shared" si="104"/>
        <v>0.34065934065934067</v>
      </c>
    </row>
    <row r="6703" spans="1:10" x14ac:dyDescent="0.3">
      <c r="A6703" s="33">
        <v>6702</v>
      </c>
      <c r="B6703" s="4">
        <v>47</v>
      </c>
      <c r="C6703" s="15">
        <v>258</v>
      </c>
      <c r="D6703" s="16">
        <v>9</v>
      </c>
      <c r="E6703" s="22">
        <v>45147</v>
      </c>
      <c r="F6703" s="19">
        <v>10</v>
      </c>
      <c r="G6703" s="18">
        <v>0.12</v>
      </c>
      <c r="H6703">
        <f>F6703*VLOOKUP(B6703,產品!$A$2:$H$61,7,FALSE)*(1-銷售總表!G6703)</f>
        <v>176000</v>
      </c>
      <c r="I6703" s="35">
        <f>H6703-F6703*VLOOKUP(銷售總表!B6703,產品!$A$2:$H$61,8,FALSE)</f>
        <v>46000</v>
      </c>
      <c r="J6703" s="20">
        <f t="shared" si="104"/>
        <v>0.26136363636363635</v>
      </c>
    </row>
    <row r="6704" spans="1:10" x14ac:dyDescent="0.3">
      <c r="A6704" s="33">
        <v>6703</v>
      </c>
      <c r="B6704" s="4">
        <v>21</v>
      </c>
      <c r="C6704" s="15">
        <v>2</v>
      </c>
      <c r="D6704" s="16">
        <v>10</v>
      </c>
      <c r="E6704" s="22">
        <v>45147</v>
      </c>
      <c r="F6704" s="19">
        <v>19</v>
      </c>
      <c r="G6704" s="18">
        <v>0.13</v>
      </c>
      <c r="H6704">
        <f>F6704*VLOOKUP(B6704,產品!$A$2:$H$61,7,FALSE)*(1-銷售總表!G6704)</f>
        <v>29754</v>
      </c>
      <c r="I6704" s="35">
        <f>H6704-F6704*VLOOKUP(銷售總表!B6704,產品!$A$2:$H$61,8,FALSE)</f>
        <v>16074</v>
      </c>
      <c r="J6704" s="20">
        <f t="shared" si="104"/>
        <v>0.54022988505747127</v>
      </c>
    </row>
    <row r="6705" spans="1:10" x14ac:dyDescent="0.3">
      <c r="A6705" s="33">
        <v>6704</v>
      </c>
      <c r="B6705" s="4">
        <v>56</v>
      </c>
      <c r="C6705" s="15">
        <v>291</v>
      </c>
      <c r="D6705" s="16">
        <v>6</v>
      </c>
      <c r="E6705" s="23">
        <v>45147</v>
      </c>
      <c r="F6705">
        <v>13</v>
      </c>
      <c r="G6705" s="20">
        <v>0.08</v>
      </c>
      <c r="H6705">
        <f>F6705*VLOOKUP(B6705,產品!$A$2:$H$61,7,FALSE)*(1-銷售總表!G6705)</f>
        <v>263120</v>
      </c>
      <c r="I6705" s="35">
        <f>H6705-F6705*VLOOKUP(銷售總表!B6705,產品!$A$2:$H$61,8,FALSE)</f>
        <v>62920.000000000029</v>
      </c>
      <c r="J6705" s="20">
        <f t="shared" si="104"/>
        <v>0.23913043478260881</v>
      </c>
    </row>
    <row r="6706" spans="1:10" x14ac:dyDescent="0.3">
      <c r="A6706" s="33">
        <v>6705</v>
      </c>
      <c r="B6706" s="4">
        <v>29</v>
      </c>
      <c r="C6706" s="15">
        <v>1</v>
      </c>
      <c r="D6706" s="16">
        <v>8</v>
      </c>
      <c r="E6706" s="22">
        <v>45148</v>
      </c>
      <c r="F6706" s="17">
        <v>3</v>
      </c>
      <c r="G6706" s="18">
        <v>0.18</v>
      </c>
      <c r="H6706">
        <f>F6706*VLOOKUP(B6706,產品!$A$2:$H$61,7,FALSE)*(1-銷售總表!G6706)</f>
        <v>14760.000000000002</v>
      </c>
      <c r="I6706" s="35">
        <f>H6706-F6706*VLOOKUP(銷售總表!B6706,產品!$A$2:$H$61,8,FALSE)</f>
        <v>3960.0000000000018</v>
      </c>
      <c r="J6706" s="20">
        <f t="shared" si="104"/>
        <v>0.26829268292682934</v>
      </c>
    </row>
    <row r="6707" spans="1:10" x14ac:dyDescent="0.3">
      <c r="A6707" s="33">
        <v>6706</v>
      </c>
      <c r="B6707" s="4">
        <v>25</v>
      </c>
      <c r="C6707" s="15">
        <v>265</v>
      </c>
      <c r="D6707" s="16">
        <v>10</v>
      </c>
      <c r="E6707" s="22">
        <v>45148</v>
      </c>
      <c r="F6707" s="19">
        <v>4</v>
      </c>
      <c r="G6707" s="18">
        <v>0.2</v>
      </c>
      <c r="H6707">
        <f>F6707*VLOOKUP(B6707,產品!$A$2:$H$61,7,FALSE)*(1-銷售總表!G6707)</f>
        <v>19200</v>
      </c>
      <c r="I6707" s="35">
        <f>H6707-F6707*VLOOKUP(銷售總表!B6707,產品!$A$2:$H$61,8,FALSE)</f>
        <v>4800</v>
      </c>
      <c r="J6707" s="20">
        <f t="shared" si="104"/>
        <v>0.25</v>
      </c>
    </row>
    <row r="6708" spans="1:10" x14ac:dyDescent="0.3">
      <c r="A6708" s="33">
        <v>6707</v>
      </c>
      <c r="B6708" s="4">
        <v>27</v>
      </c>
      <c r="C6708" s="15">
        <v>12</v>
      </c>
      <c r="D6708" s="16">
        <v>8</v>
      </c>
      <c r="E6708" s="22">
        <v>45148</v>
      </c>
      <c r="F6708" s="19">
        <v>6</v>
      </c>
      <c r="G6708" s="18">
        <v>0.05</v>
      </c>
      <c r="H6708">
        <f>F6708*VLOOKUP(B6708,產品!$A$2:$H$61,7,FALSE)*(1-銷售總表!G6708)</f>
        <v>39900</v>
      </c>
      <c r="I6708" s="35">
        <f>H6708-F6708*VLOOKUP(銷售總表!B6708,產品!$A$2:$H$61,8,FALSE)</f>
        <v>14700</v>
      </c>
      <c r="J6708" s="20">
        <f t="shared" si="104"/>
        <v>0.36842105263157893</v>
      </c>
    </row>
    <row r="6709" spans="1:10" x14ac:dyDescent="0.3">
      <c r="A6709" s="33">
        <v>6708</v>
      </c>
      <c r="B6709" s="4">
        <v>40</v>
      </c>
      <c r="C6709" s="15">
        <v>9</v>
      </c>
      <c r="D6709" s="16">
        <v>3</v>
      </c>
      <c r="E6709" s="23">
        <v>45148</v>
      </c>
      <c r="F6709">
        <v>5</v>
      </c>
      <c r="G6709" s="20">
        <v>0.05</v>
      </c>
      <c r="H6709">
        <f>F6709*VLOOKUP(B6709,產品!$A$2:$H$61,7,FALSE)*(1-銷售總表!G6709)</f>
        <v>95000</v>
      </c>
      <c r="I6709" s="35">
        <f>H6709-F6709*VLOOKUP(銷售總表!B6709,產品!$A$2:$H$61,8,FALSE)</f>
        <v>30000</v>
      </c>
      <c r="J6709" s="20">
        <f t="shared" si="104"/>
        <v>0.31578947368421051</v>
      </c>
    </row>
    <row r="6710" spans="1:10" x14ac:dyDescent="0.3">
      <c r="A6710" s="33">
        <v>6709</v>
      </c>
      <c r="B6710" s="4">
        <v>38</v>
      </c>
      <c r="C6710" s="15">
        <v>7</v>
      </c>
      <c r="D6710" s="16">
        <v>8</v>
      </c>
      <c r="E6710" s="22">
        <v>45149</v>
      </c>
      <c r="F6710" s="19">
        <v>1</v>
      </c>
      <c r="G6710" s="18">
        <v>0.18</v>
      </c>
      <c r="H6710">
        <f>F6710*VLOOKUP(B6710,產品!$A$2:$H$61,7,FALSE)*(1-銷售總表!G6710)</f>
        <v>12300.000000000002</v>
      </c>
      <c r="I6710" s="35">
        <f>H6710-F6710*VLOOKUP(銷售總表!B6710,產品!$A$2:$H$61,8,FALSE)</f>
        <v>2550.0000000000018</v>
      </c>
      <c r="J6710" s="20">
        <f t="shared" si="104"/>
        <v>0.20731707317073184</v>
      </c>
    </row>
    <row r="6711" spans="1:10" x14ac:dyDescent="0.3">
      <c r="A6711" s="33">
        <v>6710</v>
      </c>
      <c r="B6711" s="4">
        <v>15</v>
      </c>
      <c r="C6711" s="15">
        <v>12</v>
      </c>
      <c r="D6711" s="16">
        <v>3</v>
      </c>
      <c r="E6711" s="22">
        <v>45150</v>
      </c>
      <c r="F6711" s="17">
        <v>100</v>
      </c>
      <c r="G6711" s="18">
        <v>0.05</v>
      </c>
      <c r="H6711">
        <f>F6711*VLOOKUP(B6711,產品!$A$2:$H$61,7,FALSE)*(1-銷售總表!G6711)</f>
        <v>171000</v>
      </c>
      <c r="I6711" s="35">
        <f>H6711-F6711*VLOOKUP(銷售總表!B6711,產品!$A$2:$H$61,8,FALSE)</f>
        <v>99000</v>
      </c>
      <c r="J6711" s="20">
        <f t="shared" si="104"/>
        <v>0.57894736842105265</v>
      </c>
    </row>
    <row r="6712" spans="1:10" x14ac:dyDescent="0.3">
      <c r="A6712" s="33">
        <v>6711</v>
      </c>
      <c r="B6712" s="4">
        <v>29</v>
      </c>
      <c r="C6712" s="15">
        <v>123</v>
      </c>
      <c r="D6712" s="16">
        <v>5</v>
      </c>
      <c r="E6712" s="22">
        <v>45150</v>
      </c>
      <c r="F6712" s="19">
        <v>40</v>
      </c>
      <c r="G6712" s="18">
        <v>0.14000000000000001</v>
      </c>
      <c r="H6712">
        <f>F6712*VLOOKUP(B6712,產品!$A$2:$H$61,7,FALSE)*(1-銷售總表!G6712)</f>
        <v>206400</v>
      </c>
      <c r="I6712" s="35">
        <f>H6712-F6712*VLOOKUP(銷售總表!B6712,產品!$A$2:$H$61,8,FALSE)</f>
        <v>62400</v>
      </c>
      <c r="J6712" s="20">
        <f t="shared" si="104"/>
        <v>0.30232558139534882</v>
      </c>
    </row>
    <row r="6713" spans="1:10" x14ac:dyDescent="0.3">
      <c r="A6713" s="33">
        <v>6712</v>
      </c>
      <c r="B6713" s="4">
        <v>39</v>
      </c>
      <c r="C6713" s="15">
        <v>264</v>
      </c>
      <c r="D6713" s="16">
        <v>6</v>
      </c>
      <c r="E6713" s="22">
        <v>45150</v>
      </c>
      <c r="F6713" s="19">
        <v>16</v>
      </c>
      <c r="G6713" s="18">
        <v>0.18</v>
      </c>
      <c r="H6713">
        <f>F6713*VLOOKUP(B6713,產品!$A$2:$H$61,7,FALSE)*(1-銷售總表!G6713)</f>
        <v>236160.00000000003</v>
      </c>
      <c r="I6713" s="35">
        <f>H6713-F6713*VLOOKUP(銷售總表!B6713,產品!$A$2:$H$61,8,FALSE)</f>
        <v>48960.000000000029</v>
      </c>
      <c r="J6713" s="20">
        <f t="shared" si="104"/>
        <v>0.20731707317073181</v>
      </c>
    </row>
    <row r="6714" spans="1:10" x14ac:dyDescent="0.3">
      <c r="A6714" s="33">
        <v>6713</v>
      </c>
      <c r="B6714" s="4">
        <v>51</v>
      </c>
      <c r="C6714" s="15">
        <v>136</v>
      </c>
      <c r="D6714" s="16">
        <v>9</v>
      </c>
      <c r="E6714" s="22">
        <v>45152</v>
      </c>
      <c r="F6714" s="19">
        <v>5</v>
      </c>
      <c r="G6714" s="18">
        <v>7.0000000000000007E-2</v>
      </c>
      <c r="H6714">
        <f>F6714*VLOOKUP(B6714,產品!$A$2:$H$61,7,FALSE)*(1-銷售總表!G6714)</f>
        <v>93000</v>
      </c>
      <c r="I6714" s="35">
        <f>H6714-F6714*VLOOKUP(銷售總表!B6714,產品!$A$2:$H$61,8,FALSE)</f>
        <v>23000</v>
      </c>
      <c r="J6714" s="20">
        <f t="shared" si="104"/>
        <v>0.24731182795698925</v>
      </c>
    </row>
    <row r="6715" spans="1:10" x14ac:dyDescent="0.3">
      <c r="A6715" s="33">
        <v>6714</v>
      </c>
      <c r="B6715" s="4">
        <v>4</v>
      </c>
      <c r="C6715" s="15">
        <v>10</v>
      </c>
      <c r="D6715" s="16">
        <v>5</v>
      </c>
      <c r="E6715" s="22">
        <v>45153</v>
      </c>
      <c r="F6715" s="19">
        <v>50</v>
      </c>
      <c r="G6715" s="18">
        <v>0.15</v>
      </c>
      <c r="H6715">
        <f>F6715*VLOOKUP(B6715,產品!$A$2:$H$61,7,FALSE)*(1-銷售總表!G6715)</f>
        <v>42500</v>
      </c>
      <c r="I6715" s="35">
        <f>H6715-F6715*VLOOKUP(銷售總表!B6715,產品!$A$2:$H$61,8,FALSE)</f>
        <v>22500</v>
      </c>
      <c r="J6715" s="20">
        <f t="shared" si="104"/>
        <v>0.52941176470588236</v>
      </c>
    </row>
    <row r="6716" spans="1:10" x14ac:dyDescent="0.3">
      <c r="A6716" s="33">
        <v>6715</v>
      </c>
      <c r="B6716" s="4">
        <v>47</v>
      </c>
      <c r="C6716" s="15">
        <v>282</v>
      </c>
      <c r="D6716" s="16">
        <v>7</v>
      </c>
      <c r="E6716" s="22">
        <v>45153</v>
      </c>
      <c r="F6716" s="19">
        <v>6</v>
      </c>
      <c r="G6716" s="18">
        <v>0.11</v>
      </c>
      <c r="H6716">
        <f>F6716*VLOOKUP(B6716,產品!$A$2:$H$61,7,FALSE)*(1-銷售總表!G6716)</f>
        <v>106800</v>
      </c>
      <c r="I6716" s="35">
        <f>H6716-F6716*VLOOKUP(銷售總表!B6716,產品!$A$2:$H$61,8,FALSE)</f>
        <v>28800</v>
      </c>
      <c r="J6716" s="20">
        <f t="shared" si="104"/>
        <v>0.2696629213483146</v>
      </c>
    </row>
    <row r="6717" spans="1:10" x14ac:dyDescent="0.3">
      <c r="A6717" s="33">
        <v>6716</v>
      </c>
      <c r="B6717" s="4">
        <v>51</v>
      </c>
      <c r="C6717" s="15">
        <v>5</v>
      </c>
      <c r="D6717" s="16">
        <v>3</v>
      </c>
      <c r="E6717" s="22">
        <v>45153</v>
      </c>
      <c r="F6717" s="19">
        <v>5</v>
      </c>
      <c r="G6717" s="18">
        <v>0.16</v>
      </c>
      <c r="H6717">
        <f>F6717*VLOOKUP(B6717,產品!$A$2:$H$61,7,FALSE)*(1-銷售總表!G6717)</f>
        <v>84000</v>
      </c>
      <c r="I6717" s="35">
        <f>H6717-F6717*VLOOKUP(銷售總表!B6717,產品!$A$2:$H$61,8,FALSE)</f>
        <v>14000</v>
      </c>
      <c r="J6717" s="20">
        <f t="shared" si="104"/>
        <v>0.16666666666666666</v>
      </c>
    </row>
    <row r="6718" spans="1:10" x14ac:dyDescent="0.3">
      <c r="A6718" s="33">
        <v>6717</v>
      </c>
      <c r="B6718" s="4">
        <v>50</v>
      </c>
      <c r="C6718" s="15">
        <v>260</v>
      </c>
      <c r="D6718" s="16">
        <v>6</v>
      </c>
      <c r="E6718" s="22">
        <v>45153</v>
      </c>
      <c r="F6718" s="19">
        <v>5</v>
      </c>
      <c r="G6718" s="18">
        <v>0.14000000000000001</v>
      </c>
      <c r="H6718">
        <f>F6718*VLOOKUP(B6718,產品!$A$2:$H$61,7,FALSE)*(1-銷售總表!G6718)</f>
        <v>77400</v>
      </c>
      <c r="I6718" s="35">
        <f>H6718-F6718*VLOOKUP(銷售總表!B6718,產品!$A$2:$H$61,8,FALSE)</f>
        <v>14400</v>
      </c>
      <c r="J6718" s="20">
        <f t="shared" si="104"/>
        <v>0.18604651162790697</v>
      </c>
    </row>
    <row r="6719" spans="1:10" x14ac:dyDescent="0.3">
      <c r="A6719" s="33">
        <v>6718</v>
      </c>
      <c r="B6719" s="4">
        <v>11</v>
      </c>
      <c r="C6719" s="15">
        <v>259</v>
      </c>
      <c r="D6719" s="16">
        <v>1</v>
      </c>
      <c r="E6719" s="23">
        <v>45153</v>
      </c>
      <c r="F6719">
        <v>70</v>
      </c>
      <c r="G6719" s="20">
        <v>0.13</v>
      </c>
      <c r="H6719">
        <f>F6719*VLOOKUP(B6719,產品!$A$2:$H$61,7,FALSE)*(1-銷售總表!G6719)</f>
        <v>60900</v>
      </c>
      <c r="I6719" s="35">
        <f>H6719-F6719*VLOOKUP(銷售總表!B6719,產品!$A$2:$H$61,8,FALSE)</f>
        <v>32900</v>
      </c>
      <c r="J6719" s="20">
        <f t="shared" si="104"/>
        <v>0.54022988505747127</v>
      </c>
    </row>
    <row r="6720" spans="1:10" x14ac:dyDescent="0.3">
      <c r="A6720" s="33">
        <v>6719</v>
      </c>
      <c r="B6720" s="4">
        <v>9</v>
      </c>
      <c r="C6720" s="15">
        <v>5</v>
      </c>
      <c r="D6720" s="16">
        <v>9</v>
      </c>
      <c r="E6720" s="23">
        <v>45154</v>
      </c>
      <c r="F6720">
        <v>70</v>
      </c>
      <c r="G6720" s="20">
        <v>0.11</v>
      </c>
      <c r="H6720">
        <f>F6720*VLOOKUP(B6720,產品!$A$2:$H$61,7,FALSE)*(1-銷售總表!G6720)</f>
        <v>62300</v>
      </c>
      <c r="I6720" s="35">
        <f>H6720-F6720*VLOOKUP(銷售總表!B6720,產品!$A$2:$H$61,8,FALSE)</f>
        <v>34300</v>
      </c>
      <c r="J6720" s="20">
        <f t="shared" si="104"/>
        <v>0.550561797752809</v>
      </c>
    </row>
    <row r="6721" spans="1:10" x14ac:dyDescent="0.3">
      <c r="A6721" s="33">
        <v>6720</v>
      </c>
      <c r="B6721" s="4">
        <v>3</v>
      </c>
      <c r="C6721" s="15">
        <v>1</v>
      </c>
      <c r="D6721" s="16">
        <v>2</v>
      </c>
      <c r="E6721" s="22">
        <v>45155</v>
      </c>
      <c r="F6721" s="19">
        <v>15</v>
      </c>
      <c r="G6721" s="18">
        <v>0.18</v>
      </c>
      <c r="H6721">
        <f>F6721*VLOOKUP(B6721,產品!$A$2:$H$61,7,FALSE)*(1-銷售總表!G6721)</f>
        <v>12300.000000000002</v>
      </c>
      <c r="I6721" s="35">
        <f>H6721-F6721*VLOOKUP(銷售總表!B6721,產品!$A$2:$H$61,8,FALSE)</f>
        <v>6300.0000000000018</v>
      </c>
      <c r="J6721" s="20">
        <f t="shared" si="104"/>
        <v>0.51219512195121963</v>
      </c>
    </row>
    <row r="6722" spans="1:10" x14ac:dyDescent="0.3">
      <c r="A6722" s="33">
        <v>6721</v>
      </c>
      <c r="B6722" s="4">
        <v>2</v>
      </c>
      <c r="C6722" s="15">
        <v>9</v>
      </c>
      <c r="D6722" s="16">
        <v>6</v>
      </c>
      <c r="E6722" s="23">
        <v>45155</v>
      </c>
      <c r="F6722">
        <v>50</v>
      </c>
      <c r="G6722" s="20">
        <v>0.09</v>
      </c>
      <c r="H6722">
        <f>F6722*VLOOKUP(B6722,產品!$A$2:$H$61,7,FALSE)*(1-銷售總表!G6722)</f>
        <v>45500</v>
      </c>
      <c r="I6722" s="35">
        <f>H6722-F6722*VLOOKUP(銷售總表!B6722,產品!$A$2:$H$61,8,FALSE)</f>
        <v>25500</v>
      </c>
      <c r="J6722" s="20">
        <f t="shared" si="104"/>
        <v>0.56043956043956045</v>
      </c>
    </row>
    <row r="6723" spans="1:10" x14ac:dyDescent="0.3">
      <c r="A6723" s="33">
        <v>6722</v>
      </c>
      <c r="B6723" s="4">
        <v>20</v>
      </c>
      <c r="C6723" s="15">
        <v>11</v>
      </c>
      <c r="D6723" s="16">
        <v>2</v>
      </c>
      <c r="E6723" s="22">
        <v>45156</v>
      </c>
      <c r="F6723" s="19">
        <v>90</v>
      </c>
      <c r="G6723" s="18">
        <v>0.2</v>
      </c>
      <c r="H6723">
        <f>F6723*VLOOKUP(B6723,產品!$A$2:$H$61,7,FALSE)*(1-銷售總表!G6723)</f>
        <v>129600</v>
      </c>
      <c r="I6723" s="35">
        <f>H6723-F6723*VLOOKUP(銷售總表!B6723,產品!$A$2:$H$61,8,FALSE)</f>
        <v>64800</v>
      </c>
      <c r="J6723" s="20">
        <f t="shared" ref="J6723:J6786" si="105">I6723/H6723</f>
        <v>0.5</v>
      </c>
    </row>
    <row r="6724" spans="1:10" x14ac:dyDescent="0.3">
      <c r="A6724" s="33">
        <v>6723</v>
      </c>
      <c r="B6724" s="4">
        <v>19</v>
      </c>
      <c r="C6724" s="15">
        <v>7</v>
      </c>
      <c r="D6724" s="16">
        <v>9</v>
      </c>
      <c r="E6724" s="23">
        <v>45156</v>
      </c>
      <c r="F6724">
        <v>125</v>
      </c>
      <c r="G6724" s="20">
        <v>0.15</v>
      </c>
      <c r="H6724">
        <f>F6724*VLOOKUP(B6724,產品!$A$2:$H$61,7,FALSE)*(1-銷售總表!G6724)</f>
        <v>191250</v>
      </c>
      <c r="I6724" s="35">
        <f>H6724-F6724*VLOOKUP(銷售總表!B6724,產品!$A$2:$H$61,8,FALSE)</f>
        <v>101250</v>
      </c>
      <c r="J6724" s="20">
        <f t="shared" si="105"/>
        <v>0.52941176470588236</v>
      </c>
    </row>
    <row r="6725" spans="1:10" x14ac:dyDescent="0.3">
      <c r="A6725" s="33">
        <v>6724</v>
      </c>
      <c r="B6725" s="4">
        <v>44</v>
      </c>
      <c r="C6725" s="15">
        <v>6</v>
      </c>
      <c r="D6725" s="16">
        <v>7</v>
      </c>
      <c r="E6725" s="22">
        <v>45157</v>
      </c>
      <c r="F6725" s="17">
        <v>3</v>
      </c>
      <c r="G6725" s="18">
        <v>0.06</v>
      </c>
      <c r="H6725">
        <f>F6725*VLOOKUP(B6725,產品!$A$2:$H$61,7,FALSE)*(1-銷售總表!G6725)</f>
        <v>56400</v>
      </c>
      <c r="I6725" s="35">
        <f>H6725-F6725*VLOOKUP(銷售總表!B6725,產品!$A$2:$H$61,8,FALSE)</f>
        <v>17400</v>
      </c>
      <c r="J6725" s="20">
        <f t="shared" si="105"/>
        <v>0.30851063829787234</v>
      </c>
    </row>
    <row r="6726" spans="1:10" x14ac:dyDescent="0.3">
      <c r="A6726" s="33">
        <v>6725</v>
      </c>
      <c r="B6726" s="4">
        <v>25</v>
      </c>
      <c r="C6726" s="15">
        <v>291</v>
      </c>
      <c r="D6726" s="16">
        <v>4</v>
      </c>
      <c r="E6726" s="22">
        <v>45157</v>
      </c>
      <c r="F6726" s="19">
        <v>15</v>
      </c>
      <c r="G6726" s="18">
        <v>0.18</v>
      </c>
      <c r="H6726">
        <f>F6726*VLOOKUP(B6726,產品!$A$2:$H$61,7,FALSE)*(1-銷售總表!G6726)</f>
        <v>73800</v>
      </c>
      <c r="I6726" s="35">
        <f>H6726-F6726*VLOOKUP(銷售總表!B6726,產品!$A$2:$H$61,8,FALSE)</f>
        <v>19800</v>
      </c>
      <c r="J6726" s="20">
        <f t="shared" si="105"/>
        <v>0.26829268292682928</v>
      </c>
    </row>
    <row r="6727" spans="1:10" x14ac:dyDescent="0.3">
      <c r="A6727" s="33">
        <v>6726</v>
      </c>
      <c r="B6727" s="4">
        <v>23</v>
      </c>
      <c r="C6727" s="15">
        <v>258</v>
      </c>
      <c r="D6727" s="16">
        <v>9</v>
      </c>
      <c r="E6727" s="23">
        <v>45157</v>
      </c>
      <c r="F6727">
        <v>90</v>
      </c>
      <c r="G6727" s="20">
        <v>0.13</v>
      </c>
      <c r="H6727">
        <f>F6727*VLOOKUP(B6727,產品!$A$2:$H$61,7,FALSE)*(1-銷售總表!G6727)</f>
        <v>140940</v>
      </c>
      <c r="I6727" s="35">
        <f>H6727-F6727*VLOOKUP(銷售總表!B6727,產品!$A$2:$H$61,8,FALSE)</f>
        <v>76140</v>
      </c>
      <c r="J6727" s="20">
        <f t="shared" si="105"/>
        <v>0.54022988505747127</v>
      </c>
    </row>
    <row r="6728" spans="1:10" x14ac:dyDescent="0.3">
      <c r="A6728" s="33">
        <v>6727</v>
      </c>
      <c r="B6728" s="4">
        <v>6</v>
      </c>
      <c r="C6728" s="15">
        <v>112</v>
      </c>
      <c r="D6728" s="16">
        <v>6</v>
      </c>
      <c r="E6728" s="22">
        <v>45158</v>
      </c>
      <c r="F6728" s="17">
        <v>20</v>
      </c>
      <c r="G6728" s="18">
        <v>0.13</v>
      </c>
      <c r="H6728">
        <f>F6728*VLOOKUP(B6728,產品!$A$2:$H$61,7,FALSE)*(1-銷售總表!G6728)</f>
        <v>17400</v>
      </c>
      <c r="I6728" s="35">
        <f>H6728-F6728*VLOOKUP(銷售總表!B6728,產品!$A$2:$H$61,8,FALSE)</f>
        <v>9400</v>
      </c>
      <c r="J6728" s="20">
        <f t="shared" si="105"/>
        <v>0.54022988505747127</v>
      </c>
    </row>
    <row r="6729" spans="1:10" x14ac:dyDescent="0.3">
      <c r="A6729" s="33">
        <v>6728</v>
      </c>
      <c r="B6729" s="4">
        <v>35</v>
      </c>
      <c r="C6729" s="15">
        <v>121</v>
      </c>
      <c r="D6729" s="16">
        <v>1</v>
      </c>
      <c r="E6729" s="22">
        <v>45158</v>
      </c>
      <c r="F6729" s="19">
        <v>5</v>
      </c>
      <c r="G6729" s="18">
        <v>0.17</v>
      </c>
      <c r="H6729">
        <f>F6729*VLOOKUP(B6729,產品!$A$2:$H$61,7,FALSE)*(1-銷售總表!G6729)</f>
        <v>35275</v>
      </c>
      <c r="I6729" s="35">
        <f>H6729-F6729*VLOOKUP(銷售總表!B6729,產品!$A$2:$H$61,8,FALSE)</f>
        <v>9775</v>
      </c>
      <c r="J6729" s="20">
        <f t="shared" si="105"/>
        <v>0.27710843373493976</v>
      </c>
    </row>
    <row r="6730" spans="1:10" x14ac:dyDescent="0.3">
      <c r="A6730" s="33">
        <v>6729</v>
      </c>
      <c r="B6730" s="4">
        <v>30</v>
      </c>
      <c r="C6730" s="15">
        <v>4</v>
      </c>
      <c r="D6730" s="16">
        <v>9</v>
      </c>
      <c r="E6730" s="23">
        <v>45158</v>
      </c>
      <c r="F6730">
        <v>7</v>
      </c>
      <c r="G6730" s="20">
        <v>0.18</v>
      </c>
      <c r="H6730">
        <f>F6730*VLOOKUP(B6730,產品!$A$2:$H$61,7,FALSE)*(1-銷售總表!G6730)</f>
        <v>37310</v>
      </c>
      <c r="I6730" s="35">
        <f>H6730-F6730*VLOOKUP(銷售總表!B6730,產品!$A$2:$H$61,8,FALSE)</f>
        <v>10010</v>
      </c>
      <c r="J6730" s="20">
        <f t="shared" si="105"/>
        <v>0.26829268292682928</v>
      </c>
    </row>
    <row r="6731" spans="1:10" x14ac:dyDescent="0.3">
      <c r="A6731" s="33">
        <v>6730</v>
      </c>
      <c r="B6731" s="4">
        <v>14</v>
      </c>
      <c r="C6731" s="15">
        <v>260</v>
      </c>
      <c r="D6731" s="16">
        <v>5</v>
      </c>
      <c r="E6731" s="22">
        <v>45159</v>
      </c>
      <c r="F6731" s="17">
        <v>20</v>
      </c>
      <c r="G6731" s="18">
        <v>0.06</v>
      </c>
      <c r="H6731">
        <f>F6731*VLOOKUP(B6731,產品!$A$2:$H$61,7,FALSE)*(1-銷售總表!G6731)</f>
        <v>33840</v>
      </c>
      <c r="I6731" s="35">
        <f>H6731-F6731*VLOOKUP(銷售總表!B6731,產品!$A$2:$H$61,8,FALSE)</f>
        <v>19440</v>
      </c>
      <c r="J6731" s="20">
        <f t="shared" si="105"/>
        <v>0.57446808510638303</v>
      </c>
    </row>
    <row r="6732" spans="1:10" x14ac:dyDescent="0.3">
      <c r="A6732" s="33">
        <v>6731</v>
      </c>
      <c r="B6732" s="4">
        <v>36</v>
      </c>
      <c r="C6732" s="15">
        <v>4</v>
      </c>
      <c r="D6732" s="16">
        <v>6</v>
      </c>
      <c r="E6732" s="22">
        <v>45159</v>
      </c>
      <c r="F6732" s="19">
        <v>8</v>
      </c>
      <c r="G6732" s="18">
        <v>7.0000000000000007E-2</v>
      </c>
      <c r="H6732">
        <f>F6732*VLOOKUP(B6732,產品!$A$2:$H$61,7,FALSE)*(1-銷售總表!G6732)</f>
        <v>66960</v>
      </c>
      <c r="I6732" s="35">
        <f>H6732-F6732*VLOOKUP(銷售總表!B6732,產品!$A$2:$H$61,8,FALSE)</f>
        <v>23760</v>
      </c>
      <c r="J6732" s="20">
        <f t="shared" si="105"/>
        <v>0.35483870967741937</v>
      </c>
    </row>
    <row r="6733" spans="1:10" x14ac:dyDescent="0.3">
      <c r="A6733" s="33">
        <v>6732</v>
      </c>
      <c r="B6733" s="4">
        <v>2</v>
      </c>
      <c r="C6733" s="15">
        <v>258</v>
      </c>
      <c r="D6733" s="16">
        <v>10</v>
      </c>
      <c r="E6733" s="22">
        <v>45159</v>
      </c>
      <c r="F6733" s="19">
        <v>75</v>
      </c>
      <c r="G6733" s="18">
        <v>0.11</v>
      </c>
      <c r="H6733">
        <f>F6733*VLOOKUP(B6733,產品!$A$2:$H$61,7,FALSE)*(1-銷售總表!G6733)</f>
        <v>66750</v>
      </c>
      <c r="I6733" s="35">
        <f>H6733-F6733*VLOOKUP(銷售總表!B6733,產品!$A$2:$H$61,8,FALSE)</f>
        <v>36750</v>
      </c>
      <c r="J6733" s="20">
        <f t="shared" si="105"/>
        <v>0.550561797752809</v>
      </c>
    </row>
    <row r="6734" spans="1:10" x14ac:dyDescent="0.3">
      <c r="A6734" s="33">
        <v>6733</v>
      </c>
      <c r="B6734" s="4">
        <v>2</v>
      </c>
      <c r="C6734" s="15">
        <v>11</v>
      </c>
      <c r="D6734" s="16">
        <v>2</v>
      </c>
      <c r="E6734" s="22">
        <v>45159</v>
      </c>
      <c r="F6734" s="19">
        <v>27</v>
      </c>
      <c r="G6734" s="18">
        <v>0.18</v>
      </c>
      <c r="H6734">
        <f>F6734*VLOOKUP(B6734,產品!$A$2:$H$61,7,FALSE)*(1-銷售總表!G6734)</f>
        <v>22140</v>
      </c>
      <c r="I6734" s="35">
        <f>H6734-F6734*VLOOKUP(銷售總表!B6734,產品!$A$2:$H$61,8,FALSE)</f>
        <v>11340</v>
      </c>
      <c r="J6734" s="20">
        <f t="shared" si="105"/>
        <v>0.51219512195121952</v>
      </c>
    </row>
    <row r="6735" spans="1:10" x14ac:dyDescent="0.3">
      <c r="A6735" s="33">
        <v>6734</v>
      </c>
      <c r="B6735" s="4">
        <v>16</v>
      </c>
      <c r="C6735" s="15">
        <v>264</v>
      </c>
      <c r="D6735" s="16">
        <v>8</v>
      </c>
      <c r="E6735" s="22">
        <v>45159</v>
      </c>
      <c r="F6735" s="19">
        <v>80</v>
      </c>
      <c r="G6735" s="18">
        <v>0.18</v>
      </c>
      <c r="H6735">
        <f>F6735*VLOOKUP(B6735,產品!$A$2:$H$61,7,FALSE)*(1-銷售總表!G6735)</f>
        <v>118080.00000000001</v>
      </c>
      <c r="I6735" s="35">
        <f>H6735-F6735*VLOOKUP(銷售總表!B6735,產品!$A$2:$H$61,8,FALSE)</f>
        <v>60480.000000000015</v>
      </c>
      <c r="J6735" s="20">
        <f t="shared" si="105"/>
        <v>0.51219512195121952</v>
      </c>
    </row>
    <row r="6736" spans="1:10" x14ac:dyDescent="0.3">
      <c r="A6736" s="33">
        <v>6735</v>
      </c>
      <c r="B6736" s="4">
        <v>15</v>
      </c>
      <c r="C6736" s="15">
        <v>282</v>
      </c>
      <c r="D6736" s="16">
        <v>8</v>
      </c>
      <c r="E6736" s="23">
        <v>45159</v>
      </c>
      <c r="F6736">
        <v>40</v>
      </c>
      <c r="G6736" s="20">
        <v>0.16</v>
      </c>
      <c r="H6736">
        <f>F6736*VLOOKUP(B6736,產品!$A$2:$H$61,7,FALSE)*(1-銷售總表!G6736)</f>
        <v>60480</v>
      </c>
      <c r="I6736" s="35">
        <f>H6736-F6736*VLOOKUP(銷售總表!B6736,產品!$A$2:$H$61,8,FALSE)</f>
        <v>31680</v>
      </c>
      <c r="J6736" s="20">
        <f t="shared" si="105"/>
        <v>0.52380952380952384</v>
      </c>
    </row>
    <row r="6737" spans="1:10" x14ac:dyDescent="0.3">
      <c r="A6737" s="33">
        <v>6736</v>
      </c>
      <c r="B6737" s="4">
        <v>22</v>
      </c>
      <c r="C6737" s="15">
        <v>273</v>
      </c>
      <c r="D6737" s="16">
        <v>2</v>
      </c>
      <c r="E6737" s="23">
        <v>45159</v>
      </c>
      <c r="F6737">
        <v>60</v>
      </c>
      <c r="G6737" s="20">
        <v>0.06</v>
      </c>
      <c r="H6737">
        <f>F6737*VLOOKUP(B6737,產品!$A$2:$H$61,7,FALSE)*(1-銷售總表!G6737)</f>
        <v>101520</v>
      </c>
      <c r="I6737" s="35">
        <f>H6737-F6737*VLOOKUP(銷售總表!B6737,產品!$A$2:$H$61,8,FALSE)</f>
        <v>58320</v>
      </c>
      <c r="J6737" s="20">
        <f t="shared" si="105"/>
        <v>0.57446808510638303</v>
      </c>
    </row>
    <row r="6738" spans="1:10" x14ac:dyDescent="0.3">
      <c r="A6738" s="33">
        <v>6737</v>
      </c>
      <c r="B6738" s="4">
        <v>20</v>
      </c>
      <c r="C6738" s="15">
        <v>274</v>
      </c>
      <c r="D6738" s="16">
        <v>7</v>
      </c>
      <c r="E6738" s="23">
        <v>45159</v>
      </c>
      <c r="F6738">
        <v>40</v>
      </c>
      <c r="G6738" s="20">
        <v>0.1</v>
      </c>
      <c r="H6738">
        <f>F6738*VLOOKUP(B6738,產品!$A$2:$H$61,7,FALSE)*(1-銷售總表!G6738)</f>
        <v>64800</v>
      </c>
      <c r="I6738" s="35">
        <f>H6738-F6738*VLOOKUP(銷售總表!B6738,產品!$A$2:$H$61,8,FALSE)</f>
        <v>36000</v>
      </c>
      <c r="J6738" s="20">
        <f t="shared" si="105"/>
        <v>0.55555555555555558</v>
      </c>
    </row>
    <row r="6739" spans="1:10" x14ac:dyDescent="0.3">
      <c r="A6739" s="33">
        <v>6738</v>
      </c>
      <c r="B6739" s="4">
        <v>27</v>
      </c>
      <c r="C6739" s="15">
        <v>123</v>
      </c>
      <c r="D6739" s="16">
        <v>6</v>
      </c>
      <c r="E6739" s="23">
        <v>45160</v>
      </c>
      <c r="F6739">
        <v>11</v>
      </c>
      <c r="G6739" s="20">
        <v>0.16</v>
      </c>
      <c r="H6739">
        <f>F6739*VLOOKUP(B6739,產品!$A$2:$H$61,7,FALSE)*(1-銷售總表!G6739)</f>
        <v>64680</v>
      </c>
      <c r="I6739" s="35">
        <f>H6739-F6739*VLOOKUP(銷售總表!B6739,產品!$A$2:$H$61,8,FALSE)</f>
        <v>18480</v>
      </c>
      <c r="J6739" s="20">
        <f t="shared" si="105"/>
        <v>0.2857142857142857</v>
      </c>
    </row>
    <row r="6740" spans="1:10" x14ac:dyDescent="0.3">
      <c r="A6740" s="33">
        <v>6739</v>
      </c>
      <c r="B6740" s="4">
        <v>36</v>
      </c>
      <c r="C6740" s="15">
        <v>7</v>
      </c>
      <c r="D6740" s="16">
        <v>6</v>
      </c>
      <c r="E6740" s="22">
        <v>45161</v>
      </c>
      <c r="F6740" s="19">
        <v>12</v>
      </c>
      <c r="G6740" s="18">
        <v>0.17</v>
      </c>
      <c r="H6740">
        <f>F6740*VLOOKUP(B6740,產品!$A$2:$H$61,7,FALSE)*(1-銷售總表!G6740)</f>
        <v>89640</v>
      </c>
      <c r="I6740" s="35">
        <f>H6740-F6740*VLOOKUP(銷售總表!B6740,產品!$A$2:$H$61,8,FALSE)</f>
        <v>24840</v>
      </c>
      <c r="J6740" s="20">
        <f t="shared" si="105"/>
        <v>0.27710843373493976</v>
      </c>
    </row>
    <row r="6741" spans="1:10" x14ac:dyDescent="0.3">
      <c r="A6741" s="33">
        <v>6740</v>
      </c>
      <c r="B6741" s="4">
        <v>7</v>
      </c>
      <c r="C6741" s="15">
        <v>258</v>
      </c>
      <c r="D6741" s="16">
        <v>8</v>
      </c>
      <c r="E6741" s="22">
        <v>45161</v>
      </c>
      <c r="F6741" s="19">
        <v>200</v>
      </c>
      <c r="G6741" s="18">
        <v>0.06</v>
      </c>
      <c r="H6741">
        <f>F6741*VLOOKUP(B6741,產品!$A$2:$H$61,7,FALSE)*(1-銷售總表!G6741)</f>
        <v>188000</v>
      </c>
      <c r="I6741" s="35">
        <f>H6741-F6741*VLOOKUP(銷售總表!B6741,產品!$A$2:$H$61,8,FALSE)</f>
        <v>108000</v>
      </c>
      <c r="J6741" s="20">
        <f t="shared" si="105"/>
        <v>0.57446808510638303</v>
      </c>
    </row>
    <row r="6742" spans="1:10" x14ac:dyDescent="0.3">
      <c r="A6742" s="33">
        <v>6741</v>
      </c>
      <c r="B6742" s="4">
        <v>25</v>
      </c>
      <c r="C6742" s="15">
        <v>119</v>
      </c>
      <c r="D6742" s="16">
        <v>5</v>
      </c>
      <c r="E6742" s="22">
        <v>45161</v>
      </c>
      <c r="F6742" s="19">
        <v>4</v>
      </c>
      <c r="G6742" s="18">
        <v>0.2</v>
      </c>
      <c r="H6742">
        <f>F6742*VLOOKUP(B6742,產品!$A$2:$H$61,7,FALSE)*(1-銷售總表!G6742)</f>
        <v>19200</v>
      </c>
      <c r="I6742" s="35">
        <f>H6742-F6742*VLOOKUP(銷售總表!B6742,產品!$A$2:$H$61,8,FALSE)</f>
        <v>4800</v>
      </c>
      <c r="J6742" s="20">
        <f t="shared" si="105"/>
        <v>0.25</v>
      </c>
    </row>
    <row r="6743" spans="1:10" x14ac:dyDescent="0.3">
      <c r="A6743" s="33">
        <v>6742</v>
      </c>
      <c r="B6743" s="4">
        <v>40</v>
      </c>
      <c r="C6743" s="15">
        <v>267</v>
      </c>
      <c r="D6743" s="16">
        <v>9</v>
      </c>
      <c r="E6743" s="22">
        <v>45162</v>
      </c>
      <c r="F6743" s="19">
        <v>9</v>
      </c>
      <c r="G6743" s="18">
        <v>0.08</v>
      </c>
      <c r="H6743">
        <f>F6743*VLOOKUP(B6743,產品!$A$2:$H$61,7,FALSE)*(1-銷售總表!G6743)</f>
        <v>165600</v>
      </c>
      <c r="I6743" s="35">
        <f>H6743-F6743*VLOOKUP(銷售總表!B6743,產品!$A$2:$H$61,8,FALSE)</f>
        <v>48600</v>
      </c>
      <c r="J6743" s="20">
        <f t="shared" si="105"/>
        <v>0.29347826086956524</v>
      </c>
    </row>
    <row r="6744" spans="1:10" x14ac:dyDescent="0.3">
      <c r="A6744" s="33">
        <v>6743</v>
      </c>
      <c r="B6744" s="4">
        <v>21</v>
      </c>
      <c r="C6744" s="15">
        <v>2</v>
      </c>
      <c r="D6744" s="16">
        <v>5</v>
      </c>
      <c r="E6744" s="22">
        <v>45162</v>
      </c>
      <c r="F6744" s="19">
        <v>75</v>
      </c>
      <c r="G6744" s="18">
        <v>0.2</v>
      </c>
      <c r="H6744">
        <f>F6744*VLOOKUP(B6744,產品!$A$2:$H$61,7,FALSE)*(1-銷售總表!G6744)</f>
        <v>108000</v>
      </c>
      <c r="I6744" s="35">
        <f>H6744-F6744*VLOOKUP(銷售總表!B6744,產品!$A$2:$H$61,8,FALSE)</f>
        <v>54000</v>
      </c>
      <c r="J6744" s="20">
        <f t="shared" si="105"/>
        <v>0.5</v>
      </c>
    </row>
    <row r="6745" spans="1:10" x14ac:dyDescent="0.3">
      <c r="A6745" s="33">
        <v>6744</v>
      </c>
      <c r="B6745" s="4">
        <v>33</v>
      </c>
      <c r="C6745" s="15">
        <v>3</v>
      </c>
      <c r="D6745" s="16">
        <v>6</v>
      </c>
      <c r="E6745" s="23">
        <v>45162</v>
      </c>
      <c r="F6745">
        <v>6</v>
      </c>
      <c r="G6745" s="20">
        <v>0.19</v>
      </c>
      <c r="H6745">
        <f>F6745*VLOOKUP(B6745,產品!$A$2:$H$61,7,FALSE)*(1-銷售總表!G6745)</f>
        <v>36450</v>
      </c>
      <c r="I6745" s="35">
        <f>H6745-F6745*VLOOKUP(銷售總表!B6745,產品!$A$2:$H$61,8,FALSE)</f>
        <v>9450</v>
      </c>
      <c r="J6745" s="20">
        <f t="shared" si="105"/>
        <v>0.25925925925925924</v>
      </c>
    </row>
    <row r="6746" spans="1:10" x14ac:dyDescent="0.3">
      <c r="A6746" s="33">
        <v>6745</v>
      </c>
      <c r="B6746" s="4">
        <v>33</v>
      </c>
      <c r="C6746" s="15">
        <v>118</v>
      </c>
      <c r="D6746" s="16">
        <v>4</v>
      </c>
      <c r="E6746" s="23">
        <v>45162</v>
      </c>
      <c r="F6746">
        <v>4</v>
      </c>
      <c r="G6746" s="20">
        <v>0.16</v>
      </c>
      <c r="H6746">
        <f>F6746*VLOOKUP(B6746,產品!$A$2:$H$61,7,FALSE)*(1-銷售總表!G6746)</f>
        <v>25200</v>
      </c>
      <c r="I6746" s="35">
        <f>H6746-F6746*VLOOKUP(銷售總表!B6746,產品!$A$2:$H$61,8,FALSE)</f>
        <v>7200</v>
      </c>
      <c r="J6746" s="20">
        <f t="shared" si="105"/>
        <v>0.2857142857142857</v>
      </c>
    </row>
    <row r="6747" spans="1:10" x14ac:dyDescent="0.3">
      <c r="A6747" s="33">
        <v>6746</v>
      </c>
      <c r="B6747" s="4">
        <v>32</v>
      </c>
      <c r="C6747" s="15">
        <v>112</v>
      </c>
      <c r="D6747" s="16">
        <v>4</v>
      </c>
      <c r="E6747" s="23">
        <v>45163</v>
      </c>
      <c r="F6747">
        <v>35</v>
      </c>
      <c r="G6747" s="20">
        <v>0.17</v>
      </c>
      <c r="H6747">
        <f>F6747*VLOOKUP(B6747,產品!$A$2:$H$61,7,FALSE)*(1-銷售總表!G6747)</f>
        <v>217875</v>
      </c>
      <c r="I6747" s="35">
        <f>H6747-F6747*VLOOKUP(銷售總表!B6747,產品!$A$2:$H$61,8,FALSE)</f>
        <v>60375</v>
      </c>
      <c r="J6747" s="20">
        <f t="shared" si="105"/>
        <v>0.27710843373493976</v>
      </c>
    </row>
    <row r="6748" spans="1:10" x14ac:dyDescent="0.3">
      <c r="A6748" s="33">
        <v>6747</v>
      </c>
      <c r="B6748" s="4">
        <v>25</v>
      </c>
      <c r="C6748" s="15">
        <v>277</v>
      </c>
      <c r="D6748" s="16">
        <v>9</v>
      </c>
      <c r="E6748" s="23">
        <v>45163</v>
      </c>
      <c r="F6748">
        <v>5</v>
      </c>
      <c r="G6748" s="20">
        <v>0.2</v>
      </c>
      <c r="H6748">
        <f>F6748*VLOOKUP(B6748,產品!$A$2:$H$61,7,FALSE)*(1-銷售總表!G6748)</f>
        <v>24000</v>
      </c>
      <c r="I6748" s="35">
        <f>H6748-F6748*VLOOKUP(銷售總表!B6748,產品!$A$2:$H$61,8,FALSE)</f>
        <v>6000</v>
      </c>
      <c r="J6748" s="20">
        <f t="shared" si="105"/>
        <v>0.25</v>
      </c>
    </row>
    <row r="6749" spans="1:10" x14ac:dyDescent="0.3">
      <c r="A6749" s="33">
        <v>6748</v>
      </c>
      <c r="B6749" s="4">
        <v>29</v>
      </c>
      <c r="C6749" s="15">
        <v>3</v>
      </c>
      <c r="D6749" s="16">
        <v>9</v>
      </c>
      <c r="E6749" s="23">
        <v>45163</v>
      </c>
      <c r="F6749">
        <v>8</v>
      </c>
      <c r="G6749" s="20">
        <v>0.2</v>
      </c>
      <c r="H6749">
        <f>F6749*VLOOKUP(B6749,產品!$A$2:$H$61,7,FALSE)*(1-銷售總表!G6749)</f>
        <v>38400</v>
      </c>
      <c r="I6749" s="35">
        <f>H6749-F6749*VLOOKUP(銷售總表!B6749,產品!$A$2:$H$61,8,FALSE)</f>
        <v>9600</v>
      </c>
      <c r="J6749" s="20">
        <f t="shared" si="105"/>
        <v>0.25</v>
      </c>
    </row>
    <row r="6750" spans="1:10" x14ac:dyDescent="0.3">
      <c r="A6750" s="33">
        <v>6749</v>
      </c>
      <c r="B6750" s="4">
        <v>55</v>
      </c>
      <c r="C6750" s="15">
        <v>3</v>
      </c>
      <c r="D6750" s="16">
        <v>8</v>
      </c>
      <c r="E6750" s="23">
        <v>45163</v>
      </c>
      <c r="F6750">
        <v>7</v>
      </c>
      <c r="G6750" s="20">
        <v>0.14000000000000001</v>
      </c>
      <c r="H6750">
        <f>F6750*VLOOKUP(B6750,產品!$A$2:$H$61,7,FALSE)*(1-銷售總表!G6750)</f>
        <v>120400</v>
      </c>
      <c r="I6750" s="35">
        <f>H6750-F6750*VLOOKUP(銷售總表!B6750,產品!$A$2:$H$61,8,FALSE)</f>
        <v>22400</v>
      </c>
      <c r="J6750" s="20">
        <f t="shared" si="105"/>
        <v>0.18604651162790697</v>
      </c>
    </row>
    <row r="6751" spans="1:10" x14ac:dyDescent="0.3">
      <c r="A6751" s="33">
        <v>6750</v>
      </c>
      <c r="B6751" s="4">
        <v>26</v>
      </c>
      <c r="C6751" s="15">
        <v>283</v>
      </c>
      <c r="D6751" s="16">
        <v>2</v>
      </c>
      <c r="E6751" s="22">
        <v>45164</v>
      </c>
      <c r="F6751" s="17">
        <v>2</v>
      </c>
      <c r="G6751" s="18">
        <v>0.05</v>
      </c>
      <c r="H6751">
        <f>F6751*VLOOKUP(B6751,產品!$A$2:$H$61,7,FALSE)*(1-銷售總表!G6751)</f>
        <v>12350</v>
      </c>
      <c r="I6751" s="35">
        <f>H6751-F6751*VLOOKUP(銷售總表!B6751,產品!$A$2:$H$61,8,FALSE)</f>
        <v>4550</v>
      </c>
      <c r="J6751" s="20">
        <f t="shared" si="105"/>
        <v>0.36842105263157893</v>
      </c>
    </row>
    <row r="6752" spans="1:10" x14ac:dyDescent="0.3">
      <c r="A6752" s="33">
        <v>6751</v>
      </c>
      <c r="B6752" s="4">
        <v>51</v>
      </c>
      <c r="C6752" s="15">
        <v>12</v>
      </c>
      <c r="D6752" s="16">
        <v>10</v>
      </c>
      <c r="E6752" s="22">
        <v>45164</v>
      </c>
      <c r="F6752" s="17">
        <v>2</v>
      </c>
      <c r="G6752" s="18">
        <v>0.14000000000000001</v>
      </c>
      <c r="H6752">
        <f>F6752*VLOOKUP(B6752,產品!$A$2:$H$61,7,FALSE)*(1-銷售總表!G6752)</f>
        <v>34400</v>
      </c>
      <c r="I6752" s="35">
        <f>H6752-F6752*VLOOKUP(銷售總表!B6752,產品!$A$2:$H$61,8,FALSE)</f>
        <v>6400</v>
      </c>
      <c r="J6752" s="20">
        <f t="shared" si="105"/>
        <v>0.18604651162790697</v>
      </c>
    </row>
    <row r="6753" spans="1:10" x14ac:dyDescent="0.3">
      <c r="A6753" s="33">
        <v>6752</v>
      </c>
      <c r="B6753" s="4">
        <v>29</v>
      </c>
      <c r="C6753" s="15">
        <v>291</v>
      </c>
      <c r="D6753" s="16">
        <v>6</v>
      </c>
      <c r="E6753" s="22">
        <v>45164</v>
      </c>
      <c r="F6753" s="19">
        <v>10</v>
      </c>
      <c r="G6753" s="18">
        <v>0.2</v>
      </c>
      <c r="H6753">
        <f>F6753*VLOOKUP(B6753,產品!$A$2:$H$61,7,FALSE)*(1-銷售總表!G6753)</f>
        <v>48000</v>
      </c>
      <c r="I6753" s="35">
        <f>H6753-F6753*VLOOKUP(銷售總表!B6753,產品!$A$2:$H$61,8,FALSE)</f>
        <v>12000</v>
      </c>
      <c r="J6753" s="20">
        <f t="shared" si="105"/>
        <v>0.25</v>
      </c>
    </row>
    <row r="6754" spans="1:10" x14ac:dyDescent="0.3">
      <c r="A6754" s="33">
        <v>6753</v>
      </c>
      <c r="B6754" s="4">
        <v>2</v>
      </c>
      <c r="C6754" s="15">
        <v>263</v>
      </c>
      <c r="D6754" s="16">
        <v>6</v>
      </c>
      <c r="E6754" s="23">
        <v>45164</v>
      </c>
      <c r="F6754">
        <v>60</v>
      </c>
      <c r="G6754" s="20">
        <v>0.05</v>
      </c>
      <c r="H6754">
        <f>F6754*VLOOKUP(B6754,產品!$A$2:$H$61,7,FALSE)*(1-銷售總表!G6754)</f>
        <v>57000</v>
      </c>
      <c r="I6754" s="35">
        <f>H6754-F6754*VLOOKUP(銷售總表!B6754,產品!$A$2:$H$61,8,FALSE)</f>
        <v>33000</v>
      </c>
      <c r="J6754" s="20">
        <f t="shared" si="105"/>
        <v>0.57894736842105265</v>
      </c>
    </row>
    <row r="6755" spans="1:10" x14ac:dyDescent="0.3">
      <c r="A6755" s="33">
        <v>6754</v>
      </c>
      <c r="B6755" s="4">
        <v>58</v>
      </c>
      <c r="C6755" s="15">
        <v>282</v>
      </c>
      <c r="D6755" s="16">
        <v>6</v>
      </c>
      <c r="E6755" s="23">
        <v>45164</v>
      </c>
      <c r="F6755">
        <v>8</v>
      </c>
      <c r="G6755" s="20">
        <v>0.09</v>
      </c>
      <c r="H6755">
        <f>F6755*VLOOKUP(B6755,產品!$A$2:$H$61,7,FALSE)*(1-銷售總表!G6755)</f>
        <v>152880</v>
      </c>
      <c r="I6755" s="35">
        <f>H6755-F6755*VLOOKUP(銷售總表!B6755,產品!$A$2:$H$61,8,FALSE)</f>
        <v>35280.000000000015</v>
      </c>
      <c r="J6755" s="20">
        <f t="shared" si="105"/>
        <v>0.23076923076923087</v>
      </c>
    </row>
    <row r="6756" spans="1:10" x14ac:dyDescent="0.3">
      <c r="A6756" s="33">
        <v>6755</v>
      </c>
      <c r="B6756" s="4">
        <v>46</v>
      </c>
      <c r="C6756" s="15">
        <v>112</v>
      </c>
      <c r="D6756" s="16">
        <v>9</v>
      </c>
      <c r="E6756" s="22">
        <v>45165</v>
      </c>
      <c r="F6756" s="19">
        <v>9</v>
      </c>
      <c r="G6756" s="18">
        <v>0.11</v>
      </c>
      <c r="H6756">
        <f>F6756*VLOOKUP(B6756,產品!$A$2:$H$61,7,FALSE)*(1-銷售總表!G6756)</f>
        <v>136170</v>
      </c>
      <c r="I6756" s="35">
        <f>H6756-F6756*VLOOKUP(銷售總表!B6756,產品!$A$2:$H$61,8,FALSE)</f>
        <v>36720</v>
      </c>
      <c r="J6756" s="20">
        <f t="shared" si="105"/>
        <v>0.2696629213483146</v>
      </c>
    </row>
    <row r="6757" spans="1:10" x14ac:dyDescent="0.3">
      <c r="A6757" s="33">
        <v>6756</v>
      </c>
      <c r="B6757" s="4">
        <v>38</v>
      </c>
      <c r="C6757" s="15">
        <v>114</v>
      </c>
      <c r="D6757" s="16">
        <v>8</v>
      </c>
      <c r="E6757" s="22">
        <v>45165</v>
      </c>
      <c r="F6757" s="19">
        <v>6</v>
      </c>
      <c r="G6757" s="18">
        <v>0.2</v>
      </c>
      <c r="H6757">
        <f>F6757*VLOOKUP(B6757,產品!$A$2:$H$61,7,FALSE)*(1-銷售總表!G6757)</f>
        <v>72000</v>
      </c>
      <c r="I6757" s="35">
        <f>H6757-F6757*VLOOKUP(銷售總表!B6757,產品!$A$2:$H$61,8,FALSE)</f>
        <v>13500</v>
      </c>
      <c r="J6757" s="20">
        <f t="shared" si="105"/>
        <v>0.1875</v>
      </c>
    </row>
    <row r="6758" spans="1:10" x14ac:dyDescent="0.3">
      <c r="A6758" s="33">
        <v>6757</v>
      </c>
      <c r="B6758" s="4">
        <v>55</v>
      </c>
      <c r="C6758" s="15">
        <v>271</v>
      </c>
      <c r="D6758" s="16">
        <v>8</v>
      </c>
      <c r="E6758" s="22">
        <v>45165</v>
      </c>
      <c r="F6758" s="19">
        <v>11</v>
      </c>
      <c r="G6758" s="18">
        <v>0.06</v>
      </c>
      <c r="H6758">
        <f>F6758*VLOOKUP(B6758,產品!$A$2:$H$61,7,FALSE)*(1-銷售總表!G6758)</f>
        <v>206800</v>
      </c>
      <c r="I6758" s="35">
        <f>H6758-F6758*VLOOKUP(銷售總表!B6758,產品!$A$2:$H$61,8,FALSE)</f>
        <v>52800</v>
      </c>
      <c r="J6758" s="20">
        <f t="shared" si="105"/>
        <v>0.25531914893617019</v>
      </c>
    </row>
    <row r="6759" spans="1:10" x14ac:dyDescent="0.3">
      <c r="A6759" s="33">
        <v>6758</v>
      </c>
      <c r="B6759" s="4">
        <v>37</v>
      </c>
      <c r="C6759" s="15">
        <v>258</v>
      </c>
      <c r="D6759" s="16">
        <v>7</v>
      </c>
      <c r="E6759" s="22">
        <v>45166</v>
      </c>
      <c r="F6759" s="17">
        <v>1</v>
      </c>
      <c r="G6759" s="18">
        <v>0.09</v>
      </c>
      <c r="H6759">
        <f>F6759*VLOOKUP(B6759,產品!$A$2:$H$61,7,FALSE)*(1-銷售總表!G6759)</f>
        <v>10920</v>
      </c>
      <c r="I6759" s="35">
        <f>H6759-F6759*VLOOKUP(銷售總表!B6759,產品!$A$2:$H$61,8,FALSE)</f>
        <v>3120</v>
      </c>
      <c r="J6759" s="20">
        <f t="shared" si="105"/>
        <v>0.2857142857142857</v>
      </c>
    </row>
    <row r="6760" spans="1:10" x14ac:dyDescent="0.3">
      <c r="A6760" s="33">
        <v>6759</v>
      </c>
      <c r="B6760" s="4">
        <v>47</v>
      </c>
      <c r="C6760" s="15">
        <v>258</v>
      </c>
      <c r="D6760" s="16">
        <v>4</v>
      </c>
      <c r="E6760" s="22">
        <v>45166</v>
      </c>
      <c r="F6760" s="17">
        <v>10</v>
      </c>
      <c r="G6760" s="18">
        <v>7.0000000000000007E-2</v>
      </c>
      <c r="H6760">
        <f>F6760*VLOOKUP(B6760,產品!$A$2:$H$61,7,FALSE)*(1-銷售總表!G6760)</f>
        <v>186000</v>
      </c>
      <c r="I6760" s="35">
        <f>H6760-F6760*VLOOKUP(銷售總表!B6760,產品!$A$2:$H$61,8,FALSE)</f>
        <v>56000</v>
      </c>
      <c r="J6760" s="20">
        <f t="shared" si="105"/>
        <v>0.30107526881720431</v>
      </c>
    </row>
    <row r="6761" spans="1:10" x14ac:dyDescent="0.3">
      <c r="A6761" s="33">
        <v>6760</v>
      </c>
      <c r="B6761" s="4">
        <v>50</v>
      </c>
      <c r="C6761" s="15">
        <v>287</v>
      </c>
      <c r="D6761" s="16">
        <v>7</v>
      </c>
      <c r="E6761" s="22">
        <v>45166</v>
      </c>
      <c r="F6761" s="17">
        <v>15</v>
      </c>
      <c r="G6761" s="18">
        <v>0.16</v>
      </c>
      <c r="H6761">
        <f>F6761*VLOOKUP(B6761,產品!$A$2:$H$61,7,FALSE)*(1-銷售總表!G6761)</f>
        <v>226800</v>
      </c>
      <c r="I6761" s="35">
        <f>H6761-F6761*VLOOKUP(銷售總表!B6761,產品!$A$2:$H$61,8,FALSE)</f>
        <v>37800</v>
      </c>
      <c r="J6761" s="20">
        <f t="shared" si="105"/>
        <v>0.16666666666666666</v>
      </c>
    </row>
    <row r="6762" spans="1:10" x14ac:dyDescent="0.3">
      <c r="A6762" s="33">
        <v>6761</v>
      </c>
      <c r="B6762" s="4">
        <v>23</v>
      </c>
      <c r="C6762" s="15">
        <v>116</v>
      </c>
      <c r="D6762" s="16">
        <v>10</v>
      </c>
      <c r="E6762" s="22">
        <v>45166</v>
      </c>
      <c r="F6762" s="19">
        <v>70</v>
      </c>
      <c r="G6762" s="18">
        <v>0.16</v>
      </c>
      <c r="H6762">
        <f>F6762*VLOOKUP(B6762,產品!$A$2:$H$61,7,FALSE)*(1-銷售總表!G6762)</f>
        <v>105840</v>
      </c>
      <c r="I6762" s="35">
        <f>H6762-F6762*VLOOKUP(銷售總表!B6762,產品!$A$2:$H$61,8,FALSE)</f>
        <v>55440</v>
      </c>
      <c r="J6762" s="20">
        <f t="shared" si="105"/>
        <v>0.52380952380952384</v>
      </c>
    </row>
    <row r="6763" spans="1:10" x14ac:dyDescent="0.3">
      <c r="A6763" s="33">
        <v>6762</v>
      </c>
      <c r="B6763" s="4">
        <v>28</v>
      </c>
      <c r="C6763" s="15">
        <v>115</v>
      </c>
      <c r="D6763" s="16">
        <v>9</v>
      </c>
      <c r="E6763" s="22">
        <v>45166</v>
      </c>
      <c r="F6763" s="19">
        <v>5</v>
      </c>
      <c r="G6763" s="18">
        <v>0.06</v>
      </c>
      <c r="H6763">
        <f>F6763*VLOOKUP(B6763,產品!$A$2:$H$61,7,FALSE)*(1-銷售總表!G6763)</f>
        <v>35250</v>
      </c>
      <c r="I6763" s="35">
        <f>H6763-F6763*VLOOKUP(銷售總表!B6763,產品!$A$2:$H$61,8,FALSE)</f>
        <v>12750</v>
      </c>
      <c r="J6763" s="20">
        <f t="shared" si="105"/>
        <v>0.36170212765957449</v>
      </c>
    </row>
    <row r="6764" spans="1:10" x14ac:dyDescent="0.3">
      <c r="A6764" s="33">
        <v>6763</v>
      </c>
      <c r="B6764" s="4">
        <v>23</v>
      </c>
      <c r="C6764" s="15">
        <v>117</v>
      </c>
      <c r="D6764" s="16">
        <v>5</v>
      </c>
      <c r="E6764" s="23">
        <v>45166</v>
      </c>
      <c r="F6764">
        <v>150</v>
      </c>
      <c r="G6764" s="20">
        <v>0.15</v>
      </c>
      <c r="H6764">
        <f>F6764*VLOOKUP(B6764,產品!$A$2:$H$61,7,FALSE)*(1-銷售總表!G6764)</f>
        <v>229500</v>
      </c>
      <c r="I6764" s="35">
        <f>H6764-F6764*VLOOKUP(銷售總表!B6764,產品!$A$2:$H$61,8,FALSE)</f>
        <v>121500</v>
      </c>
      <c r="J6764" s="20">
        <f t="shared" si="105"/>
        <v>0.52941176470588236</v>
      </c>
    </row>
    <row r="6765" spans="1:10" x14ac:dyDescent="0.3">
      <c r="A6765" s="33">
        <v>6764</v>
      </c>
      <c r="B6765" s="4">
        <v>50</v>
      </c>
      <c r="C6765" s="15">
        <v>291</v>
      </c>
      <c r="D6765" s="16">
        <v>8</v>
      </c>
      <c r="E6765" s="23">
        <v>45166</v>
      </c>
      <c r="F6765">
        <v>11</v>
      </c>
      <c r="G6765" s="20">
        <v>0.1</v>
      </c>
      <c r="H6765">
        <f>F6765*VLOOKUP(B6765,產品!$A$2:$H$61,7,FALSE)*(1-銷售總表!G6765)</f>
        <v>178200</v>
      </c>
      <c r="I6765" s="35">
        <f>H6765-F6765*VLOOKUP(銷售總表!B6765,產品!$A$2:$H$61,8,FALSE)</f>
        <v>39600</v>
      </c>
      <c r="J6765" s="20">
        <f t="shared" si="105"/>
        <v>0.22222222222222221</v>
      </c>
    </row>
    <row r="6766" spans="1:10" x14ac:dyDescent="0.3">
      <c r="A6766" s="33">
        <v>6765</v>
      </c>
      <c r="B6766" s="4">
        <v>50</v>
      </c>
      <c r="C6766" s="15">
        <v>120</v>
      </c>
      <c r="D6766" s="16">
        <v>9</v>
      </c>
      <c r="E6766" s="22">
        <v>45167</v>
      </c>
      <c r="F6766" s="19">
        <v>12</v>
      </c>
      <c r="G6766" s="18">
        <v>0.15</v>
      </c>
      <c r="H6766">
        <f>F6766*VLOOKUP(B6766,產品!$A$2:$H$61,7,FALSE)*(1-銷售總表!G6766)</f>
        <v>183600</v>
      </c>
      <c r="I6766" s="35">
        <f>H6766-F6766*VLOOKUP(銷售總表!B6766,產品!$A$2:$H$61,8,FALSE)</f>
        <v>32400</v>
      </c>
      <c r="J6766" s="20">
        <f t="shared" si="105"/>
        <v>0.17647058823529413</v>
      </c>
    </row>
    <row r="6767" spans="1:10" x14ac:dyDescent="0.3">
      <c r="A6767" s="33">
        <v>6766</v>
      </c>
      <c r="B6767" s="4">
        <v>3</v>
      </c>
      <c r="C6767" s="15">
        <v>272</v>
      </c>
      <c r="D6767" s="16">
        <v>8</v>
      </c>
      <c r="E6767" s="22">
        <v>45168</v>
      </c>
      <c r="F6767" s="19">
        <v>90</v>
      </c>
      <c r="G6767" s="18">
        <v>0.09</v>
      </c>
      <c r="H6767">
        <f>F6767*VLOOKUP(B6767,產品!$A$2:$H$61,7,FALSE)*(1-銷售總表!G6767)</f>
        <v>81900</v>
      </c>
      <c r="I6767" s="35">
        <f>H6767-F6767*VLOOKUP(銷售總表!B6767,產品!$A$2:$H$61,8,FALSE)</f>
        <v>45900</v>
      </c>
      <c r="J6767" s="20">
        <f t="shared" si="105"/>
        <v>0.56043956043956045</v>
      </c>
    </row>
    <row r="6768" spans="1:10" x14ac:dyDescent="0.3">
      <c r="A6768" s="33">
        <v>6767</v>
      </c>
      <c r="B6768" s="4">
        <v>14</v>
      </c>
      <c r="C6768" s="15">
        <v>272</v>
      </c>
      <c r="D6768" s="16">
        <v>1</v>
      </c>
      <c r="E6768" s="22">
        <v>45168</v>
      </c>
      <c r="F6768" s="19">
        <v>90</v>
      </c>
      <c r="G6768" s="18">
        <v>0.08</v>
      </c>
      <c r="H6768">
        <f>F6768*VLOOKUP(B6768,產品!$A$2:$H$61,7,FALSE)*(1-銷售總表!G6768)</f>
        <v>149040</v>
      </c>
      <c r="I6768" s="35">
        <f>H6768-F6768*VLOOKUP(銷售總表!B6768,產品!$A$2:$H$61,8,FALSE)</f>
        <v>84240</v>
      </c>
      <c r="J6768" s="20">
        <f t="shared" si="105"/>
        <v>0.56521739130434778</v>
      </c>
    </row>
    <row r="6769" spans="1:10" x14ac:dyDescent="0.3">
      <c r="A6769" s="33">
        <v>6768</v>
      </c>
      <c r="B6769" s="4">
        <v>45</v>
      </c>
      <c r="C6769" s="15">
        <v>114</v>
      </c>
      <c r="D6769" s="16">
        <v>3</v>
      </c>
      <c r="E6769" s="22">
        <v>45168</v>
      </c>
      <c r="F6769" s="19">
        <v>3</v>
      </c>
      <c r="G6769" s="18">
        <v>0.14000000000000001</v>
      </c>
      <c r="H6769">
        <f>F6769*VLOOKUP(B6769,產品!$A$2:$H$61,7,FALSE)*(1-銷售總表!G6769)</f>
        <v>36120</v>
      </c>
      <c r="I6769" s="35">
        <f>H6769-F6769*VLOOKUP(銷售總表!B6769,產品!$A$2:$H$61,8,FALSE)</f>
        <v>8820</v>
      </c>
      <c r="J6769" s="20">
        <f t="shared" si="105"/>
        <v>0.2441860465116279</v>
      </c>
    </row>
    <row r="6770" spans="1:10" x14ac:dyDescent="0.3">
      <c r="A6770" s="33">
        <v>6769</v>
      </c>
      <c r="B6770" s="4">
        <v>21</v>
      </c>
      <c r="C6770" s="15">
        <v>11</v>
      </c>
      <c r="D6770" s="16">
        <v>3</v>
      </c>
      <c r="E6770" s="23">
        <v>45168</v>
      </c>
      <c r="F6770">
        <v>10</v>
      </c>
      <c r="G6770" s="20">
        <v>0.17</v>
      </c>
      <c r="H6770">
        <f>F6770*VLOOKUP(B6770,產品!$A$2:$H$61,7,FALSE)*(1-銷售總表!G6770)</f>
        <v>14940</v>
      </c>
      <c r="I6770" s="35">
        <f>H6770-F6770*VLOOKUP(銷售總表!B6770,產品!$A$2:$H$61,8,FALSE)</f>
        <v>7740</v>
      </c>
      <c r="J6770" s="20">
        <f t="shared" si="105"/>
        <v>0.51807228915662651</v>
      </c>
    </row>
    <row r="6771" spans="1:10" x14ac:dyDescent="0.3">
      <c r="A6771" s="33">
        <v>6770</v>
      </c>
      <c r="B6771" s="4">
        <v>15</v>
      </c>
      <c r="C6771" s="15">
        <v>113</v>
      </c>
      <c r="D6771" s="16">
        <v>6</v>
      </c>
      <c r="E6771" s="23">
        <v>45168</v>
      </c>
      <c r="F6771">
        <v>60</v>
      </c>
      <c r="G6771" s="20">
        <v>0.06</v>
      </c>
      <c r="H6771">
        <f>F6771*VLOOKUP(B6771,產品!$A$2:$H$61,7,FALSE)*(1-銷售總表!G6771)</f>
        <v>101520</v>
      </c>
      <c r="I6771" s="35">
        <f>H6771-F6771*VLOOKUP(銷售總表!B6771,產品!$A$2:$H$61,8,FALSE)</f>
        <v>58320</v>
      </c>
      <c r="J6771" s="20">
        <f t="shared" si="105"/>
        <v>0.57446808510638303</v>
      </c>
    </row>
    <row r="6772" spans="1:10" x14ac:dyDescent="0.3">
      <c r="A6772" s="33">
        <v>6771</v>
      </c>
      <c r="B6772" s="4">
        <v>6</v>
      </c>
      <c r="C6772" s="15">
        <v>6</v>
      </c>
      <c r="D6772" s="16">
        <v>2</v>
      </c>
      <c r="E6772" s="22">
        <v>45169</v>
      </c>
      <c r="F6772" s="19">
        <v>70</v>
      </c>
      <c r="G6772" s="18">
        <v>0.2</v>
      </c>
      <c r="H6772">
        <f>F6772*VLOOKUP(B6772,產品!$A$2:$H$61,7,FALSE)*(1-銷售總表!G6772)</f>
        <v>56000</v>
      </c>
      <c r="I6772" s="35">
        <f>H6772-F6772*VLOOKUP(銷售總表!B6772,產品!$A$2:$H$61,8,FALSE)</f>
        <v>28000</v>
      </c>
      <c r="J6772" s="20">
        <f t="shared" si="105"/>
        <v>0.5</v>
      </c>
    </row>
    <row r="6773" spans="1:10" x14ac:dyDescent="0.3">
      <c r="A6773" s="33">
        <v>6772</v>
      </c>
      <c r="B6773" s="4">
        <v>29</v>
      </c>
      <c r="C6773" s="15">
        <v>276</v>
      </c>
      <c r="D6773" s="16">
        <v>6</v>
      </c>
      <c r="E6773" s="22">
        <v>45169</v>
      </c>
      <c r="F6773" s="19">
        <v>4</v>
      </c>
      <c r="G6773" s="18">
        <v>0.19</v>
      </c>
      <c r="H6773">
        <f>F6773*VLOOKUP(B6773,產品!$A$2:$H$61,7,FALSE)*(1-銷售總表!G6773)</f>
        <v>19440</v>
      </c>
      <c r="I6773" s="35">
        <f>H6773-F6773*VLOOKUP(銷售總表!B6773,產品!$A$2:$H$61,8,FALSE)</f>
        <v>5040</v>
      </c>
      <c r="J6773" s="20">
        <f t="shared" si="105"/>
        <v>0.25925925925925924</v>
      </c>
    </row>
    <row r="6774" spans="1:10" x14ac:dyDescent="0.3">
      <c r="A6774" s="33">
        <v>6773</v>
      </c>
      <c r="B6774" s="4">
        <v>34</v>
      </c>
      <c r="C6774" s="15">
        <v>5</v>
      </c>
      <c r="D6774" s="16">
        <v>9</v>
      </c>
      <c r="E6774" s="23">
        <v>45169</v>
      </c>
      <c r="F6774">
        <v>1</v>
      </c>
      <c r="G6774" s="20">
        <v>0.12</v>
      </c>
      <c r="H6774">
        <f>F6774*VLOOKUP(B6774,產品!$A$2:$H$61,7,FALSE)*(1-銷售總表!G6774)</f>
        <v>7040</v>
      </c>
      <c r="I6774" s="35">
        <f>H6774-F6774*VLOOKUP(銷售總表!B6774,產品!$A$2:$H$61,8,FALSE)</f>
        <v>2240</v>
      </c>
      <c r="J6774" s="20">
        <f t="shared" si="105"/>
        <v>0.31818181818181818</v>
      </c>
    </row>
    <row r="6775" spans="1:10" x14ac:dyDescent="0.3">
      <c r="A6775" s="33">
        <v>6774</v>
      </c>
      <c r="B6775" s="4">
        <v>1</v>
      </c>
      <c r="C6775" s="15">
        <v>117</v>
      </c>
      <c r="D6775" s="16">
        <v>9</v>
      </c>
      <c r="E6775" s="22">
        <v>45170</v>
      </c>
      <c r="F6775" s="19">
        <v>250</v>
      </c>
      <c r="G6775" s="18">
        <v>0.1</v>
      </c>
      <c r="H6775">
        <f>F6775*VLOOKUP(B6775,產品!$A$2:$H$61,7,FALSE)*(1-銷售總表!G6775)</f>
        <v>225000</v>
      </c>
      <c r="I6775" s="35">
        <f>H6775-F6775*VLOOKUP(銷售總表!B6775,產品!$A$2:$H$61,8,FALSE)</f>
        <v>125000</v>
      </c>
      <c r="J6775" s="20">
        <f t="shared" si="105"/>
        <v>0.55555555555555558</v>
      </c>
    </row>
    <row r="6776" spans="1:10" x14ac:dyDescent="0.3">
      <c r="A6776" s="33">
        <v>6775</v>
      </c>
      <c r="B6776" s="4">
        <v>43</v>
      </c>
      <c r="C6776" s="15">
        <v>286</v>
      </c>
      <c r="D6776" s="16">
        <v>7</v>
      </c>
      <c r="E6776" s="22">
        <v>45170</v>
      </c>
      <c r="F6776" s="19">
        <v>5</v>
      </c>
      <c r="G6776" s="18">
        <v>0.15</v>
      </c>
      <c r="H6776">
        <f>F6776*VLOOKUP(B6776,產品!$A$2:$H$61,7,FALSE)*(1-銷售總表!G6776)</f>
        <v>76500</v>
      </c>
      <c r="I6776" s="35">
        <f>H6776-F6776*VLOOKUP(銷售總表!B6776,產品!$A$2:$H$61,8,FALSE)</f>
        <v>18000</v>
      </c>
      <c r="J6776" s="20">
        <f t="shared" si="105"/>
        <v>0.23529411764705882</v>
      </c>
    </row>
    <row r="6777" spans="1:10" x14ac:dyDescent="0.3">
      <c r="A6777" s="33">
        <v>6776</v>
      </c>
      <c r="B6777" s="4">
        <v>51</v>
      </c>
      <c r="C6777" s="15">
        <v>116</v>
      </c>
      <c r="D6777" s="16">
        <v>2</v>
      </c>
      <c r="E6777" s="22">
        <v>45170</v>
      </c>
      <c r="F6777" s="19">
        <v>9</v>
      </c>
      <c r="G6777" s="18">
        <v>0.13</v>
      </c>
      <c r="H6777">
        <f>F6777*VLOOKUP(B6777,產品!$A$2:$H$61,7,FALSE)*(1-銷售總表!G6777)</f>
        <v>156600</v>
      </c>
      <c r="I6777" s="35">
        <f>H6777-F6777*VLOOKUP(銷售總表!B6777,產品!$A$2:$H$61,8,FALSE)</f>
        <v>30600</v>
      </c>
      <c r="J6777" s="20">
        <f t="shared" si="105"/>
        <v>0.19540229885057472</v>
      </c>
    </row>
    <row r="6778" spans="1:10" x14ac:dyDescent="0.3">
      <c r="A6778" s="33">
        <v>6777</v>
      </c>
      <c r="B6778" s="4">
        <v>32</v>
      </c>
      <c r="C6778" s="15">
        <v>257</v>
      </c>
      <c r="D6778" s="16">
        <v>4</v>
      </c>
      <c r="E6778" s="22">
        <v>45170</v>
      </c>
      <c r="F6778" s="19">
        <v>12</v>
      </c>
      <c r="G6778" s="18">
        <v>0.1</v>
      </c>
      <c r="H6778">
        <f>F6778*VLOOKUP(B6778,產品!$A$2:$H$61,7,FALSE)*(1-銷售總表!G6778)</f>
        <v>81000</v>
      </c>
      <c r="I6778" s="35">
        <f>H6778-F6778*VLOOKUP(銷售總表!B6778,產品!$A$2:$H$61,8,FALSE)</f>
        <v>27000</v>
      </c>
      <c r="J6778" s="20">
        <f t="shared" si="105"/>
        <v>0.33333333333333331</v>
      </c>
    </row>
    <row r="6779" spans="1:10" x14ac:dyDescent="0.3">
      <c r="A6779" s="33">
        <v>6778</v>
      </c>
      <c r="B6779" s="4">
        <v>55</v>
      </c>
      <c r="C6779" s="15">
        <v>123</v>
      </c>
      <c r="D6779" s="16">
        <v>8</v>
      </c>
      <c r="E6779" s="23">
        <v>45170</v>
      </c>
      <c r="F6779">
        <v>9</v>
      </c>
      <c r="G6779" s="20">
        <v>0.09</v>
      </c>
      <c r="H6779">
        <f>F6779*VLOOKUP(B6779,產品!$A$2:$H$61,7,FALSE)*(1-銷售總表!G6779)</f>
        <v>163800</v>
      </c>
      <c r="I6779" s="35">
        <f>H6779-F6779*VLOOKUP(銷售總表!B6779,產品!$A$2:$H$61,8,FALSE)</f>
        <v>37800</v>
      </c>
      <c r="J6779" s="20">
        <f t="shared" si="105"/>
        <v>0.23076923076923078</v>
      </c>
    </row>
    <row r="6780" spans="1:10" x14ac:dyDescent="0.3">
      <c r="A6780" s="33">
        <v>6779</v>
      </c>
      <c r="B6780" s="4">
        <v>3</v>
      </c>
      <c r="C6780" s="15">
        <v>258</v>
      </c>
      <c r="D6780" s="16">
        <v>1</v>
      </c>
      <c r="E6780" s="22">
        <v>45171</v>
      </c>
      <c r="F6780" s="19">
        <v>135</v>
      </c>
      <c r="G6780" s="18">
        <v>0.08</v>
      </c>
      <c r="H6780">
        <f>F6780*VLOOKUP(B6780,產品!$A$2:$H$61,7,FALSE)*(1-銷售總表!G6780)</f>
        <v>124200</v>
      </c>
      <c r="I6780" s="35">
        <f>H6780-F6780*VLOOKUP(銷售總表!B6780,產品!$A$2:$H$61,8,FALSE)</f>
        <v>70200</v>
      </c>
      <c r="J6780" s="20">
        <f t="shared" si="105"/>
        <v>0.56521739130434778</v>
      </c>
    </row>
    <row r="6781" spans="1:10" x14ac:dyDescent="0.3">
      <c r="A6781" s="33">
        <v>6780</v>
      </c>
      <c r="B6781" s="4">
        <v>26</v>
      </c>
      <c r="C6781" s="15">
        <v>258</v>
      </c>
      <c r="D6781" s="16">
        <v>3</v>
      </c>
      <c r="E6781" s="22">
        <v>45171</v>
      </c>
      <c r="F6781" s="19">
        <v>7</v>
      </c>
      <c r="G6781" s="18">
        <v>0.16</v>
      </c>
      <c r="H6781">
        <f>F6781*VLOOKUP(B6781,產品!$A$2:$H$61,7,FALSE)*(1-銷售總表!G6781)</f>
        <v>38220</v>
      </c>
      <c r="I6781" s="35">
        <f>H6781-F6781*VLOOKUP(銷售總表!B6781,產品!$A$2:$H$61,8,FALSE)</f>
        <v>10920</v>
      </c>
      <c r="J6781" s="20">
        <f t="shared" si="105"/>
        <v>0.2857142857142857</v>
      </c>
    </row>
    <row r="6782" spans="1:10" x14ac:dyDescent="0.3">
      <c r="A6782" s="33">
        <v>6781</v>
      </c>
      <c r="B6782" s="4">
        <v>39</v>
      </c>
      <c r="C6782" s="15">
        <v>258</v>
      </c>
      <c r="D6782" s="16">
        <v>2</v>
      </c>
      <c r="E6782" s="22">
        <v>45171</v>
      </c>
      <c r="F6782" s="19">
        <v>7</v>
      </c>
      <c r="G6782" s="18">
        <v>0.12</v>
      </c>
      <c r="H6782">
        <f>F6782*VLOOKUP(B6782,產品!$A$2:$H$61,7,FALSE)*(1-銷售總表!G6782)</f>
        <v>110880</v>
      </c>
      <c r="I6782" s="35">
        <f>H6782-F6782*VLOOKUP(銷售總表!B6782,產品!$A$2:$H$61,8,FALSE)</f>
        <v>28980</v>
      </c>
      <c r="J6782" s="20">
        <f t="shared" si="105"/>
        <v>0.26136363636363635</v>
      </c>
    </row>
    <row r="6783" spans="1:10" x14ac:dyDescent="0.3">
      <c r="A6783" s="33">
        <v>6782</v>
      </c>
      <c r="B6783" s="4">
        <v>28</v>
      </c>
      <c r="C6783" s="15">
        <v>293</v>
      </c>
      <c r="D6783" s="16">
        <v>6</v>
      </c>
      <c r="E6783" s="23">
        <v>45171</v>
      </c>
      <c r="F6783">
        <v>6</v>
      </c>
      <c r="G6783" s="20">
        <v>0.2</v>
      </c>
      <c r="H6783">
        <f>F6783*VLOOKUP(B6783,產品!$A$2:$H$61,7,FALSE)*(1-銷售總表!G6783)</f>
        <v>36000</v>
      </c>
      <c r="I6783" s="35">
        <f>H6783-F6783*VLOOKUP(銷售總表!B6783,產品!$A$2:$H$61,8,FALSE)</f>
        <v>9000</v>
      </c>
      <c r="J6783" s="20">
        <f t="shared" si="105"/>
        <v>0.25</v>
      </c>
    </row>
    <row r="6784" spans="1:10" x14ac:dyDescent="0.3">
      <c r="A6784" s="33">
        <v>6783</v>
      </c>
      <c r="B6784" s="4">
        <v>60</v>
      </c>
      <c r="C6784" s="15">
        <v>121</v>
      </c>
      <c r="D6784" s="16">
        <v>1</v>
      </c>
      <c r="E6784" s="23">
        <v>45171</v>
      </c>
      <c r="F6784">
        <v>5</v>
      </c>
      <c r="G6784" s="20">
        <v>7.0000000000000007E-2</v>
      </c>
      <c r="H6784">
        <f>F6784*VLOOKUP(B6784,產品!$A$2:$H$61,7,FALSE)*(1-銷售總表!G6784)</f>
        <v>116249.99999999999</v>
      </c>
      <c r="I6784" s="35">
        <f>H6784-F6784*VLOOKUP(銷售總表!B6784,產品!$A$2:$H$61,8,FALSE)</f>
        <v>28749.999999999985</v>
      </c>
      <c r="J6784" s="20">
        <f t="shared" si="105"/>
        <v>0.24731182795698917</v>
      </c>
    </row>
    <row r="6785" spans="1:10" x14ac:dyDescent="0.3">
      <c r="A6785" s="33">
        <v>6784</v>
      </c>
      <c r="B6785" s="4">
        <v>18</v>
      </c>
      <c r="C6785" s="15">
        <v>116</v>
      </c>
      <c r="D6785" s="16">
        <v>9</v>
      </c>
      <c r="E6785" s="22">
        <v>45172</v>
      </c>
      <c r="F6785" s="19">
        <v>75</v>
      </c>
      <c r="G6785" s="18">
        <v>7.0000000000000007E-2</v>
      </c>
      <c r="H6785">
        <f>F6785*VLOOKUP(B6785,產品!$A$2:$H$61,7,FALSE)*(1-銷售總表!G6785)</f>
        <v>125549.99999999999</v>
      </c>
      <c r="I6785" s="35">
        <f>H6785-F6785*VLOOKUP(銷售總表!B6785,產品!$A$2:$H$61,8,FALSE)</f>
        <v>71549.999999999985</v>
      </c>
      <c r="J6785" s="20">
        <f t="shared" si="105"/>
        <v>0.56989247311827951</v>
      </c>
    </row>
    <row r="6786" spans="1:10" x14ac:dyDescent="0.3">
      <c r="A6786" s="33">
        <v>6785</v>
      </c>
      <c r="B6786" s="4">
        <v>13</v>
      </c>
      <c r="C6786" s="15">
        <v>126</v>
      </c>
      <c r="D6786" s="16">
        <v>7</v>
      </c>
      <c r="E6786" s="22">
        <v>45172</v>
      </c>
      <c r="F6786" s="19">
        <v>175</v>
      </c>
      <c r="G6786" s="18">
        <v>0.09</v>
      </c>
      <c r="H6786">
        <f>F6786*VLOOKUP(B6786,產品!$A$2:$H$61,7,FALSE)*(1-銷售總表!G6786)</f>
        <v>286650</v>
      </c>
      <c r="I6786" s="35">
        <f>H6786-F6786*VLOOKUP(銷售總表!B6786,產品!$A$2:$H$61,8,FALSE)</f>
        <v>160650</v>
      </c>
      <c r="J6786" s="20">
        <f t="shared" si="105"/>
        <v>0.56043956043956045</v>
      </c>
    </row>
    <row r="6787" spans="1:10" x14ac:dyDescent="0.3">
      <c r="A6787" s="33">
        <v>6786</v>
      </c>
      <c r="B6787" s="4">
        <v>58</v>
      </c>
      <c r="C6787" s="15">
        <v>277</v>
      </c>
      <c r="D6787" s="16">
        <v>2</v>
      </c>
      <c r="E6787" s="22">
        <v>45172</v>
      </c>
      <c r="F6787" s="19">
        <v>5</v>
      </c>
      <c r="G6787" s="18">
        <v>0.1</v>
      </c>
      <c r="H6787">
        <f>F6787*VLOOKUP(B6787,產品!$A$2:$H$61,7,FALSE)*(1-銷售總表!G6787)</f>
        <v>94500</v>
      </c>
      <c r="I6787" s="35">
        <f>H6787-F6787*VLOOKUP(銷售總表!B6787,產品!$A$2:$H$61,8,FALSE)</f>
        <v>21000.000000000015</v>
      </c>
      <c r="J6787" s="20">
        <f t="shared" ref="J6787:J6850" si="106">I6787/H6787</f>
        <v>0.22222222222222238</v>
      </c>
    </row>
    <row r="6788" spans="1:10" x14ac:dyDescent="0.3">
      <c r="A6788" s="33">
        <v>6787</v>
      </c>
      <c r="B6788" s="4">
        <v>23</v>
      </c>
      <c r="C6788" s="15">
        <v>265</v>
      </c>
      <c r="D6788" s="16">
        <v>5</v>
      </c>
      <c r="E6788" s="23">
        <v>45172</v>
      </c>
      <c r="F6788">
        <v>50</v>
      </c>
      <c r="G6788" s="20">
        <v>0.08</v>
      </c>
      <c r="H6788">
        <f>F6788*VLOOKUP(B6788,產品!$A$2:$H$61,7,FALSE)*(1-銷售總表!G6788)</f>
        <v>82800</v>
      </c>
      <c r="I6788" s="35">
        <f>H6788-F6788*VLOOKUP(銷售總表!B6788,產品!$A$2:$H$61,8,FALSE)</f>
        <v>46800</v>
      </c>
      <c r="J6788" s="20">
        <f t="shared" si="106"/>
        <v>0.56521739130434778</v>
      </c>
    </row>
    <row r="6789" spans="1:10" x14ac:dyDescent="0.3">
      <c r="A6789" s="33">
        <v>6788</v>
      </c>
      <c r="B6789" s="4">
        <v>20</v>
      </c>
      <c r="C6789" s="15">
        <v>116</v>
      </c>
      <c r="D6789" s="16">
        <v>7</v>
      </c>
      <c r="E6789" s="22">
        <v>45173</v>
      </c>
      <c r="F6789" s="19">
        <v>90</v>
      </c>
      <c r="G6789" s="18">
        <v>7.0000000000000007E-2</v>
      </c>
      <c r="H6789">
        <f>F6789*VLOOKUP(B6789,產品!$A$2:$H$61,7,FALSE)*(1-銷售總表!G6789)</f>
        <v>150660</v>
      </c>
      <c r="I6789" s="35">
        <f>H6789-F6789*VLOOKUP(銷售總表!B6789,產品!$A$2:$H$61,8,FALSE)</f>
        <v>85860</v>
      </c>
      <c r="J6789" s="20">
        <f t="shared" si="106"/>
        <v>0.56989247311827962</v>
      </c>
    </row>
    <row r="6790" spans="1:10" x14ac:dyDescent="0.3">
      <c r="A6790" s="33">
        <v>6789</v>
      </c>
      <c r="B6790" s="4">
        <v>4</v>
      </c>
      <c r="C6790" s="15">
        <v>289</v>
      </c>
      <c r="D6790" s="16">
        <v>6</v>
      </c>
      <c r="E6790" s="22">
        <v>45174</v>
      </c>
      <c r="F6790" s="17">
        <v>45</v>
      </c>
      <c r="G6790" s="18">
        <v>0.17</v>
      </c>
      <c r="H6790">
        <f>F6790*VLOOKUP(B6790,產品!$A$2:$H$61,7,FALSE)*(1-銷售總表!G6790)</f>
        <v>37350</v>
      </c>
      <c r="I6790" s="35">
        <f>H6790-F6790*VLOOKUP(銷售總表!B6790,產品!$A$2:$H$61,8,FALSE)</f>
        <v>19350</v>
      </c>
      <c r="J6790" s="20">
        <f t="shared" si="106"/>
        <v>0.51807228915662651</v>
      </c>
    </row>
    <row r="6791" spans="1:10" x14ac:dyDescent="0.3">
      <c r="A6791" s="33">
        <v>6790</v>
      </c>
      <c r="B6791" s="4">
        <v>46</v>
      </c>
      <c r="C6791" s="15">
        <v>257</v>
      </c>
      <c r="D6791" s="16">
        <v>10</v>
      </c>
      <c r="E6791" s="22">
        <v>45174</v>
      </c>
      <c r="F6791" s="19">
        <v>9</v>
      </c>
      <c r="G6791" s="18">
        <v>0.1</v>
      </c>
      <c r="H6791">
        <f>F6791*VLOOKUP(B6791,產品!$A$2:$H$61,7,FALSE)*(1-銷售總表!G6791)</f>
        <v>137700</v>
      </c>
      <c r="I6791" s="35">
        <f>H6791-F6791*VLOOKUP(銷售總表!B6791,產品!$A$2:$H$61,8,FALSE)</f>
        <v>38250</v>
      </c>
      <c r="J6791" s="20">
        <f t="shared" si="106"/>
        <v>0.27777777777777779</v>
      </c>
    </row>
    <row r="6792" spans="1:10" x14ac:dyDescent="0.3">
      <c r="A6792" s="33">
        <v>6791</v>
      </c>
      <c r="B6792" s="4">
        <v>20</v>
      </c>
      <c r="C6792" s="15">
        <v>115</v>
      </c>
      <c r="D6792" s="16">
        <v>3</v>
      </c>
      <c r="E6792" s="22">
        <v>45174</v>
      </c>
      <c r="F6792" s="19">
        <v>19</v>
      </c>
      <c r="G6792" s="18">
        <v>0.08</v>
      </c>
      <c r="H6792">
        <f>F6792*VLOOKUP(B6792,產品!$A$2:$H$61,7,FALSE)*(1-銷售總表!G6792)</f>
        <v>31464</v>
      </c>
      <c r="I6792" s="35">
        <f>H6792-F6792*VLOOKUP(銷售總表!B6792,產品!$A$2:$H$61,8,FALSE)</f>
        <v>17784</v>
      </c>
      <c r="J6792" s="20">
        <f t="shared" si="106"/>
        <v>0.56521739130434778</v>
      </c>
    </row>
    <row r="6793" spans="1:10" x14ac:dyDescent="0.3">
      <c r="A6793" s="33">
        <v>6792</v>
      </c>
      <c r="B6793" s="4">
        <v>31</v>
      </c>
      <c r="C6793" s="15">
        <v>268</v>
      </c>
      <c r="D6793" s="16">
        <v>10</v>
      </c>
      <c r="E6793" s="22">
        <v>45174</v>
      </c>
      <c r="F6793" s="19">
        <v>5</v>
      </c>
      <c r="G6793" s="18">
        <v>0.18</v>
      </c>
      <c r="H6793">
        <f>F6793*VLOOKUP(B6793,產品!$A$2:$H$61,7,FALSE)*(1-銷售總表!G6793)</f>
        <v>28700.000000000004</v>
      </c>
      <c r="I6793" s="35">
        <f>H6793-F6793*VLOOKUP(銷售總表!B6793,產品!$A$2:$H$61,8,FALSE)</f>
        <v>7700.0000000000036</v>
      </c>
      <c r="J6793" s="20">
        <f t="shared" si="106"/>
        <v>0.26829268292682934</v>
      </c>
    </row>
    <row r="6794" spans="1:10" x14ac:dyDescent="0.3">
      <c r="A6794" s="33">
        <v>6793</v>
      </c>
      <c r="B6794" s="4">
        <v>24</v>
      </c>
      <c r="C6794" s="15">
        <v>284</v>
      </c>
      <c r="D6794" s="16">
        <v>8</v>
      </c>
      <c r="E6794" s="23">
        <v>45174</v>
      </c>
      <c r="F6794">
        <v>11</v>
      </c>
      <c r="G6794" s="20">
        <v>0.08</v>
      </c>
      <c r="H6794">
        <f>F6794*VLOOKUP(B6794,產品!$A$2:$H$61,7,FALSE)*(1-銷售總表!G6794)</f>
        <v>18216</v>
      </c>
      <c r="I6794" s="35">
        <f>H6794-F6794*VLOOKUP(銷售總表!B6794,產品!$A$2:$H$61,8,FALSE)</f>
        <v>10296</v>
      </c>
      <c r="J6794" s="20">
        <f t="shared" si="106"/>
        <v>0.56521739130434778</v>
      </c>
    </row>
    <row r="6795" spans="1:10" x14ac:dyDescent="0.3">
      <c r="A6795" s="33">
        <v>6794</v>
      </c>
      <c r="B6795" s="4">
        <v>22</v>
      </c>
      <c r="C6795" s="15">
        <v>265</v>
      </c>
      <c r="D6795" s="16">
        <v>9</v>
      </c>
      <c r="E6795" s="23">
        <v>45174</v>
      </c>
      <c r="F6795">
        <v>40</v>
      </c>
      <c r="G6795" s="20">
        <v>0.14000000000000001</v>
      </c>
      <c r="H6795">
        <f>F6795*VLOOKUP(B6795,產品!$A$2:$H$61,7,FALSE)*(1-銷售總表!G6795)</f>
        <v>61920</v>
      </c>
      <c r="I6795" s="35">
        <f>H6795-F6795*VLOOKUP(銷售總表!B6795,產品!$A$2:$H$61,8,FALSE)</f>
        <v>33120</v>
      </c>
      <c r="J6795" s="20">
        <f t="shared" si="106"/>
        <v>0.53488372093023251</v>
      </c>
    </row>
    <row r="6796" spans="1:10" x14ac:dyDescent="0.3">
      <c r="A6796" s="33">
        <v>6795</v>
      </c>
      <c r="B6796" s="4">
        <v>34</v>
      </c>
      <c r="C6796" s="15">
        <v>121</v>
      </c>
      <c r="D6796" s="16">
        <v>5</v>
      </c>
      <c r="E6796" s="23">
        <v>45174</v>
      </c>
      <c r="F6796">
        <v>7</v>
      </c>
      <c r="G6796" s="20">
        <v>0.18</v>
      </c>
      <c r="H6796">
        <f>F6796*VLOOKUP(B6796,產品!$A$2:$H$61,7,FALSE)*(1-銷售總表!G6796)</f>
        <v>45920</v>
      </c>
      <c r="I6796" s="35">
        <f>H6796-F6796*VLOOKUP(銷售總表!B6796,產品!$A$2:$H$61,8,FALSE)</f>
        <v>12320</v>
      </c>
      <c r="J6796" s="20">
        <f t="shared" si="106"/>
        <v>0.26829268292682928</v>
      </c>
    </row>
    <row r="6797" spans="1:10" x14ac:dyDescent="0.3">
      <c r="A6797" s="33">
        <v>6796</v>
      </c>
      <c r="B6797" s="4">
        <v>25</v>
      </c>
      <c r="C6797" s="15">
        <v>116</v>
      </c>
      <c r="D6797" s="16">
        <v>9</v>
      </c>
      <c r="E6797" s="22">
        <v>45175</v>
      </c>
      <c r="F6797" s="19">
        <v>3</v>
      </c>
      <c r="G6797" s="18">
        <v>0.1</v>
      </c>
      <c r="H6797">
        <f>F6797*VLOOKUP(B6797,產品!$A$2:$H$61,7,FALSE)*(1-銷售總表!G6797)</f>
        <v>16200</v>
      </c>
      <c r="I6797" s="35">
        <f>H6797-F6797*VLOOKUP(銷售總表!B6797,產品!$A$2:$H$61,8,FALSE)</f>
        <v>5400</v>
      </c>
      <c r="J6797" s="20">
        <f t="shared" si="106"/>
        <v>0.33333333333333331</v>
      </c>
    </row>
    <row r="6798" spans="1:10" x14ac:dyDescent="0.3">
      <c r="A6798" s="33">
        <v>6797</v>
      </c>
      <c r="B6798" s="4">
        <v>46</v>
      </c>
      <c r="C6798" s="15">
        <v>112</v>
      </c>
      <c r="D6798" s="16">
        <v>2</v>
      </c>
      <c r="E6798" s="22">
        <v>45175</v>
      </c>
      <c r="F6798" s="19">
        <v>7</v>
      </c>
      <c r="G6798" s="18">
        <v>0.16</v>
      </c>
      <c r="H6798">
        <f>F6798*VLOOKUP(B6798,產品!$A$2:$H$61,7,FALSE)*(1-銷售總表!G6798)</f>
        <v>99960</v>
      </c>
      <c r="I6798" s="35">
        <f>H6798-F6798*VLOOKUP(銷售總表!B6798,產品!$A$2:$H$61,8,FALSE)</f>
        <v>22610</v>
      </c>
      <c r="J6798" s="20">
        <f t="shared" si="106"/>
        <v>0.22619047619047619</v>
      </c>
    </row>
    <row r="6799" spans="1:10" x14ac:dyDescent="0.3">
      <c r="A6799" s="33">
        <v>6798</v>
      </c>
      <c r="B6799" s="4">
        <v>25</v>
      </c>
      <c r="C6799" s="15">
        <v>7</v>
      </c>
      <c r="D6799" s="16">
        <v>10</v>
      </c>
      <c r="E6799" s="22">
        <v>45176</v>
      </c>
      <c r="F6799" s="19">
        <v>12</v>
      </c>
      <c r="G6799" s="18">
        <v>0.13</v>
      </c>
      <c r="H6799">
        <f>F6799*VLOOKUP(B6799,產品!$A$2:$H$61,7,FALSE)*(1-銷售總表!G6799)</f>
        <v>62640</v>
      </c>
      <c r="I6799" s="35">
        <f>H6799-F6799*VLOOKUP(銷售總表!B6799,產品!$A$2:$H$61,8,FALSE)</f>
        <v>19440</v>
      </c>
      <c r="J6799" s="20">
        <f t="shared" si="106"/>
        <v>0.31034482758620691</v>
      </c>
    </row>
    <row r="6800" spans="1:10" x14ac:dyDescent="0.3">
      <c r="A6800" s="33">
        <v>6799</v>
      </c>
      <c r="B6800" s="4">
        <v>42</v>
      </c>
      <c r="C6800" s="15">
        <v>6</v>
      </c>
      <c r="D6800" s="16">
        <v>7</v>
      </c>
      <c r="E6800" s="22">
        <v>45176</v>
      </c>
      <c r="F6800" s="19">
        <v>1</v>
      </c>
      <c r="G6800" s="18">
        <v>7.0000000000000007E-2</v>
      </c>
      <c r="H6800">
        <f>F6800*VLOOKUP(B6800,產品!$A$2:$H$61,7,FALSE)*(1-銷售總表!G6800)</f>
        <v>13949.999999999998</v>
      </c>
      <c r="I6800" s="35">
        <f>H6800-F6800*VLOOKUP(銷售總表!B6800,產品!$A$2:$H$61,8,FALSE)</f>
        <v>4199.9999999999982</v>
      </c>
      <c r="J6800" s="20">
        <f t="shared" si="106"/>
        <v>0.3010752688172042</v>
      </c>
    </row>
    <row r="6801" spans="1:10" x14ac:dyDescent="0.3">
      <c r="A6801" s="33">
        <v>6800</v>
      </c>
      <c r="B6801" s="4">
        <v>57</v>
      </c>
      <c r="C6801" s="15">
        <v>266</v>
      </c>
      <c r="D6801" s="16">
        <v>7</v>
      </c>
      <c r="E6801" s="22">
        <v>45177</v>
      </c>
      <c r="F6801" s="19">
        <v>4</v>
      </c>
      <c r="G6801" s="18">
        <v>0.14000000000000001</v>
      </c>
      <c r="H6801">
        <f>F6801*VLOOKUP(B6801,產品!$A$2:$H$61,7,FALSE)*(1-銷售總表!G6801)</f>
        <v>61920</v>
      </c>
      <c r="I6801" s="35">
        <f>H6801-F6801*VLOOKUP(銷售總表!B6801,產品!$A$2:$H$61,8,FALSE)</f>
        <v>11520</v>
      </c>
      <c r="J6801" s="20">
        <f t="shared" si="106"/>
        <v>0.18604651162790697</v>
      </c>
    </row>
    <row r="6802" spans="1:10" x14ac:dyDescent="0.3">
      <c r="A6802" s="33">
        <v>6801</v>
      </c>
      <c r="B6802" s="4">
        <v>59</v>
      </c>
      <c r="C6802" s="15">
        <v>7</v>
      </c>
      <c r="D6802" s="16">
        <v>2</v>
      </c>
      <c r="E6802" s="23">
        <v>45177</v>
      </c>
      <c r="F6802">
        <v>11</v>
      </c>
      <c r="G6802" s="20">
        <v>0.16</v>
      </c>
      <c r="H6802">
        <f>F6802*VLOOKUP(B6802,產品!$A$2:$H$61,7,FALSE)*(1-銷售總表!G6802)</f>
        <v>221760</v>
      </c>
      <c r="I6802" s="35">
        <f>H6802-F6802*VLOOKUP(銷售總表!B6802,產品!$A$2:$H$61,8,FALSE)</f>
        <v>36960</v>
      </c>
      <c r="J6802" s="20">
        <f t="shared" si="106"/>
        <v>0.16666666666666666</v>
      </c>
    </row>
    <row r="6803" spans="1:10" x14ac:dyDescent="0.3">
      <c r="A6803" s="33">
        <v>6802</v>
      </c>
      <c r="B6803" s="4">
        <v>51</v>
      </c>
      <c r="C6803" s="15">
        <v>126</v>
      </c>
      <c r="D6803" s="16">
        <v>7</v>
      </c>
      <c r="E6803" s="23">
        <v>45177</v>
      </c>
      <c r="F6803">
        <v>6</v>
      </c>
      <c r="G6803" s="20">
        <v>0.17</v>
      </c>
      <c r="H6803">
        <f>F6803*VLOOKUP(B6803,產品!$A$2:$H$61,7,FALSE)*(1-銷售總表!G6803)</f>
        <v>99600</v>
      </c>
      <c r="I6803" s="35">
        <f>H6803-F6803*VLOOKUP(銷售總表!B6803,產品!$A$2:$H$61,8,FALSE)</f>
        <v>15600</v>
      </c>
      <c r="J6803" s="20">
        <f t="shared" si="106"/>
        <v>0.15662650602409639</v>
      </c>
    </row>
    <row r="6804" spans="1:10" x14ac:dyDescent="0.3">
      <c r="A6804" s="33">
        <v>6803</v>
      </c>
      <c r="B6804" s="4">
        <v>35</v>
      </c>
      <c r="C6804" s="15">
        <v>7</v>
      </c>
      <c r="D6804" s="16">
        <v>3</v>
      </c>
      <c r="E6804" s="22">
        <v>45178</v>
      </c>
      <c r="F6804" s="17">
        <v>15</v>
      </c>
      <c r="G6804" s="18">
        <v>0.09</v>
      </c>
      <c r="H6804">
        <f>F6804*VLOOKUP(B6804,產品!$A$2:$H$61,7,FALSE)*(1-銷售總表!G6804)</f>
        <v>116025</v>
      </c>
      <c r="I6804" s="35">
        <f>H6804-F6804*VLOOKUP(銷售總表!B6804,產品!$A$2:$H$61,8,FALSE)</f>
        <v>39525</v>
      </c>
      <c r="J6804" s="20">
        <f t="shared" si="106"/>
        <v>0.34065934065934067</v>
      </c>
    </row>
    <row r="6805" spans="1:10" x14ac:dyDescent="0.3">
      <c r="A6805" s="33">
        <v>6804</v>
      </c>
      <c r="B6805" s="4">
        <v>50</v>
      </c>
      <c r="C6805" s="15">
        <v>277</v>
      </c>
      <c r="D6805" s="16">
        <v>10</v>
      </c>
      <c r="E6805" s="22">
        <v>45178</v>
      </c>
      <c r="F6805" s="17">
        <v>1</v>
      </c>
      <c r="G6805" s="18">
        <v>0.18</v>
      </c>
      <c r="H6805">
        <f>F6805*VLOOKUP(B6805,產品!$A$2:$H$61,7,FALSE)*(1-銷售總表!G6805)</f>
        <v>14760.000000000002</v>
      </c>
      <c r="I6805" s="35">
        <f>H6805-F6805*VLOOKUP(銷售總表!B6805,產品!$A$2:$H$61,8,FALSE)</f>
        <v>2160.0000000000018</v>
      </c>
      <c r="J6805" s="20">
        <f t="shared" si="106"/>
        <v>0.14634146341463425</v>
      </c>
    </row>
    <row r="6806" spans="1:10" x14ac:dyDescent="0.3">
      <c r="A6806" s="33">
        <v>6805</v>
      </c>
      <c r="B6806" s="4">
        <v>41</v>
      </c>
      <c r="C6806" s="15">
        <v>293</v>
      </c>
      <c r="D6806" s="16">
        <v>1</v>
      </c>
      <c r="E6806" s="22">
        <v>45178</v>
      </c>
      <c r="F6806" s="19">
        <v>7</v>
      </c>
      <c r="G6806" s="18">
        <v>0.08</v>
      </c>
      <c r="H6806">
        <f>F6806*VLOOKUP(B6806,產品!$A$2:$H$61,7,FALSE)*(1-銷售總表!G6806)</f>
        <v>77280</v>
      </c>
      <c r="I6806" s="35">
        <f>H6806-F6806*VLOOKUP(銷售總表!B6806,產品!$A$2:$H$61,8,FALSE)</f>
        <v>22680</v>
      </c>
      <c r="J6806" s="20">
        <f t="shared" si="106"/>
        <v>0.29347826086956524</v>
      </c>
    </row>
    <row r="6807" spans="1:10" x14ac:dyDescent="0.3">
      <c r="A6807" s="33">
        <v>6806</v>
      </c>
      <c r="B6807" s="4">
        <v>40</v>
      </c>
      <c r="C6807" s="15">
        <v>11</v>
      </c>
      <c r="D6807" s="16">
        <v>1</v>
      </c>
      <c r="E6807" s="22">
        <v>45179</v>
      </c>
      <c r="F6807" s="17">
        <v>9</v>
      </c>
      <c r="G6807" s="18">
        <v>0.08</v>
      </c>
      <c r="H6807">
        <f>F6807*VLOOKUP(B6807,產品!$A$2:$H$61,7,FALSE)*(1-銷售總表!G6807)</f>
        <v>165600</v>
      </c>
      <c r="I6807" s="35">
        <f>H6807-F6807*VLOOKUP(銷售總表!B6807,產品!$A$2:$H$61,8,FALSE)</f>
        <v>48600</v>
      </c>
      <c r="J6807" s="20">
        <f t="shared" si="106"/>
        <v>0.29347826086956524</v>
      </c>
    </row>
    <row r="6808" spans="1:10" x14ac:dyDescent="0.3">
      <c r="A6808" s="33">
        <v>6807</v>
      </c>
      <c r="B6808" s="4">
        <v>39</v>
      </c>
      <c r="C6808" s="15">
        <v>5</v>
      </c>
      <c r="D6808" s="16">
        <v>7</v>
      </c>
      <c r="E6808" s="22">
        <v>45179</v>
      </c>
      <c r="F6808" s="19">
        <v>10</v>
      </c>
      <c r="G6808" s="18">
        <v>0.11</v>
      </c>
      <c r="H6808">
        <f>F6808*VLOOKUP(B6808,產品!$A$2:$H$61,7,FALSE)*(1-銷售總表!G6808)</f>
        <v>160200</v>
      </c>
      <c r="I6808" s="35">
        <f>H6808-F6808*VLOOKUP(銷售總表!B6808,產品!$A$2:$H$61,8,FALSE)</f>
        <v>43200</v>
      </c>
      <c r="J6808" s="20">
        <f t="shared" si="106"/>
        <v>0.2696629213483146</v>
      </c>
    </row>
    <row r="6809" spans="1:10" x14ac:dyDescent="0.3">
      <c r="A6809" s="33">
        <v>6808</v>
      </c>
      <c r="B6809" s="4">
        <v>32</v>
      </c>
      <c r="C6809" s="15">
        <v>5</v>
      </c>
      <c r="D6809" s="16">
        <v>8</v>
      </c>
      <c r="E6809" s="22">
        <v>45179</v>
      </c>
      <c r="F6809" s="19">
        <v>1</v>
      </c>
      <c r="G6809" s="18">
        <v>0.2</v>
      </c>
      <c r="H6809">
        <f>F6809*VLOOKUP(B6809,產品!$A$2:$H$61,7,FALSE)*(1-銷售總表!G6809)</f>
        <v>6000</v>
      </c>
      <c r="I6809" s="35">
        <f>H6809-F6809*VLOOKUP(銷售總表!B6809,產品!$A$2:$H$61,8,FALSE)</f>
        <v>1500</v>
      </c>
      <c r="J6809" s="20">
        <f t="shared" si="106"/>
        <v>0.25</v>
      </c>
    </row>
    <row r="6810" spans="1:10" x14ac:dyDescent="0.3">
      <c r="A6810" s="33">
        <v>6809</v>
      </c>
      <c r="B6810" s="4">
        <v>40</v>
      </c>
      <c r="C6810" s="15">
        <v>267</v>
      </c>
      <c r="D6810" s="16">
        <v>6</v>
      </c>
      <c r="E6810" s="22">
        <v>45180</v>
      </c>
      <c r="F6810" s="17">
        <v>15</v>
      </c>
      <c r="G6810" s="18">
        <v>0.1</v>
      </c>
      <c r="H6810">
        <f>F6810*VLOOKUP(B6810,產品!$A$2:$H$61,7,FALSE)*(1-銷售總表!G6810)</f>
        <v>270000</v>
      </c>
      <c r="I6810" s="35">
        <f>H6810-F6810*VLOOKUP(銷售總表!B6810,產品!$A$2:$H$61,8,FALSE)</f>
        <v>75000</v>
      </c>
      <c r="J6810" s="20">
        <f t="shared" si="106"/>
        <v>0.27777777777777779</v>
      </c>
    </row>
    <row r="6811" spans="1:10" x14ac:dyDescent="0.3">
      <c r="A6811" s="33">
        <v>6810</v>
      </c>
      <c r="B6811" s="4">
        <v>8</v>
      </c>
      <c r="C6811" s="15">
        <v>261</v>
      </c>
      <c r="D6811" s="16">
        <v>8</v>
      </c>
      <c r="E6811" s="22">
        <v>45180</v>
      </c>
      <c r="F6811" s="19">
        <v>105</v>
      </c>
      <c r="G6811" s="18">
        <v>0.09</v>
      </c>
      <c r="H6811">
        <f>F6811*VLOOKUP(B6811,產品!$A$2:$H$61,7,FALSE)*(1-銷售總表!G6811)</f>
        <v>95550</v>
      </c>
      <c r="I6811" s="35">
        <f>H6811-F6811*VLOOKUP(銷售總表!B6811,產品!$A$2:$H$61,8,FALSE)</f>
        <v>53550</v>
      </c>
      <c r="J6811" s="20">
        <f t="shared" si="106"/>
        <v>0.56043956043956045</v>
      </c>
    </row>
    <row r="6812" spans="1:10" x14ac:dyDescent="0.3">
      <c r="A6812" s="33">
        <v>6811</v>
      </c>
      <c r="B6812" s="4">
        <v>34</v>
      </c>
      <c r="C6812" s="15">
        <v>276</v>
      </c>
      <c r="D6812" s="16">
        <v>8</v>
      </c>
      <c r="E6812" s="23">
        <v>45180</v>
      </c>
      <c r="F6812">
        <v>4</v>
      </c>
      <c r="G6812" s="20">
        <v>0.15</v>
      </c>
      <c r="H6812">
        <f>F6812*VLOOKUP(B6812,產品!$A$2:$H$61,7,FALSE)*(1-銷售總表!G6812)</f>
        <v>27200</v>
      </c>
      <c r="I6812" s="35">
        <f>H6812-F6812*VLOOKUP(銷售總表!B6812,產品!$A$2:$H$61,8,FALSE)</f>
        <v>8000</v>
      </c>
      <c r="J6812" s="20">
        <f t="shared" si="106"/>
        <v>0.29411764705882354</v>
      </c>
    </row>
    <row r="6813" spans="1:10" x14ac:dyDescent="0.3">
      <c r="A6813" s="33">
        <v>6812</v>
      </c>
      <c r="B6813" s="4">
        <v>26</v>
      </c>
      <c r="C6813" s="15">
        <v>8</v>
      </c>
      <c r="D6813" s="16">
        <v>9</v>
      </c>
      <c r="E6813" s="23">
        <v>45181</v>
      </c>
      <c r="F6813">
        <v>4</v>
      </c>
      <c r="G6813" s="20">
        <v>0.08</v>
      </c>
      <c r="H6813">
        <f>F6813*VLOOKUP(B6813,產品!$A$2:$H$61,7,FALSE)*(1-銷售總表!G6813)</f>
        <v>23920</v>
      </c>
      <c r="I6813" s="35">
        <f>H6813-F6813*VLOOKUP(銷售總表!B6813,產品!$A$2:$H$61,8,FALSE)</f>
        <v>8320</v>
      </c>
      <c r="J6813" s="20">
        <f t="shared" si="106"/>
        <v>0.34782608695652173</v>
      </c>
    </row>
    <row r="6814" spans="1:10" x14ac:dyDescent="0.3">
      <c r="A6814" s="33">
        <v>6813</v>
      </c>
      <c r="B6814" s="4">
        <v>25</v>
      </c>
      <c r="C6814" s="15">
        <v>265</v>
      </c>
      <c r="D6814" s="16">
        <v>4</v>
      </c>
      <c r="E6814" s="23">
        <v>45181</v>
      </c>
      <c r="F6814">
        <v>17</v>
      </c>
      <c r="G6814" s="20">
        <v>0.15</v>
      </c>
      <c r="H6814">
        <f>F6814*VLOOKUP(B6814,產品!$A$2:$H$61,7,FALSE)*(1-銷售總表!G6814)</f>
        <v>86700</v>
      </c>
      <c r="I6814" s="35">
        <f>H6814-F6814*VLOOKUP(銷售總表!B6814,產品!$A$2:$H$61,8,FALSE)</f>
        <v>25500</v>
      </c>
      <c r="J6814" s="20">
        <f t="shared" si="106"/>
        <v>0.29411764705882354</v>
      </c>
    </row>
    <row r="6815" spans="1:10" x14ac:dyDescent="0.3">
      <c r="A6815" s="33">
        <v>6814</v>
      </c>
      <c r="B6815" s="4">
        <v>5</v>
      </c>
      <c r="C6815" s="15">
        <v>283</v>
      </c>
      <c r="D6815" s="16">
        <v>3</v>
      </c>
      <c r="E6815" s="22">
        <v>45182</v>
      </c>
      <c r="F6815" s="19">
        <v>11</v>
      </c>
      <c r="G6815" s="18">
        <v>0.2</v>
      </c>
      <c r="H6815">
        <f>F6815*VLOOKUP(B6815,產品!$A$2:$H$61,7,FALSE)*(1-銷售總表!G6815)</f>
        <v>8800</v>
      </c>
      <c r="I6815" s="35">
        <f>H6815-F6815*VLOOKUP(銷售總表!B6815,產品!$A$2:$H$61,8,FALSE)</f>
        <v>4400</v>
      </c>
      <c r="J6815" s="20">
        <f t="shared" si="106"/>
        <v>0.5</v>
      </c>
    </row>
    <row r="6816" spans="1:10" x14ac:dyDescent="0.3">
      <c r="A6816" s="33">
        <v>6815</v>
      </c>
      <c r="B6816" s="4">
        <v>51</v>
      </c>
      <c r="C6816" s="15">
        <v>139</v>
      </c>
      <c r="D6816" s="16">
        <v>4</v>
      </c>
      <c r="E6816" s="22">
        <v>45182</v>
      </c>
      <c r="F6816" s="19">
        <v>10</v>
      </c>
      <c r="G6816" s="18">
        <v>0.11</v>
      </c>
      <c r="H6816">
        <f>F6816*VLOOKUP(B6816,產品!$A$2:$H$61,7,FALSE)*(1-銷售總表!G6816)</f>
        <v>178000</v>
      </c>
      <c r="I6816" s="35">
        <f>H6816-F6816*VLOOKUP(銷售總表!B6816,產品!$A$2:$H$61,8,FALSE)</f>
        <v>38000</v>
      </c>
      <c r="J6816" s="20">
        <f t="shared" si="106"/>
        <v>0.21348314606741572</v>
      </c>
    </row>
    <row r="6817" spans="1:10" x14ac:dyDescent="0.3">
      <c r="A6817" s="33">
        <v>6816</v>
      </c>
      <c r="B6817" s="4">
        <v>57</v>
      </c>
      <c r="C6817" s="15">
        <v>264</v>
      </c>
      <c r="D6817" s="16">
        <v>3</v>
      </c>
      <c r="E6817" s="22">
        <v>45182</v>
      </c>
      <c r="F6817" s="19">
        <v>11</v>
      </c>
      <c r="G6817" s="18">
        <v>0.13</v>
      </c>
      <c r="H6817">
        <f>F6817*VLOOKUP(B6817,產品!$A$2:$H$61,7,FALSE)*(1-銷售總表!G6817)</f>
        <v>172260</v>
      </c>
      <c r="I6817" s="35">
        <f>H6817-F6817*VLOOKUP(銷售總表!B6817,產品!$A$2:$H$61,8,FALSE)</f>
        <v>33660</v>
      </c>
      <c r="J6817" s="20">
        <f t="shared" si="106"/>
        <v>0.19540229885057472</v>
      </c>
    </row>
    <row r="6818" spans="1:10" x14ac:dyDescent="0.3">
      <c r="A6818" s="33">
        <v>6817</v>
      </c>
      <c r="B6818" s="4">
        <v>46</v>
      </c>
      <c r="C6818" s="15">
        <v>116</v>
      </c>
      <c r="D6818" s="16">
        <v>6</v>
      </c>
      <c r="E6818" s="22">
        <v>45183</v>
      </c>
      <c r="F6818" s="17">
        <v>15</v>
      </c>
      <c r="G6818" s="18">
        <v>0.05</v>
      </c>
      <c r="H6818">
        <f>F6818*VLOOKUP(B6818,產品!$A$2:$H$61,7,FALSE)*(1-銷售總表!G6818)</f>
        <v>242250</v>
      </c>
      <c r="I6818" s="35">
        <f>H6818-F6818*VLOOKUP(銷售總表!B6818,產品!$A$2:$H$61,8,FALSE)</f>
        <v>76500</v>
      </c>
      <c r="J6818" s="20">
        <f t="shared" si="106"/>
        <v>0.31578947368421051</v>
      </c>
    </row>
    <row r="6819" spans="1:10" x14ac:dyDescent="0.3">
      <c r="A6819" s="33">
        <v>6818</v>
      </c>
      <c r="B6819" s="4">
        <v>28</v>
      </c>
      <c r="C6819" s="15">
        <v>275</v>
      </c>
      <c r="D6819" s="16">
        <v>4</v>
      </c>
      <c r="E6819" s="23">
        <v>45183</v>
      </c>
      <c r="F6819">
        <v>5</v>
      </c>
      <c r="G6819" s="20">
        <v>0.09</v>
      </c>
      <c r="H6819">
        <f>F6819*VLOOKUP(B6819,產品!$A$2:$H$61,7,FALSE)*(1-銷售總表!G6819)</f>
        <v>34125</v>
      </c>
      <c r="I6819" s="35">
        <f>H6819-F6819*VLOOKUP(銷售總表!B6819,產品!$A$2:$H$61,8,FALSE)</f>
        <v>11625</v>
      </c>
      <c r="J6819" s="20">
        <f t="shared" si="106"/>
        <v>0.34065934065934067</v>
      </c>
    </row>
    <row r="6820" spans="1:10" x14ac:dyDescent="0.3">
      <c r="A6820" s="33">
        <v>6819</v>
      </c>
      <c r="B6820" s="4">
        <v>3</v>
      </c>
      <c r="C6820" s="15">
        <v>288</v>
      </c>
      <c r="D6820" s="16">
        <v>10</v>
      </c>
      <c r="E6820" s="22">
        <v>45185</v>
      </c>
      <c r="F6820" s="17">
        <v>80</v>
      </c>
      <c r="G6820" s="18">
        <v>0.09</v>
      </c>
      <c r="H6820">
        <f>F6820*VLOOKUP(B6820,產品!$A$2:$H$61,7,FALSE)*(1-銷售總表!G6820)</f>
        <v>72800</v>
      </c>
      <c r="I6820" s="35">
        <f>H6820-F6820*VLOOKUP(銷售總表!B6820,產品!$A$2:$H$61,8,FALSE)</f>
        <v>40800</v>
      </c>
      <c r="J6820" s="20">
        <f t="shared" si="106"/>
        <v>0.56043956043956045</v>
      </c>
    </row>
    <row r="6821" spans="1:10" x14ac:dyDescent="0.3">
      <c r="A6821" s="33">
        <v>6820</v>
      </c>
      <c r="B6821" s="4">
        <v>40</v>
      </c>
      <c r="C6821" s="15">
        <v>282</v>
      </c>
      <c r="D6821" s="16">
        <v>7</v>
      </c>
      <c r="E6821" s="22">
        <v>45185</v>
      </c>
      <c r="F6821" s="19">
        <v>4</v>
      </c>
      <c r="G6821" s="18">
        <v>0.15</v>
      </c>
      <c r="H6821">
        <f>F6821*VLOOKUP(B6821,產品!$A$2:$H$61,7,FALSE)*(1-銷售總表!G6821)</f>
        <v>68000</v>
      </c>
      <c r="I6821" s="35">
        <f>H6821-F6821*VLOOKUP(銷售總表!B6821,產品!$A$2:$H$61,8,FALSE)</f>
        <v>16000</v>
      </c>
      <c r="J6821" s="20">
        <f t="shared" si="106"/>
        <v>0.23529411764705882</v>
      </c>
    </row>
    <row r="6822" spans="1:10" x14ac:dyDescent="0.3">
      <c r="A6822" s="33">
        <v>6821</v>
      </c>
      <c r="B6822" s="4">
        <v>33</v>
      </c>
      <c r="C6822" s="15">
        <v>283</v>
      </c>
      <c r="D6822" s="16">
        <v>2</v>
      </c>
      <c r="E6822" s="22">
        <v>45185</v>
      </c>
      <c r="F6822" s="19">
        <v>35</v>
      </c>
      <c r="G6822" s="18">
        <v>0.14000000000000001</v>
      </c>
      <c r="H6822">
        <f>F6822*VLOOKUP(B6822,產品!$A$2:$H$61,7,FALSE)*(1-銷售總表!G6822)</f>
        <v>225750</v>
      </c>
      <c r="I6822" s="35">
        <f>H6822-F6822*VLOOKUP(銷售總表!B6822,產品!$A$2:$H$61,8,FALSE)</f>
        <v>68250</v>
      </c>
      <c r="J6822" s="20">
        <f t="shared" si="106"/>
        <v>0.30232558139534882</v>
      </c>
    </row>
    <row r="6823" spans="1:10" x14ac:dyDescent="0.3">
      <c r="A6823" s="33">
        <v>6822</v>
      </c>
      <c r="B6823" s="4">
        <v>51</v>
      </c>
      <c r="C6823" s="15">
        <v>282</v>
      </c>
      <c r="D6823" s="16">
        <v>2</v>
      </c>
      <c r="E6823" s="23">
        <v>45185</v>
      </c>
      <c r="F6823">
        <v>5</v>
      </c>
      <c r="G6823" s="20">
        <v>0.12</v>
      </c>
      <c r="H6823">
        <f>F6823*VLOOKUP(B6823,產品!$A$2:$H$61,7,FALSE)*(1-銷售總表!G6823)</f>
        <v>88000</v>
      </c>
      <c r="I6823" s="35">
        <f>H6823-F6823*VLOOKUP(銷售總表!B6823,產品!$A$2:$H$61,8,FALSE)</f>
        <v>18000</v>
      </c>
      <c r="J6823" s="20">
        <f t="shared" si="106"/>
        <v>0.20454545454545456</v>
      </c>
    </row>
    <row r="6824" spans="1:10" x14ac:dyDescent="0.3">
      <c r="A6824" s="33">
        <v>6823</v>
      </c>
      <c r="B6824" s="4">
        <v>18</v>
      </c>
      <c r="C6824" s="15">
        <v>284</v>
      </c>
      <c r="D6824" s="16">
        <v>3</v>
      </c>
      <c r="E6824" s="22">
        <v>45186</v>
      </c>
      <c r="F6824" s="19">
        <v>40</v>
      </c>
      <c r="G6824" s="18">
        <v>0.14000000000000001</v>
      </c>
      <c r="H6824">
        <f>F6824*VLOOKUP(B6824,產品!$A$2:$H$61,7,FALSE)*(1-銷售總表!G6824)</f>
        <v>61920</v>
      </c>
      <c r="I6824" s="35">
        <f>H6824-F6824*VLOOKUP(銷售總表!B6824,產品!$A$2:$H$61,8,FALSE)</f>
        <v>33120</v>
      </c>
      <c r="J6824" s="20">
        <f t="shared" si="106"/>
        <v>0.53488372093023251</v>
      </c>
    </row>
    <row r="6825" spans="1:10" x14ac:dyDescent="0.3">
      <c r="A6825" s="33">
        <v>6824</v>
      </c>
      <c r="B6825" s="4">
        <v>30</v>
      </c>
      <c r="C6825" s="15">
        <v>140</v>
      </c>
      <c r="D6825" s="16">
        <v>6</v>
      </c>
      <c r="E6825" s="22">
        <v>45186</v>
      </c>
      <c r="F6825" s="17">
        <v>2</v>
      </c>
      <c r="G6825" s="18">
        <v>0.17</v>
      </c>
      <c r="H6825">
        <f>F6825*VLOOKUP(B6825,產品!$A$2:$H$61,7,FALSE)*(1-銷售總表!G6825)</f>
        <v>10790</v>
      </c>
      <c r="I6825" s="35">
        <f>H6825-F6825*VLOOKUP(銷售總表!B6825,產品!$A$2:$H$61,8,FALSE)</f>
        <v>2990</v>
      </c>
      <c r="J6825" s="20">
        <f t="shared" si="106"/>
        <v>0.27710843373493976</v>
      </c>
    </row>
    <row r="6826" spans="1:10" x14ac:dyDescent="0.3">
      <c r="A6826" s="33">
        <v>6825</v>
      </c>
      <c r="B6826" s="4">
        <v>58</v>
      </c>
      <c r="C6826" s="15">
        <v>6</v>
      </c>
      <c r="D6826" s="16">
        <v>1</v>
      </c>
      <c r="E6826" s="22">
        <v>45187</v>
      </c>
      <c r="F6826" s="17">
        <v>2</v>
      </c>
      <c r="G6826" s="18">
        <v>0.08</v>
      </c>
      <c r="H6826">
        <f>F6826*VLOOKUP(B6826,產品!$A$2:$H$61,7,FALSE)*(1-銷售總表!G6826)</f>
        <v>38640</v>
      </c>
      <c r="I6826" s="35">
        <f>H6826-F6826*VLOOKUP(銷售總表!B6826,產品!$A$2:$H$61,8,FALSE)</f>
        <v>9240.0000000000036</v>
      </c>
      <c r="J6826" s="20">
        <f t="shared" si="106"/>
        <v>0.23913043478260879</v>
      </c>
    </row>
    <row r="6827" spans="1:10" x14ac:dyDescent="0.3">
      <c r="A6827" s="33">
        <v>6826</v>
      </c>
      <c r="B6827" s="4">
        <v>3</v>
      </c>
      <c r="C6827" s="15">
        <v>273</v>
      </c>
      <c r="D6827" s="16">
        <v>5</v>
      </c>
      <c r="E6827" s="22">
        <v>45187</v>
      </c>
      <c r="F6827" s="19">
        <v>90</v>
      </c>
      <c r="G6827" s="18">
        <v>0.16</v>
      </c>
      <c r="H6827">
        <f>F6827*VLOOKUP(B6827,產品!$A$2:$H$61,7,FALSE)*(1-銷售總表!G6827)</f>
        <v>75600</v>
      </c>
      <c r="I6827" s="35">
        <f>H6827-F6827*VLOOKUP(銷售總表!B6827,產品!$A$2:$H$61,8,FALSE)</f>
        <v>39600</v>
      </c>
      <c r="J6827" s="20">
        <f t="shared" si="106"/>
        <v>0.52380952380952384</v>
      </c>
    </row>
    <row r="6828" spans="1:10" x14ac:dyDescent="0.3">
      <c r="A6828" s="33">
        <v>6827</v>
      </c>
      <c r="B6828" s="4">
        <v>46</v>
      </c>
      <c r="C6828" s="15">
        <v>123</v>
      </c>
      <c r="D6828" s="16">
        <v>7</v>
      </c>
      <c r="E6828" s="22">
        <v>45188</v>
      </c>
      <c r="F6828" s="19">
        <v>5</v>
      </c>
      <c r="G6828" s="18">
        <v>0.05</v>
      </c>
      <c r="H6828">
        <f>F6828*VLOOKUP(B6828,產品!$A$2:$H$61,7,FALSE)*(1-銷售總表!G6828)</f>
        <v>80750</v>
      </c>
      <c r="I6828" s="35">
        <f>H6828-F6828*VLOOKUP(銷售總表!B6828,產品!$A$2:$H$61,8,FALSE)</f>
        <v>25500</v>
      </c>
      <c r="J6828" s="20">
        <f t="shared" si="106"/>
        <v>0.31578947368421051</v>
      </c>
    </row>
    <row r="6829" spans="1:10" x14ac:dyDescent="0.3">
      <c r="A6829" s="33">
        <v>6828</v>
      </c>
      <c r="B6829" s="4">
        <v>26</v>
      </c>
      <c r="C6829" s="15">
        <v>140</v>
      </c>
      <c r="D6829" s="16">
        <v>9</v>
      </c>
      <c r="E6829" s="22">
        <v>45188</v>
      </c>
      <c r="F6829" s="19">
        <v>8</v>
      </c>
      <c r="G6829" s="18">
        <v>0.18</v>
      </c>
      <c r="H6829">
        <f>F6829*VLOOKUP(B6829,產品!$A$2:$H$61,7,FALSE)*(1-銷售總表!G6829)</f>
        <v>42640</v>
      </c>
      <c r="I6829" s="35">
        <f>H6829-F6829*VLOOKUP(銷售總表!B6829,產品!$A$2:$H$61,8,FALSE)</f>
        <v>11440</v>
      </c>
      <c r="J6829" s="20">
        <f t="shared" si="106"/>
        <v>0.26829268292682928</v>
      </c>
    </row>
    <row r="6830" spans="1:10" x14ac:dyDescent="0.3">
      <c r="A6830" s="33">
        <v>6829</v>
      </c>
      <c r="B6830" s="4">
        <v>20</v>
      </c>
      <c r="C6830" s="15">
        <v>293</v>
      </c>
      <c r="D6830" s="16">
        <v>4</v>
      </c>
      <c r="E6830" s="22">
        <v>45189</v>
      </c>
      <c r="F6830" s="19">
        <v>90</v>
      </c>
      <c r="G6830" s="18">
        <v>0.05</v>
      </c>
      <c r="H6830">
        <f>F6830*VLOOKUP(B6830,產品!$A$2:$H$61,7,FALSE)*(1-銷售總表!G6830)</f>
        <v>153900</v>
      </c>
      <c r="I6830" s="35">
        <f>H6830-F6830*VLOOKUP(銷售總表!B6830,產品!$A$2:$H$61,8,FALSE)</f>
        <v>89100</v>
      </c>
      <c r="J6830" s="20">
        <f t="shared" si="106"/>
        <v>0.57894736842105265</v>
      </c>
    </row>
    <row r="6831" spans="1:10" x14ac:dyDescent="0.3">
      <c r="A6831" s="33">
        <v>6830</v>
      </c>
      <c r="B6831" s="4">
        <v>51</v>
      </c>
      <c r="C6831" s="15">
        <v>257</v>
      </c>
      <c r="D6831" s="16">
        <v>3</v>
      </c>
      <c r="E6831" s="22">
        <v>45189</v>
      </c>
      <c r="F6831" s="19">
        <v>15</v>
      </c>
      <c r="G6831" s="18">
        <v>0.14000000000000001</v>
      </c>
      <c r="H6831">
        <f>F6831*VLOOKUP(B6831,產品!$A$2:$H$61,7,FALSE)*(1-銷售總表!G6831)</f>
        <v>258000</v>
      </c>
      <c r="I6831" s="35">
        <f>H6831-F6831*VLOOKUP(銷售總表!B6831,產品!$A$2:$H$61,8,FALSE)</f>
        <v>48000</v>
      </c>
      <c r="J6831" s="20">
        <f t="shared" si="106"/>
        <v>0.18604651162790697</v>
      </c>
    </row>
    <row r="6832" spans="1:10" x14ac:dyDescent="0.3">
      <c r="A6832" s="33">
        <v>6831</v>
      </c>
      <c r="B6832" s="4">
        <v>10</v>
      </c>
      <c r="C6832" s="15">
        <v>113</v>
      </c>
      <c r="D6832" s="16">
        <v>3</v>
      </c>
      <c r="E6832" s="23">
        <v>45189</v>
      </c>
      <c r="F6832">
        <v>60</v>
      </c>
      <c r="G6832" s="20">
        <v>0.19</v>
      </c>
      <c r="H6832">
        <f>F6832*VLOOKUP(B6832,產品!$A$2:$H$61,7,FALSE)*(1-銷售總表!G6832)</f>
        <v>48600</v>
      </c>
      <c r="I6832" s="35">
        <f>H6832-F6832*VLOOKUP(銷售總表!B6832,產品!$A$2:$H$61,8,FALSE)</f>
        <v>24600</v>
      </c>
      <c r="J6832" s="20">
        <f t="shared" si="106"/>
        <v>0.50617283950617287</v>
      </c>
    </row>
    <row r="6833" spans="1:10" x14ac:dyDescent="0.3">
      <c r="A6833" s="33">
        <v>6832</v>
      </c>
      <c r="B6833" s="4">
        <v>60</v>
      </c>
      <c r="C6833" s="15">
        <v>281</v>
      </c>
      <c r="D6833" s="16">
        <v>9</v>
      </c>
      <c r="E6833" s="22">
        <v>45190</v>
      </c>
      <c r="F6833" s="19">
        <v>4</v>
      </c>
      <c r="G6833" s="18">
        <v>0.05</v>
      </c>
      <c r="H6833">
        <f>F6833*VLOOKUP(B6833,產品!$A$2:$H$61,7,FALSE)*(1-銷售總表!G6833)</f>
        <v>95000</v>
      </c>
      <c r="I6833" s="35">
        <f>H6833-F6833*VLOOKUP(銷售總表!B6833,產品!$A$2:$H$61,8,FALSE)</f>
        <v>25000</v>
      </c>
      <c r="J6833" s="20">
        <f t="shared" si="106"/>
        <v>0.26315789473684209</v>
      </c>
    </row>
    <row r="6834" spans="1:10" x14ac:dyDescent="0.3">
      <c r="A6834" s="33">
        <v>6833</v>
      </c>
      <c r="B6834" s="4">
        <v>30</v>
      </c>
      <c r="C6834" s="15">
        <v>126</v>
      </c>
      <c r="D6834" s="16">
        <v>7</v>
      </c>
      <c r="E6834" s="23">
        <v>45190</v>
      </c>
      <c r="F6834">
        <v>5</v>
      </c>
      <c r="G6834" s="20">
        <v>0.09</v>
      </c>
      <c r="H6834">
        <f>F6834*VLOOKUP(B6834,產品!$A$2:$H$61,7,FALSE)*(1-銷售總表!G6834)</f>
        <v>29575</v>
      </c>
      <c r="I6834" s="35">
        <f>H6834-F6834*VLOOKUP(銷售總表!B6834,產品!$A$2:$H$61,8,FALSE)</f>
        <v>10075</v>
      </c>
      <c r="J6834" s="20">
        <f t="shared" si="106"/>
        <v>0.34065934065934067</v>
      </c>
    </row>
    <row r="6835" spans="1:10" x14ac:dyDescent="0.3">
      <c r="A6835" s="33">
        <v>6834</v>
      </c>
      <c r="B6835" s="4">
        <v>4</v>
      </c>
      <c r="C6835" s="15">
        <v>278</v>
      </c>
      <c r="D6835" s="16">
        <v>1</v>
      </c>
      <c r="E6835" s="23">
        <v>45190</v>
      </c>
      <c r="F6835">
        <v>40</v>
      </c>
      <c r="G6835" s="20">
        <v>0.2</v>
      </c>
      <c r="H6835">
        <f>F6835*VLOOKUP(B6835,產品!$A$2:$H$61,7,FALSE)*(1-銷售總表!G6835)</f>
        <v>32000</v>
      </c>
      <c r="I6835" s="35">
        <f>H6835-F6835*VLOOKUP(銷售總表!B6835,產品!$A$2:$H$61,8,FALSE)</f>
        <v>16000</v>
      </c>
      <c r="J6835" s="20">
        <f t="shared" si="106"/>
        <v>0.5</v>
      </c>
    </row>
    <row r="6836" spans="1:10" x14ac:dyDescent="0.3">
      <c r="A6836" s="33">
        <v>6835</v>
      </c>
      <c r="B6836" s="4">
        <v>30</v>
      </c>
      <c r="C6836" s="15">
        <v>274</v>
      </c>
      <c r="D6836" s="16">
        <v>3</v>
      </c>
      <c r="E6836" s="22">
        <v>45191</v>
      </c>
      <c r="F6836" s="17">
        <v>25</v>
      </c>
      <c r="G6836" s="18">
        <v>0.12</v>
      </c>
      <c r="H6836">
        <f>F6836*VLOOKUP(B6836,產品!$A$2:$H$61,7,FALSE)*(1-銷售總表!G6836)</f>
        <v>143000</v>
      </c>
      <c r="I6836" s="35">
        <f>H6836-F6836*VLOOKUP(銷售總表!B6836,產品!$A$2:$H$61,8,FALSE)</f>
        <v>45500</v>
      </c>
      <c r="J6836" s="20">
        <f t="shared" si="106"/>
        <v>0.31818181818181818</v>
      </c>
    </row>
    <row r="6837" spans="1:10" x14ac:dyDescent="0.3">
      <c r="A6837" s="33">
        <v>6836</v>
      </c>
      <c r="B6837" s="4">
        <v>5</v>
      </c>
      <c r="C6837" s="15">
        <v>122</v>
      </c>
      <c r="D6837" s="16">
        <v>4</v>
      </c>
      <c r="E6837" s="22">
        <v>45191</v>
      </c>
      <c r="F6837" s="17">
        <v>60</v>
      </c>
      <c r="G6837" s="18">
        <v>0.18</v>
      </c>
      <c r="H6837">
        <f>F6837*VLOOKUP(B6837,產品!$A$2:$H$61,7,FALSE)*(1-銷售總表!G6837)</f>
        <v>49200.000000000007</v>
      </c>
      <c r="I6837" s="35">
        <f>H6837-F6837*VLOOKUP(銷售總表!B6837,產品!$A$2:$H$61,8,FALSE)</f>
        <v>25200.000000000007</v>
      </c>
      <c r="J6837" s="20">
        <f t="shared" si="106"/>
        <v>0.51219512195121963</v>
      </c>
    </row>
    <row r="6838" spans="1:10" x14ac:dyDescent="0.3">
      <c r="A6838" s="33">
        <v>6837</v>
      </c>
      <c r="B6838" s="4">
        <v>3</v>
      </c>
      <c r="C6838" s="15">
        <v>275</v>
      </c>
      <c r="D6838" s="16">
        <v>3</v>
      </c>
      <c r="E6838" s="22">
        <v>45191</v>
      </c>
      <c r="F6838" s="19">
        <v>40</v>
      </c>
      <c r="G6838" s="18">
        <v>0.19</v>
      </c>
      <c r="H6838">
        <f>F6838*VLOOKUP(B6838,產品!$A$2:$H$61,7,FALSE)*(1-銷售總表!G6838)</f>
        <v>32400.000000000004</v>
      </c>
      <c r="I6838" s="35">
        <f>H6838-F6838*VLOOKUP(銷售總表!B6838,產品!$A$2:$H$61,8,FALSE)</f>
        <v>16400.000000000004</v>
      </c>
      <c r="J6838" s="20">
        <f t="shared" si="106"/>
        <v>0.50617283950617287</v>
      </c>
    </row>
    <row r="6839" spans="1:10" x14ac:dyDescent="0.3">
      <c r="A6839" s="33">
        <v>6838</v>
      </c>
      <c r="B6839" s="4">
        <v>25</v>
      </c>
      <c r="C6839" s="15">
        <v>135</v>
      </c>
      <c r="D6839" s="16">
        <v>1</v>
      </c>
      <c r="E6839" s="22">
        <v>45191</v>
      </c>
      <c r="F6839" s="19">
        <v>8</v>
      </c>
      <c r="G6839" s="18">
        <v>0.08</v>
      </c>
      <c r="H6839">
        <f>F6839*VLOOKUP(B6839,產品!$A$2:$H$61,7,FALSE)*(1-銷售總表!G6839)</f>
        <v>44160</v>
      </c>
      <c r="I6839" s="35">
        <f>H6839-F6839*VLOOKUP(銷售總表!B6839,產品!$A$2:$H$61,8,FALSE)</f>
        <v>15360</v>
      </c>
      <c r="J6839" s="20">
        <f t="shared" si="106"/>
        <v>0.34782608695652173</v>
      </c>
    </row>
    <row r="6840" spans="1:10" x14ac:dyDescent="0.3">
      <c r="A6840" s="33">
        <v>6839</v>
      </c>
      <c r="B6840" s="4">
        <v>41</v>
      </c>
      <c r="C6840" s="15">
        <v>112</v>
      </c>
      <c r="D6840" s="16">
        <v>3</v>
      </c>
      <c r="E6840" s="23">
        <v>45191</v>
      </c>
      <c r="F6840">
        <v>15</v>
      </c>
      <c r="G6840" s="20">
        <v>7.0000000000000007E-2</v>
      </c>
      <c r="H6840">
        <f>F6840*VLOOKUP(B6840,產品!$A$2:$H$61,7,FALSE)*(1-銷售總表!G6840)</f>
        <v>167400</v>
      </c>
      <c r="I6840" s="35">
        <f>H6840-F6840*VLOOKUP(銷售總表!B6840,產品!$A$2:$H$61,8,FALSE)</f>
        <v>50400</v>
      </c>
      <c r="J6840" s="20">
        <f t="shared" si="106"/>
        <v>0.30107526881720431</v>
      </c>
    </row>
    <row r="6841" spans="1:10" x14ac:dyDescent="0.3">
      <c r="A6841" s="33">
        <v>6840</v>
      </c>
      <c r="B6841" s="4">
        <v>51</v>
      </c>
      <c r="C6841" s="15">
        <v>11</v>
      </c>
      <c r="D6841" s="16">
        <v>9</v>
      </c>
      <c r="E6841" s="22">
        <v>45192</v>
      </c>
      <c r="F6841" s="19">
        <v>3</v>
      </c>
      <c r="G6841" s="18">
        <v>0.19</v>
      </c>
      <c r="H6841">
        <f>F6841*VLOOKUP(B6841,產品!$A$2:$H$61,7,FALSE)*(1-銷售總表!G6841)</f>
        <v>48600</v>
      </c>
      <c r="I6841" s="35">
        <f>H6841-F6841*VLOOKUP(銷售總表!B6841,產品!$A$2:$H$61,8,FALSE)</f>
        <v>6600</v>
      </c>
      <c r="J6841" s="20">
        <f t="shared" si="106"/>
        <v>0.13580246913580246</v>
      </c>
    </row>
    <row r="6842" spans="1:10" x14ac:dyDescent="0.3">
      <c r="A6842" s="33">
        <v>6841</v>
      </c>
      <c r="B6842" s="4">
        <v>55</v>
      </c>
      <c r="C6842" s="15">
        <v>7</v>
      </c>
      <c r="D6842" s="16">
        <v>5</v>
      </c>
      <c r="E6842" s="22">
        <v>45192</v>
      </c>
      <c r="F6842" s="19">
        <v>11</v>
      </c>
      <c r="G6842" s="18">
        <v>0.09</v>
      </c>
      <c r="H6842">
        <f>F6842*VLOOKUP(B6842,產品!$A$2:$H$61,7,FALSE)*(1-銷售總表!G6842)</f>
        <v>200200</v>
      </c>
      <c r="I6842" s="35">
        <f>H6842-F6842*VLOOKUP(銷售總表!B6842,產品!$A$2:$H$61,8,FALSE)</f>
        <v>46200</v>
      </c>
      <c r="J6842" s="20">
        <f t="shared" si="106"/>
        <v>0.23076923076923078</v>
      </c>
    </row>
    <row r="6843" spans="1:10" x14ac:dyDescent="0.3">
      <c r="A6843" s="33">
        <v>6842</v>
      </c>
      <c r="B6843" s="4">
        <v>49</v>
      </c>
      <c r="C6843" s="15">
        <v>257</v>
      </c>
      <c r="D6843" s="16">
        <v>8</v>
      </c>
      <c r="E6843" s="22">
        <v>45192</v>
      </c>
      <c r="F6843" s="19">
        <v>17</v>
      </c>
      <c r="G6843" s="18">
        <v>0.16</v>
      </c>
      <c r="H6843">
        <f>F6843*VLOOKUP(B6843,產品!$A$2:$H$61,7,FALSE)*(1-銷售總表!G6843)</f>
        <v>214200</v>
      </c>
      <c r="I6843" s="35">
        <f>H6843-F6843*VLOOKUP(銷售總表!B6843,產品!$A$2:$H$61,8,FALSE)</f>
        <v>35700</v>
      </c>
      <c r="J6843" s="20">
        <f t="shared" si="106"/>
        <v>0.16666666666666666</v>
      </c>
    </row>
    <row r="6844" spans="1:10" x14ac:dyDescent="0.3">
      <c r="A6844" s="33">
        <v>6843</v>
      </c>
      <c r="B6844" s="4">
        <v>44</v>
      </c>
      <c r="C6844" s="15">
        <v>291</v>
      </c>
      <c r="D6844" s="16">
        <v>2</v>
      </c>
      <c r="E6844" s="22">
        <v>45192</v>
      </c>
      <c r="F6844" s="19">
        <v>5</v>
      </c>
      <c r="G6844" s="18">
        <v>0.05</v>
      </c>
      <c r="H6844">
        <f>F6844*VLOOKUP(B6844,產品!$A$2:$H$61,7,FALSE)*(1-銷售總表!G6844)</f>
        <v>95000</v>
      </c>
      <c r="I6844" s="35">
        <f>H6844-F6844*VLOOKUP(銷售總表!B6844,產品!$A$2:$H$61,8,FALSE)</f>
        <v>30000</v>
      </c>
      <c r="J6844" s="20">
        <f t="shared" si="106"/>
        <v>0.31578947368421051</v>
      </c>
    </row>
    <row r="6845" spans="1:10" x14ac:dyDescent="0.3">
      <c r="A6845" s="33">
        <v>6844</v>
      </c>
      <c r="B6845" s="4">
        <v>4</v>
      </c>
      <c r="C6845" s="15">
        <v>114</v>
      </c>
      <c r="D6845" s="16">
        <v>5</v>
      </c>
      <c r="E6845" s="22">
        <v>45192</v>
      </c>
      <c r="F6845" s="19">
        <v>60</v>
      </c>
      <c r="G6845" s="18">
        <v>0.06</v>
      </c>
      <c r="H6845">
        <f>F6845*VLOOKUP(B6845,產品!$A$2:$H$61,7,FALSE)*(1-銷售總表!G6845)</f>
        <v>56400</v>
      </c>
      <c r="I6845" s="35">
        <f>H6845-F6845*VLOOKUP(銷售總表!B6845,產品!$A$2:$H$61,8,FALSE)</f>
        <v>32400</v>
      </c>
      <c r="J6845" s="20">
        <f t="shared" si="106"/>
        <v>0.57446808510638303</v>
      </c>
    </row>
    <row r="6846" spans="1:10" x14ac:dyDescent="0.3">
      <c r="A6846" s="33">
        <v>6845</v>
      </c>
      <c r="B6846" s="4">
        <v>44</v>
      </c>
      <c r="C6846" s="15">
        <v>135</v>
      </c>
      <c r="D6846" s="16">
        <v>10</v>
      </c>
      <c r="E6846" s="22">
        <v>45192</v>
      </c>
      <c r="F6846" s="19">
        <v>7</v>
      </c>
      <c r="G6846" s="18">
        <v>0.14000000000000001</v>
      </c>
      <c r="H6846">
        <f>F6846*VLOOKUP(B6846,產品!$A$2:$H$61,7,FALSE)*(1-銷售總表!G6846)</f>
        <v>120400</v>
      </c>
      <c r="I6846" s="35">
        <f>H6846-F6846*VLOOKUP(銷售總表!B6846,產品!$A$2:$H$61,8,FALSE)</f>
        <v>29400</v>
      </c>
      <c r="J6846" s="20">
        <f t="shared" si="106"/>
        <v>0.2441860465116279</v>
      </c>
    </row>
    <row r="6847" spans="1:10" x14ac:dyDescent="0.3">
      <c r="A6847" s="33">
        <v>6846</v>
      </c>
      <c r="B6847" s="4">
        <v>4</v>
      </c>
      <c r="C6847" s="15">
        <v>112</v>
      </c>
      <c r="D6847" s="16">
        <v>1</v>
      </c>
      <c r="E6847" s="23">
        <v>45192</v>
      </c>
      <c r="F6847">
        <v>175</v>
      </c>
      <c r="G6847" s="20">
        <v>0.09</v>
      </c>
      <c r="H6847">
        <f>F6847*VLOOKUP(B6847,產品!$A$2:$H$61,7,FALSE)*(1-銷售總表!G6847)</f>
        <v>159250</v>
      </c>
      <c r="I6847" s="35">
        <f>H6847-F6847*VLOOKUP(銷售總表!B6847,產品!$A$2:$H$61,8,FALSE)</f>
        <v>89250</v>
      </c>
      <c r="J6847" s="20">
        <f t="shared" si="106"/>
        <v>0.56043956043956045</v>
      </c>
    </row>
    <row r="6848" spans="1:10" x14ac:dyDescent="0.3">
      <c r="A6848" s="33">
        <v>6847</v>
      </c>
      <c r="B6848" s="4">
        <v>11</v>
      </c>
      <c r="C6848" s="15">
        <v>7</v>
      </c>
      <c r="D6848" s="16">
        <v>1</v>
      </c>
      <c r="E6848" s="23">
        <v>45192</v>
      </c>
      <c r="F6848">
        <v>200</v>
      </c>
      <c r="G6848" s="20">
        <v>0.19</v>
      </c>
      <c r="H6848">
        <f>F6848*VLOOKUP(B6848,產品!$A$2:$H$61,7,FALSE)*(1-銷售總表!G6848)</f>
        <v>162000</v>
      </c>
      <c r="I6848" s="35">
        <f>H6848-F6848*VLOOKUP(銷售總表!B6848,產品!$A$2:$H$61,8,FALSE)</f>
        <v>82000</v>
      </c>
      <c r="J6848" s="20">
        <f t="shared" si="106"/>
        <v>0.50617283950617287</v>
      </c>
    </row>
    <row r="6849" spans="1:10" x14ac:dyDescent="0.3">
      <c r="A6849" s="33">
        <v>6848</v>
      </c>
      <c r="B6849" s="4">
        <v>23</v>
      </c>
      <c r="C6849" s="15">
        <v>116</v>
      </c>
      <c r="D6849" s="16">
        <v>6</v>
      </c>
      <c r="E6849" s="23">
        <v>45192</v>
      </c>
      <c r="F6849">
        <v>17</v>
      </c>
      <c r="G6849" s="20">
        <v>0.15</v>
      </c>
      <c r="H6849">
        <f>F6849*VLOOKUP(B6849,產品!$A$2:$H$61,7,FALSE)*(1-銷售總表!G6849)</f>
        <v>26010</v>
      </c>
      <c r="I6849" s="35">
        <f>H6849-F6849*VLOOKUP(銷售總表!B6849,產品!$A$2:$H$61,8,FALSE)</f>
        <v>13770</v>
      </c>
      <c r="J6849" s="20">
        <f t="shared" si="106"/>
        <v>0.52941176470588236</v>
      </c>
    </row>
    <row r="6850" spans="1:10" x14ac:dyDescent="0.3">
      <c r="A6850" s="33">
        <v>6849</v>
      </c>
      <c r="B6850" s="4">
        <v>3</v>
      </c>
      <c r="C6850" s="15">
        <v>291</v>
      </c>
      <c r="D6850" s="16">
        <v>7</v>
      </c>
      <c r="E6850" s="22">
        <v>45193</v>
      </c>
      <c r="F6850" s="19">
        <v>100</v>
      </c>
      <c r="G6850" s="18">
        <v>0.08</v>
      </c>
      <c r="H6850">
        <f>F6850*VLOOKUP(B6850,產品!$A$2:$H$61,7,FALSE)*(1-銷售總表!G6850)</f>
        <v>92000</v>
      </c>
      <c r="I6850" s="35">
        <f>H6850-F6850*VLOOKUP(銷售總表!B6850,產品!$A$2:$H$61,8,FALSE)</f>
        <v>52000</v>
      </c>
      <c r="J6850" s="20">
        <f t="shared" si="106"/>
        <v>0.56521739130434778</v>
      </c>
    </row>
    <row r="6851" spans="1:10" x14ac:dyDescent="0.3">
      <c r="A6851" s="33">
        <v>6850</v>
      </c>
      <c r="B6851" s="4">
        <v>49</v>
      </c>
      <c r="C6851" s="15">
        <v>119</v>
      </c>
      <c r="D6851" s="16">
        <v>6</v>
      </c>
      <c r="E6851" s="23">
        <v>45193</v>
      </c>
      <c r="F6851">
        <v>7</v>
      </c>
      <c r="G6851" s="20">
        <v>7.0000000000000007E-2</v>
      </c>
      <c r="H6851">
        <f>F6851*VLOOKUP(B6851,產品!$A$2:$H$61,7,FALSE)*(1-銷售總表!G6851)</f>
        <v>97650</v>
      </c>
      <c r="I6851" s="35">
        <f>H6851-F6851*VLOOKUP(銷售總表!B6851,產品!$A$2:$H$61,8,FALSE)</f>
        <v>24150</v>
      </c>
      <c r="J6851" s="20">
        <f t="shared" ref="J6851:J6914" si="107">I6851/H6851</f>
        <v>0.24731182795698925</v>
      </c>
    </row>
    <row r="6852" spans="1:10" x14ac:dyDescent="0.3">
      <c r="A6852" s="33">
        <v>6851</v>
      </c>
      <c r="B6852" s="4">
        <v>42</v>
      </c>
      <c r="C6852" s="15">
        <v>4</v>
      </c>
      <c r="D6852" s="16">
        <v>2</v>
      </c>
      <c r="E6852" s="22">
        <v>45194</v>
      </c>
      <c r="F6852" s="17">
        <v>1</v>
      </c>
      <c r="G6852" s="18">
        <v>0.13</v>
      </c>
      <c r="H6852">
        <f>F6852*VLOOKUP(B6852,產品!$A$2:$H$61,7,FALSE)*(1-銷售總表!G6852)</f>
        <v>13050</v>
      </c>
      <c r="I6852" s="35">
        <f>H6852-F6852*VLOOKUP(銷售總表!B6852,產品!$A$2:$H$61,8,FALSE)</f>
        <v>3300</v>
      </c>
      <c r="J6852" s="20">
        <f t="shared" si="107"/>
        <v>0.25287356321839083</v>
      </c>
    </row>
    <row r="6853" spans="1:10" x14ac:dyDescent="0.3">
      <c r="A6853" s="33">
        <v>6852</v>
      </c>
      <c r="B6853" s="4">
        <v>18</v>
      </c>
      <c r="C6853" s="15">
        <v>257</v>
      </c>
      <c r="D6853" s="16">
        <v>8</v>
      </c>
      <c r="E6853" s="22">
        <v>45194</v>
      </c>
      <c r="F6853" s="17">
        <v>10</v>
      </c>
      <c r="G6853" s="18">
        <v>0.12</v>
      </c>
      <c r="H6853">
        <f>F6853*VLOOKUP(B6853,產品!$A$2:$H$61,7,FALSE)*(1-銷售總表!G6853)</f>
        <v>15840</v>
      </c>
      <c r="I6853" s="35">
        <f>H6853-F6853*VLOOKUP(銷售總表!B6853,產品!$A$2:$H$61,8,FALSE)</f>
        <v>8640</v>
      </c>
      <c r="J6853" s="20">
        <f t="shared" si="107"/>
        <v>0.54545454545454541</v>
      </c>
    </row>
    <row r="6854" spans="1:10" x14ac:dyDescent="0.3">
      <c r="A6854" s="33">
        <v>6853</v>
      </c>
      <c r="B6854" s="4">
        <v>59</v>
      </c>
      <c r="C6854" s="15">
        <v>112</v>
      </c>
      <c r="D6854" s="16">
        <v>6</v>
      </c>
      <c r="E6854" s="22">
        <v>45194</v>
      </c>
      <c r="F6854" s="19">
        <v>9</v>
      </c>
      <c r="G6854" s="18">
        <v>0.12</v>
      </c>
      <c r="H6854">
        <f>F6854*VLOOKUP(B6854,產品!$A$2:$H$61,7,FALSE)*(1-銷售總表!G6854)</f>
        <v>190080</v>
      </c>
      <c r="I6854" s="35">
        <f>H6854-F6854*VLOOKUP(銷售總表!B6854,產品!$A$2:$H$61,8,FALSE)</f>
        <v>38880</v>
      </c>
      <c r="J6854" s="20">
        <f t="shared" si="107"/>
        <v>0.20454545454545456</v>
      </c>
    </row>
    <row r="6855" spans="1:10" x14ac:dyDescent="0.3">
      <c r="A6855" s="33">
        <v>6854</v>
      </c>
      <c r="B6855" s="4">
        <v>20</v>
      </c>
      <c r="C6855" s="15">
        <v>3</v>
      </c>
      <c r="D6855" s="16">
        <v>4</v>
      </c>
      <c r="E6855" s="22">
        <v>45194</v>
      </c>
      <c r="F6855" s="19">
        <v>60</v>
      </c>
      <c r="G6855" s="18">
        <v>0.09</v>
      </c>
      <c r="H6855">
        <f>F6855*VLOOKUP(B6855,產品!$A$2:$H$61,7,FALSE)*(1-銷售總表!G6855)</f>
        <v>98280</v>
      </c>
      <c r="I6855" s="35">
        <f>H6855-F6855*VLOOKUP(銷售總表!B6855,產品!$A$2:$H$61,8,FALSE)</f>
        <v>55080</v>
      </c>
      <c r="J6855" s="20">
        <f t="shared" si="107"/>
        <v>0.56043956043956045</v>
      </c>
    </row>
    <row r="6856" spans="1:10" x14ac:dyDescent="0.3">
      <c r="A6856" s="33">
        <v>6855</v>
      </c>
      <c r="B6856" s="4">
        <v>43</v>
      </c>
      <c r="C6856" s="15">
        <v>5</v>
      </c>
      <c r="D6856" s="16">
        <v>4</v>
      </c>
      <c r="E6856" s="22">
        <v>45195</v>
      </c>
      <c r="F6856" s="19">
        <v>3</v>
      </c>
      <c r="G6856" s="18">
        <v>0.1</v>
      </c>
      <c r="H6856">
        <f>F6856*VLOOKUP(B6856,產品!$A$2:$H$61,7,FALSE)*(1-銷售總表!G6856)</f>
        <v>48600</v>
      </c>
      <c r="I6856" s="35">
        <f>H6856-F6856*VLOOKUP(銷售總表!B6856,產品!$A$2:$H$61,8,FALSE)</f>
        <v>13500</v>
      </c>
      <c r="J6856" s="20">
        <f t="shared" si="107"/>
        <v>0.27777777777777779</v>
      </c>
    </row>
    <row r="6857" spans="1:10" x14ac:dyDescent="0.3">
      <c r="A6857" s="33">
        <v>6856</v>
      </c>
      <c r="B6857" s="4">
        <v>16</v>
      </c>
      <c r="C6857" s="15">
        <v>4</v>
      </c>
      <c r="D6857" s="16">
        <v>1</v>
      </c>
      <c r="E6857" s="22">
        <v>45195</v>
      </c>
      <c r="F6857" s="19">
        <v>100</v>
      </c>
      <c r="G6857" s="18">
        <v>0.16</v>
      </c>
      <c r="H6857">
        <f>F6857*VLOOKUP(B6857,產品!$A$2:$H$61,7,FALSE)*(1-銷售總表!G6857)</f>
        <v>151200</v>
      </c>
      <c r="I6857" s="35">
        <f>H6857-F6857*VLOOKUP(銷售總表!B6857,產品!$A$2:$H$61,8,FALSE)</f>
        <v>79200</v>
      </c>
      <c r="J6857" s="20">
        <f t="shared" si="107"/>
        <v>0.52380952380952384</v>
      </c>
    </row>
    <row r="6858" spans="1:10" x14ac:dyDescent="0.3">
      <c r="A6858" s="33">
        <v>6857</v>
      </c>
      <c r="B6858" s="4">
        <v>10</v>
      </c>
      <c r="C6858" s="15">
        <v>265</v>
      </c>
      <c r="D6858" s="16">
        <v>8</v>
      </c>
      <c r="E6858" s="23">
        <v>45195</v>
      </c>
      <c r="F6858">
        <v>50</v>
      </c>
      <c r="G6858" s="20">
        <v>0.1</v>
      </c>
      <c r="H6858">
        <f>F6858*VLOOKUP(B6858,產品!$A$2:$H$61,7,FALSE)*(1-銷售總表!G6858)</f>
        <v>45000</v>
      </c>
      <c r="I6858" s="35">
        <f>H6858-F6858*VLOOKUP(銷售總表!B6858,產品!$A$2:$H$61,8,FALSE)</f>
        <v>25000</v>
      </c>
      <c r="J6858" s="20">
        <f t="shared" si="107"/>
        <v>0.55555555555555558</v>
      </c>
    </row>
    <row r="6859" spans="1:10" x14ac:dyDescent="0.3">
      <c r="A6859" s="33">
        <v>6858</v>
      </c>
      <c r="B6859" s="4">
        <v>59</v>
      </c>
      <c r="C6859" s="15">
        <v>12</v>
      </c>
      <c r="D6859" s="16">
        <v>8</v>
      </c>
      <c r="E6859" s="23">
        <v>45195</v>
      </c>
      <c r="F6859">
        <v>4</v>
      </c>
      <c r="G6859" s="20">
        <v>0.17</v>
      </c>
      <c r="H6859">
        <f>F6859*VLOOKUP(B6859,產品!$A$2:$H$61,7,FALSE)*(1-銷售總表!G6859)</f>
        <v>79680</v>
      </c>
      <c r="I6859" s="35">
        <f>H6859-F6859*VLOOKUP(銷售總表!B6859,產品!$A$2:$H$61,8,FALSE)</f>
        <v>12480</v>
      </c>
      <c r="J6859" s="20">
        <f t="shared" si="107"/>
        <v>0.15662650602409639</v>
      </c>
    </row>
    <row r="6860" spans="1:10" x14ac:dyDescent="0.3">
      <c r="A6860" s="33">
        <v>6859</v>
      </c>
      <c r="B6860" s="4">
        <v>37</v>
      </c>
      <c r="C6860" s="15">
        <v>293</v>
      </c>
      <c r="D6860" s="16">
        <v>6</v>
      </c>
      <c r="E6860" s="23">
        <v>45196</v>
      </c>
      <c r="F6860">
        <v>8</v>
      </c>
      <c r="G6860" s="20">
        <v>0.08</v>
      </c>
      <c r="H6860">
        <f>F6860*VLOOKUP(B6860,產品!$A$2:$H$61,7,FALSE)*(1-銷售總表!G6860)</f>
        <v>88320</v>
      </c>
      <c r="I6860" s="35">
        <f>H6860-F6860*VLOOKUP(銷售總表!B6860,產品!$A$2:$H$61,8,FALSE)</f>
        <v>25920</v>
      </c>
      <c r="J6860" s="20">
        <f t="shared" si="107"/>
        <v>0.29347826086956524</v>
      </c>
    </row>
    <row r="6861" spans="1:10" x14ac:dyDescent="0.3">
      <c r="A6861" s="33">
        <v>6860</v>
      </c>
      <c r="B6861" s="4">
        <v>54</v>
      </c>
      <c r="C6861" s="15">
        <v>284</v>
      </c>
      <c r="D6861" s="16">
        <v>3</v>
      </c>
      <c r="E6861" s="23">
        <v>45196</v>
      </c>
      <c r="F6861">
        <v>4</v>
      </c>
      <c r="G6861" s="20">
        <v>0.13</v>
      </c>
      <c r="H6861">
        <f>F6861*VLOOKUP(B6861,產品!$A$2:$H$61,7,FALSE)*(1-銷售總表!G6861)</f>
        <v>62640</v>
      </c>
      <c r="I6861" s="35">
        <f>H6861-F6861*VLOOKUP(銷售總表!B6861,產品!$A$2:$H$61,8,FALSE)</f>
        <v>12240</v>
      </c>
      <c r="J6861" s="20">
        <f t="shared" si="107"/>
        <v>0.19540229885057472</v>
      </c>
    </row>
    <row r="6862" spans="1:10" x14ac:dyDescent="0.3">
      <c r="A6862" s="33">
        <v>6861</v>
      </c>
      <c r="B6862" s="4">
        <v>4</v>
      </c>
      <c r="C6862" s="15">
        <v>118</v>
      </c>
      <c r="D6862" s="16">
        <v>10</v>
      </c>
      <c r="E6862" s="22">
        <v>45197</v>
      </c>
      <c r="F6862" s="17">
        <v>30</v>
      </c>
      <c r="G6862" s="18">
        <v>7.0000000000000007E-2</v>
      </c>
      <c r="H6862">
        <f>F6862*VLOOKUP(B6862,產品!$A$2:$H$61,7,FALSE)*(1-銷售總表!G6862)</f>
        <v>27899.999999999996</v>
      </c>
      <c r="I6862" s="35">
        <f>H6862-F6862*VLOOKUP(銷售總表!B6862,產品!$A$2:$H$61,8,FALSE)</f>
        <v>15899.999999999996</v>
      </c>
      <c r="J6862" s="20">
        <f t="shared" si="107"/>
        <v>0.56989247311827951</v>
      </c>
    </row>
    <row r="6863" spans="1:10" x14ac:dyDescent="0.3">
      <c r="A6863" s="33">
        <v>6862</v>
      </c>
      <c r="B6863" s="4">
        <v>33</v>
      </c>
      <c r="C6863" s="15">
        <v>2</v>
      </c>
      <c r="D6863" s="16">
        <v>7</v>
      </c>
      <c r="E6863" s="22">
        <v>45197</v>
      </c>
      <c r="F6863" s="19">
        <v>5</v>
      </c>
      <c r="G6863" s="18">
        <v>0.13</v>
      </c>
      <c r="H6863">
        <f>F6863*VLOOKUP(B6863,產品!$A$2:$H$61,7,FALSE)*(1-銷售總表!G6863)</f>
        <v>32625</v>
      </c>
      <c r="I6863" s="35">
        <f>H6863-F6863*VLOOKUP(銷售總表!B6863,產品!$A$2:$H$61,8,FALSE)</f>
        <v>10125</v>
      </c>
      <c r="J6863" s="20">
        <f t="shared" si="107"/>
        <v>0.31034482758620691</v>
      </c>
    </row>
    <row r="6864" spans="1:10" x14ac:dyDescent="0.3">
      <c r="A6864" s="33">
        <v>6863</v>
      </c>
      <c r="B6864" s="4">
        <v>20</v>
      </c>
      <c r="C6864" s="15">
        <v>9</v>
      </c>
      <c r="D6864" s="16">
        <v>2</v>
      </c>
      <c r="E6864" s="22">
        <v>45197</v>
      </c>
      <c r="F6864" s="19">
        <v>90</v>
      </c>
      <c r="G6864" s="18">
        <v>0.2</v>
      </c>
      <c r="H6864">
        <f>F6864*VLOOKUP(B6864,產品!$A$2:$H$61,7,FALSE)*(1-銷售總表!G6864)</f>
        <v>129600</v>
      </c>
      <c r="I6864" s="35">
        <f>H6864-F6864*VLOOKUP(銷售總表!B6864,產品!$A$2:$H$61,8,FALSE)</f>
        <v>64800</v>
      </c>
      <c r="J6864" s="20">
        <f t="shared" si="107"/>
        <v>0.5</v>
      </c>
    </row>
    <row r="6865" spans="1:10" x14ac:dyDescent="0.3">
      <c r="A6865" s="33">
        <v>6864</v>
      </c>
      <c r="B6865" s="4">
        <v>32</v>
      </c>
      <c r="C6865" s="15">
        <v>270</v>
      </c>
      <c r="D6865" s="16">
        <v>5</v>
      </c>
      <c r="E6865" s="23">
        <v>45198</v>
      </c>
      <c r="F6865">
        <v>10</v>
      </c>
      <c r="G6865" s="20">
        <v>0.17</v>
      </c>
      <c r="H6865">
        <f>F6865*VLOOKUP(B6865,產品!$A$2:$H$61,7,FALSE)*(1-銷售總表!G6865)</f>
        <v>62250</v>
      </c>
      <c r="I6865" s="35">
        <f>H6865-F6865*VLOOKUP(銷售總表!B6865,產品!$A$2:$H$61,8,FALSE)</f>
        <v>17250</v>
      </c>
      <c r="J6865" s="20">
        <f t="shared" si="107"/>
        <v>0.27710843373493976</v>
      </c>
    </row>
    <row r="6866" spans="1:10" x14ac:dyDescent="0.3">
      <c r="A6866" s="33">
        <v>6865</v>
      </c>
      <c r="B6866" s="4">
        <v>4</v>
      </c>
      <c r="C6866" s="15">
        <v>285</v>
      </c>
      <c r="D6866" s="16">
        <v>1</v>
      </c>
      <c r="E6866" s="22">
        <v>45199</v>
      </c>
      <c r="F6866" s="19">
        <v>12</v>
      </c>
      <c r="G6866" s="18">
        <v>0.14000000000000001</v>
      </c>
      <c r="H6866">
        <f>F6866*VLOOKUP(B6866,產品!$A$2:$H$61,7,FALSE)*(1-銷售總表!G6866)</f>
        <v>10320</v>
      </c>
      <c r="I6866" s="35">
        <f>H6866-F6866*VLOOKUP(銷售總表!B6866,產品!$A$2:$H$61,8,FALSE)</f>
        <v>5520</v>
      </c>
      <c r="J6866" s="20">
        <f t="shared" si="107"/>
        <v>0.53488372093023251</v>
      </c>
    </row>
    <row r="6867" spans="1:10" x14ac:dyDescent="0.3">
      <c r="A6867" s="33">
        <v>6866</v>
      </c>
      <c r="B6867" s="4">
        <v>22</v>
      </c>
      <c r="C6867" s="15">
        <v>123</v>
      </c>
      <c r="D6867" s="16">
        <v>10</v>
      </c>
      <c r="E6867" s="22">
        <v>45199</v>
      </c>
      <c r="F6867" s="19">
        <v>70</v>
      </c>
      <c r="G6867" s="18">
        <v>0.15</v>
      </c>
      <c r="H6867">
        <f>F6867*VLOOKUP(B6867,產品!$A$2:$H$61,7,FALSE)*(1-銷售總表!G6867)</f>
        <v>107100</v>
      </c>
      <c r="I6867" s="35">
        <f>H6867-F6867*VLOOKUP(銷售總表!B6867,產品!$A$2:$H$61,8,FALSE)</f>
        <v>56700</v>
      </c>
      <c r="J6867" s="20">
        <f t="shared" si="107"/>
        <v>0.52941176470588236</v>
      </c>
    </row>
    <row r="6868" spans="1:10" x14ac:dyDescent="0.3">
      <c r="A6868" s="33">
        <v>6867</v>
      </c>
      <c r="B6868" s="4">
        <v>35</v>
      </c>
      <c r="C6868" s="15">
        <v>293</v>
      </c>
      <c r="D6868" s="16">
        <v>7</v>
      </c>
      <c r="E6868" s="22">
        <v>45199</v>
      </c>
      <c r="F6868" s="19">
        <v>5</v>
      </c>
      <c r="G6868" s="18">
        <v>0.2</v>
      </c>
      <c r="H6868">
        <f>F6868*VLOOKUP(B6868,產品!$A$2:$H$61,7,FALSE)*(1-銷售總表!G6868)</f>
        <v>34000</v>
      </c>
      <c r="I6868" s="35">
        <f>H6868-F6868*VLOOKUP(銷售總表!B6868,產品!$A$2:$H$61,8,FALSE)</f>
        <v>8500</v>
      </c>
      <c r="J6868" s="20">
        <f t="shared" si="107"/>
        <v>0.25</v>
      </c>
    </row>
    <row r="6869" spans="1:10" x14ac:dyDescent="0.3">
      <c r="A6869" s="33">
        <v>6868</v>
      </c>
      <c r="B6869" s="4">
        <v>7</v>
      </c>
      <c r="C6869" s="15">
        <v>257</v>
      </c>
      <c r="D6869" s="16">
        <v>2</v>
      </c>
      <c r="E6869" s="23">
        <v>45199</v>
      </c>
      <c r="F6869">
        <v>11</v>
      </c>
      <c r="G6869" s="20">
        <v>0.05</v>
      </c>
      <c r="H6869">
        <f>F6869*VLOOKUP(B6869,產品!$A$2:$H$61,7,FALSE)*(1-銷售總表!G6869)</f>
        <v>10450</v>
      </c>
      <c r="I6869" s="35">
        <f>H6869-F6869*VLOOKUP(銷售總表!B6869,產品!$A$2:$H$61,8,FALSE)</f>
        <v>6050</v>
      </c>
      <c r="J6869" s="20">
        <f t="shared" si="107"/>
        <v>0.57894736842105265</v>
      </c>
    </row>
    <row r="6870" spans="1:10" x14ac:dyDescent="0.3">
      <c r="A6870" s="33">
        <v>6869</v>
      </c>
      <c r="B6870" s="4">
        <v>14</v>
      </c>
      <c r="C6870" s="15">
        <v>257</v>
      </c>
      <c r="D6870" s="16">
        <v>7</v>
      </c>
      <c r="E6870" s="23">
        <v>45199</v>
      </c>
      <c r="F6870">
        <v>50</v>
      </c>
      <c r="G6870" s="20">
        <v>7.0000000000000007E-2</v>
      </c>
      <c r="H6870">
        <f>F6870*VLOOKUP(B6870,產品!$A$2:$H$61,7,FALSE)*(1-銷售總表!G6870)</f>
        <v>83700</v>
      </c>
      <c r="I6870" s="35">
        <f>H6870-F6870*VLOOKUP(銷售總表!B6870,產品!$A$2:$H$61,8,FALSE)</f>
        <v>47700</v>
      </c>
      <c r="J6870" s="20">
        <f t="shared" si="107"/>
        <v>0.56989247311827962</v>
      </c>
    </row>
    <row r="6871" spans="1:10" x14ac:dyDescent="0.3">
      <c r="A6871" s="33">
        <v>6870</v>
      </c>
      <c r="B6871" s="4">
        <v>7</v>
      </c>
      <c r="C6871" s="15">
        <v>259</v>
      </c>
      <c r="D6871" s="16">
        <v>5</v>
      </c>
      <c r="E6871" s="22">
        <v>45200</v>
      </c>
      <c r="F6871" s="19">
        <v>200</v>
      </c>
      <c r="G6871" s="18">
        <v>0.14000000000000001</v>
      </c>
      <c r="H6871">
        <f>F6871*VLOOKUP(B6871,產品!$A$2:$H$61,7,FALSE)*(1-銷售總表!G6871)</f>
        <v>172000</v>
      </c>
      <c r="I6871" s="35">
        <f>H6871-F6871*VLOOKUP(銷售總表!B6871,產品!$A$2:$H$61,8,FALSE)</f>
        <v>92000</v>
      </c>
      <c r="J6871" s="20">
        <f t="shared" si="107"/>
        <v>0.53488372093023251</v>
      </c>
    </row>
    <row r="6872" spans="1:10" x14ac:dyDescent="0.3">
      <c r="A6872" s="33">
        <v>6871</v>
      </c>
      <c r="B6872" s="4">
        <v>42</v>
      </c>
      <c r="C6872" s="15">
        <v>123</v>
      </c>
      <c r="D6872" s="16">
        <v>8</v>
      </c>
      <c r="E6872" s="23">
        <v>45200</v>
      </c>
      <c r="F6872">
        <v>8</v>
      </c>
      <c r="G6872" s="20">
        <v>0.2</v>
      </c>
      <c r="H6872">
        <f>F6872*VLOOKUP(B6872,產品!$A$2:$H$61,7,FALSE)*(1-銷售總表!G6872)</f>
        <v>96000</v>
      </c>
      <c r="I6872" s="35">
        <f>H6872-F6872*VLOOKUP(銷售總表!B6872,產品!$A$2:$H$61,8,FALSE)</f>
        <v>18000</v>
      </c>
      <c r="J6872" s="20">
        <f t="shared" si="107"/>
        <v>0.1875</v>
      </c>
    </row>
    <row r="6873" spans="1:10" x14ac:dyDescent="0.3">
      <c r="A6873" s="33">
        <v>6872</v>
      </c>
      <c r="B6873" s="4">
        <v>16</v>
      </c>
      <c r="C6873" s="15">
        <v>4</v>
      </c>
      <c r="D6873" s="16">
        <v>5</v>
      </c>
      <c r="E6873" s="23">
        <v>45200</v>
      </c>
      <c r="F6873">
        <v>50</v>
      </c>
      <c r="G6873" s="20">
        <v>0.1</v>
      </c>
      <c r="H6873">
        <f>F6873*VLOOKUP(B6873,產品!$A$2:$H$61,7,FALSE)*(1-銷售總表!G6873)</f>
        <v>81000</v>
      </c>
      <c r="I6873" s="35">
        <f>H6873-F6873*VLOOKUP(銷售總表!B6873,產品!$A$2:$H$61,8,FALSE)</f>
        <v>45000</v>
      </c>
      <c r="J6873" s="20">
        <f t="shared" si="107"/>
        <v>0.55555555555555558</v>
      </c>
    </row>
    <row r="6874" spans="1:10" x14ac:dyDescent="0.3">
      <c r="A6874" s="33">
        <v>6873</v>
      </c>
      <c r="B6874" s="4">
        <v>6</v>
      </c>
      <c r="C6874" s="15">
        <v>123</v>
      </c>
      <c r="D6874" s="16">
        <v>4</v>
      </c>
      <c r="E6874" s="22">
        <v>45201</v>
      </c>
      <c r="F6874" s="19">
        <v>250</v>
      </c>
      <c r="G6874" s="18">
        <v>0.19</v>
      </c>
      <c r="H6874">
        <f>F6874*VLOOKUP(B6874,產品!$A$2:$H$61,7,FALSE)*(1-銷售總表!G6874)</f>
        <v>202500</v>
      </c>
      <c r="I6874" s="35">
        <f>H6874-F6874*VLOOKUP(銷售總表!B6874,產品!$A$2:$H$61,8,FALSE)</f>
        <v>102500</v>
      </c>
      <c r="J6874" s="20">
        <f t="shared" si="107"/>
        <v>0.50617283950617287</v>
      </c>
    </row>
    <row r="6875" spans="1:10" x14ac:dyDescent="0.3">
      <c r="A6875" s="33">
        <v>6874</v>
      </c>
      <c r="B6875" s="4">
        <v>43</v>
      </c>
      <c r="C6875" s="15">
        <v>283</v>
      </c>
      <c r="D6875" s="16">
        <v>10</v>
      </c>
      <c r="E6875" s="22">
        <v>45201</v>
      </c>
      <c r="F6875" s="19">
        <v>7</v>
      </c>
      <c r="G6875" s="18">
        <v>0.18</v>
      </c>
      <c r="H6875">
        <f>F6875*VLOOKUP(B6875,產品!$A$2:$H$61,7,FALSE)*(1-銷售總表!G6875)</f>
        <v>103320.00000000001</v>
      </c>
      <c r="I6875" s="35">
        <f>H6875-F6875*VLOOKUP(銷售總表!B6875,產品!$A$2:$H$61,8,FALSE)</f>
        <v>21420.000000000015</v>
      </c>
      <c r="J6875" s="20">
        <f t="shared" si="107"/>
        <v>0.20731707317073181</v>
      </c>
    </row>
    <row r="6876" spans="1:10" x14ac:dyDescent="0.3">
      <c r="A6876" s="33">
        <v>6875</v>
      </c>
      <c r="B6876" s="4">
        <v>39</v>
      </c>
      <c r="C6876" s="15">
        <v>12</v>
      </c>
      <c r="D6876" s="16">
        <v>8</v>
      </c>
      <c r="E6876" s="22">
        <v>45202</v>
      </c>
      <c r="F6876" s="17">
        <v>15</v>
      </c>
      <c r="G6876" s="18">
        <v>0.16</v>
      </c>
      <c r="H6876">
        <f>F6876*VLOOKUP(B6876,產品!$A$2:$H$61,7,FALSE)*(1-銷售總表!G6876)</f>
        <v>226800</v>
      </c>
      <c r="I6876" s="35">
        <f>H6876-F6876*VLOOKUP(銷售總表!B6876,產品!$A$2:$H$61,8,FALSE)</f>
        <v>51300</v>
      </c>
      <c r="J6876" s="20">
        <f t="shared" si="107"/>
        <v>0.22619047619047619</v>
      </c>
    </row>
    <row r="6877" spans="1:10" x14ac:dyDescent="0.3">
      <c r="A6877" s="33">
        <v>6876</v>
      </c>
      <c r="B6877" s="4">
        <v>30</v>
      </c>
      <c r="C6877" s="15">
        <v>258</v>
      </c>
      <c r="D6877" s="16">
        <v>4</v>
      </c>
      <c r="E6877" s="22">
        <v>45202</v>
      </c>
      <c r="F6877" s="19">
        <v>40</v>
      </c>
      <c r="G6877" s="18">
        <v>0.17</v>
      </c>
      <c r="H6877">
        <f>F6877*VLOOKUP(B6877,產品!$A$2:$H$61,7,FALSE)*(1-銷售總表!G6877)</f>
        <v>215800</v>
      </c>
      <c r="I6877" s="35">
        <f>H6877-F6877*VLOOKUP(銷售總表!B6877,產品!$A$2:$H$61,8,FALSE)</f>
        <v>59800</v>
      </c>
      <c r="J6877" s="20">
        <f t="shared" si="107"/>
        <v>0.27710843373493976</v>
      </c>
    </row>
    <row r="6878" spans="1:10" x14ac:dyDescent="0.3">
      <c r="A6878" s="33">
        <v>6877</v>
      </c>
      <c r="B6878" s="4">
        <v>36</v>
      </c>
      <c r="C6878" s="15">
        <v>5</v>
      </c>
      <c r="D6878" s="16">
        <v>9</v>
      </c>
      <c r="E6878" s="23">
        <v>45203</v>
      </c>
      <c r="F6878">
        <v>12</v>
      </c>
      <c r="G6878" s="20">
        <v>0.05</v>
      </c>
      <c r="H6878">
        <f>F6878*VLOOKUP(B6878,產品!$A$2:$H$61,7,FALSE)*(1-銷售總表!G6878)</f>
        <v>102600</v>
      </c>
      <c r="I6878" s="35">
        <f>H6878-F6878*VLOOKUP(銷售總表!B6878,產品!$A$2:$H$61,8,FALSE)</f>
        <v>37800</v>
      </c>
      <c r="J6878" s="20">
        <f t="shared" si="107"/>
        <v>0.36842105263157893</v>
      </c>
    </row>
    <row r="6879" spans="1:10" x14ac:dyDescent="0.3">
      <c r="A6879" s="33">
        <v>6878</v>
      </c>
      <c r="B6879" s="4">
        <v>45</v>
      </c>
      <c r="C6879" s="15">
        <v>140</v>
      </c>
      <c r="D6879" s="16">
        <v>3</v>
      </c>
      <c r="E6879" s="22">
        <v>45203</v>
      </c>
      <c r="F6879" s="19">
        <v>6</v>
      </c>
      <c r="G6879" s="18">
        <v>0.18</v>
      </c>
      <c r="H6879">
        <f>F6879*VLOOKUP(B6879,產品!$A$2:$H$61,7,FALSE)*(1-銷售總表!G6879)</f>
        <v>68880</v>
      </c>
      <c r="I6879" s="35">
        <f>H6879-F6879*VLOOKUP(銷售總表!B6879,產品!$A$2:$H$61,8,FALSE)</f>
        <v>14280</v>
      </c>
      <c r="J6879" s="20">
        <f t="shared" si="107"/>
        <v>0.2073170731707317</v>
      </c>
    </row>
    <row r="6880" spans="1:10" x14ac:dyDescent="0.3">
      <c r="A6880" s="33">
        <v>6879</v>
      </c>
      <c r="B6880" s="4">
        <v>57</v>
      </c>
      <c r="C6880" s="15">
        <v>271</v>
      </c>
      <c r="D6880" s="16">
        <v>5</v>
      </c>
      <c r="E6880" s="22">
        <v>45203</v>
      </c>
      <c r="F6880" s="19">
        <v>5</v>
      </c>
      <c r="G6880" s="18">
        <v>0.08</v>
      </c>
      <c r="H6880">
        <f>F6880*VLOOKUP(B6880,產品!$A$2:$H$61,7,FALSE)*(1-銷售總表!G6880)</f>
        <v>82800</v>
      </c>
      <c r="I6880" s="35">
        <f>H6880-F6880*VLOOKUP(銷售總表!B6880,產品!$A$2:$H$61,8,FALSE)</f>
        <v>19800</v>
      </c>
      <c r="J6880" s="20">
        <f t="shared" si="107"/>
        <v>0.2391304347826087</v>
      </c>
    </row>
    <row r="6881" spans="1:10" x14ac:dyDescent="0.3">
      <c r="A6881" s="33">
        <v>6880</v>
      </c>
      <c r="B6881" s="4">
        <v>10</v>
      </c>
      <c r="C6881" s="15">
        <v>258</v>
      </c>
      <c r="D6881" s="16">
        <v>8</v>
      </c>
      <c r="E6881" s="22">
        <v>45203</v>
      </c>
      <c r="F6881" s="19">
        <v>250</v>
      </c>
      <c r="G6881" s="18">
        <v>0.16</v>
      </c>
      <c r="H6881">
        <f>F6881*VLOOKUP(B6881,產品!$A$2:$H$61,7,FALSE)*(1-銷售總表!G6881)</f>
        <v>210000</v>
      </c>
      <c r="I6881" s="35">
        <f>H6881-F6881*VLOOKUP(銷售總表!B6881,產品!$A$2:$H$61,8,FALSE)</f>
        <v>110000</v>
      </c>
      <c r="J6881" s="20">
        <f t="shared" si="107"/>
        <v>0.52380952380952384</v>
      </c>
    </row>
    <row r="6882" spans="1:10" x14ac:dyDescent="0.3">
      <c r="A6882" s="33">
        <v>6881</v>
      </c>
      <c r="B6882" s="4">
        <v>41</v>
      </c>
      <c r="C6882" s="15">
        <v>274</v>
      </c>
      <c r="D6882" s="16">
        <v>2</v>
      </c>
      <c r="E6882" s="23">
        <v>45203</v>
      </c>
      <c r="F6882">
        <v>4</v>
      </c>
      <c r="G6882" s="20">
        <v>0.14000000000000001</v>
      </c>
      <c r="H6882">
        <f>F6882*VLOOKUP(B6882,產品!$A$2:$H$61,7,FALSE)*(1-銷售總表!G6882)</f>
        <v>41280</v>
      </c>
      <c r="I6882" s="35">
        <f>H6882-F6882*VLOOKUP(銷售總表!B6882,產品!$A$2:$H$61,8,FALSE)</f>
        <v>10080</v>
      </c>
      <c r="J6882" s="20">
        <f t="shared" si="107"/>
        <v>0.2441860465116279</v>
      </c>
    </row>
    <row r="6883" spans="1:10" x14ac:dyDescent="0.3">
      <c r="A6883" s="33">
        <v>6882</v>
      </c>
      <c r="B6883" s="4">
        <v>52</v>
      </c>
      <c r="C6883" s="15">
        <v>2</v>
      </c>
      <c r="D6883" s="16">
        <v>3</v>
      </c>
      <c r="E6883" s="22">
        <v>45204</v>
      </c>
      <c r="F6883" s="17">
        <v>6</v>
      </c>
      <c r="G6883" s="18">
        <v>0.1</v>
      </c>
      <c r="H6883">
        <f>F6883*VLOOKUP(B6883,產品!$A$2:$H$61,7,FALSE)*(1-銷售總表!G6883)</f>
        <v>118800</v>
      </c>
      <c r="I6883" s="35">
        <f>H6883-F6883*VLOOKUP(銷售總表!B6883,產品!$A$2:$H$61,8,FALSE)</f>
        <v>26400.000000000015</v>
      </c>
      <c r="J6883" s="20">
        <f t="shared" si="107"/>
        <v>0.22222222222222235</v>
      </c>
    </row>
    <row r="6884" spans="1:10" x14ac:dyDescent="0.3">
      <c r="A6884" s="33">
        <v>6883</v>
      </c>
      <c r="B6884" s="4">
        <v>1</v>
      </c>
      <c r="C6884" s="15">
        <v>6</v>
      </c>
      <c r="D6884" s="16">
        <v>10</v>
      </c>
      <c r="E6884" s="22">
        <v>45204</v>
      </c>
      <c r="F6884" s="17">
        <v>10</v>
      </c>
      <c r="G6884" s="18">
        <v>0.1</v>
      </c>
      <c r="H6884">
        <f>F6884*VLOOKUP(B6884,產品!$A$2:$H$61,7,FALSE)*(1-銷售總表!G6884)</f>
        <v>9000</v>
      </c>
      <c r="I6884" s="35">
        <f>H6884-F6884*VLOOKUP(銷售總表!B6884,產品!$A$2:$H$61,8,FALSE)</f>
        <v>5000</v>
      </c>
      <c r="J6884" s="20">
        <f t="shared" si="107"/>
        <v>0.55555555555555558</v>
      </c>
    </row>
    <row r="6885" spans="1:10" x14ac:dyDescent="0.3">
      <c r="A6885" s="33">
        <v>6884</v>
      </c>
      <c r="B6885" s="4">
        <v>15</v>
      </c>
      <c r="C6885" s="15">
        <v>7</v>
      </c>
      <c r="D6885" s="16">
        <v>7</v>
      </c>
      <c r="E6885" s="22">
        <v>45204</v>
      </c>
      <c r="F6885" s="19">
        <v>40</v>
      </c>
      <c r="G6885" s="18">
        <v>0.12</v>
      </c>
      <c r="H6885">
        <f>F6885*VLOOKUP(B6885,產品!$A$2:$H$61,7,FALSE)*(1-銷售總表!G6885)</f>
        <v>63360</v>
      </c>
      <c r="I6885" s="35">
        <f>H6885-F6885*VLOOKUP(銷售總表!B6885,產品!$A$2:$H$61,8,FALSE)</f>
        <v>34560</v>
      </c>
      <c r="J6885" s="20">
        <f t="shared" si="107"/>
        <v>0.54545454545454541</v>
      </c>
    </row>
    <row r="6886" spans="1:10" x14ac:dyDescent="0.3">
      <c r="A6886" s="33">
        <v>6885</v>
      </c>
      <c r="B6886" s="4">
        <v>8</v>
      </c>
      <c r="C6886" s="15">
        <v>136</v>
      </c>
      <c r="D6886" s="16">
        <v>5</v>
      </c>
      <c r="E6886" s="22">
        <v>45204</v>
      </c>
      <c r="F6886" s="19">
        <v>40</v>
      </c>
      <c r="G6886" s="18">
        <v>0.18</v>
      </c>
      <c r="H6886">
        <f>F6886*VLOOKUP(B6886,產品!$A$2:$H$61,7,FALSE)*(1-銷售總表!G6886)</f>
        <v>32800</v>
      </c>
      <c r="I6886" s="35">
        <f>H6886-F6886*VLOOKUP(銷售總表!B6886,產品!$A$2:$H$61,8,FALSE)</f>
        <v>16800</v>
      </c>
      <c r="J6886" s="20">
        <f t="shared" si="107"/>
        <v>0.51219512195121952</v>
      </c>
    </row>
    <row r="6887" spans="1:10" x14ac:dyDescent="0.3">
      <c r="A6887" s="33">
        <v>6886</v>
      </c>
      <c r="B6887" s="4">
        <v>20</v>
      </c>
      <c r="C6887" s="15">
        <v>9</v>
      </c>
      <c r="D6887" s="16">
        <v>6</v>
      </c>
      <c r="E6887" s="23">
        <v>45204</v>
      </c>
      <c r="F6887">
        <v>80</v>
      </c>
      <c r="G6887" s="20">
        <v>0.14000000000000001</v>
      </c>
      <c r="H6887">
        <f>F6887*VLOOKUP(B6887,產品!$A$2:$H$61,7,FALSE)*(1-銷售總表!G6887)</f>
        <v>123840</v>
      </c>
      <c r="I6887" s="35">
        <f>H6887-F6887*VLOOKUP(銷售總表!B6887,產品!$A$2:$H$61,8,FALSE)</f>
        <v>66240</v>
      </c>
      <c r="J6887" s="20">
        <f t="shared" si="107"/>
        <v>0.53488372093023251</v>
      </c>
    </row>
    <row r="6888" spans="1:10" x14ac:dyDescent="0.3">
      <c r="A6888" s="33">
        <v>6887</v>
      </c>
      <c r="B6888" s="4">
        <v>20</v>
      </c>
      <c r="C6888" s="15">
        <v>8</v>
      </c>
      <c r="D6888" s="16">
        <v>8</v>
      </c>
      <c r="E6888" s="22">
        <v>45205</v>
      </c>
      <c r="F6888" s="19">
        <v>12</v>
      </c>
      <c r="G6888" s="18">
        <v>0.19</v>
      </c>
      <c r="H6888">
        <f>F6888*VLOOKUP(B6888,產品!$A$2:$H$61,7,FALSE)*(1-銷售總表!G6888)</f>
        <v>17496</v>
      </c>
      <c r="I6888" s="35">
        <f>H6888-F6888*VLOOKUP(銷售總表!B6888,產品!$A$2:$H$61,8,FALSE)</f>
        <v>8856</v>
      </c>
      <c r="J6888" s="20">
        <f t="shared" si="107"/>
        <v>0.50617283950617287</v>
      </c>
    </row>
    <row r="6889" spans="1:10" x14ac:dyDescent="0.3">
      <c r="A6889" s="33">
        <v>6888</v>
      </c>
      <c r="B6889" s="4">
        <v>52</v>
      </c>
      <c r="C6889" s="15">
        <v>257</v>
      </c>
      <c r="D6889" s="16">
        <v>10</v>
      </c>
      <c r="E6889" s="22">
        <v>45205</v>
      </c>
      <c r="F6889" s="19">
        <v>14</v>
      </c>
      <c r="G6889" s="18">
        <v>0.14000000000000001</v>
      </c>
      <c r="H6889">
        <f>F6889*VLOOKUP(B6889,產品!$A$2:$H$61,7,FALSE)*(1-銷售總表!G6889)</f>
        <v>264880</v>
      </c>
      <c r="I6889" s="35">
        <f>H6889-F6889*VLOOKUP(銷售總表!B6889,產品!$A$2:$H$61,8,FALSE)</f>
        <v>49280.000000000029</v>
      </c>
      <c r="J6889" s="20">
        <f t="shared" si="107"/>
        <v>0.18604651162790709</v>
      </c>
    </row>
    <row r="6890" spans="1:10" x14ac:dyDescent="0.3">
      <c r="A6890" s="33">
        <v>6889</v>
      </c>
      <c r="B6890" s="4">
        <v>29</v>
      </c>
      <c r="C6890" s="15">
        <v>136</v>
      </c>
      <c r="D6890" s="16">
        <v>2</v>
      </c>
      <c r="E6890" s="23">
        <v>45205</v>
      </c>
      <c r="F6890">
        <v>4</v>
      </c>
      <c r="G6890" s="20">
        <v>0.19</v>
      </c>
      <c r="H6890">
        <f>F6890*VLOOKUP(B6890,產品!$A$2:$H$61,7,FALSE)*(1-銷售總表!G6890)</f>
        <v>19440</v>
      </c>
      <c r="I6890" s="35">
        <f>H6890-F6890*VLOOKUP(銷售總表!B6890,產品!$A$2:$H$61,8,FALSE)</f>
        <v>5040</v>
      </c>
      <c r="J6890" s="20">
        <f t="shared" si="107"/>
        <v>0.25925925925925924</v>
      </c>
    </row>
    <row r="6891" spans="1:10" x14ac:dyDescent="0.3">
      <c r="A6891" s="33">
        <v>6890</v>
      </c>
      <c r="B6891" s="4">
        <v>58</v>
      </c>
      <c r="C6891" s="15">
        <v>3</v>
      </c>
      <c r="D6891" s="16">
        <v>6</v>
      </c>
      <c r="E6891" s="23">
        <v>45205</v>
      </c>
      <c r="F6891">
        <v>9</v>
      </c>
      <c r="G6891" s="20">
        <v>0.17</v>
      </c>
      <c r="H6891">
        <f>F6891*VLOOKUP(B6891,產品!$A$2:$H$61,7,FALSE)*(1-銷售總表!G6891)</f>
        <v>156870</v>
      </c>
      <c r="I6891" s="35">
        <f>H6891-F6891*VLOOKUP(銷售總表!B6891,產品!$A$2:$H$61,8,FALSE)</f>
        <v>24570.000000000029</v>
      </c>
      <c r="J6891" s="20">
        <f t="shared" si="107"/>
        <v>0.15662650602409658</v>
      </c>
    </row>
    <row r="6892" spans="1:10" x14ac:dyDescent="0.3">
      <c r="A6892" s="33">
        <v>6891</v>
      </c>
      <c r="B6892" s="4">
        <v>36</v>
      </c>
      <c r="C6892" s="15">
        <v>6</v>
      </c>
      <c r="D6892" s="16">
        <v>9</v>
      </c>
      <c r="E6892" s="22">
        <v>45206</v>
      </c>
      <c r="F6892" s="17">
        <v>15</v>
      </c>
      <c r="G6892" s="18">
        <v>0.13</v>
      </c>
      <c r="H6892">
        <f>F6892*VLOOKUP(B6892,產品!$A$2:$H$61,7,FALSE)*(1-銷售總表!G6892)</f>
        <v>117450</v>
      </c>
      <c r="I6892" s="35">
        <f>H6892-F6892*VLOOKUP(銷售總表!B6892,產品!$A$2:$H$61,8,FALSE)</f>
        <v>36450</v>
      </c>
      <c r="J6892" s="20">
        <f t="shared" si="107"/>
        <v>0.31034482758620691</v>
      </c>
    </row>
    <row r="6893" spans="1:10" x14ac:dyDescent="0.3">
      <c r="A6893" s="33">
        <v>6892</v>
      </c>
      <c r="B6893" s="4">
        <v>58</v>
      </c>
      <c r="C6893" s="15">
        <v>283</v>
      </c>
      <c r="D6893" s="16">
        <v>6</v>
      </c>
      <c r="E6893" s="22">
        <v>45207</v>
      </c>
      <c r="F6893" s="17">
        <v>10</v>
      </c>
      <c r="G6893" s="18">
        <v>0.09</v>
      </c>
      <c r="H6893">
        <f>F6893*VLOOKUP(B6893,產品!$A$2:$H$61,7,FALSE)*(1-銷售總表!G6893)</f>
        <v>191100</v>
      </c>
      <c r="I6893" s="35">
        <f>H6893-F6893*VLOOKUP(銷售總表!B6893,產品!$A$2:$H$61,8,FALSE)</f>
        <v>44100.000000000029</v>
      </c>
      <c r="J6893" s="20">
        <f t="shared" si="107"/>
        <v>0.23076923076923092</v>
      </c>
    </row>
    <row r="6894" spans="1:10" x14ac:dyDescent="0.3">
      <c r="A6894" s="33">
        <v>6893</v>
      </c>
      <c r="B6894" s="4">
        <v>60</v>
      </c>
      <c r="C6894" s="15">
        <v>5</v>
      </c>
      <c r="D6894" s="16">
        <v>2</v>
      </c>
      <c r="E6894" s="22">
        <v>45207</v>
      </c>
      <c r="F6894" s="17">
        <v>5</v>
      </c>
      <c r="G6894" s="18">
        <v>7.0000000000000007E-2</v>
      </c>
      <c r="H6894">
        <f>F6894*VLOOKUP(B6894,產品!$A$2:$H$61,7,FALSE)*(1-銷售總表!G6894)</f>
        <v>116249.99999999999</v>
      </c>
      <c r="I6894" s="35">
        <f>H6894-F6894*VLOOKUP(銷售總表!B6894,產品!$A$2:$H$61,8,FALSE)</f>
        <v>28749.999999999985</v>
      </c>
      <c r="J6894" s="20">
        <f t="shared" si="107"/>
        <v>0.24731182795698917</v>
      </c>
    </row>
    <row r="6895" spans="1:10" x14ac:dyDescent="0.3">
      <c r="A6895" s="33">
        <v>6894</v>
      </c>
      <c r="B6895" s="4">
        <v>44</v>
      </c>
      <c r="C6895" s="15">
        <v>117</v>
      </c>
      <c r="D6895" s="16">
        <v>3</v>
      </c>
      <c r="E6895" s="22">
        <v>45207</v>
      </c>
      <c r="F6895" s="19">
        <v>7</v>
      </c>
      <c r="G6895" s="18">
        <v>0.13</v>
      </c>
      <c r="H6895">
        <f>F6895*VLOOKUP(B6895,產品!$A$2:$H$61,7,FALSE)*(1-銷售總表!G6895)</f>
        <v>121800</v>
      </c>
      <c r="I6895" s="35">
        <f>H6895-F6895*VLOOKUP(銷售總表!B6895,產品!$A$2:$H$61,8,FALSE)</f>
        <v>30800</v>
      </c>
      <c r="J6895" s="20">
        <f t="shared" si="107"/>
        <v>0.25287356321839083</v>
      </c>
    </row>
    <row r="6896" spans="1:10" x14ac:dyDescent="0.3">
      <c r="A6896" s="33">
        <v>6895</v>
      </c>
      <c r="B6896" s="4">
        <v>58</v>
      </c>
      <c r="C6896" s="15">
        <v>271</v>
      </c>
      <c r="D6896" s="16">
        <v>10</v>
      </c>
      <c r="E6896" s="22">
        <v>45208</v>
      </c>
      <c r="F6896" s="19">
        <v>5</v>
      </c>
      <c r="G6896" s="18">
        <v>0.18</v>
      </c>
      <c r="H6896">
        <f>F6896*VLOOKUP(B6896,產品!$A$2:$H$61,7,FALSE)*(1-銷售總表!G6896)</f>
        <v>86100</v>
      </c>
      <c r="I6896" s="35">
        <f>H6896-F6896*VLOOKUP(銷售總表!B6896,產品!$A$2:$H$61,8,FALSE)</f>
        <v>12600.000000000015</v>
      </c>
      <c r="J6896" s="20">
        <f t="shared" si="107"/>
        <v>0.1463414634146343</v>
      </c>
    </row>
    <row r="6897" spans="1:10" x14ac:dyDescent="0.3">
      <c r="A6897" s="33">
        <v>6896</v>
      </c>
      <c r="B6897" s="4">
        <v>50</v>
      </c>
      <c r="C6897" s="15">
        <v>136</v>
      </c>
      <c r="D6897" s="16">
        <v>7</v>
      </c>
      <c r="E6897" s="22">
        <v>45208</v>
      </c>
      <c r="F6897" s="19">
        <v>8</v>
      </c>
      <c r="G6897" s="18">
        <v>0.16</v>
      </c>
      <c r="H6897">
        <f>F6897*VLOOKUP(B6897,產品!$A$2:$H$61,7,FALSE)*(1-銷售總表!G6897)</f>
        <v>120960</v>
      </c>
      <c r="I6897" s="35">
        <f>H6897-F6897*VLOOKUP(銷售總表!B6897,產品!$A$2:$H$61,8,FALSE)</f>
        <v>20160</v>
      </c>
      <c r="J6897" s="20">
        <f t="shared" si="107"/>
        <v>0.16666666666666666</v>
      </c>
    </row>
    <row r="6898" spans="1:10" x14ac:dyDescent="0.3">
      <c r="A6898" s="33">
        <v>6897</v>
      </c>
      <c r="B6898" s="4">
        <v>43</v>
      </c>
      <c r="C6898" s="15">
        <v>126</v>
      </c>
      <c r="D6898" s="16">
        <v>5</v>
      </c>
      <c r="E6898" s="22">
        <v>45209</v>
      </c>
      <c r="F6898" s="19">
        <v>4</v>
      </c>
      <c r="G6898" s="18">
        <v>0.19</v>
      </c>
      <c r="H6898">
        <f>F6898*VLOOKUP(B6898,產品!$A$2:$H$61,7,FALSE)*(1-銷售總表!G6898)</f>
        <v>58320.000000000007</v>
      </c>
      <c r="I6898" s="35">
        <f>H6898-F6898*VLOOKUP(銷售總表!B6898,產品!$A$2:$H$61,8,FALSE)</f>
        <v>11520.000000000007</v>
      </c>
      <c r="J6898" s="20">
        <f t="shared" si="107"/>
        <v>0.19753086419753096</v>
      </c>
    </row>
    <row r="6899" spans="1:10" x14ac:dyDescent="0.3">
      <c r="A6899" s="33">
        <v>6898</v>
      </c>
      <c r="B6899" s="4">
        <v>11</v>
      </c>
      <c r="C6899" s="15">
        <v>264</v>
      </c>
      <c r="D6899" s="16">
        <v>1</v>
      </c>
      <c r="E6899" s="22">
        <v>45210</v>
      </c>
      <c r="F6899" s="17">
        <v>60</v>
      </c>
      <c r="G6899" s="18">
        <v>0.18</v>
      </c>
      <c r="H6899">
        <f>F6899*VLOOKUP(B6899,產品!$A$2:$H$61,7,FALSE)*(1-銷售總表!G6899)</f>
        <v>49200.000000000007</v>
      </c>
      <c r="I6899" s="35">
        <f>H6899-F6899*VLOOKUP(銷售總表!B6899,產品!$A$2:$H$61,8,FALSE)</f>
        <v>25200.000000000007</v>
      </c>
      <c r="J6899" s="20">
        <f t="shared" si="107"/>
        <v>0.51219512195121963</v>
      </c>
    </row>
    <row r="6900" spans="1:10" x14ac:dyDescent="0.3">
      <c r="A6900" s="33">
        <v>6899</v>
      </c>
      <c r="B6900" s="4">
        <v>31</v>
      </c>
      <c r="C6900" s="15">
        <v>259</v>
      </c>
      <c r="D6900" s="16">
        <v>10</v>
      </c>
      <c r="E6900" s="22">
        <v>45210</v>
      </c>
      <c r="F6900" s="19">
        <v>5</v>
      </c>
      <c r="G6900" s="18">
        <v>0.12</v>
      </c>
      <c r="H6900">
        <f>F6900*VLOOKUP(B6900,產品!$A$2:$H$61,7,FALSE)*(1-銷售總表!G6900)</f>
        <v>30800</v>
      </c>
      <c r="I6900" s="35">
        <f>H6900-F6900*VLOOKUP(銷售總表!B6900,產品!$A$2:$H$61,8,FALSE)</f>
        <v>9800</v>
      </c>
      <c r="J6900" s="20">
        <f t="shared" si="107"/>
        <v>0.31818181818181818</v>
      </c>
    </row>
    <row r="6901" spans="1:10" x14ac:dyDescent="0.3">
      <c r="A6901" s="33">
        <v>6900</v>
      </c>
      <c r="B6901" s="4">
        <v>37</v>
      </c>
      <c r="C6901" s="15">
        <v>269</v>
      </c>
      <c r="D6901" s="16">
        <v>6</v>
      </c>
      <c r="E6901" s="22">
        <v>45210</v>
      </c>
      <c r="F6901" s="19">
        <v>15</v>
      </c>
      <c r="G6901" s="18">
        <v>0.17</v>
      </c>
      <c r="H6901">
        <f>F6901*VLOOKUP(B6901,產品!$A$2:$H$61,7,FALSE)*(1-銷售總表!G6901)</f>
        <v>149400</v>
      </c>
      <c r="I6901" s="35">
        <f>H6901-F6901*VLOOKUP(銷售總表!B6901,產品!$A$2:$H$61,8,FALSE)</f>
        <v>32400</v>
      </c>
      <c r="J6901" s="20">
        <f t="shared" si="107"/>
        <v>0.21686746987951808</v>
      </c>
    </row>
    <row r="6902" spans="1:10" x14ac:dyDescent="0.3">
      <c r="A6902" s="33">
        <v>6901</v>
      </c>
      <c r="B6902" s="4">
        <v>6</v>
      </c>
      <c r="C6902" s="15">
        <v>115</v>
      </c>
      <c r="D6902" s="16">
        <v>8</v>
      </c>
      <c r="E6902" s="23">
        <v>45210</v>
      </c>
      <c r="F6902">
        <v>60</v>
      </c>
      <c r="G6902" s="20">
        <v>0.1</v>
      </c>
      <c r="H6902">
        <f>F6902*VLOOKUP(B6902,產品!$A$2:$H$61,7,FALSE)*(1-銷售總表!G6902)</f>
        <v>54000</v>
      </c>
      <c r="I6902" s="35">
        <f>H6902-F6902*VLOOKUP(銷售總表!B6902,產品!$A$2:$H$61,8,FALSE)</f>
        <v>30000</v>
      </c>
      <c r="J6902" s="20">
        <f t="shared" si="107"/>
        <v>0.55555555555555558</v>
      </c>
    </row>
    <row r="6903" spans="1:10" x14ac:dyDescent="0.3">
      <c r="A6903" s="33">
        <v>6902</v>
      </c>
      <c r="B6903" s="4">
        <v>12</v>
      </c>
      <c r="C6903" s="15">
        <v>10</v>
      </c>
      <c r="D6903" s="16">
        <v>3</v>
      </c>
      <c r="E6903" s="23">
        <v>45210</v>
      </c>
      <c r="F6903">
        <v>175</v>
      </c>
      <c r="G6903" s="20">
        <v>0.14000000000000001</v>
      </c>
      <c r="H6903">
        <f>F6903*VLOOKUP(B6903,產品!$A$2:$H$61,7,FALSE)*(1-銷售總表!G6903)</f>
        <v>150500</v>
      </c>
      <c r="I6903" s="35">
        <f>H6903-F6903*VLOOKUP(銷售總表!B6903,產品!$A$2:$H$61,8,FALSE)</f>
        <v>80500</v>
      </c>
      <c r="J6903" s="20">
        <f t="shared" si="107"/>
        <v>0.53488372093023251</v>
      </c>
    </row>
    <row r="6904" spans="1:10" x14ac:dyDescent="0.3">
      <c r="A6904" s="33">
        <v>6903</v>
      </c>
      <c r="B6904" s="4">
        <v>53</v>
      </c>
      <c r="C6904" s="15">
        <v>269</v>
      </c>
      <c r="D6904" s="16">
        <v>4</v>
      </c>
      <c r="E6904" s="23">
        <v>45210</v>
      </c>
      <c r="F6904">
        <v>4</v>
      </c>
      <c r="G6904" s="20">
        <v>0.16</v>
      </c>
      <c r="H6904">
        <f>F6904*VLOOKUP(B6904,產品!$A$2:$H$61,7,FALSE)*(1-銷售總表!G6904)</f>
        <v>50400</v>
      </c>
      <c r="I6904" s="35">
        <f>H6904-F6904*VLOOKUP(銷售總表!B6904,產品!$A$2:$H$61,8,FALSE)</f>
        <v>8400</v>
      </c>
      <c r="J6904" s="20">
        <f t="shared" si="107"/>
        <v>0.16666666666666666</v>
      </c>
    </row>
    <row r="6905" spans="1:10" x14ac:dyDescent="0.3">
      <c r="A6905" s="33">
        <v>6904</v>
      </c>
      <c r="B6905" s="4">
        <v>53</v>
      </c>
      <c r="C6905" s="15">
        <v>264</v>
      </c>
      <c r="D6905" s="16">
        <v>8</v>
      </c>
      <c r="E6905" s="22">
        <v>45211</v>
      </c>
      <c r="F6905" s="17">
        <v>20</v>
      </c>
      <c r="G6905" s="18">
        <v>0.08</v>
      </c>
      <c r="H6905">
        <f>F6905*VLOOKUP(B6905,產品!$A$2:$H$61,7,FALSE)*(1-銷售總表!G6905)</f>
        <v>276000</v>
      </c>
      <c r="I6905" s="35">
        <f>H6905-F6905*VLOOKUP(銷售總表!B6905,產品!$A$2:$H$61,8,FALSE)</f>
        <v>66000</v>
      </c>
      <c r="J6905" s="20">
        <f t="shared" si="107"/>
        <v>0.2391304347826087</v>
      </c>
    </row>
    <row r="6906" spans="1:10" x14ac:dyDescent="0.3">
      <c r="A6906" s="33">
        <v>6905</v>
      </c>
      <c r="B6906" s="4">
        <v>40</v>
      </c>
      <c r="C6906" s="15">
        <v>7</v>
      </c>
      <c r="D6906" s="16">
        <v>8</v>
      </c>
      <c r="E6906" s="22">
        <v>45211</v>
      </c>
      <c r="F6906" s="19">
        <v>17</v>
      </c>
      <c r="G6906" s="18">
        <v>0.14000000000000001</v>
      </c>
      <c r="H6906">
        <f>F6906*VLOOKUP(B6906,產品!$A$2:$H$61,7,FALSE)*(1-銷售總表!G6906)</f>
        <v>292400</v>
      </c>
      <c r="I6906" s="35">
        <f>H6906-F6906*VLOOKUP(銷售總表!B6906,產品!$A$2:$H$61,8,FALSE)</f>
        <v>71400</v>
      </c>
      <c r="J6906" s="20">
        <f t="shared" si="107"/>
        <v>0.2441860465116279</v>
      </c>
    </row>
    <row r="6907" spans="1:10" x14ac:dyDescent="0.3">
      <c r="A6907" s="33">
        <v>6906</v>
      </c>
      <c r="B6907" s="4">
        <v>20</v>
      </c>
      <c r="C6907" s="15">
        <v>135</v>
      </c>
      <c r="D6907" s="16">
        <v>5</v>
      </c>
      <c r="E6907" s="22">
        <v>45211</v>
      </c>
      <c r="F6907" s="19">
        <v>80</v>
      </c>
      <c r="G6907" s="18">
        <v>0.11</v>
      </c>
      <c r="H6907">
        <f>F6907*VLOOKUP(B6907,產品!$A$2:$H$61,7,FALSE)*(1-銷售總表!G6907)</f>
        <v>128160</v>
      </c>
      <c r="I6907" s="35">
        <f>H6907-F6907*VLOOKUP(銷售總表!B6907,產品!$A$2:$H$61,8,FALSE)</f>
        <v>70560</v>
      </c>
      <c r="J6907" s="20">
        <f t="shared" si="107"/>
        <v>0.550561797752809</v>
      </c>
    </row>
    <row r="6908" spans="1:10" x14ac:dyDescent="0.3">
      <c r="A6908" s="33">
        <v>6907</v>
      </c>
      <c r="B6908" s="4">
        <v>57</v>
      </c>
      <c r="C6908" s="15">
        <v>112</v>
      </c>
      <c r="D6908" s="16">
        <v>10</v>
      </c>
      <c r="E6908" s="23">
        <v>45211</v>
      </c>
      <c r="F6908">
        <v>7</v>
      </c>
      <c r="G6908" s="20">
        <v>7.0000000000000007E-2</v>
      </c>
      <c r="H6908">
        <f>F6908*VLOOKUP(B6908,產品!$A$2:$H$61,7,FALSE)*(1-銷售總表!G6908)</f>
        <v>117179.99999999999</v>
      </c>
      <c r="I6908" s="35">
        <f>H6908-F6908*VLOOKUP(銷售總表!B6908,產品!$A$2:$H$61,8,FALSE)</f>
        <v>28979.999999999985</v>
      </c>
      <c r="J6908" s="20">
        <f t="shared" si="107"/>
        <v>0.24731182795698917</v>
      </c>
    </row>
    <row r="6909" spans="1:10" x14ac:dyDescent="0.3">
      <c r="A6909" s="33">
        <v>6908</v>
      </c>
      <c r="B6909" s="4">
        <v>55</v>
      </c>
      <c r="C6909" s="15">
        <v>290</v>
      </c>
      <c r="D6909" s="16">
        <v>6</v>
      </c>
      <c r="E6909" s="22">
        <v>45212</v>
      </c>
      <c r="F6909" s="19">
        <v>5</v>
      </c>
      <c r="G6909" s="18">
        <v>0.16</v>
      </c>
      <c r="H6909">
        <f>F6909*VLOOKUP(B6909,產品!$A$2:$H$61,7,FALSE)*(1-銷售總表!G6909)</f>
        <v>84000</v>
      </c>
      <c r="I6909" s="35">
        <f>H6909-F6909*VLOOKUP(銷售總表!B6909,產品!$A$2:$H$61,8,FALSE)</f>
        <v>14000</v>
      </c>
      <c r="J6909" s="20">
        <f t="shared" si="107"/>
        <v>0.16666666666666666</v>
      </c>
    </row>
    <row r="6910" spans="1:10" x14ac:dyDescent="0.3">
      <c r="A6910" s="33">
        <v>6909</v>
      </c>
      <c r="B6910" s="4">
        <v>10</v>
      </c>
      <c r="C6910" s="15">
        <v>5</v>
      </c>
      <c r="D6910" s="16">
        <v>8</v>
      </c>
      <c r="E6910" s="22">
        <v>45213</v>
      </c>
      <c r="F6910" s="19">
        <v>200</v>
      </c>
      <c r="G6910" s="18">
        <v>0.05</v>
      </c>
      <c r="H6910">
        <f>F6910*VLOOKUP(B6910,產品!$A$2:$H$61,7,FALSE)*(1-銷售總表!G6910)</f>
        <v>190000</v>
      </c>
      <c r="I6910" s="35">
        <f>H6910-F6910*VLOOKUP(銷售總表!B6910,產品!$A$2:$H$61,8,FALSE)</f>
        <v>110000</v>
      </c>
      <c r="J6910" s="20">
        <f t="shared" si="107"/>
        <v>0.57894736842105265</v>
      </c>
    </row>
    <row r="6911" spans="1:10" x14ac:dyDescent="0.3">
      <c r="A6911" s="33">
        <v>6910</v>
      </c>
      <c r="B6911" s="4">
        <v>54</v>
      </c>
      <c r="C6911" s="15">
        <v>285</v>
      </c>
      <c r="D6911" s="16">
        <v>6</v>
      </c>
      <c r="E6911" s="23">
        <v>45213</v>
      </c>
      <c r="F6911">
        <v>4</v>
      </c>
      <c r="G6911" s="20">
        <v>0.12</v>
      </c>
      <c r="H6911">
        <f>F6911*VLOOKUP(B6911,產品!$A$2:$H$61,7,FALSE)*(1-銷售總表!G6911)</f>
        <v>63360</v>
      </c>
      <c r="I6911" s="35">
        <f>H6911-F6911*VLOOKUP(銷售總表!B6911,產品!$A$2:$H$61,8,FALSE)</f>
        <v>12960</v>
      </c>
      <c r="J6911" s="20">
        <f t="shared" si="107"/>
        <v>0.20454545454545456</v>
      </c>
    </row>
    <row r="6912" spans="1:10" x14ac:dyDescent="0.3">
      <c r="A6912" s="33">
        <v>6911</v>
      </c>
      <c r="B6912" s="4">
        <v>4</v>
      </c>
      <c r="C6912" s="15">
        <v>118</v>
      </c>
      <c r="D6912" s="16">
        <v>7</v>
      </c>
      <c r="E6912" s="22">
        <v>45214</v>
      </c>
      <c r="F6912" s="19">
        <v>200</v>
      </c>
      <c r="G6912" s="18">
        <v>0.13</v>
      </c>
      <c r="H6912">
        <f>F6912*VLOOKUP(B6912,產品!$A$2:$H$61,7,FALSE)*(1-銷售總表!G6912)</f>
        <v>174000</v>
      </c>
      <c r="I6912" s="35">
        <f>H6912-F6912*VLOOKUP(銷售總表!B6912,產品!$A$2:$H$61,8,FALSE)</f>
        <v>94000</v>
      </c>
      <c r="J6912" s="20">
        <f t="shared" si="107"/>
        <v>0.54022988505747127</v>
      </c>
    </row>
    <row r="6913" spans="1:10" x14ac:dyDescent="0.3">
      <c r="A6913" s="33">
        <v>6912</v>
      </c>
      <c r="B6913" s="4">
        <v>28</v>
      </c>
      <c r="C6913" s="15">
        <v>280</v>
      </c>
      <c r="D6913" s="16">
        <v>8</v>
      </c>
      <c r="E6913" s="22">
        <v>45215</v>
      </c>
      <c r="F6913" s="19">
        <v>4</v>
      </c>
      <c r="G6913" s="18">
        <v>0.08</v>
      </c>
      <c r="H6913">
        <f>F6913*VLOOKUP(B6913,產品!$A$2:$H$61,7,FALSE)*(1-銷售總表!G6913)</f>
        <v>27600</v>
      </c>
      <c r="I6913" s="35">
        <f>H6913-F6913*VLOOKUP(銷售總表!B6913,產品!$A$2:$H$61,8,FALSE)</f>
        <v>9600</v>
      </c>
      <c r="J6913" s="20">
        <f t="shared" si="107"/>
        <v>0.34782608695652173</v>
      </c>
    </row>
    <row r="6914" spans="1:10" x14ac:dyDescent="0.3">
      <c r="A6914" s="33">
        <v>6913</v>
      </c>
      <c r="B6914" s="4">
        <v>14</v>
      </c>
      <c r="C6914" s="15">
        <v>136</v>
      </c>
      <c r="D6914" s="16">
        <v>6</v>
      </c>
      <c r="E6914" s="22">
        <v>45215</v>
      </c>
      <c r="F6914" s="19">
        <v>16</v>
      </c>
      <c r="G6914" s="18">
        <v>0.08</v>
      </c>
      <c r="H6914">
        <f>F6914*VLOOKUP(B6914,產品!$A$2:$H$61,7,FALSE)*(1-銷售總表!G6914)</f>
        <v>26496</v>
      </c>
      <c r="I6914" s="35">
        <f>H6914-F6914*VLOOKUP(銷售總表!B6914,產品!$A$2:$H$61,8,FALSE)</f>
        <v>14976</v>
      </c>
      <c r="J6914" s="20">
        <f t="shared" si="107"/>
        <v>0.56521739130434778</v>
      </c>
    </row>
    <row r="6915" spans="1:10" x14ac:dyDescent="0.3">
      <c r="A6915" s="33">
        <v>6914</v>
      </c>
      <c r="B6915" s="4">
        <v>13</v>
      </c>
      <c r="C6915" s="15">
        <v>115</v>
      </c>
      <c r="D6915" s="16">
        <v>2</v>
      </c>
      <c r="E6915" s="23">
        <v>45215</v>
      </c>
      <c r="F6915">
        <v>150</v>
      </c>
      <c r="G6915" s="20">
        <v>0.19</v>
      </c>
      <c r="H6915">
        <f>F6915*VLOOKUP(B6915,產品!$A$2:$H$61,7,FALSE)*(1-銷售總表!G6915)</f>
        <v>218700</v>
      </c>
      <c r="I6915" s="35">
        <f>H6915-F6915*VLOOKUP(銷售總表!B6915,產品!$A$2:$H$61,8,FALSE)</f>
        <v>110700</v>
      </c>
      <c r="J6915" s="20">
        <f t="shared" ref="J6915:J6978" si="108">I6915/H6915</f>
        <v>0.50617283950617287</v>
      </c>
    </row>
    <row r="6916" spans="1:10" x14ac:dyDescent="0.3">
      <c r="A6916" s="33">
        <v>6915</v>
      </c>
      <c r="B6916" s="4">
        <v>42</v>
      </c>
      <c r="C6916" s="15">
        <v>117</v>
      </c>
      <c r="D6916" s="16">
        <v>3</v>
      </c>
      <c r="E6916" s="23">
        <v>45215</v>
      </c>
      <c r="F6916">
        <v>20</v>
      </c>
      <c r="G6916" s="20">
        <v>0.19</v>
      </c>
      <c r="H6916">
        <f>F6916*VLOOKUP(B6916,產品!$A$2:$H$61,7,FALSE)*(1-銷售總表!G6916)</f>
        <v>243000.00000000003</v>
      </c>
      <c r="I6916" s="35">
        <f>H6916-F6916*VLOOKUP(銷售總表!B6916,產品!$A$2:$H$61,8,FALSE)</f>
        <v>48000.000000000029</v>
      </c>
      <c r="J6916" s="20">
        <f t="shared" si="108"/>
        <v>0.19753086419753096</v>
      </c>
    </row>
    <row r="6917" spans="1:10" x14ac:dyDescent="0.3">
      <c r="A6917" s="33">
        <v>6916</v>
      </c>
      <c r="B6917" s="4">
        <v>58</v>
      </c>
      <c r="C6917" s="15">
        <v>4</v>
      </c>
      <c r="D6917" s="16">
        <v>6</v>
      </c>
      <c r="E6917" s="22">
        <v>45216</v>
      </c>
      <c r="F6917" s="17">
        <v>1</v>
      </c>
      <c r="G6917" s="18">
        <v>0.14000000000000001</v>
      </c>
      <c r="H6917">
        <f>F6917*VLOOKUP(B6917,產品!$A$2:$H$61,7,FALSE)*(1-銷售總表!G6917)</f>
        <v>18060</v>
      </c>
      <c r="I6917" s="35">
        <f>H6917-F6917*VLOOKUP(銷售總表!B6917,產品!$A$2:$H$61,8,FALSE)</f>
        <v>3360.0000000000018</v>
      </c>
      <c r="J6917" s="20">
        <f t="shared" si="108"/>
        <v>0.18604651162790709</v>
      </c>
    </row>
    <row r="6918" spans="1:10" x14ac:dyDescent="0.3">
      <c r="A6918" s="33">
        <v>6917</v>
      </c>
      <c r="B6918" s="4">
        <v>30</v>
      </c>
      <c r="C6918" s="15">
        <v>283</v>
      </c>
      <c r="D6918" s="16">
        <v>6</v>
      </c>
      <c r="E6918" s="22">
        <v>45216</v>
      </c>
      <c r="F6918" s="19">
        <v>6</v>
      </c>
      <c r="G6918" s="18">
        <v>0.19</v>
      </c>
      <c r="H6918">
        <f>F6918*VLOOKUP(B6918,產品!$A$2:$H$61,7,FALSE)*(1-銷售總表!G6918)</f>
        <v>31590.000000000004</v>
      </c>
      <c r="I6918" s="35">
        <f>H6918-F6918*VLOOKUP(銷售總表!B6918,產品!$A$2:$H$61,8,FALSE)</f>
        <v>8190.0000000000036</v>
      </c>
      <c r="J6918" s="20">
        <f t="shared" si="108"/>
        <v>0.25925925925925936</v>
      </c>
    </row>
    <row r="6919" spans="1:10" x14ac:dyDescent="0.3">
      <c r="A6919" s="33">
        <v>6918</v>
      </c>
      <c r="B6919" s="4">
        <v>16</v>
      </c>
      <c r="C6919" s="15">
        <v>5</v>
      </c>
      <c r="D6919" s="16">
        <v>4</v>
      </c>
      <c r="E6919" s="22">
        <v>45216</v>
      </c>
      <c r="F6919" s="19">
        <v>10</v>
      </c>
      <c r="G6919" s="18">
        <v>0.09</v>
      </c>
      <c r="H6919">
        <f>F6919*VLOOKUP(B6919,產品!$A$2:$H$61,7,FALSE)*(1-銷售總表!G6919)</f>
        <v>16380</v>
      </c>
      <c r="I6919" s="35">
        <f>H6919-F6919*VLOOKUP(銷售總表!B6919,產品!$A$2:$H$61,8,FALSE)</f>
        <v>9180</v>
      </c>
      <c r="J6919" s="20">
        <f t="shared" si="108"/>
        <v>0.56043956043956045</v>
      </c>
    </row>
    <row r="6920" spans="1:10" x14ac:dyDescent="0.3">
      <c r="A6920" s="33">
        <v>6919</v>
      </c>
      <c r="B6920" s="4">
        <v>38</v>
      </c>
      <c r="C6920" s="15">
        <v>9</v>
      </c>
      <c r="D6920" s="16">
        <v>8</v>
      </c>
      <c r="E6920" s="22">
        <v>45216</v>
      </c>
      <c r="F6920" s="19">
        <v>2</v>
      </c>
      <c r="G6920" s="18">
        <v>0.2</v>
      </c>
      <c r="H6920">
        <f>F6920*VLOOKUP(B6920,產品!$A$2:$H$61,7,FALSE)*(1-銷售總表!G6920)</f>
        <v>24000</v>
      </c>
      <c r="I6920" s="35">
        <f>H6920-F6920*VLOOKUP(銷售總表!B6920,產品!$A$2:$H$61,8,FALSE)</f>
        <v>4500</v>
      </c>
      <c r="J6920" s="20">
        <f t="shared" si="108"/>
        <v>0.1875</v>
      </c>
    </row>
    <row r="6921" spans="1:10" x14ac:dyDescent="0.3">
      <c r="A6921" s="33">
        <v>6920</v>
      </c>
      <c r="B6921" s="4">
        <v>28</v>
      </c>
      <c r="C6921" s="15">
        <v>140</v>
      </c>
      <c r="D6921" s="16">
        <v>7</v>
      </c>
      <c r="E6921" s="22">
        <v>45216</v>
      </c>
      <c r="F6921" s="19">
        <v>5</v>
      </c>
      <c r="G6921" s="18">
        <v>0.18</v>
      </c>
      <c r="H6921">
        <f>F6921*VLOOKUP(B6921,產品!$A$2:$H$61,7,FALSE)*(1-銷售總表!G6921)</f>
        <v>30750.000000000004</v>
      </c>
      <c r="I6921" s="35">
        <f>H6921-F6921*VLOOKUP(銷售總表!B6921,產品!$A$2:$H$61,8,FALSE)</f>
        <v>8250.0000000000036</v>
      </c>
      <c r="J6921" s="20">
        <f t="shared" si="108"/>
        <v>0.26829268292682934</v>
      </c>
    </row>
    <row r="6922" spans="1:10" x14ac:dyDescent="0.3">
      <c r="A6922" s="33">
        <v>6921</v>
      </c>
      <c r="B6922" s="4">
        <v>24</v>
      </c>
      <c r="C6922" s="15">
        <v>3</v>
      </c>
      <c r="D6922" s="16">
        <v>10</v>
      </c>
      <c r="E6922" s="22">
        <v>45217</v>
      </c>
      <c r="F6922" s="17">
        <v>24</v>
      </c>
      <c r="G6922" s="18">
        <v>0.06</v>
      </c>
      <c r="H6922">
        <f>F6922*VLOOKUP(B6922,產品!$A$2:$H$61,7,FALSE)*(1-銷售總表!G6922)</f>
        <v>40608</v>
      </c>
      <c r="I6922" s="35">
        <f>H6922-F6922*VLOOKUP(銷售總表!B6922,產品!$A$2:$H$61,8,FALSE)</f>
        <v>23328</v>
      </c>
      <c r="J6922" s="20">
        <f t="shared" si="108"/>
        <v>0.57446808510638303</v>
      </c>
    </row>
    <row r="6923" spans="1:10" x14ac:dyDescent="0.3">
      <c r="A6923" s="33">
        <v>6922</v>
      </c>
      <c r="B6923" s="4">
        <v>12</v>
      </c>
      <c r="C6923" s="15">
        <v>265</v>
      </c>
      <c r="D6923" s="16">
        <v>1</v>
      </c>
      <c r="E6923" s="22">
        <v>45217</v>
      </c>
      <c r="F6923" s="19">
        <v>50</v>
      </c>
      <c r="G6923" s="18">
        <v>0.11</v>
      </c>
      <c r="H6923">
        <f>F6923*VLOOKUP(B6923,產品!$A$2:$H$61,7,FALSE)*(1-銷售總表!G6923)</f>
        <v>44500</v>
      </c>
      <c r="I6923" s="35">
        <f>H6923-F6923*VLOOKUP(銷售總表!B6923,產品!$A$2:$H$61,8,FALSE)</f>
        <v>24500</v>
      </c>
      <c r="J6923" s="20">
        <f t="shared" si="108"/>
        <v>0.550561797752809</v>
      </c>
    </row>
    <row r="6924" spans="1:10" x14ac:dyDescent="0.3">
      <c r="A6924" s="33">
        <v>6923</v>
      </c>
      <c r="B6924" s="4">
        <v>48</v>
      </c>
      <c r="C6924" s="15">
        <v>294</v>
      </c>
      <c r="D6924" s="16">
        <v>8</v>
      </c>
      <c r="E6924" s="22">
        <v>45218</v>
      </c>
      <c r="F6924" s="17">
        <v>5</v>
      </c>
      <c r="G6924" s="18">
        <v>0.09</v>
      </c>
      <c r="H6924">
        <f>F6924*VLOOKUP(B6924,產品!$A$2:$H$61,7,FALSE)*(1-銷售總表!G6924)</f>
        <v>100100</v>
      </c>
      <c r="I6924" s="35">
        <f>H6924-F6924*VLOOKUP(銷售總表!B6924,產品!$A$2:$H$61,8,FALSE)</f>
        <v>28600</v>
      </c>
      <c r="J6924" s="20">
        <f t="shared" si="108"/>
        <v>0.2857142857142857</v>
      </c>
    </row>
    <row r="6925" spans="1:10" x14ac:dyDescent="0.3">
      <c r="A6925" s="33">
        <v>6924</v>
      </c>
      <c r="B6925" s="4">
        <v>59</v>
      </c>
      <c r="C6925" s="15">
        <v>10</v>
      </c>
      <c r="D6925" s="16">
        <v>1</v>
      </c>
      <c r="E6925" s="22">
        <v>45218</v>
      </c>
      <c r="F6925" s="19">
        <v>8</v>
      </c>
      <c r="G6925" s="18">
        <v>0.05</v>
      </c>
      <c r="H6925">
        <f>F6925*VLOOKUP(B6925,產品!$A$2:$H$61,7,FALSE)*(1-銷售總表!G6925)</f>
        <v>182400</v>
      </c>
      <c r="I6925" s="35">
        <f>H6925-F6925*VLOOKUP(銷售總表!B6925,產品!$A$2:$H$61,8,FALSE)</f>
        <v>48000</v>
      </c>
      <c r="J6925" s="20">
        <f t="shared" si="108"/>
        <v>0.26315789473684209</v>
      </c>
    </row>
    <row r="6926" spans="1:10" x14ac:dyDescent="0.3">
      <c r="A6926" s="33">
        <v>6925</v>
      </c>
      <c r="B6926" s="4">
        <v>35</v>
      </c>
      <c r="C6926" s="15">
        <v>11</v>
      </c>
      <c r="D6926" s="16">
        <v>4</v>
      </c>
      <c r="E6926" s="22">
        <v>45219</v>
      </c>
      <c r="F6926" s="19">
        <v>30</v>
      </c>
      <c r="G6926" s="18">
        <v>0.06</v>
      </c>
      <c r="H6926">
        <f>F6926*VLOOKUP(B6926,產品!$A$2:$H$61,7,FALSE)*(1-銷售總表!G6926)</f>
        <v>239700</v>
      </c>
      <c r="I6926" s="35">
        <f>H6926-F6926*VLOOKUP(銷售總表!B6926,產品!$A$2:$H$61,8,FALSE)</f>
        <v>86700</v>
      </c>
      <c r="J6926" s="20">
        <f t="shared" si="108"/>
        <v>0.36170212765957449</v>
      </c>
    </row>
    <row r="6927" spans="1:10" x14ac:dyDescent="0.3">
      <c r="A6927" s="33">
        <v>6926</v>
      </c>
      <c r="B6927" s="4">
        <v>51</v>
      </c>
      <c r="C6927" s="15">
        <v>274</v>
      </c>
      <c r="D6927" s="16">
        <v>6</v>
      </c>
      <c r="E6927" s="23">
        <v>45219</v>
      </c>
      <c r="F6927">
        <v>17</v>
      </c>
      <c r="G6927" s="20">
        <v>0.15</v>
      </c>
      <c r="H6927">
        <f>F6927*VLOOKUP(B6927,產品!$A$2:$H$61,7,FALSE)*(1-銷售總表!G6927)</f>
        <v>289000</v>
      </c>
      <c r="I6927" s="35">
        <f>H6927-F6927*VLOOKUP(銷售總表!B6927,產品!$A$2:$H$61,8,FALSE)</f>
        <v>51000</v>
      </c>
      <c r="J6927" s="20">
        <f t="shared" si="108"/>
        <v>0.17647058823529413</v>
      </c>
    </row>
    <row r="6928" spans="1:10" x14ac:dyDescent="0.3">
      <c r="A6928" s="33">
        <v>6927</v>
      </c>
      <c r="B6928" s="4">
        <v>34</v>
      </c>
      <c r="C6928" s="15">
        <v>261</v>
      </c>
      <c r="D6928" s="16">
        <v>2</v>
      </c>
      <c r="E6928" s="22">
        <v>45220</v>
      </c>
      <c r="F6928" s="17">
        <v>20</v>
      </c>
      <c r="G6928" s="18">
        <v>0.06</v>
      </c>
      <c r="H6928">
        <f>F6928*VLOOKUP(B6928,產品!$A$2:$H$61,7,FALSE)*(1-銷售總表!G6928)</f>
        <v>150400</v>
      </c>
      <c r="I6928" s="35">
        <f>H6928-F6928*VLOOKUP(銷售總表!B6928,產品!$A$2:$H$61,8,FALSE)</f>
        <v>54400</v>
      </c>
      <c r="J6928" s="20">
        <f t="shared" si="108"/>
        <v>0.36170212765957449</v>
      </c>
    </row>
    <row r="6929" spans="1:10" x14ac:dyDescent="0.3">
      <c r="A6929" s="33">
        <v>6928</v>
      </c>
      <c r="B6929" s="4">
        <v>8</v>
      </c>
      <c r="C6929" s="15">
        <v>7</v>
      </c>
      <c r="D6929" s="16">
        <v>10</v>
      </c>
      <c r="E6929" s="22">
        <v>45220</v>
      </c>
      <c r="F6929" s="19">
        <v>14</v>
      </c>
      <c r="G6929" s="18">
        <v>0.11</v>
      </c>
      <c r="H6929">
        <f>F6929*VLOOKUP(B6929,產品!$A$2:$H$61,7,FALSE)*(1-銷售總表!G6929)</f>
        <v>12460</v>
      </c>
      <c r="I6929" s="35">
        <f>H6929-F6929*VLOOKUP(銷售總表!B6929,產品!$A$2:$H$61,8,FALSE)</f>
        <v>6860</v>
      </c>
      <c r="J6929" s="20">
        <f t="shared" si="108"/>
        <v>0.550561797752809</v>
      </c>
    </row>
    <row r="6930" spans="1:10" x14ac:dyDescent="0.3">
      <c r="A6930" s="33">
        <v>6929</v>
      </c>
      <c r="B6930" s="4">
        <v>30</v>
      </c>
      <c r="C6930" s="15">
        <v>4</v>
      </c>
      <c r="D6930" s="16">
        <v>10</v>
      </c>
      <c r="E6930" s="22">
        <v>45220</v>
      </c>
      <c r="F6930" s="19">
        <v>9</v>
      </c>
      <c r="G6930" s="18">
        <v>0.17</v>
      </c>
      <c r="H6930">
        <f>F6930*VLOOKUP(B6930,產品!$A$2:$H$61,7,FALSE)*(1-銷售總表!G6930)</f>
        <v>48555</v>
      </c>
      <c r="I6930" s="35">
        <f>H6930-F6930*VLOOKUP(銷售總表!B6930,產品!$A$2:$H$61,8,FALSE)</f>
        <v>13455</v>
      </c>
      <c r="J6930" s="20">
        <f t="shared" si="108"/>
        <v>0.27710843373493976</v>
      </c>
    </row>
    <row r="6931" spans="1:10" x14ac:dyDescent="0.3">
      <c r="A6931" s="33">
        <v>6930</v>
      </c>
      <c r="B6931" s="4">
        <v>34</v>
      </c>
      <c r="C6931" s="15">
        <v>7</v>
      </c>
      <c r="D6931" s="16">
        <v>5</v>
      </c>
      <c r="E6931" s="22">
        <v>45220</v>
      </c>
      <c r="F6931" s="19">
        <v>5</v>
      </c>
      <c r="G6931" s="18">
        <v>0.09</v>
      </c>
      <c r="H6931">
        <f>F6931*VLOOKUP(B6931,產品!$A$2:$H$61,7,FALSE)*(1-銷售總表!G6931)</f>
        <v>36400</v>
      </c>
      <c r="I6931" s="35">
        <f>H6931-F6931*VLOOKUP(銷售總表!B6931,產品!$A$2:$H$61,8,FALSE)</f>
        <v>12400</v>
      </c>
      <c r="J6931" s="20">
        <f t="shared" si="108"/>
        <v>0.34065934065934067</v>
      </c>
    </row>
    <row r="6932" spans="1:10" x14ac:dyDescent="0.3">
      <c r="A6932" s="33">
        <v>6931</v>
      </c>
      <c r="B6932" s="4">
        <v>49</v>
      </c>
      <c r="C6932" s="15">
        <v>279</v>
      </c>
      <c r="D6932" s="16">
        <v>9</v>
      </c>
      <c r="E6932" s="22">
        <v>45220</v>
      </c>
      <c r="F6932" s="19">
        <v>6</v>
      </c>
      <c r="G6932" s="18">
        <v>0.13</v>
      </c>
      <c r="H6932">
        <f>F6932*VLOOKUP(B6932,產品!$A$2:$H$61,7,FALSE)*(1-銷售總表!G6932)</f>
        <v>78300</v>
      </c>
      <c r="I6932" s="35">
        <f>H6932-F6932*VLOOKUP(銷售總表!B6932,產品!$A$2:$H$61,8,FALSE)</f>
        <v>15300</v>
      </c>
      <c r="J6932" s="20">
        <f t="shared" si="108"/>
        <v>0.19540229885057472</v>
      </c>
    </row>
    <row r="6933" spans="1:10" x14ac:dyDescent="0.3">
      <c r="A6933" s="33">
        <v>6932</v>
      </c>
      <c r="B6933" s="4">
        <v>50</v>
      </c>
      <c r="C6933" s="15">
        <v>2</v>
      </c>
      <c r="D6933" s="16">
        <v>1</v>
      </c>
      <c r="E6933" s="22">
        <v>45221</v>
      </c>
      <c r="F6933" s="17">
        <v>5</v>
      </c>
      <c r="G6933" s="18">
        <v>7.0000000000000007E-2</v>
      </c>
      <c r="H6933">
        <f>F6933*VLOOKUP(B6933,產品!$A$2:$H$61,7,FALSE)*(1-銷售總表!G6933)</f>
        <v>83700</v>
      </c>
      <c r="I6933" s="35">
        <f>H6933-F6933*VLOOKUP(銷售總表!B6933,產品!$A$2:$H$61,8,FALSE)</f>
        <v>20700</v>
      </c>
      <c r="J6933" s="20">
        <f t="shared" si="108"/>
        <v>0.24731182795698925</v>
      </c>
    </row>
    <row r="6934" spans="1:10" x14ac:dyDescent="0.3">
      <c r="A6934" s="33">
        <v>6933</v>
      </c>
      <c r="B6934" s="4">
        <v>2</v>
      </c>
      <c r="C6934" s="15">
        <v>287</v>
      </c>
      <c r="D6934" s="16">
        <v>1</v>
      </c>
      <c r="E6934" s="22">
        <v>45221</v>
      </c>
      <c r="F6934" s="19">
        <v>50</v>
      </c>
      <c r="G6934" s="18">
        <v>0.13</v>
      </c>
      <c r="H6934">
        <f>F6934*VLOOKUP(B6934,產品!$A$2:$H$61,7,FALSE)*(1-銷售總表!G6934)</f>
        <v>43500</v>
      </c>
      <c r="I6934" s="35">
        <f>H6934-F6934*VLOOKUP(銷售總表!B6934,產品!$A$2:$H$61,8,FALSE)</f>
        <v>23500</v>
      </c>
      <c r="J6934" s="20">
        <f t="shared" si="108"/>
        <v>0.54022988505747127</v>
      </c>
    </row>
    <row r="6935" spans="1:10" x14ac:dyDescent="0.3">
      <c r="A6935" s="33">
        <v>6934</v>
      </c>
      <c r="B6935" s="4">
        <v>42</v>
      </c>
      <c r="C6935" s="15">
        <v>290</v>
      </c>
      <c r="D6935" s="16">
        <v>8</v>
      </c>
      <c r="E6935" s="22">
        <v>45222</v>
      </c>
      <c r="F6935" s="17">
        <v>1</v>
      </c>
      <c r="G6935" s="18">
        <v>0.2</v>
      </c>
      <c r="H6935">
        <f>F6935*VLOOKUP(B6935,產品!$A$2:$H$61,7,FALSE)*(1-銷售總表!G6935)</f>
        <v>12000</v>
      </c>
      <c r="I6935" s="35">
        <f>H6935-F6935*VLOOKUP(銷售總表!B6935,產品!$A$2:$H$61,8,FALSE)</f>
        <v>2250</v>
      </c>
      <c r="J6935" s="20">
        <f t="shared" si="108"/>
        <v>0.1875</v>
      </c>
    </row>
    <row r="6936" spans="1:10" x14ac:dyDescent="0.3">
      <c r="A6936" s="33">
        <v>6935</v>
      </c>
      <c r="B6936" s="4">
        <v>60</v>
      </c>
      <c r="C6936" s="15">
        <v>119</v>
      </c>
      <c r="D6936" s="16">
        <v>10</v>
      </c>
      <c r="E6936" s="22">
        <v>45222</v>
      </c>
      <c r="F6936" s="19">
        <v>2</v>
      </c>
      <c r="G6936" s="18">
        <v>0.17</v>
      </c>
      <c r="H6936">
        <f>F6936*VLOOKUP(B6936,產品!$A$2:$H$61,7,FALSE)*(1-銷售總表!G6936)</f>
        <v>41500</v>
      </c>
      <c r="I6936" s="35">
        <f>H6936-F6936*VLOOKUP(銷售總表!B6936,產品!$A$2:$H$61,8,FALSE)</f>
        <v>6500</v>
      </c>
      <c r="J6936" s="20">
        <f t="shared" si="108"/>
        <v>0.15662650602409639</v>
      </c>
    </row>
    <row r="6937" spans="1:10" x14ac:dyDescent="0.3">
      <c r="A6937" s="33">
        <v>6936</v>
      </c>
      <c r="B6937" s="4">
        <v>12</v>
      </c>
      <c r="C6937" s="15">
        <v>262</v>
      </c>
      <c r="D6937" s="16">
        <v>7</v>
      </c>
      <c r="E6937" s="23">
        <v>45223</v>
      </c>
      <c r="F6937">
        <v>70</v>
      </c>
      <c r="G6937" s="20">
        <v>0.16</v>
      </c>
      <c r="H6937">
        <f>F6937*VLOOKUP(B6937,產品!$A$2:$H$61,7,FALSE)*(1-銷售總表!G6937)</f>
        <v>58800</v>
      </c>
      <c r="I6937" s="35">
        <f>H6937-F6937*VLOOKUP(銷售總表!B6937,產品!$A$2:$H$61,8,FALSE)</f>
        <v>30800</v>
      </c>
      <c r="J6937" s="20">
        <f t="shared" si="108"/>
        <v>0.52380952380952384</v>
      </c>
    </row>
    <row r="6938" spans="1:10" x14ac:dyDescent="0.3">
      <c r="A6938" s="33">
        <v>6937</v>
      </c>
      <c r="B6938" s="4">
        <v>18</v>
      </c>
      <c r="C6938" s="15">
        <v>261</v>
      </c>
      <c r="D6938" s="16">
        <v>5</v>
      </c>
      <c r="E6938" s="23">
        <v>45223</v>
      </c>
      <c r="F6938">
        <v>175</v>
      </c>
      <c r="G6938" s="20">
        <v>0.14000000000000001</v>
      </c>
      <c r="H6938">
        <f>F6938*VLOOKUP(B6938,產品!$A$2:$H$61,7,FALSE)*(1-銷售總表!G6938)</f>
        <v>270900</v>
      </c>
      <c r="I6938" s="35">
        <f>H6938-F6938*VLOOKUP(銷售總表!B6938,產品!$A$2:$H$61,8,FALSE)</f>
        <v>144900</v>
      </c>
      <c r="J6938" s="20">
        <f t="shared" si="108"/>
        <v>0.53488372093023251</v>
      </c>
    </row>
    <row r="6939" spans="1:10" x14ac:dyDescent="0.3">
      <c r="A6939" s="33">
        <v>6938</v>
      </c>
      <c r="B6939" s="4">
        <v>13</v>
      </c>
      <c r="C6939" s="15">
        <v>4</v>
      </c>
      <c r="D6939" s="16">
        <v>5</v>
      </c>
      <c r="E6939" s="22">
        <v>45224</v>
      </c>
      <c r="F6939" s="17">
        <v>15</v>
      </c>
      <c r="G6939" s="18">
        <v>0.11</v>
      </c>
      <c r="H6939">
        <f>F6939*VLOOKUP(B6939,產品!$A$2:$H$61,7,FALSE)*(1-銷售總表!G6939)</f>
        <v>24030</v>
      </c>
      <c r="I6939" s="35">
        <f>H6939-F6939*VLOOKUP(銷售總表!B6939,產品!$A$2:$H$61,8,FALSE)</f>
        <v>13230</v>
      </c>
      <c r="J6939" s="20">
        <f t="shared" si="108"/>
        <v>0.550561797752809</v>
      </c>
    </row>
    <row r="6940" spans="1:10" x14ac:dyDescent="0.3">
      <c r="A6940" s="33">
        <v>6939</v>
      </c>
      <c r="B6940" s="4">
        <v>44</v>
      </c>
      <c r="C6940" s="15">
        <v>260</v>
      </c>
      <c r="D6940" s="16">
        <v>3</v>
      </c>
      <c r="E6940" s="22">
        <v>45224</v>
      </c>
      <c r="F6940" s="17">
        <v>3</v>
      </c>
      <c r="G6940" s="18">
        <v>0.06</v>
      </c>
      <c r="H6940">
        <f>F6940*VLOOKUP(B6940,產品!$A$2:$H$61,7,FALSE)*(1-銷售總表!G6940)</f>
        <v>56400</v>
      </c>
      <c r="I6940" s="35">
        <f>H6940-F6940*VLOOKUP(銷售總表!B6940,產品!$A$2:$H$61,8,FALSE)</f>
        <v>17400</v>
      </c>
      <c r="J6940" s="20">
        <f t="shared" si="108"/>
        <v>0.30851063829787234</v>
      </c>
    </row>
    <row r="6941" spans="1:10" x14ac:dyDescent="0.3">
      <c r="A6941" s="33">
        <v>6940</v>
      </c>
      <c r="B6941" s="4">
        <v>24</v>
      </c>
      <c r="C6941" s="15">
        <v>285</v>
      </c>
      <c r="D6941" s="16">
        <v>7</v>
      </c>
      <c r="E6941" s="22">
        <v>45224</v>
      </c>
      <c r="F6941" s="19">
        <v>20</v>
      </c>
      <c r="G6941" s="18">
        <v>0.12</v>
      </c>
      <c r="H6941">
        <f>F6941*VLOOKUP(B6941,產品!$A$2:$H$61,7,FALSE)*(1-銷售總表!G6941)</f>
        <v>31680</v>
      </c>
      <c r="I6941" s="35">
        <f>H6941-F6941*VLOOKUP(銷售總表!B6941,產品!$A$2:$H$61,8,FALSE)</f>
        <v>17280</v>
      </c>
      <c r="J6941" s="20">
        <f t="shared" si="108"/>
        <v>0.54545454545454541</v>
      </c>
    </row>
    <row r="6942" spans="1:10" x14ac:dyDescent="0.3">
      <c r="A6942" s="33">
        <v>6941</v>
      </c>
      <c r="B6942" s="4">
        <v>27</v>
      </c>
      <c r="C6942" s="15">
        <v>1</v>
      </c>
      <c r="D6942" s="16">
        <v>8</v>
      </c>
      <c r="E6942" s="22">
        <v>45224</v>
      </c>
      <c r="F6942" s="19">
        <v>18</v>
      </c>
      <c r="G6942" s="18">
        <v>0.17</v>
      </c>
      <c r="H6942">
        <f>F6942*VLOOKUP(B6942,產品!$A$2:$H$61,7,FALSE)*(1-銷售總表!G6942)</f>
        <v>104580</v>
      </c>
      <c r="I6942" s="35">
        <f>H6942-F6942*VLOOKUP(銷售總表!B6942,產品!$A$2:$H$61,8,FALSE)</f>
        <v>28980</v>
      </c>
      <c r="J6942" s="20">
        <f t="shared" si="108"/>
        <v>0.27710843373493976</v>
      </c>
    </row>
    <row r="6943" spans="1:10" x14ac:dyDescent="0.3">
      <c r="A6943" s="33">
        <v>6942</v>
      </c>
      <c r="B6943" s="4">
        <v>1</v>
      </c>
      <c r="C6943" s="15">
        <v>123</v>
      </c>
      <c r="D6943" s="16">
        <v>9</v>
      </c>
      <c r="E6943" s="23">
        <v>45224</v>
      </c>
      <c r="F6943">
        <v>225</v>
      </c>
      <c r="G6943" s="20">
        <v>0.16</v>
      </c>
      <c r="H6943">
        <f>F6943*VLOOKUP(B6943,產品!$A$2:$H$61,7,FALSE)*(1-銷售總表!G6943)</f>
        <v>189000</v>
      </c>
      <c r="I6943" s="35">
        <f>H6943-F6943*VLOOKUP(銷售總表!B6943,產品!$A$2:$H$61,8,FALSE)</f>
        <v>99000</v>
      </c>
      <c r="J6943" s="20">
        <f t="shared" si="108"/>
        <v>0.52380952380952384</v>
      </c>
    </row>
    <row r="6944" spans="1:10" x14ac:dyDescent="0.3">
      <c r="A6944" s="33">
        <v>6943</v>
      </c>
      <c r="B6944" s="4">
        <v>50</v>
      </c>
      <c r="C6944" s="15">
        <v>2</v>
      </c>
      <c r="D6944" s="16">
        <v>6</v>
      </c>
      <c r="E6944" s="22">
        <v>45225</v>
      </c>
      <c r="F6944" s="17">
        <v>1</v>
      </c>
      <c r="G6944" s="18">
        <v>0.13</v>
      </c>
      <c r="H6944">
        <f>F6944*VLOOKUP(B6944,產品!$A$2:$H$61,7,FALSE)*(1-銷售總表!G6944)</f>
        <v>15660</v>
      </c>
      <c r="I6944" s="35">
        <f>H6944-F6944*VLOOKUP(銷售總表!B6944,產品!$A$2:$H$61,8,FALSE)</f>
        <v>3060</v>
      </c>
      <c r="J6944" s="20">
        <f t="shared" si="108"/>
        <v>0.19540229885057472</v>
      </c>
    </row>
    <row r="6945" spans="1:10" x14ac:dyDescent="0.3">
      <c r="A6945" s="33">
        <v>6944</v>
      </c>
      <c r="B6945" s="4">
        <v>9</v>
      </c>
      <c r="C6945" s="15">
        <v>265</v>
      </c>
      <c r="D6945" s="16">
        <v>8</v>
      </c>
      <c r="E6945" s="22">
        <v>45225</v>
      </c>
      <c r="F6945" s="19">
        <v>50</v>
      </c>
      <c r="G6945" s="18">
        <v>0.08</v>
      </c>
      <c r="H6945">
        <f>F6945*VLOOKUP(B6945,產品!$A$2:$H$61,7,FALSE)*(1-銷售總表!G6945)</f>
        <v>46000</v>
      </c>
      <c r="I6945" s="35">
        <f>H6945-F6945*VLOOKUP(銷售總表!B6945,產品!$A$2:$H$61,8,FALSE)</f>
        <v>26000</v>
      </c>
      <c r="J6945" s="20">
        <f t="shared" si="108"/>
        <v>0.56521739130434778</v>
      </c>
    </row>
    <row r="6946" spans="1:10" x14ac:dyDescent="0.3">
      <c r="A6946" s="33">
        <v>6945</v>
      </c>
      <c r="B6946" s="4">
        <v>26</v>
      </c>
      <c r="C6946" s="15">
        <v>284</v>
      </c>
      <c r="D6946" s="16">
        <v>2</v>
      </c>
      <c r="E6946" s="23">
        <v>45225</v>
      </c>
      <c r="F6946">
        <v>4</v>
      </c>
      <c r="G6946" s="20">
        <v>0.2</v>
      </c>
      <c r="H6946">
        <f>F6946*VLOOKUP(B6946,產品!$A$2:$H$61,7,FALSE)*(1-銷售總表!G6946)</f>
        <v>20800</v>
      </c>
      <c r="I6946" s="35">
        <f>H6946-F6946*VLOOKUP(銷售總表!B6946,產品!$A$2:$H$61,8,FALSE)</f>
        <v>5200</v>
      </c>
      <c r="J6946" s="20">
        <f t="shared" si="108"/>
        <v>0.25</v>
      </c>
    </row>
    <row r="6947" spans="1:10" x14ac:dyDescent="0.3">
      <c r="A6947" s="33">
        <v>6946</v>
      </c>
      <c r="B6947" s="4">
        <v>46</v>
      </c>
      <c r="C6947" s="15">
        <v>265</v>
      </c>
      <c r="D6947" s="16">
        <v>3</v>
      </c>
      <c r="E6947" s="23">
        <v>45225</v>
      </c>
      <c r="F6947">
        <v>19</v>
      </c>
      <c r="G6947" s="20">
        <v>0.2</v>
      </c>
      <c r="H6947">
        <f>F6947*VLOOKUP(B6947,產品!$A$2:$H$61,7,FALSE)*(1-銷售總表!G6947)</f>
        <v>258400</v>
      </c>
      <c r="I6947" s="35">
        <f>H6947-F6947*VLOOKUP(銷售總表!B6947,產品!$A$2:$H$61,8,FALSE)</f>
        <v>48450</v>
      </c>
      <c r="J6947" s="20">
        <f t="shared" si="108"/>
        <v>0.1875</v>
      </c>
    </row>
    <row r="6948" spans="1:10" x14ac:dyDescent="0.3">
      <c r="A6948" s="33">
        <v>6947</v>
      </c>
      <c r="B6948" s="4">
        <v>14</v>
      </c>
      <c r="C6948" s="15">
        <v>9</v>
      </c>
      <c r="D6948" s="16">
        <v>5</v>
      </c>
      <c r="E6948" s="23">
        <v>45225</v>
      </c>
      <c r="F6948">
        <v>50</v>
      </c>
      <c r="G6948" s="20">
        <v>0.2</v>
      </c>
      <c r="H6948">
        <f>F6948*VLOOKUP(B6948,產品!$A$2:$H$61,7,FALSE)*(1-銷售總表!G6948)</f>
        <v>72000</v>
      </c>
      <c r="I6948" s="35">
        <f>H6948-F6948*VLOOKUP(銷售總表!B6948,產品!$A$2:$H$61,8,FALSE)</f>
        <v>36000</v>
      </c>
      <c r="J6948" s="20">
        <f t="shared" si="108"/>
        <v>0.5</v>
      </c>
    </row>
    <row r="6949" spans="1:10" x14ac:dyDescent="0.3">
      <c r="A6949" s="33">
        <v>6948</v>
      </c>
      <c r="B6949" s="4">
        <v>10</v>
      </c>
      <c r="C6949" s="15">
        <v>272</v>
      </c>
      <c r="D6949" s="16">
        <v>10</v>
      </c>
      <c r="E6949" s="22">
        <v>45226</v>
      </c>
      <c r="F6949" s="17">
        <v>90</v>
      </c>
      <c r="G6949" s="18">
        <v>0.13</v>
      </c>
      <c r="H6949">
        <f>F6949*VLOOKUP(B6949,產品!$A$2:$H$61,7,FALSE)*(1-銷售總表!G6949)</f>
        <v>78300</v>
      </c>
      <c r="I6949" s="35">
        <f>H6949-F6949*VLOOKUP(銷售總表!B6949,產品!$A$2:$H$61,8,FALSE)</f>
        <v>42300</v>
      </c>
      <c r="J6949" s="20">
        <f t="shared" si="108"/>
        <v>0.54022988505747127</v>
      </c>
    </row>
    <row r="6950" spans="1:10" x14ac:dyDescent="0.3">
      <c r="A6950" s="33">
        <v>6949</v>
      </c>
      <c r="B6950" s="4">
        <v>40</v>
      </c>
      <c r="C6950" s="15">
        <v>290</v>
      </c>
      <c r="D6950" s="16">
        <v>4</v>
      </c>
      <c r="E6950" s="22">
        <v>45226</v>
      </c>
      <c r="F6950" s="17">
        <v>6</v>
      </c>
      <c r="G6950" s="18">
        <v>0.09</v>
      </c>
      <c r="H6950">
        <f>F6950*VLOOKUP(B6950,產品!$A$2:$H$61,7,FALSE)*(1-銷售總表!G6950)</f>
        <v>109200</v>
      </c>
      <c r="I6950" s="35">
        <f>H6950-F6950*VLOOKUP(銷售總表!B6950,產品!$A$2:$H$61,8,FALSE)</f>
        <v>31200</v>
      </c>
      <c r="J6950" s="20">
        <f t="shared" si="108"/>
        <v>0.2857142857142857</v>
      </c>
    </row>
    <row r="6951" spans="1:10" x14ac:dyDescent="0.3">
      <c r="A6951" s="33">
        <v>6950</v>
      </c>
      <c r="B6951" s="4">
        <v>7</v>
      </c>
      <c r="C6951" s="15">
        <v>273</v>
      </c>
      <c r="D6951" s="16">
        <v>7</v>
      </c>
      <c r="E6951" s="22">
        <v>45226</v>
      </c>
      <c r="F6951" s="19">
        <v>50</v>
      </c>
      <c r="G6951" s="18">
        <v>0.12</v>
      </c>
      <c r="H6951">
        <f>F6951*VLOOKUP(B6951,產品!$A$2:$H$61,7,FALSE)*(1-銷售總表!G6951)</f>
        <v>44000</v>
      </c>
      <c r="I6951" s="35">
        <f>H6951-F6951*VLOOKUP(銷售總表!B6951,產品!$A$2:$H$61,8,FALSE)</f>
        <v>24000</v>
      </c>
      <c r="J6951" s="20">
        <f t="shared" si="108"/>
        <v>0.54545454545454541</v>
      </c>
    </row>
    <row r="6952" spans="1:10" x14ac:dyDescent="0.3">
      <c r="A6952" s="33">
        <v>6951</v>
      </c>
      <c r="B6952" s="4">
        <v>12</v>
      </c>
      <c r="C6952" s="15">
        <v>262</v>
      </c>
      <c r="D6952" s="16">
        <v>6</v>
      </c>
      <c r="E6952" s="22">
        <v>45226</v>
      </c>
      <c r="F6952" s="19">
        <v>12</v>
      </c>
      <c r="G6952" s="18">
        <v>0.19</v>
      </c>
      <c r="H6952">
        <f>F6952*VLOOKUP(B6952,產品!$A$2:$H$61,7,FALSE)*(1-銷售總表!G6952)</f>
        <v>9720</v>
      </c>
      <c r="I6952" s="35">
        <f>H6952-F6952*VLOOKUP(銷售總表!B6952,產品!$A$2:$H$61,8,FALSE)</f>
        <v>4920</v>
      </c>
      <c r="J6952" s="20">
        <f t="shared" si="108"/>
        <v>0.50617283950617287</v>
      </c>
    </row>
    <row r="6953" spans="1:10" x14ac:dyDescent="0.3">
      <c r="A6953" s="33">
        <v>6952</v>
      </c>
      <c r="B6953" s="4">
        <v>28</v>
      </c>
      <c r="C6953" s="15">
        <v>138</v>
      </c>
      <c r="D6953" s="16">
        <v>9</v>
      </c>
      <c r="E6953" s="22">
        <v>45226</v>
      </c>
      <c r="F6953" s="19">
        <v>6</v>
      </c>
      <c r="G6953" s="18">
        <v>0.17</v>
      </c>
      <c r="H6953">
        <f>F6953*VLOOKUP(B6953,產品!$A$2:$H$61,7,FALSE)*(1-銷售總表!G6953)</f>
        <v>37350</v>
      </c>
      <c r="I6953" s="35">
        <f>H6953-F6953*VLOOKUP(銷售總表!B6953,產品!$A$2:$H$61,8,FALSE)</f>
        <v>10350</v>
      </c>
      <c r="J6953" s="20">
        <f t="shared" si="108"/>
        <v>0.27710843373493976</v>
      </c>
    </row>
    <row r="6954" spans="1:10" x14ac:dyDescent="0.3">
      <c r="A6954" s="33">
        <v>6953</v>
      </c>
      <c r="B6954" s="4">
        <v>58</v>
      </c>
      <c r="C6954" s="15">
        <v>4</v>
      </c>
      <c r="D6954" s="16">
        <v>7</v>
      </c>
      <c r="E6954" s="22">
        <v>45226</v>
      </c>
      <c r="F6954" s="19">
        <v>10</v>
      </c>
      <c r="G6954" s="18">
        <v>0.11</v>
      </c>
      <c r="H6954">
        <f>F6954*VLOOKUP(B6954,產品!$A$2:$H$61,7,FALSE)*(1-銷售總表!G6954)</f>
        <v>186900</v>
      </c>
      <c r="I6954" s="35">
        <f>H6954-F6954*VLOOKUP(銷售總表!B6954,產品!$A$2:$H$61,8,FALSE)</f>
        <v>39900.000000000029</v>
      </c>
      <c r="J6954" s="20">
        <f t="shared" si="108"/>
        <v>0.21348314606741589</v>
      </c>
    </row>
    <row r="6955" spans="1:10" x14ac:dyDescent="0.3">
      <c r="A6955" s="33">
        <v>6954</v>
      </c>
      <c r="B6955" s="4">
        <v>43</v>
      </c>
      <c r="C6955" s="15">
        <v>267</v>
      </c>
      <c r="D6955" s="16">
        <v>10</v>
      </c>
      <c r="E6955" s="22">
        <v>45227</v>
      </c>
      <c r="F6955" s="17">
        <v>4</v>
      </c>
      <c r="G6955" s="18">
        <v>0.14000000000000001</v>
      </c>
      <c r="H6955">
        <f>F6955*VLOOKUP(B6955,產品!$A$2:$H$61,7,FALSE)*(1-銷售總表!G6955)</f>
        <v>61920</v>
      </c>
      <c r="I6955" s="35">
        <f>H6955-F6955*VLOOKUP(銷售總表!B6955,產品!$A$2:$H$61,8,FALSE)</f>
        <v>15120</v>
      </c>
      <c r="J6955" s="20">
        <f t="shared" si="108"/>
        <v>0.2441860465116279</v>
      </c>
    </row>
    <row r="6956" spans="1:10" x14ac:dyDescent="0.3">
      <c r="A6956" s="33">
        <v>6955</v>
      </c>
      <c r="B6956" s="4">
        <v>58</v>
      </c>
      <c r="C6956" s="15">
        <v>2</v>
      </c>
      <c r="D6956" s="16">
        <v>4</v>
      </c>
      <c r="E6956" s="22">
        <v>45227</v>
      </c>
      <c r="F6956" s="19">
        <v>12</v>
      </c>
      <c r="G6956" s="18">
        <v>0.09</v>
      </c>
      <c r="H6956">
        <f>F6956*VLOOKUP(B6956,產品!$A$2:$H$61,7,FALSE)*(1-銷售總表!G6956)</f>
        <v>229320</v>
      </c>
      <c r="I6956" s="35">
        <f>H6956-F6956*VLOOKUP(銷售總表!B6956,產品!$A$2:$H$61,8,FALSE)</f>
        <v>52920.000000000029</v>
      </c>
      <c r="J6956" s="20">
        <f t="shared" si="108"/>
        <v>0.23076923076923089</v>
      </c>
    </row>
    <row r="6957" spans="1:10" x14ac:dyDescent="0.3">
      <c r="A6957" s="33">
        <v>6956</v>
      </c>
      <c r="B6957" s="4">
        <v>2</v>
      </c>
      <c r="C6957" s="15">
        <v>120</v>
      </c>
      <c r="D6957" s="16">
        <v>7</v>
      </c>
      <c r="E6957" s="22">
        <v>45227</v>
      </c>
      <c r="F6957" s="19">
        <v>12</v>
      </c>
      <c r="G6957" s="18">
        <v>0.1</v>
      </c>
      <c r="H6957">
        <f>F6957*VLOOKUP(B6957,產品!$A$2:$H$61,7,FALSE)*(1-銷售總表!G6957)</f>
        <v>10800</v>
      </c>
      <c r="I6957" s="35">
        <f>H6957-F6957*VLOOKUP(銷售總表!B6957,產品!$A$2:$H$61,8,FALSE)</f>
        <v>6000</v>
      </c>
      <c r="J6957" s="20">
        <f t="shared" si="108"/>
        <v>0.55555555555555558</v>
      </c>
    </row>
    <row r="6958" spans="1:10" x14ac:dyDescent="0.3">
      <c r="A6958" s="33">
        <v>6957</v>
      </c>
      <c r="B6958" s="4">
        <v>18</v>
      </c>
      <c r="C6958" s="15">
        <v>262</v>
      </c>
      <c r="D6958" s="16">
        <v>10</v>
      </c>
      <c r="E6958" s="23">
        <v>45227</v>
      </c>
      <c r="F6958">
        <v>21</v>
      </c>
      <c r="G6958" s="20">
        <v>0.15</v>
      </c>
      <c r="H6958">
        <f>F6958*VLOOKUP(B6958,產品!$A$2:$H$61,7,FALSE)*(1-銷售總表!G6958)</f>
        <v>32130</v>
      </c>
      <c r="I6958" s="35">
        <f>H6958-F6958*VLOOKUP(銷售總表!B6958,產品!$A$2:$H$61,8,FALSE)</f>
        <v>17010</v>
      </c>
      <c r="J6958" s="20">
        <f t="shared" si="108"/>
        <v>0.52941176470588236</v>
      </c>
    </row>
    <row r="6959" spans="1:10" x14ac:dyDescent="0.3">
      <c r="A6959" s="33">
        <v>6958</v>
      </c>
      <c r="B6959" s="4">
        <v>51</v>
      </c>
      <c r="C6959" s="15">
        <v>9</v>
      </c>
      <c r="D6959" s="16">
        <v>8</v>
      </c>
      <c r="E6959" s="22">
        <v>45228</v>
      </c>
      <c r="F6959" s="17">
        <v>14</v>
      </c>
      <c r="G6959" s="18">
        <v>0.2</v>
      </c>
      <c r="H6959">
        <f>F6959*VLOOKUP(B6959,產品!$A$2:$H$61,7,FALSE)*(1-銷售總表!G6959)</f>
        <v>224000</v>
      </c>
      <c r="I6959" s="35">
        <f>H6959-F6959*VLOOKUP(銷售總表!B6959,產品!$A$2:$H$61,8,FALSE)</f>
        <v>28000</v>
      </c>
      <c r="J6959" s="20">
        <f t="shared" si="108"/>
        <v>0.125</v>
      </c>
    </row>
    <row r="6960" spans="1:10" x14ac:dyDescent="0.3">
      <c r="A6960" s="33">
        <v>6959</v>
      </c>
      <c r="B6960" s="4">
        <v>56</v>
      </c>
      <c r="C6960" s="15">
        <v>290</v>
      </c>
      <c r="D6960" s="16">
        <v>2</v>
      </c>
      <c r="E6960" s="22">
        <v>45228</v>
      </c>
      <c r="F6960" s="17">
        <v>5</v>
      </c>
      <c r="G6960" s="18">
        <v>0.06</v>
      </c>
      <c r="H6960">
        <f>F6960*VLOOKUP(B6960,產品!$A$2:$H$61,7,FALSE)*(1-銷售總表!G6960)</f>
        <v>103400</v>
      </c>
      <c r="I6960" s="35">
        <f>H6960-F6960*VLOOKUP(銷售總表!B6960,產品!$A$2:$H$61,8,FALSE)</f>
        <v>26400.000000000015</v>
      </c>
      <c r="J6960" s="20">
        <f t="shared" si="108"/>
        <v>0.25531914893617036</v>
      </c>
    </row>
    <row r="6961" spans="1:10" x14ac:dyDescent="0.3">
      <c r="A6961" s="33">
        <v>6960</v>
      </c>
      <c r="B6961" s="4">
        <v>9</v>
      </c>
      <c r="C6961" s="15">
        <v>282</v>
      </c>
      <c r="D6961" s="16">
        <v>3</v>
      </c>
      <c r="E6961" s="22">
        <v>45228</v>
      </c>
      <c r="F6961" s="19">
        <v>70</v>
      </c>
      <c r="G6961" s="18">
        <v>0.1</v>
      </c>
      <c r="H6961">
        <f>F6961*VLOOKUP(B6961,產品!$A$2:$H$61,7,FALSE)*(1-銷售總表!G6961)</f>
        <v>63000</v>
      </c>
      <c r="I6961" s="35">
        <f>H6961-F6961*VLOOKUP(銷售總表!B6961,產品!$A$2:$H$61,8,FALSE)</f>
        <v>35000</v>
      </c>
      <c r="J6961" s="20">
        <f t="shared" si="108"/>
        <v>0.55555555555555558</v>
      </c>
    </row>
    <row r="6962" spans="1:10" x14ac:dyDescent="0.3">
      <c r="A6962" s="33">
        <v>6961</v>
      </c>
      <c r="B6962" s="4">
        <v>50</v>
      </c>
      <c r="C6962" s="15">
        <v>3</v>
      </c>
      <c r="D6962" s="16">
        <v>9</v>
      </c>
      <c r="E6962" s="22">
        <v>45228</v>
      </c>
      <c r="F6962" s="19">
        <v>5</v>
      </c>
      <c r="G6962" s="18">
        <v>0.15</v>
      </c>
      <c r="H6962">
        <f>F6962*VLOOKUP(B6962,產品!$A$2:$H$61,7,FALSE)*(1-銷售總表!G6962)</f>
        <v>76500</v>
      </c>
      <c r="I6962" s="35">
        <f>H6962-F6962*VLOOKUP(銷售總表!B6962,產品!$A$2:$H$61,8,FALSE)</f>
        <v>13500</v>
      </c>
      <c r="J6962" s="20">
        <f t="shared" si="108"/>
        <v>0.17647058823529413</v>
      </c>
    </row>
    <row r="6963" spans="1:10" x14ac:dyDescent="0.3">
      <c r="A6963" s="33">
        <v>6962</v>
      </c>
      <c r="B6963" s="4">
        <v>24</v>
      </c>
      <c r="C6963" s="15">
        <v>259</v>
      </c>
      <c r="D6963" s="16">
        <v>10</v>
      </c>
      <c r="E6963" s="23">
        <v>45228</v>
      </c>
      <c r="F6963">
        <v>80</v>
      </c>
      <c r="G6963" s="20">
        <v>0.15</v>
      </c>
      <c r="H6963">
        <f>F6963*VLOOKUP(B6963,產品!$A$2:$H$61,7,FALSE)*(1-銷售總表!G6963)</f>
        <v>122400</v>
      </c>
      <c r="I6963" s="35">
        <f>H6963-F6963*VLOOKUP(銷售總表!B6963,產品!$A$2:$H$61,8,FALSE)</f>
        <v>64800</v>
      </c>
      <c r="J6963" s="20">
        <f t="shared" si="108"/>
        <v>0.52941176470588236</v>
      </c>
    </row>
    <row r="6964" spans="1:10" x14ac:dyDescent="0.3">
      <c r="A6964" s="33">
        <v>6963</v>
      </c>
      <c r="B6964" s="4">
        <v>48</v>
      </c>
      <c r="C6964" s="15">
        <v>121</v>
      </c>
      <c r="D6964" s="16">
        <v>4</v>
      </c>
      <c r="E6964" s="22">
        <v>45229</v>
      </c>
      <c r="F6964" s="19">
        <v>15</v>
      </c>
      <c r="G6964" s="18">
        <v>0.14000000000000001</v>
      </c>
      <c r="H6964">
        <f>F6964*VLOOKUP(B6964,產品!$A$2:$H$61,7,FALSE)*(1-銷售總表!G6964)</f>
        <v>283800</v>
      </c>
      <c r="I6964" s="35">
        <f>H6964-F6964*VLOOKUP(銷售總表!B6964,產品!$A$2:$H$61,8,FALSE)</f>
        <v>69300</v>
      </c>
      <c r="J6964" s="20">
        <f t="shared" si="108"/>
        <v>0.2441860465116279</v>
      </c>
    </row>
    <row r="6965" spans="1:10" x14ac:dyDescent="0.3">
      <c r="A6965" s="33">
        <v>6964</v>
      </c>
      <c r="B6965" s="4">
        <v>40</v>
      </c>
      <c r="C6965" s="15">
        <v>124</v>
      </c>
      <c r="D6965" s="16">
        <v>2</v>
      </c>
      <c r="E6965" s="22">
        <v>45229</v>
      </c>
      <c r="F6965" s="19">
        <v>10</v>
      </c>
      <c r="G6965" s="18">
        <v>0.1</v>
      </c>
      <c r="H6965">
        <f>F6965*VLOOKUP(B6965,產品!$A$2:$H$61,7,FALSE)*(1-銷售總表!G6965)</f>
        <v>180000</v>
      </c>
      <c r="I6965" s="35">
        <f>H6965-F6965*VLOOKUP(銷售總表!B6965,產品!$A$2:$H$61,8,FALSE)</f>
        <v>50000</v>
      </c>
      <c r="J6965" s="20">
        <f t="shared" si="108"/>
        <v>0.27777777777777779</v>
      </c>
    </row>
    <row r="6966" spans="1:10" x14ac:dyDescent="0.3">
      <c r="A6966" s="33">
        <v>6965</v>
      </c>
      <c r="B6966" s="4">
        <v>58</v>
      </c>
      <c r="C6966" s="15">
        <v>259</v>
      </c>
      <c r="D6966" s="16">
        <v>4</v>
      </c>
      <c r="E6966" s="22">
        <v>45229</v>
      </c>
      <c r="F6966" s="19">
        <v>5</v>
      </c>
      <c r="G6966" s="18">
        <v>0.06</v>
      </c>
      <c r="H6966">
        <f>F6966*VLOOKUP(B6966,產品!$A$2:$H$61,7,FALSE)*(1-銷售總表!G6966)</f>
        <v>98700</v>
      </c>
      <c r="I6966" s="35">
        <f>H6966-F6966*VLOOKUP(銷售總表!B6966,產品!$A$2:$H$61,8,FALSE)</f>
        <v>25200.000000000015</v>
      </c>
      <c r="J6966" s="20">
        <f t="shared" si="108"/>
        <v>0.25531914893617036</v>
      </c>
    </row>
    <row r="6967" spans="1:10" x14ac:dyDescent="0.3">
      <c r="A6967" s="33">
        <v>6966</v>
      </c>
      <c r="B6967" s="4">
        <v>5</v>
      </c>
      <c r="C6967" s="15">
        <v>277</v>
      </c>
      <c r="D6967" s="16">
        <v>9</v>
      </c>
      <c r="E6967" s="22">
        <v>45230</v>
      </c>
      <c r="F6967" s="17">
        <v>15</v>
      </c>
      <c r="G6967" s="18">
        <v>0.18</v>
      </c>
      <c r="H6967">
        <f>F6967*VLOOKUP(B6967,產品!$A$2:$H$61,7,FALSE)*(1-銷售總表!G6967)</f>
        <v>12300.000000000002</v>
      </c>
      <c r="I6967" s="35">
        <f>H6967-F6967*VLOOKUP(銷售總表!B6967,產品!$A$2:$H$61,8,FALSE)</f>
        <v>6300.0000000000018</v>
      </c>
      <c r="J6967" s="20">
        <f t="shared" si="108"/>
        <v>0.51219512195121963</v>
      </c>
    </row>
    <row r="6968" spans="1:10" x14ac:dyDescent="0.3">
      <c r="A6968" s="33">
        <v>6967</v>
      </c>
      <c r="B6968" s="4">
        <v>2</v>
      </c>
      <c r="C6968" s="15">
        <v>140</v>
      </c>
      <c r="D6968" s="16">
        <v>8</v>
      </c>
      <c r="E6968" s="23">
        <v>45230</v>
      </c>
      <c r="F6968">
        <v>40</v>
      </c>
      <c r="G6968" s="20">
        <v>0.15</v>
      </c>
      <c r="H6968">
        <f>F6968*VLOOKUP(B6968,產品!$A$2:$H$61,7,FALSE)*(1-銷售總表!G6968)</f>
        <v>34000</v>
      </c>
      <c r="I6968" s="35">
        <f>H6968-F6968*VLOOKUP(銷售總表!B6968,產品!$A$2:$H$61,8,FALSE)</f>
        <v>18000</v>
      </c>
      <c r="J6968" s="20">
        <f t="shared" si="108"/>
        <v>0.52941176470588236</v>
      </c>
    </row>
    <row r="6969" spans="1:10" x14ac:dyDescent="0.3">
      <c r="A6969" s="33">
        <v>6968</v>
      </c>
      <c r="B6969" s="4">
        <v>26</v>
      </c>
      <c r="C6969" s="15">
        <v>294</v>
      </c>
      <c r="D6969" s="16">
        <v>10</v>
      </c>
      <c r="E6969" s="23">
        <v>45230</v>
      </c>
      <c r="F6969">
        <v>6</v>
      </c>
      <c r="G6969" s="20">
        <v>0.11</v>
      </c>
      <c r="H6969">
        <f>F6969*VLOOKUP(B6969,產品!$A$2:$H$61,7,FALSE)*(1-銷售總表!G6969)</f>
        <v>34710</v>
      </c>
      <c r="I6969" s="35">
        <f>H6969-F6969*VLOOKUP(銷售總表!B6969,產品!$A$2:$H$61,8,FALSE)</f>
        <v>11310</v>
      </c>
      <c r="J6969" s="20">
        <f t="shared" si="108"/>
        <v>0.3258426966292135</v>
      </c>
    </row>
    <row r="6970" spans="1:10" x14ac:dyDescent="0.3">
      <c r="A6970" s="33">
        <v>6969</v>
      </c>
      <c r="B6970" s="4">
        <v>54</v>
      </c>
      <c r="C6970" s="15">
        <v>139</v>
      </c>
      <c r="D6970" s="16">
        <v>4</v>
      </c>
      <c r="E6970" s="23">
        <v>45230</v>
      </c>
      <c r="F6970">
        <v>6</v>
      </c>
      <c r="G6970" s="20">
        <v>0.09</v>
      </c>
      <c r="H6970">
        <f>F6970*VLOOKUP(B6970,產品!$A$2:$H$61,7,FALSE)*(1-銷售總表!G6970)</f>
        <v>98280</v>
      </c>
      <c r="I6970" s="35">
        <f>H6970-F6970*VLOOKUP(銷售總表!B6970,產品!$A$2:$H$61,8,FALSE)</f>
        <v>22680</v>
      </c>
      <c r="J6970" s="20">
        <f t="shared" si="108"/>
        <v>0.23076923076923078</v>
      </c>
    </row>
    <row r="6971" spans="1:10" x14ac:dyDescent="0.3">
      <c r="A6971" s="33">
        <v>6970</v>
      </c>
      <c r="B6971" s="4">
        <v>57</v>
      </c>
      <c r="C6971" s="15">
        <v>269</v>
      </c>
      <c r="D6971" s="16">
        <v>5</v>
      </c>
      <c r="E6971" s="23">
        <v>45230</v>
      </c>
      <c r="F6971">
        <v>5</v>
      </c>
      <c r="G6971" s="20">
        <v>0.1</v>
      </c>
      <c r="H6971">
        <f>F6971*VLOOKUP(B6971,產品!$A$2:$H$61,7,FALSE)*(1-銷售總表!G6971)</f>
        <v>81000</v>
      </c>
      <c r="I6971" s="35">
        <f>H6971-F6971*VLOOKUP(銷售總表!B6971,產品!$A$2:$H$61,8,FALSE)</f>
        <v>18000</v>
      </c>
      <c r="J6971" s="20">
        <f t="shared" si="108"/>
        <v>0.22222222222222221</v>
      </c>
    </row>
    <row r="6972" spans="1:10" x14ac:dyDescent="0.3">
      <c r="A6972" s="33">
        <v>6971</v>
      </c>
      <c r="B6972" s="4">
        <v>35</v>
      </c>
      <c r="C6972" s="15">
        <v>275</v>
      </c>
      <c r="D6972" s="16">
        <v>6</v>
      </c>
      <c r="E6972" s="22">
        <v>45231</v>
      </c>
      <c r="F6972" s="19">
        <v>8</v>
      </c>
      <c r="G6972" s="18">
        <v>0.06</v>
      </c>
      <c r="H6972">
        <f>F6972*VLOOKUP(B6972,產品!$A$2:$H$61,7,FALSE)*(1-銷售總表!G6972)</f>
        <v>63920</v>
      </c>
      <c r="I6972" s="35">
        <f>H6972-F6972*VLOOKUP(銷售總表!B6972,產品!$A$2:$H$61,8,FALSE)</f>
        <v>23120</v>
      </c>
      <c r="J6972" s="20">
        <f t="shared" si="108"/>
        <v>0.36170212765957449</v>
      </c>
    </row>
    <row r="6973" spans="1:10" x14ac:dyDescent="0.3">
      <c r="A6973" s="33">
        <v>6972</v>
      </c>
      <c r="B6973" s="4">
        <v>43</v>
      </c>
      <c r="C6973" s="15">
        <v>259</v>
      </c>
      <c r="D6973" s="16">
        <v>4</v>
      </c>
      <c r="E6973" s="22">
        <v>45232</v>
      </c>
      <c r="F6973" s="17">
        <v>15</v>
      </c>
      <c r="G6973" s="18">
        <v>7.0000000000000007E-2</v>
      </c>
      <c r="H6973">
        <f>F6973*VLOOKUP(B6973,產品!$A$2:$H$61,7,FALSE)*(1-銷售總表!G6973)</f>
        <v>251099.99999999997</v>
      </c>
      <c r="I6973" s="35">
        <f>H6973-F6973*VLOOKUP(銷售總表!B6973,產品!$A$2:$H$61,8,FALSE)</f>
        <v>75599.999999999971</v>
      </c>
      <c r="J6973" s="20">
        <f t="shared" si="108"/>
        <v>0.3010752688172042</v>
      </c>
    </row>
    <row r="6974" spans="1:10" x14ac:dyDescent="0.3">
      <c r="A6974" s="33">
        <v>6973</v>
      </c>
      <c r="B6974" s="4">
        <v>12</v>
      </c>
      <c r="C6974" s="15">
        <v>263</v>
      </c>
      <c r="D6974" s="16">
        <v>7</v>
      </c>
      <c r="E6974" s="22">
        <v>45232</v>
      </c>
      <c r="F6974" s="19">
        <v>50</v>
      </c>
      <c r="G6974" s="18">
        <v>0.05</v>
      </c>
      <c r="H6974">
        <f>F6974*VLOOKUP(B6974,產品!$A$2:$H$61,7,FALSE)*(1-銷售總表!G6974)</f>
        <v>47500</v>
      </c>
      <c r="I6974" s="35">
        <f>H6974-F6974*VLOOKUP(銷售總表!B6974,產品!$A$2:$H$61,8,FALSE)</f>
        <v>27500</v>
      </c>
      <c r="J6974" s="20">
        <f t="shared" si="108"/>
        <v>0.57894736842105265</v>
      </c>
    </row>
    <row r="6975" spans="1:10" x14ac:dyDescent="0.3">
      <c r="A6975" s="33">
        <v>6974</v>
      </c>
      <c r="B6975" s="4">
        <v>23</v>
      </c>
      <c r="C6975" s="15">
        <v>262</v>
      </c>
      <c r="D6975" s="16">
        <v>5</v>
      </c>
      <c r="E6975" s="22">
        <v>45232</v>
      </c>
      <c r="F6975" s="19">
        <v>15</v>
      </c>
      <c r="G6975" s="18">
        <v>0.18</v>
      </c>
      <c r="H6975">
        <f>F6975*VLOOKUP(B6975,產品!$A$2:$H$61,7,FALSE)*(1-銷售總表!G6975)</f>
        <v>22140</v>
      </c>
      <c r="I6975" s="35">
        <f>H6975-F6975*VLOOKUP(銷售總表!B6975,產品!$A$2:$H$61,8,FALSE)</f>
        <v>11340</v>
      </c>
      <c r="J6975" s="20">
        <f t="shared" si="108"/>
        <v>0.51219512195121952</v>
      </c>
    </row>
    <row r="6976" spans="1:10" x14ac:dyDescent="0.3">
      <c r="A6976" s="33">
        <v>6975</v>
      </c>
      <c r="B6976" s="4">
        <v>2</v>
      </c>
      <c r="C6976" s="15">
        <v>271</v>
      </c>
      <c r="D6976" s="16">
        <v>5</v>
      </c>
      <c r="E6976" s="22">
        <v>45232</v>
      </c>
      <c r="F6976" s="19">
        <v>18</v>
      </c>
      <c r="G6976" s="18">
        <v>0.09</v>
      </c>
      <c r="H6976">
        <f>F6976*VLOOKUP(B6976,產品!$A$2:$H$61,7,FALSE)*(1-銷售總表!G6976)</f>
        <v>16380</v>
      </c>
      <c r="I6976" s="35">
        <f>H6976-F6976*VLOOKUP(銷售總表!B6976,產品!$A$2:$H$61,8,FALSE)</f>
        <v>9180</v>
      </c>
      <c r="J6976" s="20">
        <f t="shared" si="108"/>
        <v>0.56043956043956045</v>
      </c>
    </row>
    <row r="6977" spans="1:10" x14ac:dyDescent="0.3">
      <c r="A6977" s="33">
        <v>6976</v>
      </c>
      <c r="B6977" s="4">
        <v>15</v>
      </c>
      <c r="C6977" s="15">
        <v>136</v>
      </c>
      <c r="D6977" s="16">
        <v>6</v>
      </c>
      <c r="E6977" s="22">
        <v>45233</v>
      </c>
      <c r="F6977" s="19">
        <v>100</v>
      </c>
      <c r="G6977" s="18">
        <v>0.12</v>
      </c>
      <c r="H6977">
        <f>F6977*VLOOKUP(B6977,產品!$A$2:$H$61,7,FALSE)*(1-銷售總表!G6977)</f>
        <v>158400</v>
      </c>
      <c r="I6977" s="35">
        <f>H6977-F6977*VLOOKUP(銷售總表!B6977,產品!$A$2:$H$61,8,FALSE)</f>
        <v>86400</v>
      </c>
      <c r="J6977" s="20">
        <f t="shared" si="108"/>
        <v>0.54545454545454541</v>
      </c>
    </row>
    <row r="6978" spans="1:10" x14ac:dyDescent="0.3">
      <c r="A6978" s="33">
        <v>6977</v>
      </c>
      <c r="B6978" s="4">
        <v>12</v>
      </c>
      <c r="C6978" s="15">
        <v>8</v>
      </c>
      <c r="D6978" s="16">
        <v>1</v>
      </c>
      <c r="E6978" s="23">
        <v>45233</v>
      </c>
      <c r="F6978">
        <v>40</v>
      </c>
      <c r="G6978" s="20">
        <v>0.15</v>
      </c>
      <c r="H6978">
        <f>F6978*VLOOKUP(B6978,產品!$A$2:$H$61,7,FALSE)*(1-銷售總表!G6978)</f>
        <v>34000</v>
      </c>
      <c r="I6978" s="35">
        <f>H6978-F6978*VLOOKUP(銷售總表!B6978,產品!$A$2:$H$61,8,FALSE)</f>
        <v>18000</v>
      </c>
      <c r="J6978" s="20">
        <f t="shared" si="108"/>
        <v>0.52941176470588236</v>
      </c>
    </row>
    <row r="6979" spans="1:10" x14ac:dyDescent="0.3">
      <c r="A6979" s="33">
        <v>6978</v>
      </c>
      <c r="B6979" s="4">
        <v>17</v>
      </c>
      <c r="C6979" s="15">
        <v>2</v>
      </c>
      <c r="D6979" s="16">
        <v>3</v>
      </c>
      <c r="E6979" s="23">
        <v>45233</v>
      </c>
      <c r="F6979">
        <v>70</v>
      </c>
      <c r="G6979" s="20">
        <v>0.16</v>
      </c>
      <c r="H6979">
        <f>F6979*VLOOKUP(B6979,產品!$A$2:$H$61,7,FALSE)*(1-銷售總表!G6979)</f>
        <v>105840</v>
      </c>
      <c r="I6979" s="35">
        <f>H6979-F6979*VLOOKUP(銷售總表!B6979,產品!$A$2:$H$61,8,FALSE)</f>
        <v>55440</v>
      </c>
      <c r="J6979" s="20">
        <f t="shared" ref="J6979:J7042" si="109">I6979/H6979</f>
        <v>0.52380952380952384</v>
      </c>
    </row>
    <row r="6980" spans="1:10" x14ac:dyDescent="0.3">
      <c r="A6980" s="33">
        <v>6979</v>
      </c>
      <c r="B6980" s="4">
        <v>30</v>
      </c>
      <c r="C6980" s="15">
        <v>8</v>
      </c>
      <c r="D6980" s="16">
        <v>3</v>
      </c>
      <c r="E6980" s="22">
        <v>45234</v>
      </c>
      <c r="F6980" s="17">
        <v>4</v>
      </c>
      <c r="G6980" s="18">
        <v>7.0000000000000007E-2</v>
      </c>
      <c r="H6980">
        <f>F6980*VLOOKUP(B6980,產品!$A$2:$H$61,7,FALSE)*(1-銷售總表!G6980)</f>
        <v>24180</v>
      </c>
      <c r="I6980" s="35">
        <f>H6980-F6980*VLOOKUP(銷售總表!B6980,產品!$A$2:$H$61,8,FALSE)</f>
        <v>8580</v>
      </c>
      <c r="J6980" s="20">
        <f t="shared" si="109"/>
        <v>0.35483870967741937</v>
      </c>
    </row>
    <row r="6981" spans="1:10" x14ac:dyDescent="0.3">
      <c r="A6981" s="33">
        <v>6980</v>
      </c>
      <c r="B6981" s="4">
        <v>10</v>
      </c>
      <c r="C6981" s="15">
        <v>1</v>
      </c>
      <c r="D6981" s="16">
        <v>4</v>
      </c>
      <c r="E6981" s="22">
        <v>45235</v>
      </c>
      <c r="F6981" s="17">
        <v>30</v>
      </c>
      <c r="G6981" s="18">
        <v>0.14000000000000001</v>
      </c>
      <c r="H6981">
        <f>F6981*VLOOKUP(B6981,產品!$A$2:$H$61,7,FALSE)*(1-銷售總表!G6981)</f>
        <v>25800</v>
      </c>
      <c r="I6981" s="35">
        <f>H6981-F6981*VLOOKUP(銷售總表!B6981,產品!$A$2:$H$61,8,FALSE)</f>
        <v>13800</v>
      </c>
      <c r="J6981" s="20">
        <f t="shared" si="109"/>
        <v>0.53488372093023251</v>
      </c>
    </row>
    <row r="6982" spans="1:10" x14ac:dyDescent="0.3">
      <c r="A6982" s="33">
        <v>6981</v>
      </c>
      <c r="B6982" s="4">
        <v>6</v>
      </c>
      <c r="C6982" s="15">
        <v>126</v>
      </c>
      <c r="D6982" s="16">
        <v>10</v>
      </c>
      <c r="E6982" s="22">
        <v>45235</v>
      </c>
      <c r="F6982" s="19">
        <v>50</v>
      </c>
      <c r="G6982" s="18">
        <v>0.1</v>
      </c>
      <c r="H6982">
        <f>F6982*VLOOKUP(B6982,產品!$A$2:$H$61,7,FALSE)*(1-銷售總表!G6982)</f>
        <v>45000</v>
      </c>
      <c r="I6982" s="35">
        <f>H6982-F6982*VLOOKUP(銷售總表!B6982,產品!$A$2:$H$61,8,FALSE)</f>
        <v>25000</v>
      </c>
      <c r="J6982" s="20">
        <f t="shared" si="109"/>
        <v>0.55555555555555558</v>
      </c>
    </row>
    <row r="6983" spans="1:10" x14ac:dyDescent="0.3">
      <c r="A6983" s="33">
        <v>6982</v>
      </c>
      <c r="B6983" s="4">
        <v>14</v>
      </c>
      <c r="C6983" s="15">
        <v>271</v>
      </c>
      <c r="D6983" s="16">
        <v>8</v>
      </c>
      <c r="E6983" s="22">
        <v>45235</v>
      </c>
      <c r="F6983" s="19">
        <v>90</v>
      </c>
      <c r="G6983" s="18">
        <v>0.08</v>
      </c>
      <c r="H6983">
        <f>F6983*VLOOKUP(B6983,產品!$A$2:$H$61,7,FALSE)*(1-銷售總表!G6983)</f>
        <v>149040</v>
      </c>
      <c r="I6983" s="35">
        <f>H6983-F6983*VLOOKUP(銷售總表!B6983,產品!$A$2:$H$61,8,FALSE)</f>
        <v>84240</v>
      </c>
      <c r="J6983" s="20">
        <f t="shared" si="109"/>
        <v>0.56521739130434778</v>
      </c>
    </row>
    <row r="6984" spans="1:10" x14ac:dyDescent="0.3">
      <c r="A6984" s="33">
        <v>6983</v>
      </c>
      <c r="B6984" s="4">
        <v>44</v>
      </c>
      <c r="C6984" s="15">
        <v>8</v>
      </c>
      <c r="D6984" s="16">
        <v>7</v>
      </c>
      <c r="E6984" s="22">
        <v>45235</v>
      </c>
      <c r="F6984" s="19">
        <v>5</v>
      </c>
      <c r="G6984" s="18">
        <v>0.16</v>
      </c>
      <c r="H6984">
        <f>F6984*VLOOKUP(B6984,產品!$A$2:$H$61,7,FALSE)*(1-銷售總表!G6984)</f>
        <v>84000</v>
      </c>
      <c r="I6984" s="35">
        <f>H6984-F6984*VLOOKUP(銷售總表!B6984,產品!$A$2:$H$61,8,FALSE)</f>
        <v>19000</v>
      </c>
      <c r="J6984" s="20">
        <f t="shared" si="109"/>
        <v>0.22619047619047619</v>
      </c>
    </row>
    <row r="6985" spans="1:10" x14ac:dyDescent="0.3">
      <c r="A6985" s="33">
        <v>6984</v>
      </c>
      <c r="B6985" s="4">
        <v>17</v>
      </c>
      <c r="C6985" s="15">
        <v>7</v>
      </c>
      <c r="D6985" s="16">
        <v>7</v>
      </c>
      <c r="E6985" s="23">
        <v>45235</v>
      </c>
      <c r="F6985">
        <v>20</v>
      </c>
      <c r="G6985" s="20">
        <v>0.05</v>
      </c>
      <c r="H6985">
        <f>F6985*VLOOKUP(B6985,產品!$A$2:$H$61,7,FALSE)*(1-銷售總表!G6985)</f>
        <v>34200</v>
      </c>
      <c r="I6985" s="35">
        <f>H6985-F6985*VLOOKUP(銷售總表!B6985,產品!$A$2:$H$61,8,FALSE)</f>
        <v>19800</v>
      </c>
      <c r="J6985" s="20">
        <f t="shared" si="109"/>
        <v>0.57894736842105265</v>
      </c>
    </row>
    <row r="6986" spans="1:10" x14ac:dyDescent="0.3">
      <c r="A6986" s="33">
        <v>6985</v>
      </c>
      <c r="B6986" s="4">
        <v>38</v>
      </c>
      <c r="C6986" s="15">
        <v>6</v>
      </c>
      <c r="D6986" s="16">
        <v>5</v>
      </c>
      <c r="E6986" s="22">
        <v>45236</v>
      </c>
      <c r="F6986" s="17">
        <v>1</v>
      </c>
      <c r="G6986" s="18">
        <v>0.12</v>
      </c>
      <c r="H6986">
        <f>F6986*VLOOKUP(B6986,產品!$A$2:$H$61,7,FALSE)*(1-銷售總表!G6986)</f>
        <v>13200</v>
      </c>
      <c r="I6986" s="35">
        <f>H6986-F6986*VLOOKUP(銷售總表!B6986,產品!$A$2:$H$61,8,FALSE)</f>
        <v>3450</v>
      </c>
      <c r="J6986" s="20">
        <f t="shared" si="109"/>
        <v>0.26136363636363635</v>
      </c>
    </row>
    <row r="6987" spans="1:10" x14ac:dyDescent="0.3">
      <c r="A6987" s="33">
        <v>6986</v>
      </c>
      <c r="B6987" s="4">
        <v>13</v>
      </c>
      <c r="C6987" s="15">
        <v>262</v>
      </c>
      <c r="D6987" s="16">
        <v>2</v>
      </c>
      <c r="E6987" s="22">
        <v>45237</v>
      </c>
      <c r="F6987" s="17">
        <v>150</v>
      </c>
      <c r="G6987" s="18">
        <v>0.2</v>
      </c>
      <c r="H6987">
        <f>F6987*VLOOKUP(B6987,產品!$A$2:$H$61,7,FALSE)*(1-銷售總表!G6987)</f>
        <v>216000</v>
      </c>
      <c r="I6987" s="35">
        <f>H6987-F6987*VLOOKUP(銷售總表!B6987,產品!$A$2:$H$61,8,FALSE)</f>
        <v>108000</v>
      </c>
      <c r="J6987" s="20">
        <f t="shared" si="109"/>
        <v>0.5</v>
      </c>
    </row>
    <row r="6988" spans="1:10" x14ac:dyDescent="0.3">
      <c r="A6988" s="33">
        <v>6987</v>
      </c>
      <c r="B6988" s="4">
        <v>35</v>
      </c>
      <c r="C6988" s="15">
        <v>271</v>
      </c>
      <c r="D6988" s="16">
        <v>8</v>
      </c>
      <c r="E6988" s="22">
        <v>45237</v>
      </c>
      <c r="F6988" s="17">
        <v>15</v>
      </c>
      <c r="G6988" s="18">
        <v>0.09</v>
      </c>
      <c r="H6988">
        <f>F6988*VLOOKUP(B6988,產品!$A$2:$H$61,7,FALSE)*(1-銷售總表!G6988)</f>
        <v>116025</v>
      </c>
      <c r="I6988" s="35">
        <f>H6988-F6988*VLOOKUP(銷售總表!B6988,產品!$A$2:$H$61,8,FALSE)</f>
        <v>39525</v>
      </c>
      <c r="J6988" s="20">
        <f t="shared" si="109"/>
        <v>0.34065934065934067</v>
      </c>
    </row>
    <row r="6989" spans="1:10" x14ac:dyDescent="0.3">
      <c r="A6989" s="33">
        <v>6988</v>
      </c>
      <c r="B6989" s="4">
        <v>22</v>
      </c>
      <c r="C6989" s="15">
        <v>7</v>
      </c>
      <c r="D6989" s="16">
        <v>10</v>
      </c>
      <c r="E6989" s="23">
        <v>45237</v>
      </c>
      <c r="F6989">
        <v>10</v>
      </c>
      <c r="G6989" s="20">
        <v>7.0000000000000007E-2</v>
      </c>
      <c r="H6989">
        <f>F6989*VLOOKUP(B6989,產品!$A$2:$H$61,7,FALSE)*(1-銷售總表!G6989)</f>
        <v>16740</v>
      </c>
      <c r="I6989" s="35">
        <f>H6989-F6989*VLOOKUP(銷售總表!B6989,產品!$A$2:$H$61,8,FALSE)</f>
        <v>9540</v>
      </c>
      <c r="J6989" s="20">
        <f t="shared" si="109"/>
        <v>0.56989247311827962</v>
      </c>
    </row>
    <row r="6990" spans="1:10" x14ac:dyDescent="0.3">
      <c r="A6990" s="33">
        <v>6989</v>
      </c>
      <c r="B6990" s="4">
        <v>33</v>
      </c>
      <c r="C6990" s="15">
        <v>286</v>
      </c>
      <c r="D6990" s="16">
        <v>2</v>
      </c>
      <c r="E6990" s="22">
        <v>45238</v>
      </c>
      <c r="F6990" s="19">
        <v>5</v>
      </c>
      <c r="G6990" s="18">
        <v>0.06</v>
      </c>
      <c r="H6990">
        <f>F6990*VLOOKUP(B6990,產品!$A$2:$H$61,7,FALSE)*(1-銷售總表!G6990)</f>
        <v>35250</v>
      </c>
      <c r="I6990" s="35">
        <f>H6990-F6990*VLOOKUP(銷售總表!B6990,產品!$A$2:$H$61,8,FALSE)</f>
        <v>12750</v>
      </c>
      <c r="J6990" s="20">
        <f t="shared" si="109"/>
        <v>0.36170212765957449</v>
      </c>
    </row>
    <row r="6991" spans="1:10" x14ac:dyDescent="0.3">
      <c r="A6991" s="33">
        <v>6990</v>
      </c>
      <c r="B6991" s="4">
        <v>17</v>
      </c>
      <c r="C6991" s="15">
        <v>267</v>
      </c>
      <c r="D6991" s="16">
        <v>9</v>
      </c>
      <c r="E6991" s="22">
        <v>45239</v>
      </c>
      <c r="F6991" s="17">
        <v>20</v>
      </c>
      <c r="G6991" s="18">
        <v>0.08</v>
      </c>
      <c r="H6991">
        <f>F6991*VLOOKUP(B6991,產品!$A$2:$H$61,7,FALSE)*(1-銷售總表!G6991)</f>
        <v>33120</v>
      </c>
      <c r="I6991" s="35">
        <f>H6991-F6991*VLOOKUP(銷售總表!B6991,產品!$A$2:$H$61,8,FALSE)</f>
        <v>18720</v>
      </c>
      <c r="J6991" s="20">
        <f t="shared" si="109"/>
        <v>0.56521739130434778</v>
      </c>
    </row>
    <row r="6992" spans="1:10" x14ac:dyDescent="0.3">
      <c r="A6992" s="33">
        <v>6991</v>
      </c>
      <c r="B6992" s="4">
        <v>20</v>
      </c>
      <c r="C6992" s="15">
        <v>11</v>
      </c>
      <c r="D6992" s="16">
        <v>3</v>
      </c>
      <c r="E6992" s="22">
        <v>45239</v>
      </c>
      <c r="F6992" s="19">
        <v>50</v>
      </c>
      <c r="G6992" s="18">
        <v>0.06</v>
      </c>
      <c r="H6992">
        <f>F6992*VLOOKUP(B6992,產品!$A$2:$H$61,7,FALSE)*(1-銷售總表!G6992)</f>
        <v>84600</v>
      </c>
      <c r="I6992" s="35">
        <f>H6992-F6992*VLOOKUP(銷售總表!B6992,產品!$A$2:$H$61,8,FALSE)</f>
        <v>48600</v>
      </c>
      <c r="J6992" s="20">
        <f t="shared" si="109"/>
        <v>0.57446808510638303</v>
      </c>
    </row>
    <row r="6993" spans="1:10" x14ac:dyDescent="0.3">
      <c r="A6993" s="33">
        <v>6992</v>
      </c>
      <c r="B6993" s="4">
        <v>27</v>
      </c>
      <c r="C6993" s="15">
        <v>284</v>
      </c>
      <c r="D6993" s="16">
        <v>2</v>
      </c>
      <c r="E6993" s="22">
        <v>45239</v>
      </c>
      <c r="F6993" s="19">
        <v>11</v>
      </c>
      <c r="G6993" s="18">
        <v>0.08</v>
      </c>
      <c r="H6993">
        <f>F6993*VLOOKUP(B6993,產品!$A$2:$H$61,7,FALSE)*(1-銷售總表!G6993)</f>
        <v>70840</v>
      </c>
      <c r="I6993" s="35">
        <f>H6993-F6993*VLOOKUP(銷售總表!B6993,產品!$A$2:$H$61,8,FALSE)</f>
        <v>24640</v>
      </c>
      <c r="J6993" s="20">
        <f t="shared" si="109"/>
        <v>0.34782608695652173</v>
      </c>
    </row>
    <row r="6994" spans="1:10" x14ac:dyDescent="0.3">
      <c r="A6994" s="33">
        <v>6993</v>
      </c>
      <c r="B6994" s="4">
        <v>44</v>
      </c>
      <c r="C6994" s="15">
        <v>273</v>
      </c>
      <c r="D6994" s="16">
        <v>6</v>
      </c>
      <c r="E6994" s="23">
        <v>45239</v>
      </c>
      <c r="F6994">
        <v>8</v>
      </c>
      <c r="G6994" s="20">
        <v>0.11</v>
      </c>
      <c r="H6994">
        <f>F6994*VLOOKUP(B6994,產品!$A$2:$H$61,7,FALSE)*(1-銷售總表!G6994)</f>
        <v>142400</v>
      </c>
      <c r="I6994" s="35">
        <f>H6994-F6994*VLOOKUP(銷售總表!B6994,產品!$A$2:$H$61,8,FALSE)</f>
        <v>38400</v>
      </c>
      <c r="J6994" s="20">
        <f t="shared" si="109"/>
        <v>0.2696629213483146</v>
      </c>
    </row>
    <row r="6995" spans="1:10" x14ac:dyDescent="0.3">
      <c r="A6995" s="33">
        <v>6994</v>
      </c>
      <c r="B6995" s="4">
        <v>42</v>
      </c>
      <c r="C6995" s="15">
        <v>10</v>
      </c>
      <c r="D6995" s="16">
        <v>4</v>
      </c>
      <c r="E6995" s="22">
        <v>45240</v>
      </c>
      <c r="F6995" s="17">
        <v>9</v>
      </c>
      <c r="G6995" s="18">
        <v>0.17</v>
      </c>
      <c r="H6995">
        <f>F6995*VLOOKUP(B6995,產品!$A$2:$H$61,7,FALSE)*(1-銷售總表!G6995)</f>
        <v>112050</v>
      </c>
      <c r="I6995" s="35">
        <f>H6995-F6995*VLOOKUP(銷售總表!B6995,產品!$A$2:$H$61,8,FALSE)</f>
        <v>24300</v>
      </c>
      <c r="J6995" s="20">
        <f t="shared" si="109"/>
        <v>0.21686746987951808</v>
      </c>
    </row>
    <row r="6996" spans="1:10" x14ac:dyDescent="0.3">
      <c r="A6996" s="33">
        <v>6995</v>
      </c>
      <c r="B6996" s="4">
        <v>19</v>
      </c>
      <c r="C6996" s="15">
        <v>292</v>
      </c>
      <c r="D6996" s="16">
        <v>1</v>
      </c>
      <c r="E6996" s="22">
        <v>45241</v>
      </c>
      <c r="F6996" s="17">
        <v>150</v>
      </c>
      <c r="G6996" s="18">
        <v>0.14000000000000001</v>
      </c>
      <c r="H6996">
        <f>F6996*VLOOKUP(B6996,產品!$A$2:$H$61,7,FALSE)*(1-銷售總表!G6996)</f>
        <v>232200</v>
      </c>
      <c r="I6996" s="35">
        <f>H6996-F6996*VLOOKUP(銷售總表!B6996,產品!$A$2:$H$61,8,FALSE)</f>
        <v>124200</v>
      </c>
      <c r="J6996" s="20">
        <f t="shared" si="109"/>
        <v>0.53488372093023251</v>
      </c>
    </row>
    <row r="6997" spans="1:10" x14ac:dyDescent="0.3">
      <c r="A6997" s="33">
        <v>6996</v>
      </c>
      <c r="B6997" s="4">
        <v>59</v>
      </c>
      <c r="C6997" s="15">
        <v>5</v>
      </c>
      <c r="D6997" s="16">
        <v>7</v>
      </c>
      <c r="E6997" s="22">
        <v>45241</v>
      </c>
      <c r="F6997" s="17">
        <v>1</v>
      </c>
      <c r="G6997" s="18">
        <v>0.15</v>
      </c>
      <c r="H6997">
        <f>F6997*VLOOKUP(B6997,產品!$A$2:$H$61,7,FALSE)*(1-銷售總表!G6997)</f>
        <v>20400</v>
      </c>
      <c r="I6997" s="35">
        <f>H6997-F6997*VLOOKUP(銷售總表!B6997,產品!$A$2:$H$61,8,FALSE)</f>
        <v>3600</v>
      </c>
      <c r="J6997" s="20">
        <f t="shared" si="109"/>
        <v>0.17647058823529413</v>
      </c>
    </row>
    <row r="6998" spans="1:10" x14ac:dyDescent="0.3">
      <c r="A6998" s="33">
        <v>6997</v>
      </c>
      <c r="B6998" s="4">
        <v>2</v>
      </c>
      <c r="C6998" s="15">
        <v>274</v>
      </c>
      <c r="D6998" s="16">
        <v>6</v>
      </c>
      <c r="E6998" s="22">
        <v>45241</v>
      </c>
      <c r="F6998" s="17">
        <v>100</v>
      </c>
      <c r="G6998" s="18">
        <v>0.11</v>
      </c>
      <c r="H6998">
        <f>F6998*VLOOKUP(B6998,產品!$A$2:$H$61,7,FALSE)*(1-銷售總表!G6998)</f>
        <v>89000</v>
      </c>
      <c r="I6998" s="35">
        <f>H6998-F6998*VLOOKUP(銷售總表!B6998,產品!$A$2:$H$61,8,FALSE)</f>
        <v>49000</v>
      </c>
      <c r="J6998" s="20">
        <f t="shared" si="109"/>
        <v>0.550561797752809</v>
      </c>
    </row>
    <row r="6999" spans="1:10" x14ac:dyDescent="0.3">
      <c r="A6999" s="33">
        <v>6998</v>
      </c>
      <c r="B6999" s="4">
        <v>47</v>
      </c>
      <c r="C6999" s="15">
        <v>263</v>
      </c>
      <c r="D6999" s="16">
        <v>10</v>
      </c>
      <c r="E6999" s="22">
        <v>45241</v>
      </c>
      <c r="F6999" s="19">
        <v>7</v>
      </c>
      <c r="G6999" s="18">
        <v>0.06</v>
      </c>
      <c r="H6999">
        <f>F6999*VLOOKUP(B6999,產品!$A$2:$H$61,7,FALSE)*(1-銷售總表!G6999)</f>
        <v>131600</v>
      </c>
      <c r="I6999" s="35">
        <f>H6999-F6999*VLOOKUP(銷售總表!B6999,產品!$A$2:$H$61,8,FALSE)</f>
        <v>40600</v>
      </c>
      <c r="J6999" s="20">
        <f t="shared" si="109"/>
        <v>0.30851063829787234</v>
      </c>
    </row>
    <row r="7000" spans="1:10" x14ac:dyDescent="0.3">
      <c r="A7000" s="33">
        <v>6999</v>
      </c>
      <c r="B7000" s="4">
        <v>32</v>
      </c>
      <c r="C7000" s="15">
        <v>11</v>
      </c>
      <c r="D7000" s="16">
        <v>5</v>
      </c>
      <c r="E7000" s="22">
        <v>45242</v>
      </c>
      <c r="F7000" s="17">
        <v>2</v>
      </c>
      <c r="G7000" s="18">
        <v>0.2</v>
      </c>
      <c r="H7000">
        <f>F7000*VLOOKUP(B7000,產品!$A$2:$H$61,7,FALSE)*(1-銷售總表!G7000)</f>
        <v>12000</v>
      </c>
      <c r="I7000" s="35">
        <f>H7000-F7000*VLOOKUP(銷售總表!B7000,產品!$A$2:$H$61,8,FALSE)</f>
        <v>3000</v>
      </c>
      <c r="J7000" s="20">
        <f t="shared" si="109"/>
        <v>0.25</v>
      </c>
    </row>
    <row r="7001" spans="1:10" x14ac:dyDescent="0.3">
      <c r="A7001" s="33">
        <v>7000</v>
      </c>
      <c r="B7001" s="4">
        <v>48</v>
      </c>
      <c r="C7001" s="15">
        <v>263</v>
      </c>
      <c r="D7001" s="16">
        <v>8</v>
      </c>
      <c r="E7001" s="22">
        <v>45242</v>
      </c>
      <c r="F7001" s="19">
        <v>4</v>
      </c>
      <c r="G7001" s="18">
        <v>7.0000000000000007E-2</v>
      </c>
      <c r="H7001">
        <f>F7001*VLOOKUP(B7001,產品!$A$2:$H$61,7,FALSE)*(1-銷售總表!G7001)</f>
        <v>81840</v>
      </c>
      <c r="I7001" s="35">
        <f>H7001-F7001*VLOOKUP(銷售總表!B7001,產品!$A$2:$H$61,8,FALSE)</f>
        <v>24640</v>
      </c>
      <c r="J7001" s="20">
        <f t="shared" si="109"/>
        <v>0.30107526881720431</v>
      </c>
    </row>
    <row r="7002" spans="1:10" x14ac:dyDescent="0.3">
      <c r="A7002" s="33">
        <v>7001</v>
      </c>
      <c r="B7002" s="4">
        <v>24</v>
      </c>
      <c r="C7002" s="15">
        <v>265</v>
      </c>
      <c r="D7002" s="16">
        <v>1</v>
      </c>
      <c r="E7002" s="22">
        <v>45242</v>
      </c>
      <c r="F7002" s="19">
        <v>18</v>
      </c>
      <c r="G7002" s="18">
        <v>0.11</v>
      </c>
      <c r="H7002">
        <f>F7002*VLOOKUP(B7002,產品!$A$2:$H$61,7,FALSE)*(1-銷售總表!G7002)</f>
        <v>28836</v>
      </c>
      <c r="I7002" s="35">
        <f>H7002-F7002*VLOOKUP(銷售總表!B7002,產品!$A$2:$H$61,8,FALSE)</f>
        <v>15876</v>
      </c>
      <c r="J7002" s="20">
        <f t="shared" si="109"/>
        <v>0.550561797752809</v>
      </c>
    </row>
    <row r="7003" spans="1:10" x14ac:dyDescent="0.3">
      <c r="A7003" s="33">
        <v>7002</v>
      </c>
      <c r="B7003" s="4">
        <v>57</v>
      </c>
      <c r="C7003" s="15">
        <v>139</v>
      </c>
      <c r="D7003" s="16">
        <v>3</v>
      </c>
      <c r="E7003" s="22">
        <v>45242</v>
      </c>
      <c r="F7003" s="19">
        <v>8</v>
      </c>
      <c r="G7003" s="18">
        <v>0.06</v>
      </c>
      <c r="H7003">
        <f>F7003*VLOOKUP(B7003,產品!$A$2:$H$61,7,FALSE)*(1-銷售總表!G7003)</f>
        <v>135360</v>
      </c>
      <c r="I7003" s="35">
        <f>H7003-F7003*VLOOKUP(銷售總表!B7003,產品!$A$2:$H$61,8,FALSE)</f>
        <v>34560</v>
      </c>
      <c r="J7003" s="20">
        <f t="shared" si="109"/>
        <v>0.25531914893617019</v>
      </c>
    </row>
    <row r="7004" spans="1:10" x14ac:dyDescent="0.3">
      <c r="A7004" s="33">
        <v>7003</v>
      </c>
      <c r="B7004" s="4">
        <v>35</v>
      </c>
      <c r="C7004" s="15">
        <v>8</v>
      </c>
      <c r="D7004" s="16">
        <v>10</v>
      </c>
      <c r="E7004" s="22">
        <v>45242</v>
      </c>
      <c r="F7004" s="19">
        <v>7</v>
      </c>
      <c r="G7004" s="18">
        <v>0.08</v>
      </c>
      <c r="H7004">
        <f>F7004*VLOOKUP(B7004,產品!$A$2:$H$61,7,FALSE)*(1-銷售總表!G7004)</f>
        <v>54740</v>
      </c>
      <c r="I7004" s="35">
        <f>H7004-F7004*VLOOKUP(銷售總表!B7004,產品!$A$2:$H$61,8,FALSE)</f>
        <v>19040</v>
      </c>
      <c r="J7004" s="20">
        <f t="shared" si="109"/>
        <v>0.34782608695652173</v>
      </c>
    </row>
    <row r="7005" spans="1:10" x14ac:dyDescent="0.3">
      <c r="A7005" s="33">
        <v>7004</v>
      </c>
      <c r="B7005" s="4">
        <v>29</v>
      </c>
      <c r="C7005" s="15">
        <v>134</v>
      </c>
      <c r="D7005" s="16">
        <v>6</v>
      </c>
      <c r="E7005" s="23">
        <v>45242</v>
      </c>
      <c r="F7005">
        <v>4</v>
      </c>
      <c r="G7005" s="20">
        <v>0.08</v>
      </c>
      <c r="H7005">
        <f>F7005*VLOOKUP(B7005,產品!$A$2:$H$61,7,FALSE)*(1-銷售總表!G7005)</f>
        <v>22080</v>
      </c>
      <c r="I7005" s="35">
        <f>H7005-F7005*VLOOKUP(銷售總表!B7005,產品!$A$2:$H$61,8,FALSE)</f>
        <v>7680</v>
      </c>
      <c r="J7005" s="20">
        <f t="shared" si="109"/>
        <v>0.34782608695652173</v>
      </c>
    </row>
    <row r="7006" spans="1:10" x14ac:dyDescent="0.3">
      <c r="A7006" s="33">
        <v>7005</v>
      </c>
      <c r="B7006" s="4">
        <v>4</v>
      </c>
      <c r="C7006" s="15">
        <v>115</v>
      </c>
      <c r="D7006" s="16">
        <v>4</v>
      </c>
      <c r="E7006" s="23">
        <v>45242</v>
      </c>
      <c r="F7006">
        <v>250</v>
      </c>
      <c r="G7006" s="20">
        <v>0.06</v>
      </c>
      <c r="H7006">
        <f>F7006*VLOOKUP(B7006,產品!$A$2:$H$61,7,FALSE)*(1-銷售總表!G7006)</f>
        <v>235000</v>
      </c>
      <c r="I7006" s="35">
        <f>H7006-F7006*VLOOKUP(銷售總表!B7006,產品!$A$2:$H$61,8,FALSE)</f>
        <v>135000</v>
      </c>
      <c r="J7006" s="20">
        <f t="shared" si="109"/>
        <v>0.57446808510638303</v>
      </c>
    </row>
    <row r="7007" spans="1:10" x14ac:dyDescent="0.3">
      <c r="A7007" s="33">
        <v>7006</v>
      </c>
      <c r="B7007" s="4">
        <v>15</v>
      </c>
      <c r="C7007" s="15">
        <v>262</v>
      </c>
      <c r="D7007" s="16">
        <v>2</v>
      </c>
      <c r="E7007" s="22">
        <v>45243</v>
      </c>
      <c r="F7007" s="19">
        <v>14</v>
      </c>
      <c r="G7007" s="18">
        <v>0.06</v>
      </c>
      <c r="H7007">
        <f>F7007*VLOOKUP(B7007,產品!$A$2:$H$61,7,FALSE)*(1-銷售總表!G7007)</f>
        <v>23688</v>
      </c>
      <c r="I7007" s="35">
        <f>H7007-F7007*VLOOKUP(銷售總表!B7007,產品!$A$2:$H$61,8,FALSE)</f>
        <v>13608</v>
      </c>
      <c r="J7007" s="20">
        <f t="shared" si="109"/>
        <v>0.57446808510638303</v>
      </c>
    </row>
    <row r="7008" spans="1:10" x14ac:dyDescent="0.3">
      <c r="A7008" s="33">
        <v>7007</v>
      </c>
      <c r="B7008" s="4">
        <v>46</v>
      </c>
      <c r="C7008" s="15">
        <v>294</v>
      </c>
      <c r="D7008" s="16">
        <v>3</v>
      </c>
      <c r="E7008" s="22">
        <v>45243</v>
      </c>
      <c r="F7008" s="19">
        <v>6</v>
      </c>
      <c r="G7008" s="18">
        <v>0.08</v>
      </c>
      <c r="H7008">
        <f>F7008*VLOOKUP(B7008,產品!$A$2:$H$61,7,FALSE)*(1-銷售總表!G7008)</f>
        <v>93840</v>
      </c>
      <c r="I7008" s="35">
        <f>H7008-F7008*VLOOKUP(銷售總表!B7008,產品!$A$2:$H$61,8,FALSE)</f>
        <v>27540</v>
      </c>
      <c r="J7008" s="20">
        <f t="shared" si="109"/>
        <v>0.29347826086956524</v>
      </c>
    </row>
    <row r="7009" spans="1:10" x14ac:dyDescent="0.3">
      <c r="A7009" s="33">
        <v>7008</v>
      </c>
      <c r="B7009" s="4">
        <v>8</v>
      </c>
      <c r="C7009" s="15">
        <v>6</v>
      </c>
      <c r="D7009" s="16">
        <v>6</v>
      </c>
      <c r="E7009" s="23">
        <v>45243</v>
      </c>
      <c r="F7009">
        <v>80</v>
      </c>
      <c r="G7009" s="20">
        <v>0.09</v>
      </c>
      <c r="H7009">
        <f>F7009*VLOOKUP(B7009,產品!$A$2:$H$61,7,FALSE)*(1-銷售總表!G7009)</f>
        <v>72800</v>
      </c>
      <c r="I7009" s="35">
        <f>H7009-F7009*VLOOKUP(銷售總表!B7009,產品!$A$2:$H$61,8,FALSE)</f>
        <v>40800</v>
      </c>
      <c r="J7009" s="20">
        <f t="shared" si="109"/>
        <v>0.56043956043956045</v>
      </c>
    </row>
    <row r="7010" spans="1:10" x14ac:dyDescent="0.3">
      <c r="A7010" s="33">
        <v>7009</v>
      </c>
      <c r="B7010" s="4">
        <v>31</v>
      </c>
      <c r="C7010" s="15">
        <v>8</v>
      </c>
      <c r="D7010" s="16">
        <v>7</v>
      </c>
      <c r="E7010" s="22">
        <v>45244</v>
      </c>
      <c r="F7010" s="17">
        <v>15</v>
      </c>
      <c r="G7010" s="18">
        <v>7.0000000000000007E-2</v>
      </c>
      <c r="H7010">
        <f>F7010*VLOOKUP(B7010,產品!$A$2:$H$61,7,FALSE)*(1-銷售總表!G7010)</f>
        <v>97650</v>
      </c>
      <c r="I7010" s="35">
        <f>H7010-F7010*VLOOKUP(銷售總表!B7010,產品!$A$2:$H$61,8,FALSE)</f>
        <v>34650</v>
      </c>
      <c r="J7010" s="20">
        <f t="shared" si="109"/>
        <v>0.35483870967741937</v>
      </c>
    </row>
    <row r="7011" spans="1:10" x14ac:dyDescent="0.3">
      <c r="A7011" s="33">
        <v>7010</v>
      </c>
      <c r="B7011" s="4">
        <v>3</v>
      </c>
      <c r="C7011" s="15">
        <v>286</v>
      </c>
      <c r="D7011" s="16">
        <v>1</v>
      </c>
      <c r="E7011" s="22">
        <v>45244</v>
      </c>
      <c r="F7011" s="17">
        <v>15</v>
      </c>
      <c r="G7011" s="18">
        <v>0.08</v>
      </c>
      <c r="H7011">
        <f>F7011*VLOOKUP(B7011,產品!$A$2:$H$61,7,FALSE)*(1-銷售總表!G7011)</f>
        <v>13800</v>
      </c>
      <c r="I7011" s="35">
        <f>H7011-F7011*VLOOKUP(銷售總表!B7011,產品!$A$2:$H$61,8,FALSE)</f>
        <v>7800</v>
      </c>
      <c r="J7011" s="20">
        <f t="shared" si="109"/>
        <v>0.56521739130434778</v>
      </c>
    </row>
    <row r="7012" spans="1:10" x14ac:dyDescent="0.3">
      <c r="A7012" s="33">
        <v>7011</v>
      </c>
      <c r="B7012" s="4">
        <v>35</v>
      </c>
      <c r="C7012" s="15">
        <v>285</v>
      </c>
      <c r="D7012" s="16">
        <v>6</v>
      </c>
      <c r="E7012" s="22">
        <v>45244</v>
      </c>
      <c r="F7012" s="19">
        <v>4</v>
      </c>
      <c r="G7012" s="18">
        <v>0.17</v>
      </c>
      <c r="H7012">
        <f>F7012*VLOOKUP(B7012,產品!$A$2:$H$61,7,FALSE)*(1-銷售總表!G7012)</f>
        <v>28220</v>
      </c>
      <c r="I7012" s="35">
        <f>H7012-F7012*VLOOKUP(銷售總表!B7012,產品!$A$2:$H$61,8,FALSE)</f>
        <v>7820</v>
      </c>
      <c r="J7012" s="20">
        <f t="shared" si="109"/>
        <v>0.27710843373493976</v>
      </c>
    </row>
    <row r="7013" spans="1:10" x14ac:dyDescent="0.3">
      <c r="A7013" s="33">
        <v>7012</v>
      </c>
      <c r="B7013" s="4">
        <v>18</v>
      </c>
      <c r="C7013" s="15">
        <v>138</v>
      </c>
      <c r="D7013" s="16">
        <v>8</v>
      </c>
      <c r="E7013" s="23">
        <v>45244</v>
      </c>
      <c r="F7013">
        <v>13</v>
      </c>
      <c r="G7013" s="20">
        <v>0.1</v>
      </c>
      <c r="H7013">
        <f>F7013*VLOOKUP(B7013,產品!$A$2:$H$61,7,FALSE)*(1-銷售總表!G7013)</f>
        <v>21060</v>
      </c>
      <c r="I7013" s="35">
        <f>H7013-F7013*VLOOKUP(銷售總表!B7013,產品!$A$2:$H$61,8,FALSE)</f>
        <v>11700</v>
      </c>
      <c r="J7013" s="20">
        <f t="shared" si="109"/>
        <v>0.55555555555555558</v>
      </c>
    </row>
    <row r="7014" spans="1:10" x14ac:dyDescent="0.3">
      <c r="A7014" s="33">
        <v>7013</v>
      </c>
      <c r="B7014" s="4">
        <v>45</v>
      </c>
      <c r="C7014" s="15">
        <v>265</v>
      </c>
      <c r="D7014" s="16">
        <v>2</v>
      </c>
      <c r="E7014" s="23">
        <v>45244</v>
      </c>
      <c r="F7014">
        <v>11</v>
      </c>
      <c r="G7014" s="20">
        <v>0.05</v>
      </c>
      <c r="H7014">
        <f>F7014*VLOOKUP(B7014,產品!$A$2:$H$61,7,FALSE)*(1-銷售總表!G7014)</f>
        <v>146300</v>
      </c>
      <c r="I7014" s="35">
        <f>H7014-F7014*VLOOKUP(銷售總表!B7014,產品!$A$2:$H$61,8,FALSE)</f>
        <v>46200</v>
      </c>
      <c r="J7014" s="20">
        <f t="shared" si="109"/>
        <v>0.31578947368421051</v>
      </c>
    </row>
    <row r="7015" spans="1:10" x14ac:dyDescent="0.3">
      <c r="A7015" s="33">
        <v>7014</v>
      </c>
      <c r="B7015" s="4">
        <v>58</v>
      </c>
      <c r="C7015" s="15">
        <v>269</v>
      </c>
      <c r="D7015" s="16">
        <v>10</v>
      </c>
      <c r="E7015" s="23">
        <v>45244</v>
      </c>
      <c r="F7015">
        <v>4</v>
      </c>
      <c r="G7015" s="20">
        <v>0.06</v>
      </c>
      <c r="H7015">
        <f>F7015*VLOOKUP(B7015,產品!$A$2:$H$61,7,FALSE)*(1-銷售總表!G7015)</f>
        <v>78960</v>
      </c>
      <c r="I7015" s="35">
        <f>H7015-F7015*VLOOKUP(銷售總表!B7015,產品!$A$2:$H$61,8,FALSE)</f>
        <v>20160.000000000007</v>
      </c>
      <c r="J7015" s="20">
        <f t="shared" si="109"/>
        <v>0.2553191489361703</v>
      </c>
    </row>
    <row r="7016" spans="1:10" x14ac:dyDescent="0.3">
      <c r="A7016" s="33">
        <v>7015</v>
      </c>
      <c r="B7016" s="4">
        <v>51</v>
      </c>
      <c r="C7016" s="15">
        <v>12</v>
      </c>
      <c r="D7016" s="16">
        <v>3</v>
      </c>
      <c r="E7016" s="22">
        <v>45245</v>
      </c>
      <c r="F7016" s="17">
        <v>3</v>
      </c>
      <c r="G7016" s="18">
        <v>0.16</v>
      </c>
      <c r="H7016">
        <f>F7016*VLOOKUP(B7016,產品!$A$2:$H$61,7,FALSE)*(1-銷售總表!G7016)</f>
        <v>50400</v>
      </c>
      <c r="I7016" s="35">
        <f>H7016-F7016*VLOOKUP(銷售總表!B7016,產品!$A$2:$H$61,8,FALSE)</f>
        <v>8400</v>
      </c>
      <c r="J7016" s="20">
        <f t="shared" si="109"/>
        <v>0.16666666666666666</v>
      </c>
    </row>
    <row r="7017" spans="1:10" x14ac:dyDescent="0.3">
      <c r="A7017" s="33">
        <v>7016</v>
      </c>
      <c r="B7017" s="4">
        <v>5</v>
      </c>
      <c r="C7017" s="15">
        <v>292</v>
      </c>
      <c r="D7017" s="16">
        <v>1</v>
      </c>
      <c r="E7017" s="22">
        <v>45245</v>
      </c>
      <c r="F7017" s="19">
        <v>175</v>
      </c>
      <c r="G7017" s="18">
        <v>0.14000000000000001</v>
      </c>
      <c r="H7017">
        <f>F7017*VLOOKUP(B7017,產品!$A$2:$H$61,7,FALSE)*(1-銷售總表!G7017)</f>
        <v>150500</v>
      </c>
      <c r="I7017" s="35">
        <f>H7017-F7017*VLOOKUP(銷售總表!B7017,產品!$A$2:$H$61,8,FALSE)</f>
        <v>80500</v>
      </c>
      <c r="J7017" s="20">
        <f t="shared" si="109"/>
        <v>0.53488372093023251</v>
      </c>
    </row>
    <row r="7018" spans="1:10" x14ac:dyDescent="0.3">
      <c r="A7018" s="33">
        <v>7017</v>
      </c>
      <c r="B7018" s="4">
        <v>36</v>
      </c>
      <c r="C7018" s="15">
        <v>287</v>
      </c>
      <c r="D7018" s="16">
        <v>1</v>
      </c>
      <c r="E7018" s="23">
        <v>45245</v>
      </c>
      <c r="F7018">
        <v>35</v>
      </c>
      <c r="G7018" s="20">
        <v>0.18</v>
      </c>
      <c r="H7018">
        <f>F7018*VLOOKUP(B7018,產品!$A$2:$H$61,7,FALSE)*(1-銷售總表!G7018)</f>
        <v>258300.00000000003</v>
      </c>
      <c r="I7018" s="35">
        <f>H7018-F7018*VLOOKUP(銷售總表!B7018,產品!$A$2:$H$61,8,FALSE)</f>
        <v>69300.000000000029</v>
      </c>
      <c r="J7018" s="20">
        <f t="shared" si="109"/>
        <v>0.26829268292682934</v>
      </c>
    </row>
    <row r="7019" spans="1:10" x14ac:dyDescent="0.3">
      <c r="A7019" s="33">
        <v>7018</v>
      </c>
      <c r="B7019" s="4">
        <v>22</v>
      </c>
      <c r="C7019" s="15">
        <v>269</v>
      </c>
      <c r="D7019" s="16">
        <v>4</v>
      </c>
      <c r="E7019" s="23">
        <v>45245</v>
      </c>
      <c r="F7019">
        <v>40</v>
      </c>
      <c r="G7019" s="20">
        <v>0.17</v>
      </c>
      <c r="H7019">
        <f>F7019*VLOOKUP(B7019,產品!$A$2:$H$61,7,FALSE)*(1-銷售總表!G7019)</f>
        <v>59760</v>
      </c>
      <c r="I7019" s="35">
        <f>H7019-F7019*VLOOKUP(銷售總表!B7019,產品!$A$2:$H$61,8,FALSE)</f>
        <v>30960</v>
      </c>
      <c r="J7019" s="20">
        <f t="shared" si="109"/>
        <v>0.51807228915662651</v>
      </c>
    </row>
    <row r="7020" spans="1:10" x14ac:dyDescent="0.3">
      <c r="A7020" s="33">
        <v>7019</v>
      </c>
      <c r="B7020" s="4">
        <v>26</v>
      </c>
      <c r="C7020" s="15">
        <v>264</v>
      </c>
      <c r="D7020" s="16">
        <v>8</v>
      </c>
      <c r="E7020" s="23">
        <v>45246</v>
      </c>
      <c r="F7020">
        <v>30</v>
      </c>
      <c r="G7020" s="20">
        <v>0.18</v>
      </c>
      <c r="H7020">
        <f>F7020*VLOOKUP(B7020,產品!$A$2:$H$61,7,FALSE)*(1-銷售總表!G7020)</f>
        <v>159900</v>
      </c>
      <c r="I7020" s="35">
        <f>H7020-F7020*VLOOKUP(銷售總表!B7020,產品!$A$2:$H$61,8,FALSE)</f>
        <v>42900</v>
      </c>
      <c r="J7020" s="20">
        <f t="shared" si="109"/>
        <v>0.26829268292682928</v>
      </c>
    </row>
    <row r="7021" spans="1:10" x14ac:dyDescent="0.3">
      <c r="A7021" s="33">
        <v>7020</v>
      </c>
      <c r="B7021" s="4">
        <v>57</v>
      </c>
      <c r="C7021" s="15">
        <v>6</v>
      </c>
      <c r="D7021" s="16">
        <v>5</v>
      </c>
      <c r="E7021" s="23">
        <v>45246</v>
      </c>
      <c r="F7021">
        <v>4</v>
      </c>
      <c r="G7021" s="20">
        <v>0.19</v>
      </c>
      <c r="H7021">
        <f>F7021*VLOOKUP(B7021,產品!$A$2:$H$61,7,FALSE)*(1-銷售總表!G7021)</f>
        <v>58320.000000000007</v>
      </c>
      <c r="I7021" s="35">
        <f>H7021-F7021*VLOOKUP(銷售總表!B7021,產品!$A$2:$H$61,8,FALSE)</f>
        <v>7920.0000000000073</v>
      </c>
      <c r="J7021" s="20">
        <f t="shared" si="109"/>
        <v>0.13580246913580257</v>
      </c>
    </row>
    <row r="7022" spans="1:10" x14ac:dyDescent="0.3">
      <c r="A7022" s="33">
        <v>7021</v>
      </c>
      <c r="B7022" s="4">
        <v>5</v>
      </c>
      <c r="C7022" s="15">
        <v>4</v>
      </c>
      <c r="D7022" s="16">
        <v>8</v>
      </c>
      <c r="E7022" s="22">
        <v>45247</v>
      </c>
      <c r="F7022" s="17">
        <v>70</v>
      </c>
      <c r="G7022" s="18">
        <v>0.06</v>
      </c>
      <c r="H7022">
        <f>F7022*VLOOKUP(B7022,產品!$A$2:$H$61,7,FALSE)*(1-銷售總表!G7022)</f>
        <v>65800</v>
      </c>
      <c r="I7022" s="35">
        <f>H7022-F7022*VLOOKUP(銷售總表!B7022,產品!$A$2:$H$61,8,FALSE)</f>
        <v>37800</v>
      </c>
      <c r="J7022" s="20">
        <f t="shared" si="109"/>
        <v>0.57446808510638303</v>
      </c>
    </row>
    <row r="7023" spans="1:10" x14ac:dyDescent="0.3">
      <c r="A7023" s="33">
        <v>7022</v>
      </c>
      <c r="B7023" s="4">
        <v>54</v>
      </c>
      <c r="C7023" s="15">
        <v>10</v>
      </c>
      <c r="D7023" s="16">
        <v>6</v>
      </c>
      <c r="E7023" s="22">
        <v>45248</v>
      </c>
      <c r="F7023" s="17">
        <v>5</v>
      </c>
      <c r="G7023" s="18">
        <v>0.1</v>
      </c>
      <c r="H7023">
        <f>F7023*VLOOKUP(B7023,產品!$A$2:$H$61,7,FALSE)*(1-銷售總表!G7023)</f>
        <v>81000</v>
      </c>
      <c r="I7023" s="35">
        <f>H7023-F7023*VLOOKUP(銷售總表!B7023,產品!$A$2:$H$61,8,FALSE)</f>
        <v>18000</v>
      </c>
      <c r="J7023" s="20">
        <f t="shared" si="109"/>
        <v>0.22222222222222221</v>
      </c>
    </row>
    <row r="7024" spans="1:10" x14ac:dyDescent="0.3">
      <c r="A7024" s="33">
        <v>7023</v>
      </c>
      <c r="B7024" s="4">
        <v>14</v>
      </c>
      <c r="C7024" s="15">
        <v>7</v>
      </c>
      <c r="D7024" s="16">
        <v>9</v>
      </c>
      <c r="E7024" s="22">
        <v>45248</v>
      </c>
      <c r="F7024" s="19">
        <v>14</v>
      </c>
      <c r="G7024" s="18">
        <v>0.09</v>
      </c>
      <c r="H7024">
        <f>F7024*VLOOKUP(B7024,產品!$A$2:$H$61,7,FALSE)*(1-銷售總表!G7024)</f>
        <v>22932</v>
      </c>
      <c r="I7024" s="35">
        <f>H7024-F7024*VLOOKUP(銷售總表!B7024,產品!$A$2:$H$61,8,FALSE)</f>
        <v>12852</v>
      </c>
      <c r="J7024" s="20">
        <f t="shared" si="109"/>
        <v>0.56043956043956045</v>
      </c>
    </row>
    <row r="7025" spans="1:10" x14ac:dyDescent="0.3">
      <c r="A7025" s="33">
        <v>7024</v>
      </c>
      <c r="B7025" s="4">
        <v>6</v>
      </c>
      <c r="C7025" s="15">
        <v>260</v>
      </c>
      <c r="D7025" s="16">
        <v>10</v>
      </c>
      <c r="E7025" s="22">
        <v>45249</v>
      </c>
      <c r="F7025" s="17">
        <v>30</v>
      </c>
      <c r="G7025" s="18">
        <v>0.16</v>
      </c>
      <c r="H7025">
        <f>F7025*VLOOKUP(B7025,產品!$A$2:$H$61,7,FALSE)*(1-銷售總表!G7025)</f>
        <v>25200</v>
      </c>
      <c r="I7025" s="35">
        <f>H7025-F7025*VLOOKUP(銷售總表!B7025,產品!$A$2:$H$61,8,FALSE)</f>
        <v>13200</v>
      </c>
      <c r="J7025" s="20">
        <f t="shared" si="109"/>
        <v>0.52380952380952384</v>
      </c>
    </row>
    <row r="7026" spans="1:10" x14ac:dyDescent="0.3">
      <c r="A7026" s="33">
        <v>7025</v>
      </c>
      <c r="B7026" s="4">
        <v>54</v>
      </c>
      <c r="C7026" s="15">
        <v>292</v>
      </c>
      <c r="D7026" s="16">
        <v>2</v>
      </c>
      <c r="E7026" s="22">
        <v>45249</v>
      </c>
      <c r="F7026" s="17">
        <v>6</v>
      </c>
      <c r="G7026" s="18">
        <v>0.09</v>
      </c>
      <c r="H7026">
        <f>F7026*VLOOKUP(B7026,產品!$A$2:$H$61,7,FALSE)*(1-銷售總表!G7026)</f>
        <v>98280</v>
      </c>
      <c r="I7026" s="35">
        <f>H7026-F7026*VLOOKUP(銷售總表!B7026,產品!$A$2:$H$61,8,FALSE)</f>
        <v>22680</v>
      </c>
      <c r="J7026" s="20">
        <f t="shared" si="109"/>
        <v>0.23076923076923078</v>
      </c>
    </row>
    <row r="7027" spans="1:10" x14ac:dyDescent="0.3">
      <c r="A7027" s="33">
        <v>7026</v>
      </c>
      <c r="B7027" s="4">
        <v>40</v>
      </c>
      <c r="C7027" s="15">
        <v>3</v>
      </c>
      <c r="D7027" s="16">
        <v>2</v>
      </c>
      <c r="E7027" s="22">
        <v>45249</v>
      </c>
      <c r="F7027" s="19">
        <v>8</v>
      </c>
      <c r="G7027" s="18">
        <v>0.05</v>
      </c>
      <c r="H7027">
        <f>F7027*VLOOKUP(B7027,產品!$A$2:$H$61,7,FALSE)*(1-銷售總表!G7027)</f>
        <v>152000</v>
      </c>
      <c r="I7027" s="35">
        <f>H7027-F7027*VLOOKUP(銷售總表!B7027,產品!$A$2:$H$61,8,FALSE)</f>
        <v>48000</v>
      </c>
      <c r="J7027" s="20">
        <f t="shared" si="109"/>
        <v>0.31578947368421051</v>
      </c>
    </row>
    <row r="7028" spans="1:10" x14ac:dyDescent="0.3">
      <c r="A7028" s="33">
        <v>7027</v>
      </c>
      <c r="B7028" s="4">
        <v>59</v>
      </c>
      <c r="C7028" s="15">
        <v>8</v>
      </c>
      <c r="D7028" s="16">
        <v>1</v>
      </c>
      <c r="E7028" s="22">
        <v>45250</v>
      </c>
      <c r="F7028" s="17">
        <v>6</v>
      </c>
      <c r="G7028" s="18">
        <v>0.1</v>
      </c>
      <c r="H7028">
        <f>F7028*VLOOKUP(B7028,產品!$A$2:$H$61,7,FALSE)*(1-銷售總表!G7028)</f>
        <v>129600</v>
      </c>
      <c r="I7028" s="35">
        <f>H7028-F7028*VLOOKUP(銷售總表!B7028,產品!$A$2:$H$61,8,FALSE)</f>
        <v>28800</v>
      </c>
      <c r="J7028" s="20">
        <f t="shared" si="109"/>
        <v>0.22222222222222221</v>
      </c>
    </row>
    <row r="7029" spans="1:10" x14ac:dyDescent="0.3">
      <c r="A7029" s="33">
        <v>7028</v>
      </c>
      <c r="B7029" s="4">
        <v>15</v>
      </c>
      <c r="C7029" s="15">
        <v>4</v>
      </c>
      <c r="D7029" s="16">
        <v>1</v>
      </c>
      <c r="E7029" s="22">
        <v>45250</v>
      </c>
      <c r="F7029" s="17">
        <v>30</v>
      </c>
      <c r="G7029" s="18">
        <v>7.0000000000000007E-2</v>
      </c>
      <c r="H7029">
        <f>F7029*VLOOKUP(B7029,產品!$A$2:$H$61,7,FALSE)*(1-銷售總表!G7029)</f>
        <v>50220</v>
      </c>
      <c r="I7029" s="35">
        <f>H7029-F7029*VLOOKUP(銷售總表!B7029,產品!$A$2:$H$61,8,FALSE)</f>
        <v>28620</v>
      </c>
      <c r="J7029" s="20">
        <f t="shared" si="109"/>
        <v>0.56989247311827962</v>
      </c>
    </row>
    <row r="7030" spans="1:10" x14ac:dyDescent="0.3">
      <c r="A7030" s="33">
        <v>7029</v>
      </c>
      <c r="B7030" s="4">
        <v>38</v>
      </c>
      <c r="C7030" s="15">
        <v>287</v>
      </c>
      <c r="D7030" s="16">
        <v>5</v>
      </c>
      <c r="E7030" s="22">
        <v>45250</v>
      </c>
      <c r="F7030" s="17">
        <v>20</v>
      </c>
      <c r="G7030" s="18">
        <v>0.13</v>
      </c>
      <c r="H7030">
        <f>F7030*VLOOKUP(B7030,產品!$A$2:$H$61,7,FALSE)*(1-銷售總表!G7030)</f>
        <v>261000</v>
      </c>
      <c r="I7030" s="35">
        <f>H7030-F7030*VLOOKUP(銷售總表!B7030,產品!$A$2:$H$61,8,FALSE)</f>
        <v>66000</v>
      </c>
      <c r="J7030" s="20">
        <f t="shared" si="109"/>
        <v>0.25287356321839083</v>
      </c>
    </row>
    <row r="7031" spans="1:10" x14ac:dyDescent="0.3">
      <c r="A7031" s="33">
        <v>7030</v>
      </c>
      <c r="B7031" s="4">
        <v>57</v>
      </c>
      <c r="C7031" s="15">
        <v>281</v>
      </c>
      <c r="D7031" s="16">
        <v>8</v>
      </c>
      <c r="E7031" s="22">
        <v>45250</v>
      </c>
      <c r="F7031" s="19">
        <v>4</v>
      </c>
      <c r="G7031" s="18">
        <v>0.13</v>
      </c>
      <c r="H7031">
        <f>F7031*VLOOKUP(B7031,產品!$A$2:$H$61,7,FALSE)*(1-銷售總表!G7031)</f>
        <v>62640</v>
      </c>
      <c r="I7031" s="35">
        <f>H7031-F7031*VLOOKUP(銷售總表!B7031,產品!$A$2:$H$61,8,FALSE)</f>
        <v>12240</v>
      </c>
      <c r="J7031" s="20">
        <f t="shared" si="109"/>
        <v>0.19540229885057472</v>
      </c>
    </row>
    <row r="7032" spans="1:10" x14ac:dyDescent="0.3">
      <c r="A7032" s="33">
        <v>7031</v>
      </c>
      <c r="B7032" s="4">
        <v>42</v>
      </c>
      <c r="C7032" s="15">
        <v>283</v>
      </c>
      <c r="D7032" s="16">
        <v>5</v>
      </c>
      <c r="E7032" s="22">
        <v>45251</v>
      </c>
      <c r="F7032" s="17">
        <v>20</v>
      </c>
      <c r="G7032" s="18">
        <v>0.2</v>
      </c>
      <c r="H7032">
        <f>F7032*VLOOKUP(B7032,產品!$A$2:$H$61,7,FALSE)*(1-銷售總表!G7032)</f>
        <v>240000</v>
      </c>
      <c r="I7032" s="35">
        <f>H7032-F7032*VLOOKUP(銷售總表!B7032,產品!$A$2:$H$61,8,FALSE)</f>
        <v>45000</v>
      </c>
      <c r="J7032" s="20">
        <f t="shared" si="109"/>
        <v>0.1875</v>
      </c>
    </row>
    <row r="7033" spans="1:10" x14ac:dyDescent="0.3">
      <c r="A7033" s="33">
        <v>7032</v>
      </c>
      <c r="B7033" s="4">
        <v>12</v>
      </c>
      <c r="C7033" s="15">
        <v>272</v>
      </c>
      <c r="D7033" s="16">
        <v>7</v>
      </c>
      <c r="E7033" s="22">
        <v>45251</v>
      </c>
      <c r="F7033" s="19">
        <v>90</v>
      </c>
      <c r="G7033" s="18">
        <v>0.13</v>
      </c>
      <c r="H7033">
        <f>F7033*VLOOKUP(B7033,產品!$A$2:$H$61,7,FALSE)*(1-銷售總表!G7033)</f>
        <v>78300</v>
      </c>
      <c r="I7033" s="35">
        <f>H7033-F7033*VLOOKUP(銷售總表!B7033,產品!$A$2:$H$61,8,FALSE)</f>
        <v>42300</v>
      </c>
      <c r="J7033" s="20">
        <f t="shared" si="109"/>
        <v>0.54022988505747127</v>
      </c>
    </row>
    <row r="7034" spans="1:10" x14ac:dyDescent="0.3">
      <c r="A7034" s="33">
        <v>7033</v>
      </c>
      <c r="B7034" s="4">
        <v>46</v>
      </c>
      <c r="C7034" s="15">
        <v>7</v>
      </c>
      <c r="D7034" s="16">
        <v>3</v>
      </c>
      <c r="E7034" s="22">
        <v>45251</v>
      </c>
      <c r="F7034" s="19">
        <v>2</v>
      </c>
      <c r="G7034" s="18">
        <v>0.19</v>
      </c>
      <c r="H7034">
        <f>F7034*VLOOKUP(B7034,產品!$A$2:$H$61,7,FALSE)*(1-銷售總表!G7034)</f>
        <v>27540</v>
      </c>
      <c r="I7034" s="35">
        <f>H7034-F7034*VLOOKUP(銷售總表!B7034,產品!$A$2:$H$61,8,FALSE)</f>
        <v>5440</v>
      </c>
      <c r="J7034" s="20">
        <f t="shared" si="109"/>
        <v>0.19753086419753085</v>
      </c>
    </row>
    <row r="7035" spans="1:10" x14ac:dyDescent="0.3">
      <c r="A7035" s="33">
        <v>7034</v>
      </c>
      <c r="B7035" s="4">
        <v>6</v>
      </c>
      <c r="C7035" s="15">
        <v>138</v>
      </c>
      <c r="D7035" s="16">
        <v>4</v>
      </c>
      <c r="E7035" s="22">
        <v>45251</v>
      </c>
      <c r="F7035" s="19">
        <v>40</v>
      </c>
      <c r="G7035" s="18">
        <v>0.13</v>
      </c>
      <c r="H7035">
        <f>F7035*VLOOKUP(B7035,產品!$A$2:$H$61,7,FALSE)*(1-銷售總表!G7035)</f>
        <v>34800</v>
      </c>
      <c r="I7035" s="35">
        <f>H7035-F7035*VLOOKUP(銷售總表!B7035,產品!$A$2:$H$61,8,FALSE)</f>
        <v>18800</v>
      </c>
      <c r="J7035" s="20">
        <f t="shared" si="109"/>
        <v>0.54022988505747127</v>
      </c>
    </row>
    <row r="7036" spans="1:10" x14ac:dyDescent="0.3">
      <c r="A7036" s="33">
        <v>7035</v>
      </c>
      <c r="B7036" s="4">
        <v>19</v>
      </c>
      <c r="C7036" s="15">
        <v>1</v>
      </c>
      <c r="D7036" s="16">
        <v>10</v>
      </c>
      <c r="E7036" s="22">
        <v>45251</v>
      </c>
      <c r="F7036" s="19">
        <v>80</v>
      </c>
      <c r="G7036" s="18">
        <v>0.12</v>
      </c>
      <c r="H7036">
        <f>F7036*VLOOKUP(B7036,產品!$A$2:$H$61,7,FALSE)*(1-銷售總表!G7036)</f>
        <v>126720</v>
      </c>
      <c r="I7036" s="35">
        <f>H7036-F7036*VLOOKUP(銷售總表!B7036,產品!$A$2:$H$61,8,FALSE)</f>
        <v>69120</v>
      </c>
      <c r="J7036" s="20">
        <f t="shared" si="109"/>
        <v>0.54545454545454541</v>
      </c>
    </row>
    <row r="7037" spans="1:10" x14ac:dyDescent="0.3">
      <c r="A7037" s="33">
        <v>7036</v>
      </c>
      <c r="B7037" s="4">
        <v>40</v>
      </c>
      <c r="C7037" s="15">
        <v>120</v>
      </c>
      <c r="D7037" s="16">
        <v>8</v>
      </c>
      <c r="E7037" s="22">
        <v>45252</v>
      </c>
      <c r="F7037" s="17">
        <v>5</v>
      </c>
      <c r="G7037" s="18">
        <v>0.11</v>
      </c>
      <c r="H7037">
        <f>F7037*VLOOKUP(B7037,產品!$A$2:$H$61,7,FALSE)*(1-銷售總表!G7037)</f>
        <v>89000</v>
      </c>
      <c r="I7037" s="35">
        <f>H7037-F7037*VLOOKUP(銷售總表!B7037,產品!$A$2:$H$61,8,FALSE)</f>
        <v>24000</v>
      </c>
      <c r="J7037" s="20">
        <f t="shared" si="109"/>
        <v>0.2696629213483146</v>
      </c>
    </row>
    <row r="7038" spans="1:10" x14ac:dyDescent="0.3">
      <c r="A7038" s="33">
        <v>7037</v>
      </c>
      <c r="B7038" s="4">
        <v>54</v>
      </c>
      <c r="C7038" s="15">
        <v>271</v>
      </c>
      <c r="D7038" s="16">
        <v>8</v>
      </c>
      <c r="E7038" s="22">
        <v>45252</v>
      </c>
      <c r="F7038" s="17">
        <v>15</v>
      </c>
      <c r="G7038" s="18">
        <v>0.05</v>
      </c>
      <c r="H7038">
        <f>F7038*VLOOKUP(B7038,產品!$A$2:$H$61,7,FALSE)*(1-銷售總表!G7038)</f>
        <v>256500</v>
      </c>
      <c r="I7038" s="35">
        <f>H7038-F7038*VLOOKUP(銷售總表!B7038,產品!$A$2:$H$61,8,FALSE)</f>
        <v>67500</v>
      </c>
      <c r="J7038" s="20">
        <f t="shared" si="109"/>
        <v>0.26315789473684209</v>
      </c>
    </row>
    <row r="7039" spans="1:10" x14ac:dyDescent="0.3">
      <c r="A7039" s="33">
        <v>7038</v>
      </c>
      <c r="B7039" s="4">
        <v>17</v>
      </c>
      <c r="C7039" s="15">
        <v>140</v>
      </c>
      <c r="D7039" s="16">
        <v>8</v>
      </c>
      <c r="E7039" s="22">
        <v>45252</v>
      </c>
      <c r="F7039" s="17">
        <v>20</v>
      </c>
      <c r="G7039" s="18">
        <v>0.2</v>
      </c>
      <c r="H7039">
        <f>F7039*VLOOKUP(B7039,產品!$A$2:$H$61,7,FALSE)*(1-銷售總表!G7039)</f>
        <v>28800</v>
      </c>
      <c r="I7039" s="35">
        <f>H7039-F7039*VLOOKUP(銷售總表!B7039,產品!$A$2:$H$61,8,FALSE)</f>
        <v>14400</v>
      </c>
      <c r="J7039" s="20">
        <f t="shared" si="109"/>
        <v>0.5</v>
      </c>
    </row>
    <row r="7040" spans="1:10" x14ac:dyDescent="0.3">
      <c r="A7040" s="33">
        <v>7039</v>
      </c>
      <c r="B7040" s="4">
        <v>39</v>
      </c>
      <c r="C7040" s="15">
        <v>10</v>
      </c>
      <c r="D7040" s="16">
        <v>9</v>
      </c>
      <c r="E7040" s="22">
        <v>45252</v>
      </c>
      <c r="F7040" s="19">
        <v>10</v>
      </c>
      <c r="G7040" s="18">
        <v>0.15</v>
      </c>
      <c r="H7040">
        <f>F7040*VLOOKUP(B7040,產品!$A$2:$H$61,7,FALSE)*(1-銷售總表!G7040)</f>
        <v>153000</v>
      </c>
      <c r="I7040" s="35">
        <f>H7040-F7040*VLOOKUP(銷售總表!B7040,產品!$A$2:$H$61,8,FALSE)</f>
        <v>36000</v>
      </c>
      <c r="J7040" s="20">
        <f t="shared" si="109"/>
        <v>0.23529411764705882</v>
      </c>
    </row>
    <row r="7041" spans="1:10" x14ac:dyDescent="0.3">
      <c r="A7041" s="33">
        <v>7040</v>
      </c>
      <c r="B7041" s="4">
        <v>2</v>
      </c>
      <c r="C7041" s="15">
        <v>279</v>
      </c>
      <c r="D7041" s="16">
        <v>1</v>
      </c>
      <c r="E7041" s="22">
        <v>45253</v>
      </c>
      <c r="F7041" s="17">
        <v>45</v>
      </c>
      <c r="G7041" s="18">
        <v>0.18</v>
      </c>
      <c r="H7041">
        <f>F7041*VLOOKUP(B7041,產品!$A$2:$H$61,7,FALSE)*(1-銷售總表!G7041)</f>
        <v>36900</v>
      </c>
      <c r="I7041" s="35">
        <f>H7041-F7041*VLOOKUP(銷售總表!B7041,產品!$A$2:$H$61,8,FALSE)</f>
        <v>18900</v>
      </c>
      <c r="J7041" s="20">
        <f t="shared" si="109"/>
        <v>0.51219512195121952</v>
      </c>
    </row>
    <row r="7042" spans="1:10" x14ac:dyDescent="0.3">
      <c r="A7042" s="33">
        <v>7041</v>
      </c>
      <c r="B7042" s="4">
        <v>22</v>
      </c>
      <c r="C7042" s="15">
        <v>268</v>
      </c>
      <c r="D7042" s="16">
        <v>4</v>
      </c>
      <c r="E7042" s="22">
        <v>45253</v>
      </c>
      <c r="F7042" s="19">
        <v>70</v>
      </c>
      <c r="G7042" s="18">
        <v>0.14000000000000001</v>
      </c>
      <c r="H7042">
        <f>F7042*VLOOKUP(B7042,產品!$A$2:$H$61,7,FALSE)*(1-銷售總表!G7042)</f>
        <v>108360</v>
      </c>
      <c r="I7042" s="35">
        <f>H7042-F7042*VLOOKUP(銷售總表!B7042,產品!$A$2:$H$61,8,FALSE)</f>
        <v>57960</v>
      </c>
      <c r="J7042" s="20">
        <f t="shared" si="109"/>
        <v>0.53488372093023251</v>
      </c>
    </row>
    <row r="7043" spans="1:10" x14ac:dyDescent="0.3">
      <c r="A7043" s="33">
        <v>7042</v>
      </c>
      <c r="B7043" s="4">
        <v>1</v>
      </c>
      <c r="C7043" s="15">
        <v>5</v>
      </c>
      <c r="D7043" s="16">
        <v>5</v>
      </c>
      <c r="E7043" s="22">
        <v>45254</v>
      </c>
      <c r="F7043" s="17">
        <v>45</v>
      </c>
      <c r="G7043" s="18">
        <v>0.1</v>
      </c>
      <c r="H7043">
        <f>F7043*VLOOKUP(B7043,產品!$A$2:$H$61,7,FALSE)*(1-銷售總表!G7043)</f>
        <v>40500</v>
      </c>
      <c r="I7043" s="35">
        <f>H7043-F7043*VLOOKUP(銷售總表!B7043,產品!$A$2:$H$61,8,FALSE)</f>
        <v>22500</v>
      </c>
      <c r="J7043" s="20">
        <f t="shared" ref="J7043:J7106" si="110">I7043/H7043</f>
        <v>0.55555555555555558</v>
      </c>
    </row>
    <row r="7044" spans="1:10" x14ac:dyDescent="0.3">
      <c r="A7044" s="33">
        <v>7043</v>
      </c>
      <c r="B7044" s="4">
        <v>37</v>
      </c>
      <c r="C7044" s="15">
        <v>288</v>
      </c>
      <c r="D7044" s="16">
        <v>5</v>
      </c>
      <c r="E7044" s="22">
        <v>45254</v>
      </c>
      <c r="F7044" s="17">
        <v>8</v>
      </c>
      <c r="G7044" s="18">
        <v>0.16</v>
      </c>
      <c r="H7044">
        <f>F7044*VLOOKUP(B7044,產品!$A$2:$H$61,7,FALSE)*(1-銷售總表!G7044)</f>
        <v>80640</v>
      </c>
      <c r="I7044" s="35">
        <f>H7044-F7044*VLOOKUP(銷售總表!B7044,產品!$A$2:$H$61,8,FALSE)</f>
        <v>18240</v>
      </c>
      <c r="J7044" s="20">
        <f t="shared" si="110"/>
        <v>0.22619047619047619</v>
      </c>
    </row>
    <row r="7045" spans="1:10" x14ac:dyDescent="0.3">
      <c r="A7045" s="33">
        <v>7044</v>
      </c>
      <c r="B7045" s="4">
        <v>27</v>
      </c>
      <c r="C7045" s="15">
        <v>294</v>
      </c>
      <c r="D7045" s="16">
        <v>4</v>
      </c>
      <c r="E7045" s="22">
        <v>45254</v>
      </c>
      <c r="F7045" s="17">
        <v>6</v>
      </c>
      <c r="G7045" s="18">
        <v>0.09</v>
      </c>
      <c r="H7045">
        <f>F7045*VLOOKUP(B7045,產品!$A$2:$H$61,7,FALSE)*(1-銷售總表!G7045)</f>
        <v>38220</v>
      </c>
      <c r="I7045" s="35">
        <f>H7045-F7045*VLOOKUP(銷售總表!B7045,產品!$A$2:$H$61,8,FALSE)</f>
        <v>13020</v>
      </c>
      <c r="J7045" s="20">
        <f t="shared" si="110"/>
        <v>0.34065934065934067</v>
      </c>
    </row>
    <row r="7046" spans="1:10" x14ac:dyDescent="0.3">
      <c r="A7046" s="33">
        <v>7045</v>
      </c>
      <c r="B7046" s="4">
        <v>41</v>
      </c>
      <c r="C7046" s="15">
        <v>277</v>
      </c>
      <c r="D7046" s="16">
        <v>1</v>
      </c>
      <c r="E7046" s="22">
        <v>45254</v>
      </c>
      <c r="F7046" s="19">
        <v>6</v>
      </c>
      <c r="G7046" s="18">
        <v>0.15</v>
      </c>
      <c r="H7046">
        <f>F7046*VLOOKUP(B7046,產品!$A$2:$H$61,7,FALSE)*(1-銷售總表!G7046)</f>
        <v>61200</v>
      </c>
      <c r="I7046" s="35">
        <f>H7046-F7046*VLOOKUP(銷售總表!B7046,產品!$A$2:$H$61,8,FALSE)</f>
        <v>14400</v>
      </c>
      <c r="J7046" s="20">
        <f t="shared" si="110"/>
        <v>0.23529411764705882</v>
      </c>
    </row>
    <row r="7047" spans="1:10" x14ac:dyDescent="0.3">
      <c r="A7047" s="33">
        <v>7046</v>
      </c>
      <c r="B7047" s="4">
        <v>50</v>
      </c>
      <c r="C7047" s="15">
        <v>116</v>
      </c>
      <c r="D7047" s="16">
        <v>8</v>
      </c>
      <c r="E7047" s="22">
        <v>45254</v>
      </c>
      <c r="F7047" s="19">
        <v>18</v>
      </c>
      <c r="G7047" s="18">
        <v>0.11</v>
      </c>
      <c r="H7047">
        <f>F7047*VLOOKUP(B7047,產品!$A$2:$H$61,7,FALSE)*(1-銷售總表!G7047)</f>
        <v>288360</v>
      </c>
      <c r="I7047" s="35">
        <f>H7047-F7047*VLOOKUP(銷售總表!B7047,產品!$A$2:$H$61,8,FALSE)</f>
        <v>61560</v>
      </c>
      <c r="J7047" s="20">
        <f t="shared" si="110"/>
        <v>0.21348314606741572</v>
      </c>
    </row>
    <row r="7048" spans="1:10" x14ac:dyDescent="0.3">
      <c r="A7048" s="33">
        <v>7047</v>
      </c>
      <c r="B7048" s="4">
        <v>28</v>
      </c>
      <c r="C7048" s="15">
        <v>262</v>
      </c>
      <c r="D7048" s="16">
        <v>5</v>
      </c>
      <c r="E7048" s="23">
        <v>45254</v>
      </c>
      <c r="F7048">
        <v>7</v>
      </c>
      <c r="G7048" s="20">
        <v>0.11</v>
      </c>
      <c r="H7048">
        <f>F7048*VLOOKUP(B7048,產品!$A$2:$H$61,7,FALSE)*(1-銷售總表!G7048)</f>
        <v>46725</v>
      </c>
      <c r="I7048" s="35">
        <f>H7048-F7048*VLOOKUP(銷售總表!B7048,產品!$A$2:$H$61,8,FALSE)</f>
        <v>15225</v>
      </c>
      <c r="J7048" s="20">
        <f t="shared" si="110"/>
        <v>0.3258426966292135</v>
      </c>
    </row>
    <row r="7049" spans="1:10" x14ac:dyDescent="0.3">
      <c r="A7049" s="33">
        <v>7048</v>
      </c>
      <c r="B7049" s="4">
        <v>22</v>
      </c>
      <c r="C7049" s="15">
        <v>6</v>
      </c>
      <c r="D7049" s="16">
        <v>1</v>
      </c>
      <c r="E7049" s="22">
        <v>45255</v>
      </c>
      <c r="F7049" s="17">
        <v>20</v>
      </c>
      <c r="G7049" s="18">
        <v>0.19</v>
      </c>
      <c r="H7049">
        <f>F7049*VLOOKUP(B7049,產品!$A$2:$H$61,7,FALSE)*(1-銷售總表!G7049)</f>
        <v>29160.000000000004</v>
      </c>
      <c r="I7049" s="35">
        <f>H7049-F7049*VLOOKUP(銷售總表!B7049,產品!$A$2:$H$61,8,FALSE)</f>
        <v>14760.000000000004</v>
      </c>
      <c r="J7049" s="20">
        <f t="shared" si="110"/>
        <v>0.50617283950617287</v>
      </c>
    </row>
    <row r="7050" spans="1:10" x14ac:dyDescent="0.3">
      <c r="A7050" s="33">
        <v>7049</v>
      </c>
      <c r="B7050" s="4">
        <v>10</v>
      </c>
      <c r="C7050" s="15">
        <v>271</v>
      </c>
      <c r="D7050" s="16">
        <v>9</v>
      </c>
      <c r="E7050" s="22">
        <v>45255</v>
      </c>
      <c r="F7050" s="17">
        <v>90</v>
      </c>
      <c r="G7050" s="18">
        <v>0.11</v>
      </c>
      <c r="H7050">
        <f>F7050*VLOOKUP(B7050,產品!$A$2:$H$61,7,FALSE)*(1-銷售總表!G7050)</f>
        <v>80100</v>
      </c>
      <c r="I7050" s="35">
        <f>H7050-F7050*VLOOKUP(銷售總表!B7050,產品!$A$2:$H$61,8,FALSE)</f>
        <v>44100</v>
      </c>
      <c r="J7050" s="20">
        <f t="shared" si="110"/>
        <v>0.550561797752809</v>
      </c>
    </row>
    <row r="7051" spans="1:10" x14ac:dyDescent="0.3">
      <c r="A7051" s="33">
        <v>7050</v>
      </c>
      <c r="B7051" s="4">
        <v>12</v>
      </c>
      <c r="C7051" s="15">
        <v>136</v>
      </c>
      <c r="D7051" s="16">
        <v>6</v>
      </c>
      <c r="E7051" s="22">
        <v>45255</v>
      </c>
      <c r="F7051" s="19">
        <v>30</v>
      </c>
      <c r="G7051" s="18">
        <v>0.08</v>
      </c>
      <c r="H7051">
        <f>F7051*VLOOKUP(B7051,產品!$A$2:$H$61,7,FALSE)*(1-銷售總表!G7051)</f>
        <v>27600</v>
      </c>
      <c r="I7051" s="35">
        <f>H7051-F7051*VLOOKUP(銷售總表!B7051,產品!$A$2:$H$61,8,FALSE)</f>
        <v>15600</v>
      </c>
      <c r="J7051" s="20">
        <f t="shared" si="110"/>
        <v>0.56521739130434778</v>
      </c>
    </row>
    <row r="7052" spans="1:10" x14ac:dyDescent="0.3">
      <c r="A7052" s="33">
        <v>7051</v>
      </c>
      <c r="B7052" s="4">
        <v>56</v>
      </c>
      <c r="C7052" s="15">
        <v>269</v>
      </c>
      <c r="D7052" s="16">
        <v>2</v>
      </c>
      <c r="E7052" s="22">
        <v>45255</v>
      </c>
      <c r="F7052" s="19">
        <v>11</v>
      </c>
      <c r="G7052" s="18">
        <v>0.08</v>
      </c>
      <c r="H7052">
        <f>F7052*VLOOKUP(B7052,產品!$A$2:$H$61,7,FALSE)*(1-銷售總表!G7052)</f>
        <v>222640</v>
      </c>
      <c r="I7052" s="35">
        <f>H7052-F7052*VLOOKUP(銷售總表!B7052,產品!$A$2:$H$61,8,FALSE)</f>
        <v>53240.000000000029</v>
      </c>
      <c r="J7052" s="20">
        <f t="shared" si="110"/>
        <v>0.23913043478260881</v>
      </c>
    </row>
    <row r="7053" spans="1:10" x14ac:dyDescent="0.3">
      <c r="A7053" s="33">
        <v>7052</v>
      </c>
      <c r="B7053" s="4">
        <v>13</v>
      </c>
      <c r="C7053" s="15">
        <v>117</v>
      </c>
      <c r="D7053" s="16">
        <v>7</v>
      </c>
      <c r="E7053" s="22">
        <v>45256</v>
      </c>
      <c r="F7053" s="17">
        <v>100</v>
      </c>
      <c r="G7053" s="18">
        <v>0.12</v>
      </c>
      <c r="H7053">
        <f>F7053*VLOOKUP(B7053,產品!$A$2:$H$61,7,FALSE)*(1-銷售總表!G7053)</f>
        <v>158400</v>
      </c>
      <c r="I7053" s="35">
        <f>H7053-F7053*VLOOKUP(銷售總表!B7053,產品!$A$2:$H$61,8,FALSE)</f>
        <v>86400</v>
      </c>
      <c r="J7053" s="20">
        <f t="shared" si="110"/>
        <v>0.54545454545454541</v>
      </c>
    </row>
    <row r="7054" spans="1:10" x14ac:dyDescent="0.3">
      <c r="A7054" s="33">
        <v>7053</v>
      </c>
      <c r="B7054" s="4">
        <v>52</v>
      </c>
      <c r="C7054" s="15">
        <v>282</v>
      </c>
      <c r="D7054" s="16">
        <v>8</v>
      </c>
      <c r="E7054" s="22">
        <v>45256</v>
      </c>
      <c r="F7054" s="17">
        <v>3</v>
      </c>
      <c r="G7054" s="18">
        <v>0.16</v>
      </c>
      <c r="H7054">
        <f>F7054*VLOOKUP(B7054,產品!$A$2:$H$61,7,FALSE)*(1-銷售總表!G7054)</f>
        <v>55440</v>
      </c>
      <c r="I7054" s="35">
        <f>H7054-F7054*VLOOKUP(銷售總表!B7054,產品!$A$2:$H$61,8,FALSE)</f>
        <v>9240.0000000000073</v>
      </c>
      <c r="J7054" s="20">
        <f t="shared" si="110"/>
        <v>0.1666666666666668</v>
      </c>
    </row>
    <row r="7055" spans="1:10" x14ac:dyDescent="0.3">
      <c r="A7055" s="33">
        <v>7054</v>
      </c>
      <c r="B7055" s="4">
        <v>23</v>
      </c>
      <c r="C7055" s="15">
        <v>11</v>
      </c>
      <c r="D7055" s="16">
        <v>9</v>
      </c>
      <c r="E7055" s="23">
        <v>45256</v>
      </c>
      <c r="F7055">
        <v>90</v>
      </c>
      <c r="G7055" s="20">
        <v>0.12</v>
      </c>
      <c r="H7055">
        <f>F7055*VLOOKUP(B7055,產品!$A$2:$H$61,7,FALSE)*(1-銷售總表!G7055)</f>
        <v>142560</v>
      </c>
      <c r="I7055" s="35">
        <f>H7055-F7055*VLOOKUP(銷售總表!B7055,產品!$A$2:$H$61,8,FALSE)</f>
        <v>77760</v>
      </c>
      <c r="J7055" s="20">
        <f t="shared" si="110"/>
        <v>0.54545454545454541</v>
      </c>
    </row>
    <row r="7056" spans="1:10" x14ac:dyDescent="0.3">
      <c r="A7056" s="33">
        <v>7055</v>
      </c>
      <c r="B7056" s="4">
        <v>11</v>
      </c>
      <c r="C7056" s="15">
        <v>8</v>
      </c>
      <c r="D7056" s="16">
        <v>2</v>
      </c>
      <c r="E7056" s="22">
        <v>45257</v>
      </c>
      <c r="F7056" s="17">
        <v>45</v>
      </c>
      <c r="G7056" s="18">
        <v>0.09</v>
      </c>
      <c r="H7056">
        <f>F7056*VLOOKUP(B7056,產品!$A$2:$H$61,7,FALSE)*(1-銷售總表!G7056)</f>
        <v>40950</v>
      </c>
      <c r="I7056" s="35">
        <f>H7056-F7056*VLOOKUP(銷售總表!B7056,產品!$A$2:$H$61,8,FALSE)</f>
        <v>22950</v>
      </c>
      <c r="J7056" s="20">
        <f t="shared" si="110"/>
        <v>0.56043956043956045</v>
      </c>
    </row>
    <row r="7057" spans="1:10" x14ac:dyDescent="0.3">
      <c r="A7057" s="33">
        <v>7056</v>
      </c>
      <c r="B7057" s="4">
        <v>16</v>
      </c>
      <c r="C7057" s="15">
        <v>290</v>
      </c>
      <c r="D7057" s="16">
        <v>4</v>
      </c>
      <c r="E7057" s="22">
        <v>45257</v>
      </c>
      <c r="F7057" s="17">
        <v>125</v>
      </c>
      <c r="G7057" s="18">
        <v>0.13</v>
      </c>
      <c r="H7057">
        <f>F7057*VLOOKUP(B7057,產品!$A$2:$H$61,7,FALSE)*(1-銷售總表!G7057)</f>
        <v>195750</v>
      </c>
      <c r="I7057" s="35">
        <f>H7057-F7057*VLOOKUP(銷售總表!B7057,產品!$A$2:$H$61,8,FALSE)</f>
        <v>105750</v>
      </c>
      <c r="J7057" s="20">
        <f t="shared" si="110"/>
        <v>0.54022988505747127</v>
      </c>
    </row>
    <row r="7058" spans="1:10" x14ac:dyDescent="0.3">
      <c r="A7058" s="33">
        <v>7057</v>
      </c>
      <c r="B7058" s="4">
        <v>3</v>
      </c>
      <c r="C7058" s="15">
        <v>263</v>
      </c>
      <c r="D7058" s="16">
        <v>6</v>
      </c>
      <c r="E7058" s="22">
        <v>45257</v>
      </c>
      <c r="F7058" s="17">
        <v>30</v>
      </c>
      <c r="G7058" s="18">
        <v>0.13</v>
      </c>
      <c r="H7058">
        <f>F7058*VLOOKUP(B7058,產品!$A$2:$H$61,7,FALSE)*(1-銷售總表!G7058)</f>
        <v>26100</v>
      </c>
      <c r="I7058" s="35">
        <f>H7058-F7058*VLOOKUP(銷售總表!B7058,產品!$A$2:$H$61,8,FALSE)</f>
        <v>14100</v>
      </c>
      <c r="J7058" s="20">
        <f t="shared" si="110"/>
        <v>0.54022988505747127</v>
      </c>
    </row>
    <row r="7059" spans="1:10" x14ac:dyDescent="0.3">
      <c r="A7059" s="33">
        <v>7058</v>
      </c>
      <c r="B7059" s="4">
        <v>50</v>
      </c>
      <c r="C7059" s="15">
        <v>264</v>
      </c>
      <c r="D7059" s="16">
        <v>4</v>
      </c>
      <c r="E7059" s="22">
        <v>45258</v>
      </c>
      <c r="F7059" s="19">
        <v>5</v>
      </c>
      <c r="G7059" s="18">
        <v>0.08</v>
      </c>
      <c r="H7059">
        <f>F7059*VLOOKUP(B7059,產品!$A$2:$H$61,7,FALSE)*(1-銷售總表!G7059)</f>
        <v>82800</v>
      </c>
      <c r="I7059" s="35">
        <f>H7059-F7059*VLOOKUP(銷售總表!B7059,產品!$A$2:$H$61,8,FALSE)</f>
        <v>19800</v>
      </c>
      <c r="J7059" s="20">
        <f t="shared" si="110"/>
        <v>0.2391304347826087</v>
      </c>
    </row>
    <row r="7060" spans="1:10" x14ac:dyDescent="0.3">
      <c r="A7060" s="33">
        <v>7059</v>
      </c>
      <c r="B7060" s="4">
        <v>12</v>
      </c>
      <c r="C7060" s="15">
        <v>114</v>
      </c>
      <c r="D7060" s="16">
        <v>9</v>
      </c>
      <c r="E7060" s="22">
        <v>45258</v>
      </c>
      <c r="F7060" s="19">
        <v>55</v>
      </c>
      <c r="G7060" s="18">
        <v>0.19</v>
      </c>
      <c r="H7060">
        <f>F7060*VLOOKUP(B7060,產品!$A$2:$H$61,7,FALSE)*(1-銷售總表!G7060)</f>
        <v>44550</v>
      </c>
      <c r="I7060" s="35">
        <f>H7060-F7060*VLOOKUP(銷售總表!B7060,產品!$A$2:$H$61,8,FALSE)</f>
        <v>22550</v>
      </c>
      <c r="J7060" s="20">
        <f t="shared" si="110"/>
        <v>0.50617283950617287</v>
      </c>
    </row>
    <row r="7061" spans="1:10" x14ac:dyDescent="0.3">
      <c r="A7061" s="33">
        <v>7060</v>
      </c>
      <c r="B7061" s="4">
        <v>28</v>
      </c>
      <c r="C7061" s="15">
        <v>117</v>
      </c>
      <c r="D7061" s="16">
        <v>9</v>
      </c>
      <c r="E7061" s="22">
        <v>45260</v>
      </c>
      <c r="F7061" s="17">
        <v>4</v>
      </c>
      <c r="G7061" s="18">
        <v>0.11</v>
      </c>
      <c r="H7061">
        <f>F7061*VLOOKUP(B7061,產品!$A$2:$H$61,7,FALSE)*(1-銷售總表!G7061)</f>
        <v>26700</v>
      </c>
      <c r="I7061" s="35">
        <f>H7061-F7061*VLOOKUP(銷售總表!B7061,產品!$A$2:$H$61,8,FALSE)</f>
        <v>8700</v>
      </c>
      <c r="J7061" s="20">
        <f t="shared" si="110"/>
        <v>0.3258426966292135</v>
      </c>
    </row>
    <row r="7062" spans="1:10" x14ac:dyDescent="0.3">
      <c r="A7062" s="33">
        <v>7061</v>
      </c>
      <c r="B7062" s="4">
        <v>18</v>
      </c>
      <c r="C7062" s="15">
        <v>8</v>
      </c>
      <c r="D7062" s="16">
        <v>3</v>
      </c>
      <c r="E7062" s="22">
        <v>45260</v>
      </c>
      <c r="F7062" s="17">
        <v>25</v>
      </c>
      <c r="G7062" s="18">
        <v>0.17</v>
      </c>
      <c r="H7062">
        <f>F7062*VLOOKUP(B7062,產品!$A$2:$H$61,7,FALSE)*(1-銷售總表!G7062)</f>
        <v>37350</v>
      </c>
      <c r="I7062" s="35">
        <f>H7062-F7062*VLOOKUP(銷售總表!B7062,產品!$A$2:$H$61,8,FALSE)</f>
        <v>19350</v>
      </c>
      <c r="J7062" s="20">
        <f t="shared" si="110"/>
        <v>0.51807228915662651</v>
      </c>
    </row>
    <row r="7063" spans="1:10" x14ac:dyDescent="0.3">
      <c r="A7063" s="33">
        <v>7062</v>
      </c>
      <c r="B7063" s="4">
        <v>52</v>
      </c>
      <c r="C7063" s="15">
        <v>140</v>
      </c>
      <c r="D7063" s="16">
        <v>10</v>
      </c>
      <c r="E7063" s="23">
        <v>45260</v>
      </c>
      <c r="F7063">
        <v>5</v>
      </c>
      <c r="G7063" s="20">
        <v>7.0000000000000007E-2</v>
      </c>
      <c r="H7063">
        <f>F7063*VLOOKUP(B7063,產品!$A$2:$H$61,7,FALSE)*(1-銷售總表!G7063)</f>
        <v>102300</v>
      </c>
      <c r="I7063" s="35">
        <f>H7063-F7063*VLOOKUP(銷售總表!B7063,產品!$A$2:$H$61,8,FALSE)</f>
        <v>25300.000000000015</v>
      </c>
      <c r="J7063" s="20">
        <f t="shared" si="110"/>
        <v>0.24731182795698939</v>
      </c>
    </row>
    <row r="7064" spans="1:10" x14ac:dyDescent="0.3">
      <c r="A7064" s="33">
        <v>7063</v>
      </c>
      <c r="B7064" s="4">
        <v>35</v>
      </c>
      <c r="C7064" s="15">
        <v>5</v>
      </c>
      <c r="D7064" s="16">
        <v>2</v>
      </c>
      <c r="E7064" s="23">
        <v>45260</v>
      </c>
      <c r="F7064">
        <v>25</v>
      </c>
      <c r="G7064" s="20">
        <v>0.19</v>
      </c>
      <c r="H7064">
        <f>F7064*VLOOKUP(B7064,產品!$A$2:$H$61,7,FALSE)*(1-銷售總表!G7064)</f>
        <v>172125</v>
      </c>
      <c r="I7064" s="35">
        <f>H7064-F7064*VLOOKUP(銷售總表!B7064,產品!$A$2:$H$61,8,FALSE)</f>
        <v>44625</v>
      </c>
      <c r="J7064" s="20">
        <f t="shared" si="110"/>
        <v>0.25925925925925924</v>
      </c>
    </row>
    <row r="7065" spans="1:10" x14ac:dyDescent="0.3">
      <c r="A7065" s="33">
        <v>7064</v>
      </c>
      <c r="B7065" s="4">
        <v>28</v>
      </c>
      <c r="C7065" s="15">
        <v>120</v>
      </c>
      <c r="D7065" s="16">
        <v>2</v>
      </c>
      <c r="E7065" s="23">
        <v>45260</v>
      </c>
      <c r="F7065">
        <v>25</v>
      </c>
      <c r="G7065" s="20">
        <v>0.13</v>
      </c>
      <c r="H7065">
        <f>F7065*VLOOKUP(B7065,產品!$A$2:$H$61,7,FALSE)*(1-銷售總表!G7065)</f>
        <v>163125</v>
      </c>
      <c r="I7065" s="35">
        <f>H7065-F7065*VLOOKUP(銷售總表!B7065,產品!$A$2:$H$61,8,FALSE)</f>
        <v>50625</v>
      </c>
      <c r="J7065" s="20">
        <f t="shared" si="110"/>
        <v>0.31034482758620691</v>
      </c>
    </row>
    <row r="7066" spans="1:10" x14ac:dyDescent="0.3">
      <c r="A7066" s="33">
        <v>7065</v>
      </c>
      <c r="B7066" s="4">
        <v>3</v>
      </c>
      <c r="C7066" s="15">
        <v>5</v>
      </c>
      <c r="D7066" s="16">
        <v>3</v>
      </c>
      <c r="E7066" s="23">
        <v>45260</v>
      </c>
      <c r="F7066">
        <v>70</v>
      </c>
      <c r="G7066" s="20">
        <v>7.0000000000000007E-2</v>
      </c>
      <c r="H7066">
        <f>F7066*VLOOKUP(B7066,產品!$A$2:$H$61,7,FALSE)*(1-銷售總表!G7066)</f>
        <v>65099.999999999993</v>
      </c>
      <c r="I7066" s="35">
        <f>H7066-F7066*VLOOKUP(銷售總表!B7066,產品!$A$2:$H$61,8,FALSE)</f>
        <v>37099.999999999993</v>
      </c>
      <c r="J7066" s="20">
        <f t="shared" si="110"/>
        <v>0.56989247311827951</v>
      </c>
    </row>
    <row r="7067" spans="1:10" x14ac:dyDescent="0.3">
      <c r="A7067" s="33">
        <v>7066</v>
      </c>
      <c r="B7067" s="4">
        <v>21</v>
      </c>
      <c r="C7067" s="15">
        <v>273</v>
      </c>
      <c r="D7067" s="16">
        <v>7</v>
      </c>
      <c r="E7067" s="22">
        <v>45262</v>
      </c>
      <c r="F7067" s="17">
        <v>33</v>
      </c>
      <c r="G7067" s="18">
        <v>0.13</v>
      </c>
      <c r="H7067">
        <f>F7067*VLOOKUP(B7067,產品!$A$2:$H$61,7,FALSE)*(1-銷售總表!G7067)</f>
        <v>51678</v>
      </c>
      <c r="I7067" s="35">
        <f>H7067-F7067*VLOOKUP(銷售總表!B7067,產品!$A$2:$H$61,8,FALSE)</f>
        <v>27918</v>
      </c>
      <c r="J7067" s="20">
        <f t="shared" si="110"/>
        <v>0.54022988505747127</v>
      </c>
    </row>
    <row r="7068" spans="1:10" x14ac:dyDescent="0.3">
      <c r="A7068" s="33">
        <v>7067</v>
      </c>
      <c r="B7068" s="4">
        <v>23</v>
      </c>
      <c r="C7068" s="15">
        <v>284</v>
      </c>
      <c r="D7068" s="16">
        <v>8</v>
      </c>
      <c r="E7068" s="22">
        <v>45262</v>
      </c>
      <c r="F7068" s="19">
        <v>40</v>
      </c>
      <c r="G7068" s="18">
        <v>0.14000000000000001</v>
      </c>
      <c r="H7068">
        <f>F7068*VLOOKUP(B7068,產品!$A$2:$H$61,7,FALSE)*(1-銷售總表!G7068)</f>
        <v>61920</v>
      </c>
      <c r="I7068" s="35">
        <f>H7068-F7068*VLOOKUP(銷售總表!B7068,產品!$A$2:$H$61,8,FALSE)</f>
        <v>33120</v>
      </c>
      <c r="J7068" s="20">
        <f t="shared" si="110"/>
        <v>0.53488372093023251</v>
      </c>
    </row>
    <row r="7069" spans="1:10" x14ac:dyDescent="0.3">
      <c r="A7069" s="33">
        <v>7068</v>
      </c>
      <c r="B7069" s="4">
        <v>9</v>
      </c>
      <c r="C7069" s="15">
        <v>268</v>
      </c>
      <c r="D7069" s="16">
        <v>6</v>
      </c>
      <c r="E7069" s="22">
        <v>45262</v>
      </c>
      <c r="F7069" s="19">
        <v>11</v>
      </c>
      <c r="G7069" s="18">
        <v>0.11</v>
      </c>
      <c r="H7069">
        <f>F7069*VLOOKUP(B7069,產品!$A$2:$H$61,7,FALSE)*(1-銷售總表!G7069)</f>
        <v>9790</v>
      </c>
      <c r="I7069" s="35">
        <f>H7069-F7069*VLOOKUP(銷售總表!B7069,產品!$A$2:$H$61,8,FALSE)</f>
        <v>5390</v>
      </c>
      <c r="J7069" s="20">
        <f t="shared" si="110"/>
        <v>0.550561797752809</v>
      </c>
    </row>
    <row r="7070" spans="1:10" x14ac:dyDescent="0.3">
      <c r="A7070" s="33">
        <v>7069</v>
      </c>
      <c r="B7070" s="4">
        <v>11</v>
      </c>
      <c r="C7070" s="15">
        <v>282</v>
      </c>
      <c r="D7070" s="16">
        <v>2</v>
      </c>
      <c r="E7070" s="23">
        <v>45262</v>
      </c>
      <c r="F7070">
        <v>80</v>
      </c>
      <c r="G7070" s="20">
        <v>7.0000000000000007E-2</v>
      </c>
      <c r="H7070">
        <f>F7070*VLOOKUP(B7070,產品!$A$2:$H$61,7,FALSE)*(1-銷售總表!G7070)</f>
        <v>74400</v>
      </c>
      <c r="I7070" s="35">
        <f>H7070-F7070*VLOOKUP(銷售總表!B7070,產品!$A$2:$H$61,8,FALSE)</f>
        <v>42400</v>
      </c>
      <c r="J7070" s="20">
        <f t="shared" si="110"/>
        <v>0.56989247311827962</v>
      </c>
    </row>
    <row r="7071" spans="1:10" x14ac:dyDescent="0.3">
      <c r="A7071" s="33">
        <v>7070</v>
      </c>
      <c r="B7071" s="4">
        <v>16</v>
      </c>
      <c r="C7071" s="15">
        <v>122</v>
      </c>
      <c r="D7071" s="16">
        <v>4</v>
      </c>
      <c r="E7071" s="23">
        <v>45262</v>
      </c>
      <c r="F7071">
        <v>150</v>
      </c>
      <c r="G7071" s="20">
        <v>0.06</v>
      </c>
      <c r="H7071">
        <f>F7071*VLOOKUP(B7071,產品!$A$2:$H$61,7,FALSE)*(1-銷售總表!G7071)</f>
        <v>253800</v>
      </c>
      <c r="I7071" s="35">
        <f>H7071-F7071*VLOOKUP(銷售總表!B7071,產品!$A$2:$H$61,8,FALSE)</f>
        <v>145800</v>
      </c>
      <c r="J7071" s="20">
        <f t="shared" si="110"/>
        <v>0.57446808510638303</v>
      </c>
    </row>
    <row r="7072" spans="1:10" x14ac:dyDescent="0.3">
      <c r="A7072" s="33">
        <v>7071</v>
      </c>
      <c r="B7072" s="4">
        <v>44</v>
      </c>
      <c r="C7072" s="15">
        <v>134</v>
      </c>
      <c r="D7072" s="16">
        <v>6</v>
      </c>
      <c r="E7072" s="22">
        <v>45263</v>
      </c>
      <c r="F7072" s="19">
        <v>8</v>
      </c>
      <c r="G7072" s="18">
        <v>0.16</v>
      </c>
      <c r="H7072">
        <f>F7072*VLOOKUP(B7072,產品!$A$2:$H$61,7,FALSE)*(1-銷售總表!G7072)</f>
        <v>134400</v>
      </c>
      <c r="I7072" s="35">
        <f>H7072-F7072*VLOOKUP(銷售總表!B7072,產品!$A$2:$H$61,8,FALSE)</f>
        <v>30400</v>
      </c>
      <c r="J7072" s="20">
        <f t="shared" si="110"/>
        <v>0.22619047619047619</v>
      </c>
    </row>
    <row r="7073" spans="1:10" x14ac:dyDescent="0.3">
      <c r="A7073" s="33">
        <v>7072</v>
      </c>
      <c r="B7073" s="4">
        <v>54</v>
      </c>
      <c r="C7073" s="15">
        <v>280</v>
      </c>
      <c r="D7073" s="16">
        <v>5</v>
      </c>
      <c r="E7073" s="22">
        <v>45264</v>
      </c>
      <c r="F7073" s="17">
        <v>1</v>
      </c>
      <c r="G7073" s="18">
        <v>0.14000000000000001</v>
      </c>
      <c r="H7073">
        <f>F7073*VLOOKUP(B7073,產品!$A$2:$H$61,7,FALSE)*(1-銷售總表!G7073)</f>
        <v>15480</v>
      </c>
      <c r="I7073" s="35">
        <f>H7073-F7073*VLOOKUP(銷售總表!B7073,產品!$A$2:$H$61,8,FALSE)</f>
        <v>2880</v>
      </c>
      <c r="J7073" s="20">
        <f t="shared" si="110"/>
        <v>0.18604651162790697</v>
      </c>
    </row>
    <row r="7074" spans="1:10" x14ac:dyDescent="0.3">
      <c r="A7074" s="33">
        <v>7073</v>
      </c>
      <c r="B7074" s="4">
        <v>50</v>
      </c>
      <c r="C7074" s="15">
        <v>10</v>
      </c>
      <c r="D7074" s="16">
        <v>6</v>
      </c>
      <c r="E7074" s="22">
        <v>45264</v>
      </c>
      <c r="F7074" s="19">
        <v>18</v>
      </c>
      <c r="G7074" s="18">
        <v>0.08</v>
      </c>
      <c r="H7074">
        <f>F7074*VLOOKUP(B7074,產品!$A$2:$H$61,7,FALSE)*(1-銷售總表!G7074)</f>
        <v>298080</v>
      </c>
      <c r="I7074" s="35">
        <f>H7074-F7074*VLOOKUP(銷售總表!B7074,產品!$A$2:$H$61,8,FALSE)</f>
        <v>71280</v>
      </c>
      <c r="J7074" s="20">
        <f t="shared" si="110"/>
        <v>0.2391304347826087</v>
      </c>
    </row>
    <row r="7075" spans="1:10" x14ac:dyDescent="0.3">
      <c r="A7075" s="33">
        <v>7074</v>
      </c>
      <c r="B7075" s="4">
        <v>25</v>
      </c>
      <c r="C7075" s="15">
        <v>122</v>
      </c>
      <c r="D7075" s="16">
        <v>9</v>
      </c>
      <c r="E7075" s="23">
        <v>45264</v>
      </c>
      <c r="F7075">
        <v>4</v>
      </c>
      <c r="G7075" s="20">
        <v>0.17</v>
      </c>
      <c r="H7075">
        <f>F7075*VLOOKUP(B7075,產品!$A$2:$H$61,7,FALSE)*(1-銷售總表!G7075)</f>
        <v>19920</v>
      </c>
      <c r="I7075" s="35">
        <f>H7075-F7075*VLOOKUP(銷售總表!B7075,產品!$A$2:$H$61,8,FALSE)</f>
        <v>5520</v>
      </c>
      <c r="J7075" s="20">
        <f t="shared" si="110"/>
        <v>0.27710843373493976</v>
      </c>
    </row>
    <row r="7076" spans="1:10" x14ac:dyDescent="0.3">
      <c r="A7076" s="33">
        <v>7075</v>
      </c>
      <c r="B7076" s="4">
        <v>48</v>
      </c>
      <c r="C7076" s="15">
        <v>120</v>
      </c>
      <c r="D7076" s="16">
        <v>4</v>
      </c>
      <c r="E7076" s="23">
        <v>45264</v>
      </c>
      <c r="F7076">
        <v>13</v>
      </c>
      <c r="G7076" s="20">
        <v>0.12</v>
      </c>
      <c r="H7076">
        <f>F7076*VLOOKUP(B7076,產品!$A$2:$H$61,7,FALSE)*(1-銷售總表!G7076)</f>
        <v>251680</v>
      </c>
      <c r="I7076" s="35">
        <f>H7076-F7076*VLOOKUP(銷售總表!B7076,產品!$A$2:$H$61,8,FALSE)</f>
        <v>65780</v>
      </c>
      <c r="J7076" s="20">
        <f t="shared" si="110"/>
        <v>0.26136363636363635</v>
      </c>
    </row>
    <row r="7077" spans="1:10" x14ac:dyDescent="0.3">
      <c r="A7077" s="33">
        <v>7076</v>
      </c>
      <c r="B7077" s="4">
        <v>47</v>
      </c>
      <c r="C7077" s="15">
        <v>10</v>
      </c>
      <c r="D7077" s="16">
        <v>7</v>
      </c>
      <c r="E7077" s="22">
        <v>45265</v>
      </c>
      <c r="F7077" s="17">
        <v>3</v>
      </c>
      <c r="G7077" s="18">
        <v>7.0000000000000007E-2</v>
      </c>
      <c r="H7077">
        <f>F7077*VLOOKUP(B7077,產品!$A$2:$H$61,7,FALSE)*(1-銷售總表!G7077)</f>
        <v>55799.999999999993</v>
      </c>
      <c r="I7077" s="35">
        <f>H7077-F7077*VLOOKUP(銷售總表!B7077,產品!$A$2:$H$61,8,FALSE)</f>
        <v>16799.999999999993</v>
      </c>
      <c r="J7077" s="20">
        <f t="shared" si="110"/>
        <v>0.3010752688172042</v>
      </c>
    </row>
    <row r="7078" spans="1:10" x14ac:dyDescent="0.3">
      <c r="A7078" s="33">
        <v>7077</v>
      </c>
      <c r="B7078" s="4">
        <v>44</v>
      </c>
      <c r="C7078" s="15">
        <v>3</v>
      </c>
      <c r="D7078" s="16">
        <v>9</v>
      </c>
      <c r="E7078" s="22">
        <v>45265</v>
      </c>
      <c r="F7078" s="17">
        <v>3</v>
      </c>
      <c r="G7078" s="18">
        <v>0.09</v>
      </c>
      <c r="H7078">
        <f>F7078*VLOOKUP(B7078,產品!$A$2:$H$61,7,FALSE)*(1-銷售總表!G7078)</f>
        <v>54600</v>
      </c>
      <c r="I7078" s="35">
        <f>H7078-F7078*VLOOKUP(銷售總表!B7078,產品!$A$2:$H$61,8,FALSE)</f>
        <v>15600</v>
      </c>
      <c r="J7078" s="20">
        <f t="shared" si="110"/>
        <v>0.2857142857142857</v>
      </c>
    </row>
    <row r="7079" spans="1:10" x14ac:dyDescent="0.3">
      <c r="A7079" s="33">
        <v>7078</v>
      </c>
      <c r="B7079" s="4">
        <v>55</v>
      </c>
      <c r="C7079" s="15">
        <v>10</v>
      </c>
      <c r="D7079" s="16">
        <v>9</v>
      </c>
      <c r="E7079" s="22">
        <v>45266</v>
      </c>
      <c r="F7079" s="17">
        <v>13</v>
      </c>
      <c r="G7079" s="18">
        <v>0.14000000000000001</v>
      </c>
      <c r="H7079">
        <f>F7079*VLOOKUP(B7079,產品!$A$2:$H$61,7,FALSE)*(1-銷售總表!G7079)</f>
        <v>223600</v>
      </c>
      <c r="I7079" s="35">
        <f>H7079-F7079*VLOOKUP(銷售總表!B7079,產品!$A$2:$H$61,8,FALSE)</f>
        <v>41600</v>
      </c>
      <c r="J7079" s="20">
        <f t="shared" si="110"/>
        <v>0.18604651162790697</v>
      </c>
    </row>
    <row r="7080" spans="1:10" x14ac:dyDescent="0.3">
      <c r="A7080" s="33">
        <v>7079</v>
      </c>
      <c r="B7080" s="4">
        <v>34</v>
      </c>
      <c r="C7080" s="15">
        <v>3</v>
      </c>
      <c r="D7080" s="16">
        <v>6</v>
      </c>
      <c r="E7080" s="22">
        <v>45266</v>
      </c>
      <c r="F7080" s="17">
        <v>2</v>
      </c>
      <c r="G7080" s="18">
        <v>0.05</v>
      </c>
      <c r="H7080">
        <f>F7080*VLOOKUP(B7080,產品!$A$2:$H$61,7,FALSE)*(1-銷售總表!G7080)</f>
        <v>15200</v>
      </c>
      <c r="I7080" s="35">
        <f>H7080-F7080*VLOOKUP(銷售總表!B7080,產品!$A$2:$H$61,8,FALSE)</f>
        <v>5600</v>
      </c>
      <c r="J7080" s="20">
        <f t="shared" si="110"/>
        <v>0.36842105263157893</v>
      </c>
    </row>
    <row r="7081" spans="1:10" x14ac:dyDescent="0.3">
      <c r="A7081" s="33">
        <v>7080</v>
      </c>
      <c r="B7081" s="4">
        <v>9</v>
      </c>
      <c r="C7081" s="15">
        <v>10</v>
      </c>
      <c r="D7081" s="16">
        <v>3</v>
      </c>
      <c r="E7081" s="22">
        <v>45266</v>
      </c>
      <c r="F7081" s="17">
        <v>50</v>
      </c>
      <c r="G7081" s="18">
        <v>0.11</v>
      </c>
      <c r="H7081">
        <f>F7081*VLOOKUP(B7081,產品!$A$2:$H$61,7,FALSE)*(1-銷售總表!G7081)</f>
        <v>44500</v>
      </c>
      <c r="I7081" s="35">
        <f>H7081-F7081*VLOOKUP(銷售總表!B7081,產品!$A$2:$H$61,8,FALSE)</f>
        <v>24500</v>
      </c>
      <c r="J7081" s="20">
        <f t="shared" si="110"/>
        <v>0.550561797752809</v>
      </c>
    </row>
    <row r="7082" spans="1:10" x14ac:dyDescent="0.3">
      <c r="A7082" s="33">
        <v>7081</v>
      </c>
      <c r="B7082" s="4">
        <v>33</v>
      </c>
      <c r="C7082" s="15">
        <v>293</v>
      </c>
      <c r="D7082" s="16">
        <v>7</v>
      </c>
      <c r="E7082" s="23">
        <v>45266</v>
      </c>
      <c r="F7082">
        <v>20</v>
      </c>
      <c r="G7082" s="20">
        <v>0.18</v>
      </c>
      <c r="H7082">
        <f>F7082*VLOOKUP(B7082,產品!$A$2:$H$61,7,FALSE)*(1-銷售總表!G7082)</f>
        <v>123000.00000000001</v>
      </c>
      <c r="I7082" s="35">
        <f>H7082-F7082*VLOOKUP(銷售總表!B7082,產品!$A$2:$H$61,8,FALSE)</f>
        <v>33000.000000000015</v>
      </c>
      <c r="J7082" s="20">
        <f t="shared" si="110"/>
        <v>0.26829268292682934</v>
      </c>
    </row>
    <row r="7083" spans="1:10" x14ac:dyDescent="0.3">
      <c r="A7083" s="33">
        <v>7082</v>
      </c>
      <c r="B7083" s="4">
        <v>31</v>
      </c>
      <c r="C7083" s="15">
        <v>123</v>
      </c>
      <c r="D7083" s="16">
        <v>7</v>
      </c>
      <c r="E7083" s="22">
        <v>45267</v>
      </c>
      <c r="F7083" s="17">
        <v>10</v>
      </c>
      <c r="G7083" s="18">
        <v>0.15</v>
      </c>
      <c r="H7083">
        <f>F7083*VLOOKUP(B7083,產品!$A$2:$H$61,7,FALSE)*(1-銷售總表!G7083)</f>
        <v>59500</v>
      </c>
      <c r="I7083" s="35">
        <f>H7083-F7083*VLOOKUP(銷售總表!B7083,產品!$A$2:$H$61,8,FALSE)</f>
        <v>17500</v>
      </c>
      <c r="J7083" s="20">
        <f t="shared" si="110"/>
        <v>0.29411764705882354</v>
      </c>
    </row>
    <row r="7084" spans="1:10" x14ac:dyDescent="0.3">
      <c r="A7084" s="33">
        <v>7083</v>
      </c>
      <c r="B7084" s="4">
        <v>58</v>
      </c>
      <c r="C7084" s="15">
        <v>7</v>
      </c>
      <c r="D7084" s="16">
        <v>7</v>
      </c>
      <c r="E7084" s="22">
        <v>45267</v>
      </c>
      <c r="F7084" s="17">
        <v>10</v>
      </c>
      <c r="G7084" s="18">
        <v>0.15</v>
      </c>
      <c r="H7084">
        <f>F7084*VLOOKUP(B7084,產品!$A$2:$H$61,7,FALSE)*(1-銷售總表!G7084)</f>
        <v>178500</v>
      </c>
      <c r="I7084" s="35">
        <f>H7084-F7084*VLOOKUP(銷售總表!B7084,產品!$A$2:$H$61,8,FALSE)</f>
        <v>31500.000000000029</v>
      </c>
      <c r="J7084" s="20">
        <f t="shared" si="110"/>
        <v>0.17647058823529427</v>
      </c>
    </row>
    <row r="7085" spans="1:10" x14ac:dyDescent="0.3">
      <c r="A7085" s="33">
        <v>7084</v>
      </c>
      <c r="B7085" s="4">
        <v>54</v>
      </c>
      <c r="C7085" s="15">
        <v>285</v>
      </c>
      <c r="D7085" s="16">
        <v>8</v>
      </c>
      <c r="E7085" s="22">
        <v>45267</v>
      </c>
      <c r="F7085" s="17">
        <v>6</v>
      </c>
      <c r="G7085" s="18">
        <v>0.16</v>
      </c>
      <c r="H7085">
        <f>F7085*VLOOKUP(B7085,產品!$A$2:$H$61,7,FALSE)*(1-銷售總表!G7085)</f>
        <v>90720</v>
      </c>
      <c r="I7085" s="35">
        <f>H7085-F7085*VLOOKUP(銷售總表!B7085,產品!$A$2:$H$61,8,FALSE)</f>
        <v>15120</v>
      </c>
      <c r="J7085" s="20">
        <f t="shared" si="110"/>
        <v>0.16666666666666666</v>
      </c>
    </row>
    <row r="7086" spans="1:10" x14ac:dyDescent="0.3">
      <c r="A7086" s="33">
        <v>7085</v>
      </c>
      <c r="B7086" s="4">
        <v>34</v>
      </c>
      <c r="C7086" s="15">
        <v>118</v>
      </c>
      <c r="D7086" s="16">
        <v>7</v>
      </c>
      <c r="E7086" s="22">
        <v>45267</v>
      </c>
      <c r="F7086" s="19">
        <v>25</v>
      </c>
      <c r="G7086" s="18">
        <v>0.2</v>
      </c>
      <c r="H7086">
        <f>F7086*VLOOKUP(B7086,產品!$A$2:$H$61,7,FALSE)*(1-銷售總表!G7086)</f>
        <v>160000</v>
      </c>
      <c r="I7086" s="35">
        <f>H7086-F7086*VLOOKUP(銷售總表!B7086,產品!$A$2:$H$61,8,FALSE)</f>
        <v>40000</v>
      </c>
      <c r="J7086" s="20">
        <f t="shared" si="110"/>
        <v>0.25</v>
      </c>
    </row>
    <row r="7087" spans="1:10" x14ac:dyDescent="0.3">
      <c r="A7087" s="33">
        <v>7086</v>
      </c>
      <c r="B7087" s="4">
        <v>59</v>
      </c>
      <c r="C7087" s="15">
        <v>290</v>
      </c>
      <c r="D7087" s="16">
        <v>4</v>
      </c>
      <c r="E7087" s="22">
        <v>45267</v>
      </c>
      <c r="F7087" s="19">
        <v>8</v>
      </c>
      <c r="G7087" s="18">
        <v>0.12</v>
      </c>
      <c r="H7087">
        <f>F7087*VLOOKUP(B7087,產品!$A$2:$H$61,7,FALSE)*(1-銷售總表!G7087)</f>
        <v>168960</v>
      </c>
      <c r="I7087" s="35">
        <f>H7087-F7087*VLOOKUP(銷售總表!B7087,產品!$A$2:$H$61,8,FALSE)</f>
        <v>34560</v>
      </c>
      <c r="J7087" s="20">
        <f t="shared" si="110"/>
        <v>0.20454545454545456</v>
      </c>
    </row>
    <row r="7088" spans="1:10" x14ac:dyDescent="0.3">
      <c r="A7088" s="33">
        <v>7087</v>
      </c>
      <c r="B7088" s="4">
        <v>10</v>
      </c>
      <c r="C7088" s="15">
        <v>11</v>
      </c>
      <c r="D7088" s="16">
        <v>9</v>
      </c>
      <c r="E7088" s="22">
        <v>45268</v>
      </c>
      <c r="F7088" s="19">
        <v>20</v>
      </c>
      <c r="G7088" s="18">
        <v>0.15</v>
      </c>
      <c r="H7088">
        <f>F7088*VLOOKUP(B7088,產品!$A$2:$H$61,7,FALSE)*(1-銷售總表!G7088)</f>
        <v>17000</v>
      </c>
      <c r="I7088" s="35">
        <f>H7088-F7088*VLOOKUP(銷售總表!B7088,產品!$A$2:$H$61,8,FALSE)</f>
        <v>9000</v>
      </c>
      <c r="J7088" s="20">
        <f t="shared" si="110"/>
        <v>0.52941176470588236</v>
      </c>
    </row>
    <row r="7089" spans="1:10" x14ac:dyDescent="0.3">
      <c r="A7089" s="33">
        <v>7088</v>
      </c>
      <c r="B7089" s="4">
        <v>40</v>
      </c>
      <c r="C7089" s="15">
        <v>121</v>
      </c>
      <c r="D7089" s="16">
        <v>4</v>
      </c>
      <c r="E7089" s="23">
        <v>45268</v>
      </c>
      <c r="F7089">
        <v>5</v>
      </c>
      <c r="G7089" s="20">
        <v>0.15</v>
      </c>
      <c r="H7089">
        <f>F7089*VLOOKUP(B7089,產品!$A$2:$H$61,7,FALSE)*(1-銷售總表!G7089)</f>
        <v>85000</v>
      </c>
      <c r="I7089" s="35">
        <f>H7089-F7089*VLOOKUP(銷售總表!B7089,產品!$A$2:$H$61,8,FALSE)</f>
        <v>20000</v>
      </c>
      <c r="J7089" s="20">
        <f t="shared" si="110"/>
        <v>0.23529411764705882</v>
      </c>
    </row>
    <row r="7090" spans="1:10" x14ac:dyDescent="0.3">
      <c r="A7090" s="33">
        <v>7089</v>
      </c>
      <c r="B7090" s="4">
        <v>34</v>
      </c>
      <c r="C7090" s="15">
        <v>3</v>
      </c>
      <c r="D7090" s="16">
        <v>2</v>
      </c>
      <c r="E7090" s="23">
        <v>45268</v>
      </c>
      <c r="F7090">
        <v>1</v>
      </c>
      <c r="G7090" s="20">
        <v>0.09</v>
      </c>
      <c r="H7090">
        <f>F7090*VLOOKUP(B7090,產品!$A$2:$H$61,7,FALSE)*(1-銷售總表!G7090)</f>
        <v>7280</v>
      </c>
      <c r="I7090" s="35">
        <f>H7090-F7090*VLOOKUP(銷售總表!B7090,產品!$A$2:$H$61,8,FALSE)</f>
        <v>2480</v>
      </c>
      <c r="J7090" s="20">
        <f t="shared" si="110"/>
        <v>0.34065934065934067</v>
      </c>
    </row>
    <row r="7091" spans="1:10" x14ac:dyDescent="0.3">
      <c r="A7091" s="33">
        <v>7090</v>
      </c>
      <c r="B7091" s="4">
        <v>57</v>
      </c>
      <c r="C7091" s="15">
        <v>4</v>
      </c>
      <c r="D7091" s="16">
        <v>5</v>
      </c>
      <c r="E7091" s="22">
        <v>45269</v>
      </c>
      <c r="F7091" s="17">
        <v>1</v>
      </c>
      <c r="G7091" s="18">
        <v>0.05</v>
      </c>
      <c r="H7091">
        <f>F7091*VLOOKUP(B7091,產品!$A$2:$H$61,7,FALSE)*(1-銷售總表!G7091)</f>
        <v>17100</v>
      </c>
      <c r="I7091" s="35">
        <f>H7091-F7091*VLOOKUP(銷售總表!B7091,產品!$A$2:$H$61,8,FALSE)</f>
        <v>4500</v>
      </c>
      <c r="J7091" s="20">
        <f t="shared" si="110"/>
        <v>0.26315789473684209</v>
      </c>
    </row>
    <row r="7092" spans="1:10" x14ac:dyDescent="0.3">
      <c r="A7092" s="33">
        <v>7091</v>
      </c>
      <c r="B7092" s="4">
        <v>60</v>
      </c>
      <c r="C7092" s="15">
        <v>276</v>
      </c>
      <c r="D7092" s="16">
        <v>9</v>
      </c>
      <c r="E7092" s="22">
        <v>45269</v>
      </c>
      <c r="F7092" s="17">
        <v>8</v>
      </c>
      <c r="G7092" s="18">
        <v>0.08</v>
      </c>
      <c r="H7092">
        <f>F7092*VLOOKUP(B7092,產品!$A$2:$H$61,7,FALSE)*(1-銷售總表!G7092)</f>
        <v>184000</v>
      </c>
      <c r="I7092" s="35">
        <f>H7092-F7092*VLOOKUP(銷售總表!B7092,產品!$A$2:$H$61,8,FALSE)</f>
        <v>44000</v>
      </c>
      <c r="J7092" s="20">
        <f t="shared" si="110"/>
        <v>0.2391304347826087</v>
      </c>
    </row>
    <row r="7093" spans="1:10" x14ac:dyDescent="0.3">
      <c r="A7093" s="33">
        <v>7092</v>
      </c>
      <c r="B7093" s="4">
        <v>15</v>
      </c>
      <c r="C7093" s="15">
        <v>112</v>
      </c>
      <c r="D7093" s="16">
        <v>3</v>
      </c>
      <c r="E7093" s="22">
        <v>45269</v>
      </c>
      <c r="F7093" s="17">
        <v>100</v>
      </c>
      <c r="G7093" s="18">
        <v>0.09</v>
      </c>
      <c r="H7093">
        <f>F7093*VLOOKUP(B7093,產品!$A$2:$H$61,7,FALSE)*(1-銷售總表!G7093)</f>
        <v>163800</v>
      </c>
      <c r="I7093" s="35">
        <f>H7093-F7093*VLOOKUP(銷售總表!B7093,產品!$A$2:$H$61,8,FALSE)</f>
        <v>91800</v>
      </c>
      <c r="J7093" s="20">
        <f t="shared" si="110"/>
        <v>0.56043956043956045</v>
      </c>
    </row>
    <row r="7094" spans="1:10" x14ac:dyDescent="0.3">
      <c r="A7094" s="33">
        <v>7093</v>
      </c>
      <c r="B7094" s="4">
        <v>12</v>
      </c>
      <c r="C7094" s="15">
        <v>272</v>
      </c>
      <c r="D7094" s="16">
        <v>5</v>
      </c>
      <c r="E7094" s="22">
        <v>45269</v>
      </c>
      <c r="F7094" s="19">
        <v>90</v>
      </c>
      <c r="G7094" s="18">
        <v>0.1</v>
      </c>
      <c r="H7094">
        <f>F7094*VLOOKUP(B7094,產品!$A$2:$H$61,7,FALSE)*(1-銷售總表!G7094)</f>
        <v>81000</v>
      </c>
      <c r="I7094" s="35">
        <f>H7094-F7094*VLOOKUP(銷售總表!B7094,產品!$A$2:$H$61,8,FALSE)</f>
        <v>45000</v>
      </c>
      <c r="J7094" s="20">
        <f t="shared" si="110"/>
        <v>0.55555555555555558</v>
      </c>
    </row>
    <row r="7095" spans="1:10" x14ac:dyDescent="0.3">
      <c r="A7095" s="33">
        <v>7094</v>
      </c>
      <c r="B7095" s="4">
        <v>5</v>
      </c>
      <c r="C7095" s="15">
        <v>138</v>
      </c>
      <c r="D7095" s="16">
        <v>8</v>
      </c>
      <c r="E7095" s="23">
        <v>45269</v>
      </c>
      <c r="F7095">
        <v>11</v>
      </c>
      <c r="G7095" s="20">
        <v>0.19</v>
      </c>
      <c r="H7095">
        <f>F7095*VLOOKUP(B7095,產品!$A$2:$H$61,7,FALSE)*(1-銷售總表!G7095)</f>
        <v>8910</v>
      </c>
      <c r="I7095" s="35">
        <f>H7095-F7095*VLOOKUP(銷售總表!B7095,產品!$A$2:$H$61,8,FALSE)</f>
        <v>4510</v>
      </c>
      <c r="J7095" s="20">
        <f t="shared" si="110"/>
        <v>0.50617283950617287</v>
      </c>
    </row>
    <row r="7096" spans="1:10" x14ac:dyDescent="0.3">
      <c r="A7096" s="33">
        <v>7095</v>
      </c>
      <c r="B7096" s="4">
        <v>18</v>
      </c>
      <c r="C7096" s="15">
        <v>113</v>
      </c>
      <c r="D7096" s="16">
        <v>3</v>
      </c>
      <c r="E7096" s="22">
        <v>45270</v>
      </c>
      <c r="F7096" s="17">
        <v>100</v>
      </c>
      <c r="G7096" s="18">
        <v>0.13</v>
      </c>
      <c r="H7096">
        <f>F7096*VLOOKUP(B7096,產品!$A$2:$H$61,7,FALSE)*(1-銷售總表!G7096)</f>
        <v>156600</v>
      </c>
      <c r="I7096" s="35">
        <f>H7096-F7096*VLOOKUP(銷售總表!B7096,產品!$A$2:$H$61,8,FALSE)</f>
        <v>84600</v>
      </c>
      <c r="J7096" s="20">
        <f t="shared" si="110"/>
        <v>0.54022988505747127</v>
      </c>
    </row>
    <row r="7097" spans="1:10" x14ac:dyDescent="0.3">
      <c r="A7097" s="33">
        <v>7096</v>
      </c>
      <c r="B7097" s="4">
        <v>44</v>
      </c>
      <c r="C7097" s="15">
        <v>5</v>
      </c>
      <c r="D7097" s="16">
        <v>7</v>
      </c>
      <c r="E7097" s="23">
        <v>45270</v>
      </c>
      <c r="F7097">
        <v>4</v>
      </c>
      <c r="G7097" s="20">
        <v>0.05</v>
      </c>
      <c r="H7097">
        <f>F7097*VLOOKUP(B7097,產品!$A$2:$H$61,7,FALSE)*(1-銷售總表!G7097)</f>
        <v>76000</v>
      </c>
      <c r="I7097" s="35">
        <f>H7097-F7097*VLOOKUP(銷售總表!B7097,產品!$A$2:$H$61,8,FALSE)</f>
        <v>24000</v>
      </c>
      <c r="J7097" s="20">
        <f t="shared" si="110"/>
        <v>0.31578947368421051</v>
      </c>
    </row>
    <row r="7098" spans="1:10" x14ac:dyDescent="0.3">
      <c r="A7098" s="33">
        <v>7097</v>
      </c>
      <c r="B7098" s="4">
        <v>21</v>
      </c>
      <c r="C7098" s="15">
        <v>1</v>
      </c>
      <c r="D7098" s="16">
        <v>7</v>
      </c>
      <c r="E7098" s="22">
        <v>45270</v>
      </c>
      <c r="F7098" s="19">
        <v>10</v>
      </c>
      <c r="G7098" s="18">
        <v>0.1</v>
      </c>
      <c r="H7098">
        <f>F7098*VLOOKUP(B7098,產品!$A$2:$H$61,7,FALSE)*(1-銷售總表!G7098)</f>
        <v>16200</v>
      </c>
      <c r="I7098" s="35">
        <f>H7098-F7098*VLOOKUP(銷售總表!B7098,產品!$A$2:$H$61,8,FALSE)</f>
        <v>9000</v>
      </c>
      <c r="J7098" s="20">
        <f t="shared" si="110"/>
        <v>0.55555555555555558</v>
      </c>
    </row>
    <row r="7099" spans="1:10" x14ac:dyDescent="0.3">
      <c r="A7099" s="33">
        <v>7098</v>
      </c>
      <c r="B7099" s="4">
        <v>48</v>
      </c>
      <c r="C7099" s="15">
        <v>125</v>
      </c>
      <c r="D7099" s="16">
        <v>3</v>
      </c>
      <c r="E7099" s="22">
        <v>45270</v>
      </c>
      <c r="F7099" s="19">
        <v>9</v>
      </c>
      <c r="G7099" s="18">
        <v>0.05</v>
      </c>
      <c r="H7099">
        <f>F7099*VLOOKUP(B7099,產品!$A$2:$H$61,7,FALSE)*(1-銷售總表!G7099)</f>
        <v>188100</v>
      </c>
      <c r="I7099" s="35">
        <f>H7099-F7099*VLOOKUP(銷售總表!B7099,產品!$A$2:$H$61,8,FALSE)</f>
        <v>59400</v>
      </c>
      <c r="J7099" s="20">
        <f t="shared" si="110"/>
        <v>0.31578947368421051</v>
      </c>
    </row>
    <row r="7100" spans="1:10" x14ac:dyDescent="0.3">
      <c r="A7100" s="33">
        <v>7099</v>
      </c>
      <c r="B7100" s="4">
        <v>36</v>
      </c>
      <c r="C7100" s="15">
        <v>12</v>
      </c>
      <c r="D7100" s="16">
        <v>1</v>
      </c>
      <c r="E7100" s="22">
        <v>45270</v>
      </c>
      <c r="F7100" s="19">
        <v>8</v>
      </c>
      <c r="G7100" s="18">
        <v>0.09</v>
      </c>
      <c r="H7100">
        <f>F7100*VLOOKUP(B7100,產品!$A$2:$H$61,7,FALSE)*(1-銷售總表!G7100)</f>
        <v>65520</v>
      </c>
      <c r="I7100" s="35">
        <f>H7100-F7100*VLOOKUP(銷售總表!B7100,產品!$A$2:$H$61,8,FALSE)</f>
        <v>22320</v>
      </c>
      <c r="J7100" s="20">
        <f t="shared" si="110"/>
        <v>0.34065934065934067</v>
      </c>
    </row>
    <row r="7101" spans="1:10" x14ac:dyDescent="0.3">
      <c r="A7101" s="33">
        <v>7100</v>
      </c>
      <c r="B7101" s="4">
        <v>16</v>
      </c>
      <c r="C7101" s="15">
        <v>2</v>
      </c>
      <c r="D7101" s="16">
        <v>8</v>
      </c>
      <c r="E7101" s="23">
        <v>45270</v>
      </c>
      <c r="F7101">
        <v>70</v>
      </c>
      <c r="G7101" s="20">
        <v>0.2</v>
      </c>
      <c r="H7101">
        <f>F7101*VLOOKUP(B7101,產品!$A$2:$H$61,7,FALSE)*(1-銷售總表!G7101)</f>
        <v>100800</v>
      </c>
      <c r="I7101" s="35">
        <f>H7101-F7101*VLOOKUP(銷售總表!B7101,產品!$A$2:$H$61,8,FALSE)</f>
        <v>50400</v>
      </c>
      <c r="J7101" s="20">
        <f t="shared" si="110"/>
        <v>0.5</v>
      </c>
    </row>
    <row r="7102" spans="1:10" x14ac:dyDescent="0.3">
      <c r="A7102" s="33">
        <v>7101</v>
      </c>
      <c r="B7102" s="4">
        <v>42</v>
      </c>
      <c r="C7102" s="15">
        <v>261</v>
      </c>
      <c r="D7102" s="16">
        <v>8</v>
      </c>
      <c r="E7102" s="22">
        <v>45271</v>
      </c>
      <c r="F7102" s="17">
        <v>3</v>
      </c>
      <c r="G7102" s="18">
        <v>0.14000000000000001</v>
      </c>
      <c r="H7102">
        <f>F7102*VLOOKUP(B7102,產品!$A$2:$H$61,7,FALSE)*(1-銷售總表!G7102)</f>
        <v>38700</v>
      </c>
      <c r="I7102" s="35">
        <f>H7102-F7102*VLOOKUP(銷售總表!B7102,產品!$A$2:$H$61,8,FALSE)</f>
        <v>9450</v>
      </c>
      <c r="J7102" s="20">
        <f t="shared" si="110"/>
        <v>0.2441860465116279</v>
      </c>
    </row>
    <row r="7103" spans="1:10" x14ac:dyDescent="0.3">
      <c r="A7103" s="33">
        <v>7102</v>
      </c>
      <c r="B7103" s="4">
        <v>53</v>
      </c>
      <c r="C7103" s="15">
        <v>136</v>
      </c>
      <c r="D7103" s="16">
        <v>7</v>
      </c>
      <c r="E7103" s="22">
        <v>45271</v>
      </c>
      <c r="F7103" s="17">
        <v>10</v>
      </c>
      <c r="G7103" s="18">
        <v>0.17</v>
      </c>
      <c r="H7103">
        <f>F7103*VLOOKUP(B7103,產品!$A$2:$H$61,7,FALSE)*(1-銷售總表!G7103)</f>
        <v>124500</v>
      </c>
      <c r="I7103" s="35">
        <f>H7103-F7103*VLOOKUP(銷售總表!B7103,產品!$A$2:$H$61,8,FALSE)</f>
        <v>19500</v>
      </c>
      <c r="J7103" s="20">
        <f t="shared" si="110"/>
        <v>0.15662650602409639</v>
      </c>
    </row>
    <row r="7104" spans="1:10" x14ac:dyDescent="0.3">
      <c r="A7104" s="33">
        <v>7103</v>
      </c>
      <c r="B7104" s="4">
        <v>14</v>
      </c>
      <c r="C7104" s="15">
        <v>257</v>
      </c>
      <c r="D7104" s="16">
        <v>2</v>
      </c>
      <c r="E7104" s="22">
        <v>45271</v>
      </c>
      <c r="F7104" s="17">
        <v>50</v>
      </c>
      <c r="G7104" s="18">
        <v>0.1</v>
      </c>
      <c r="H7104">
        <f>F7104*VLOOKUP(B7104,產品!$A$2:$H$61,7,FALSE)*(1-銷售總表!G7104)</f>
        <v>81000</v>
      </c>
      <c r="I7104" s="35">
        <f>H7104-F7104*VLOOKUP(銷售總表!B7104,產品!$A$2:$H$61,8,FALSE)</f>
        <v>45000</v>
      </c>
      <c r="J7104" s="20">
        <f t="shared" si="110"/>
        <v>0.55555555555555558</v>
      </c>
    </row>
    <row r="7105" spans="1:10" x14ac:dyDescent="0.3">
      <c r="A7105" s="33">
        <v>7104</v>
      </c>
      <c r="B7105" s="4">
        <v>56</v>
      </c>
      <c r="C7105" s="15">
        <v>257</v>
      </c>
      <c r="D7105" s="16">
        <v>4</v>
      </c>
      <c r="E7105" s="22">
        <v>45271</v>
      </c>
      <c r="F7105" s="17">
        <v>3</v>
      </c>
      <c r="G7105" s="18">
        <v>0.11</v>
      </c>
      <c r="H7105">
        <f>F7105*VLOOKUP(B7105,產品!$A$2:$H$61,7,FALSE)*(1-銷售總表!G7105)</f>
        <v>58740</v>
      </c>
      <c r="I7105" s="35">
        <f>H7105-F7105*VLOOKUP(銷售總表!B7105,產品!$A$2:$H$61,8,FALSE)</f>
        <v>12540.000000000007</v>
      </c>
      <c r="J7105" s="20">
        <f t="shared" si="110"/>
        <v>0.21348314606741586</v>
      </c>
    </row>
    <row r="7106" spans="1:10" x14ac:dyDescent="0.3">
      <c r="A7106" s="33">
        <v>7105</v>
      </c>
      <c r="B7106" s="4">
        <v>27</v>
      </c>
      <c r="C7106" s="15">
        <v>8</v>
      </c>
      <c r="D7106" s="16">
        <v>7</v>
      </c>
      <c r="E7106" s="22">
        <v>45271</v>
      </c>
      <c r="F7106" s="17">
        <v>1</v>
      </c>
      <c r="G7106" s="18">
        <v>0.1</v>
      </c>
      <c r="H7106">
        <f>F7106*VLOOKUP(B7106,產品!$A$2:$H$61,7,FALSE)*(1-銷售總表!G7106)</f>
        <v>6300</v>
      </c>
      <c r="I7106" s="35">
        <f>H7106-F7106*VLOOKUP(銷售總表!B7106,產品!$A$2:$H$61,8,FALSE)</f>
        <v>2100</v>
      </c>
      <c r="J7106" s="20">
        <f t="shared" si="110"/>
        <v>0.33333333333333331</v>
      </c>
    </row>
    <row r="7107" spans="1:10" x14ac:dyDescent="0.3">
      <c r="A7107" s="33">
        <v>7106</v>
      </c>
      <c r="B7107" s="4">
        <v>58</v>
      </c>
      <c r="C7107" s="15">
        <v>269</v>
      </c>
      <c r="D7107" s="16">
        <v>8</v>
      </c>
      <c r="E7107" s="22">
        <v>45271</v>
      </c>
      <c r="F7107" s="19">
        <v>1</v>
      </c>
      <c r="G7107" s="18">
        <v>0.18</v>
      </c>
      <c r="H7107">
        <f>F7107*VLOOKUP(B7107,產品!$A$2:$H$61,7,FALSE)*(1-銷售總表!G7107)</f>
        <v>17220</v>
      </c>
      <c r="I7107" s="35">
        <f>H7107-F7107*VLOOKUP(銷售總表!B7107,產品!$A$2:$H$61,8,FALSE)</f>
        <v>2520.0000000000018</v>
      </c>
      <c r="J7107" s="20">
        <f t="shared" ref="J7107:J7170" si="111">I7107/H7107</f>
        <v>0.14634146341463425</v>
      </c>
    </row>
    <row r="7108" spans="1:10" x14ac:dyDescent="0.3">
      <c r="A7108" s="33">
        <v>7107</v>
      </c>
      <c r="B7108" s="4">
        <v>4</v>
      </c>
      <c r="C7108" s="15">
        <v>258</v>
      </c>
      <c r="D7108" s="16">
        <v>2</v>
      </c>
      <c r="E7108" s="22">
        <v>45272</v>
      </c>
      <c r="F7108" s="17">
        <v>12</v>
      </c>
      <c r="G7108" s="18">
        <v>0.18</v>
      </c>
      <c r="H7108">
        <f>F7108*VLOOKUP(B7108,產品!$A$2:$H$61,7,FALSE)*(1-銷售總表!G7108)</f>
        <v>9840</v>
      </c>
      <c r="I7108" s="35">
        <f>H7108-F7108*VLOOKUP(銷售總表!B7108,產品!$A$2:$H$61,8,FALSE)</f>
        <v>5040</v>
      </c>
      <c r="J7108" s="20">
        <f t="shared" si="111"/>
        <v>0.51219512195121952</v>
      </c>
    </row>
    <row r="7109" spans="1:10" x14ac:dyDescent="0.3">
      <c r="A7109" s="33">
        <v>7108</v>
      </c>
      <c r="B7109" s="4">
        <v>27</v>
      </c>
      <c r="C7109" s="15">
        <v>286</v>
      </c>
      <c r="D7109" s="16">
        <v>3</v>
      </c>
      <c r="E7109" s="22">
        <v>45272</v>
      </c>
      <c r="F7109" s="17">
        <v>13</v>
      </c>
      <c r="G7109" s="18">
        <v>0.19</v>
      </c>
      <c r="H7109">
        <f>F7109*VLOOKUP(B7109,產品!$A$2:$H$61,7,FALSE)*(1-銷售總表!G7109)</f>
        <v>73710</v>
      </c>
      <c r="I7109" s="35">
        <f>H7109-F7109*VLOOKUP(銷售總表!B7109,產品!$A$2:$H$61,8,FALSE)</f>
        <v>19110</v>
      </c>
      <c r="J7109" s="20">
        <f t="shared" si="111"/>
        <v>0.25925925925925924</v>
      </c>
    </row>
    <row r="7110" spans="1:10" x14ac:dyDescent="0.3">
      <c r="A7110" s="33">
        <v>7109</v>
      </c>
      <c r="B7110" s="4">
        <v>39</v>
      </c>
      <c r="C7110" s="15">
        <v>140</v>
      </c>
      <c r="D7110" s="16">
        <v>8</v>
      </c>
      <c r="E7110" s="22">
        <v>45272</v>
      </c>
      <c r="F7110" s="19">
        <v>6</v>
      </c>
      <c r="G7110" s="18">
        <v>0.12</v>
      </c>
      <c r="H7110">
        <f>F7110*VLOOKUP(B7110,產品!$A$2:$H$61,7,FALSE)*(1-銷售總表!G7110)</f>
        <v>95040</v>
      </c>
      <c r="I7110" s="35">
        <f>H7110-F7110*VLOOKUP(銷售總表!B7110,產品!$A$2:$H$61,8,FALSE)</f>
        <v>24840</v>
      </c>
      <c r="J7110" s="20">
        <f t="shared" si="111"/>
        <v>0.26136363636363635</v>
      </c>
    </row>
    <row r="7111" spans="1:10" x14ac:dyDescent="0.3">
      <c r="A7111" s="33">
        <v>7110</v>
      </c>
      <c r="B7111" s="4">
        <v>13</v>
      </c>
      <c r="C7111" s="15">
        <v>11</v>
      </c>
      <c r="D7111" s="16">
        <v>10</v>
      </c>
      <c r="E7111" s="22">
        <v>45272</v>
      </c>
      <c r="F7111" s="19">
        <v>70</v>
      </c>
      <c r="G7111" s="18">
        <v>0.16</v>
      </c>
      <c r="H7111">
        <f>F7111*VLOOKUP(B7111,產品!$A$2:$H$61,7,FALSE)*(1-銷售總表!G7111)</f>
        <v>105840</v>
      </c>
      <c r="I7111" s="35">
        <f>H7111-F7111*VLOOKUP(銷售總表!B7111,產品!$A$2:$H$61,8,FALSE)</f>
        <v>55440</v>
      </c>
      <c r="J7111" s="20">
        <f t="shared" si="111"/>
        <v>0.52380952380952384</v>
      </c>
    </row>
    <row r="7112" spans="1:10" x14ac:dyDescent="0.3">
      <c r="A7112" s="33">
        <v>7111</v>
      </c>
      <c r="B7112" s="4">
        <v>49</v>
      </c>
      <c r="C7112" s="15">
        <v>138</v>
      </c>
      <c r="D7112" s="16">
        <v>7</v>
      </c>
      <c r="E7112" s="23">
        <v>45272</v>
      </c>
      <c r="F7112">
        <v>5</v>
      </c>
      <c r="G7112" s="20">
        <v>0.19</v>
      </c>
      <c r="H7112">
        <f>F7112*VLOOKUP(B7112,產品!$A$2:$H$61,7,FALSE)*(1-銷售總表!G7112)</f>
        <v>60750.000000000007</v>
      </c>
      <c r="I7112" s="35">
        <f>H7112-F7112*VLOOKUP(銷售總表!B7112,產品!$A$2:$H$61,8,FALSE)</f>
        <v>8250.0000000000073</v>
      </c>
      <c r="J7112" s="20">
        <f t="shared" si="111"/>
        <v>0.13580246913580257</v>
      </c>
    </row>
    <row r="7113" spans="1:10" x14ac:dyDescent="0.3">
      <c r="A7113" s="33">
        <v>7112</v>
      </c>
      <c r="B7113" s="4">
        <v>5</v>
      </c>
      <c r="C7113" s="15">
        <v>123</v>
      </c>
      <c r="D7113" s="16">
        <v>6</v>
      </c>
      <c r="E7113" s="22">
        <v>45273</v>
      </c>
      <c r="F7113" s="17">
        <v>30</v>
      </c>
      <c r="G7113" s="18">
        <v>0.2</v>
      </c>
      <c r="H7113">
        <f>F7113*VLOOKUP(B7113,產品!$A$2:$H$61,7,FALSE)*(1-銷售總表!G7113)</f>
        <v>24000</v>
      </c>
      <c r="I7113" s="35">
        <f>H7113-F7113*VLOOKUP(銷售總表!B7113,產品!$A$2:$H$61,8,FALSE)</f>
        <v>12000</v>
      </c>
      <c r="J7113" s="20">
        <f t="shared" si="111"/>
        <v>0.5</v>
      </c>
    </row>
    <row r="7114" spans="1:10" x14ac:dyDescent="0.3">
      <c r="A7114" s="33">
        <v>7113</v>
      </c>
      <c r="B7114" s="4">
        <v>42</v>
      </c>
      <c r="C7114" s="15">
        <v>2</v>
      </c>
      <c r="D7114" s="16">
        <v>1</v>
      </c>
      <c r="E7114" s="22">
        <v>45273</v>
      </c>
      <c r="F7114" s="19">
        <v>5</v>
      </c>
      <c r="G7114" s="18">
        <v>0.15</v>
      </c>
      <c r="H7114">
        <f>F7114*VLOOKUP(B7114,產品!$A$2:$H$61,7,FALSE)*(1-銷售總表!G7114)</f>
        <v>63750</v>
      </c>
      <c r="I7114" s="35">
        <f>H7114-F7114*VLOOKUP(銷售總表!B7114,產品!$A$2:$H$61,8,FALSE)</f>
        <v>15000</v>
      </c>
      <c r="J7114" s="20">
        <f t="shared" si="111"/>
        <v>0.23529411764705882</v>
      </c>
    </row>
    <row r="7115" spans="1:10" x14ac:dyDescent="0.3">
      <c r="A7115" s="33">
        <v>7114</v>
      </c>
      <c r="B7115" s="4">
        <v>41</v>
      </c>
      <c r="C7115" s="15">
        <v>258</v>
      </c>
      <c r="D7115" s="16">
        <v>3</v>
      </c>
      <c r="E7115" s="22">
        <v>45274</v>
      </c>
      <c r="F7115" s="17">
        <v>2</v>
      </c>
      <c r="G7115" s="18">
        <v>0.15</v>
      </c>
      <c r="H7115">
        <f>F7115*VLOOKUP(B7115,產品!$A$2:$H$61,7,FALSE)*(1-銷售總表!G7115)</f>
        <v>20400</v>
      </c>
      <c r="I7115" s="35">
        <f>H7115-F7115*VLOOKUP(銷售總表!B7115,產品!$A$2:$H$61,8,FALSE)</f>
        <v>4800</v>
      </c>
      <c r="J7115" s="20">
        <f t="shared" si="111"/>
        <v>0.23529411764705882</v>
      </c>
    </row>
    <row r="7116" spans="1:10" x14ac:dyDescent="0.3">
      <c r="A7116" s="33">
        <v>7115</v>
      </c>
      <c r="B7116" s="4">
        <v>35</v>
      </c>
      <c r="C7116" s="15">
        <v>291</v>
      </c>
      <c r="D7116" s="16">
        <v>10</v>
      </c>
      <c r="E7116" s="23">
        <v>45274</v>
      </c>
      <c r="F7116">
        <v>6</v>
      </c>
      <c r="G7116" s="20">
        <v>0.18</v>
      </c>
      <c r="H7116">
        <f>F7116*VLOOKUP(B7116,產品!$A$2:$H$61,7,FALSE)*(1-銷售總表!G7116)</f>
        <v>41820</v>
      </c>
      <c r="I7116" s="35">
        <f>H7116-F7116*VLOOKUP(銷售總表!B7116,產品!$A$2:$H$61,8,FALSE)</f>
        <v>11220</v>
      </c>
      <c r="J7116" s="20">
        <f t="shared" si="111"/>
        <v>0.26829268292682928</v>
      </c>
    </row>
    <row r="7117" spans="1:10" x14ac:dyDescent="0.3">
      <c r="A7117" s="33">
        <v>7116</v>
      </c>
      <c r="B7117" s="4">
        <v>4</v>
      </c>
      <c r="C7117" s="15">
        <v>119</v>
      </c>
      <c r="D7117" s="16">
        <v>8</v>
      </c>
      <c r="E7117" s="23">
        <v>45274</v>
      </c>
      <c r="F7117">
        <v>70</v>
      </c>
      <c r="G7117" s="20">
        <v>0.18</v>
      </c>
      <c r="H7117">
        <f>F7117*VLOOKUP(B7117,產品!$A$2:$H$61,7,FALSE)*(1-銷售總表!G7117)</f>
        <v>57400.000000000007</v>
      </c>
      <c r="I7117" s="35">
        <f>H7117-F7117*VLOOKUP(銷售總表!B7117,產品!$A$2:$H$61,8,FALSE)</f>
        <v>29400.000000000007</v>
      </c>
      <c r="J7117" s="20">
        <f t="shared" si="111"/>
        <v>0.51219512195121952</v>
      </c>
    </row>
    <row r="7118" spans="1:10" x14ac:dyDescent="0.3">
      <c r="A7118" s="33">
        <v>7117</v>
      </c>
      <c r="B7118" s="4">
        <v>32</v>
      </c>
      <c r="C7118" s="15">
        <v>122</v>
      </c>
      <c r="D7118" s="16">
        <v>7</v>
      </c>
      <c r="E7118" s="22">
        <v>45275</v>
      </c>
      <c r="F7118" s="17">
        <v>15</v>
      </c>
      <c r="G7118" s="18">
        <v>0.08</v>
      </c>
      <c r="H7118">
        <f>F7118*VLOOKUP(B7118,產品!$A$2:$H$61,7,FALSE)*(1-銷售總表!G7118)</f>
        <v>103500</v>
      </c>
      <c r="I7118" s="35">
        <f>H7118-F7118*VLOOKUP(銷售總表!B7118,產品!$A$2:$H$61,8,FALSE)</f>
        <v>36000</v>
      </c>
      <c r="J7118" s="20">
        <f t="shared" si="111"/>
        <v>0.34782608695652173</v>
      </c>
    </row>
    <row r="7119" spans="1:10" x14ac:dyDescent="0.3">
      <c r="A7119" s="33">
        <v>7118</v>
      </c>
      <c r="B7119" s="4">
        <v>21</v>
      </c>
      <c r="C7119" s="15">
        <v>112</v>
      </c>
      <c r="D7119" s="16">
        <v>1</v>
      </c>
      <c r="E7119" s="22">
        <v>45275</v>
      </c>
      <c r="F7119" s="17">
        <v>90</v>
      </c>
      <c r="G7119" s="18">
        <v>0.16</v>
      </c>
      <c r="H7119">
        <f>F7119*VLOOKUP(B7119,產品!$A$2:$H$61,7,FALSE)*(1-銷售總表!G7119)</f>
        <v>136080</v>
      </c>
      <c r="I7119" s="35">
        <f>H7119-F7119*VLOOKUP(銷售總表!B7119,產品!$A$2:$H$61,8,FALSE)</f>
        <v>71280</v>
      </c>
      <c r="J7119" s="20">
        <f t="shared" si="111"/>
        <v>0.52380952380952384</v>
      </c>
    </row>
    <row r="7120" spans="1:10" x14ac:dyDescent="0.3">
      <c r="A7120" s="33">
        <v>7119</v>
      </c>
      <c r="B7120" s="4">
        <v>8</v>
      </c>
      <c r="C7120" s="15">
        <v>11</v>
      </c>
      <c r="D7120" s="16">
        <v>8</v>
      </c>
      <c r="E7120" s="22">
        <v>45275</v>
      </c>
      <c r="F7120" s="17">
        <v>31</v>
      </c>
      <c r="G7120" s="18">
        <v>0.14000000000000001</v>
      </c>
      <c r="H7120">
        <f>F7120*VLOOKUP(B7120,產品!$A$2:$H$61,7,FALSE)*(1-銷售總表!G7120)</f>
        <v>26660</v>
      </c>
      <c r="I7120" s="35">
        <f>H7120-F7120*VLOOKUP(銷售總表!B7120,產品!$A$2:$H$61,8,FALSE)</f>
        <v>14260</v>
      </c>
      <c r="J7120" s="20">
        <f t="shared" si="111"/>
        <v>0.53488372093023251</v>
      </c>
    </row>
    <row r="7121" spans="1:10" x14ac:dyDescent="0.3">
      <c r="A7121" s="33">
        <v>7120</v>
      </c>
      <c r="B7121" s="4">
        <v>43</v>
      </c>
      <c r="C7121" s="15">
        <v>1</v>
      </c>
      <c r="D7121" s="16">
        <v>8</v>
      </c>
      <c r="E7121" s="22">
        <v>45275</v>
      </c>
      <c r="F7121" s="17">
        <v>1</v>
      </c>
      <c r="G7121" s="18">
        <v>0.17</v>
      </c>
      <c r="H7121">
        <f>F7121*VLOOKUP(B7121,產品!$A$2:$H$61,7,FALSE)*(1-銷售總表!G7121)</f>
        <v>14940</v>
      </c>
      <c r="I7121" s="35">
        <f>H7121-F7121*VLOOKUP(銷售總表!B7121,產品!$A$2:$H$61,8,FALSE)</f>
        <v>3240</v>
      </c>
      <c r="J7121" s="20">
        <f t="shared" si="111"/>
        <v>0.21686746987951808</v>
      </c>
    </row>
    <row r="7122" spans="1:10" x14ac:dyDescent="0.3">
      <c r="A7122" s="33">
        <v>7121</v>
      </c>
      <c r="B7122" s="4">
        <v>29</v>
      </c>
      <c r="C7122" s="15">
        <v>10</v>
      </c>
      <c r="D7122" s="16">
        <v>2</v>
      </c>
      <c r="E7122" s="22">
        <v>45275</v>
      </c>
      <c r="F7122" s="17">
        <v>3</v>
      </c>
      <c r="G7122" s="18">
        <v>0.14000000000000001</v>
      </c>
      <c r="H7122">
        <f>F7122*VLOOKUP(B7122,產品!$A$2:$H$61,7,FALSE)*(1-銷售總表!G7122)</f>
        <v>15480</v>
      </c>
      <c r="I7122" s="35">
        <f>H7122-F7122*VLOOKUP(銷售總表!B7122,產品!$A$2:$H$61,8,FALSE)</f>
        <v>4680</v>
      </c>
      <c r="J7122" s="20">
        <f t="shared" si="111"/>
        <v>0.30232558139534882</v>
      </c>
    </row>
    <row r="7123" spans="1:10" x14ac:dyDescent="0.3">
      <c r="A7123" s="33">
        <v>7122</v>
      </c>
      <c r="B7123" s="4">
        <v>58</v>
      </c>
      <c r="C7123" s="15">
        <v>282</v>
      </c>
      <c r="D7123" s="16">
        <v>2</v>
      </c>
      <c r="E7123" s="23">
        <v>45275</v>
      </c>
      <c r="F7123">
        <v>4</v>
      </c>
      <c r="G7123" s="20">
        <v>0.05</v>
      </c>
      <c r="H7123">
        <f>F7123*VLOOKUP(B7123,產品!$A$2:$H$61,7,FALSE)*(1-銷售總表!G7123)</f>
        <v>79800</v>
      </c>
      <c r="I7123" s="35">
        <f>H7123-F7123*VLOOKUP(銷售總表!B7123,產品!$A$2:$H$61,8,FALSE)</f>
        <v>21000.000000000007</v>
      </c>
      <c r="J7123" s="20">
        <f t="shared" si="111"/>
        <v>0.2631578947368422</v>
      </c>
    </row>
    <row r="7124" spans="1:10" x14ac:dyDescent="0.3">
      <c r="A7124" s="33">
        <v>7123</v>
      </c>
      <c r="B7124" s="4">
        <v>60</v>
      </c>
      <c r="C7124" s="15">
        <v>7</v>
      </c>
      <c r="D7124" s="16">
        <v>1</v>
      </c>
      <c r="E7124" s="23">
        <v>45276</v>
      </c>
      <c r="F7124">
        <v>5</v>
      </c>
      <c r="G7124" s="20">
        <v>0.17</v>
      </c>
      <c r="H7124">
        <f>F7124*VLOOKUP(B7124,產品!$A$2:$H$61,7,FALSE)*(1-銷售總表!G7124)</f>
        <v>103750</v>
      </c>
      <c r="I7124" s="35">
        <f>H7124-F7124*VLOOKUP(銷售總表!B7124,產品!$A$2:$H$61,8,FALSE)</f>
        <v>16250</v>
      </c>
      <c r="J7124" s="20">
        <f t="shared" si="111"/>
        <v>0.15662650602409639</v>
      </c>
    </row>
    <row r="7125" spans="1:10" x14ac:dyDescent="0.3">
      <c r="A7125" s="33">
        <v>7124</v>
      </c>
      <c r="B7125" s="4">
        <v>33</v>
      </c>
      <c r="C7125" s="15">
        <v>138</v>
      </c>
      <c r="D7125" s="16">
        <v>2</v>
      </c>
      <c r="E7125" s="22">
        <v>45277</v>
      </c>
      <c r="F7125" s="17">
        <v>35</v>
      </c>
      <c r="G7125" s="18">
        <v>7.0000000000000007E-2</v>
      </c>
      <c r="H7125">
        <f>F7125*VLOOKUP(B7125,產品!$A$2:$H$61,7,FALSE)*(1-銷售總表!G7125)</f>
        <v>244124.99999999997</v>
      </c>
      <c r="I7125" s="35">
        <f>H7125-F7125*VLOOKUP(銷售總表!B7125,產品!$A$2:$H$61,8,FALSE)</f>
        <v>86624.999999999971</v>
      </c>
      <c r="J7125" s="20">
        <f t="shared" si="111"/>
        <v>0.35483870967741926</v>
      </c>
    </row>
    <row r="7126" spans="1:10" x14ac:dyDescent="0.3">
      <c r="A7126" s="33">
        <v>7125</v>
      </c>
      <c r="B7126" s="4">
        <v>58</v>
      </c>
      <c r="C7126" s="15">
        <v>285</v>
      </c>
      <c r="D7126" s="16">
        <v>8</v>
      </c>
      <c r="E7126" s="22">
        <v>45277</v>
      </c>
      <c r="F7126" s="17">
        <v>10</v>
      </c>
      <c r="G7126" s="18">
        <v>0.12</v>
      </c>
      <c r="H7126">
        <f>F7126*VLOOKUP(B7126,產品!$A$2:$H$61,7,FALSE)*(1-銷售總表!G7126)</f>
        <v>184800</v>
      </c>
      <c r="I7126" s="35">
        <f>H7126-F7126*VLOOKUP(銷售總表!B7126,產品!$A$2:$H$61,8,FALSE)</f>
        <v>37800.000000000029</v>
      </c>
      <c r="J7126" s="20">
        <f t="shared" si="111"/>
        <v>0.2045454545454547</v>
      </c>
    </row>
    <row r="7127" spans="1:10" x14ac:dyDescent="0.3">
      <c r="A7127" s="33">
        <v>7126</v>
      </c>
      <c r="B7127" s="4">
        <v>5</v>
      </c>
      <c r="C7127" s="15">
        <v>276</v>
      </c>
      <c r="D7127" s="16">
        <v>8</v>
      </c>
      <c r="E7127" s="22">
        <v>45277</v>
      </c>
      <c r="F7127" s="17">
        <v>100</v>
      </c>
      <c r="G7127" s="18">
        <v>0.12</v>
      </c>
      <c r="H7127">
        <f>F7127*VLOOKUP(B7127,產品!$A$2:$H$61,7,FALSE)*(1-銷售總表!G7127)</f>
        <v>88000</v>
      </c>
      <c r="I7127" s="35">
        <f>H7127-F7127*VLOOKUP(銷售總表!B7127,產品!$A$2:$H$61,8,FALSE)</f>
        <v>48000</v>
      </c>
      <c r="J7127" s="20">
        <f t="shared" si="111"/>
        <v>0.54545454545454541</v>
      </c>
    </row>
    <row r="7128" spans="1:10" x14ac:dyDescent="0.3">
      <c r="A7128" s="33">
        <v>7127</v>
      </c>
      <c r="B7128" s="4">
        <v>26</v>
      </c>
      <c r="C7128" s="15">
        <v>281</v>
      </c>
      <c r="D7128" s="16">
        <v>1</v>
      </c>
      <c r="E7128" s="22">
        <v>45277</v>
      </c>
      <c r="F7128" s="17">
        <v>6</v>
      </c>
      <c r="G7128" s="18">
        <v>0.2</v>
      </c>
      <c r="H7128">
        <f>F7128*VLOOKUP(B7128,產品!$A$2:$H$61,7,FALSE)*(1-銷售總表!G7128)</f>
        <v>31200</v>
      </c>
      <c r="I7128" s="35">
        <f>H7128-F7128*VLOOKUP(銷售總表!B7128,產品!$A$2:$H$61,8,FALSE)</f>
        <v>7800</v>
      </c>
      <c r="J7128" s="20">
        <f t="shared" si="111"/>
        <v>0.25</v>
      </c>
    </row>
    <row r="7129" spans="1:10" x14ac:dyDescent="0.3">
      <c r="A7129" s="33">
        <v>7128</v>
      </c>
      <c r="B7129" s="4">
        <v>8</v>
      </c>
      <c r="C7129" s="15">
        <v>134</v>
      </c>
      <c r="D7129" s="16">
        <v>1</v>
      </c>
      <c r="E7129" s="22">
        <v>45277</v>
      </c>
      <c r="F7129" s="17">
        <v>175</v>
      </c>
      <c r="G7129" s="18">
        <v>0.14000000000000001</v>
      </c>
      <c r="H7129">
        <f>F7129*VLOOKUP(B7129,產品!$A$2:$H$61,7,FALSE)*(1-銷售總表!G7129)</f>
        <v>150500</v>
      </c>
      <c r="I7129" s="35">
        <f>H7129-F7129*VLOOKUP(銷售總表!B7129,產品!$A$2:$H$61,8,FALSE)</f>
        <v>80500</v>
      </c>
      <c r="J7129" s="20">
        <f t="shared" si="111"/>
        <v>0.53488372093023251</v>
      </c>
    </row>
    <row r="7130" spans="1:10" x14ac:dyDescent="0.3">
      <c r="A7130" s="33">
        <v>7129</v>
      </c>
      <c r="B7130" s="4">
        <v>25</v>
      </c>
      <c r="C7130" s="15">
        <v>138</v>
      </c>
      <c r="D7130" s="16">
        <v>5</v>
      </c>
      <c r="E7130" s="23">
        <v>45277</v>
      </c>
      <c r="F7130">
        <v>5</v>
      </c>
      <c r="G7130" s="20">
        <v>0.05</v>
      </c>
      <c r="H7130">
        <f>F7130*VLOOKUP(B7130,產品!$A$2:$H$61,7,FALSE)*(1-銷售總表!G7130)</f>
        <v>28500</v>
      </c>
      <c r="I7130" s="35">
        <f>H7130-F7130*VLOOKUP(銷售總表!B7130,產品!$A$2:$H$61,8,FALSE)</f>
        <v>10500</v>
      </c>
      <c r="J7130" s="20">
        <f t="shared" si="111"/>
        <v>0.36842105263157893</v>
      </c>
    </row>
    <row r="7131" spans="1:10" x14ac:dyDescent="0.3">
      <c r="A7131" s="33">
        <v>7130</v>
      </c>
      <c r="B7131" s="4">
        <v>7</v>
      </c>
      <c r="C7131" s="15">
        <v>284</v>
      </c>
      <c r="D7131" s="16">
        <v>3</v>
      </c>
      <c r="E7131" s="23">
        <v>45277</v>
      </c>
      <c r="F7131">
        <v>90</v>
      </c>
      <c r="G7131" s="20">
        <v>0.09</v>
      </c>
      <c r="H7131">
        <f>F7131*VLOOKUP(B7131,產品!$A$2:$H$61,7,FALSE)*(1-銷售總表!G7131)</f>
        <v>81900</v>
      </c>
      <c r="I7131" s="35">
        <f>H7131-F7131*VLOOKUP(銷售總表!B7131,產品!$A$2:$H$61,8,FALSE)</f>
        <v>45900</v>
      </c>
      <c r="J7131" s="20">
        <f t="shared" si="111"/>
        <v>0.56043956043956045</v>
      </c>
    </row>
    <row r="7132" spans="1:10" x14ac:dyDescent="0.3">
      <c r="A7132" s="33">
        <v>7131</v>
      </c>
      <c r="B7132" s="4">
        <v>5</v>
      </c>
      <c r="C7132" s="15">
        <v>278</v>
      </c>
      <c r="D7132" s="16">
        <v>2</v>
      </c>
      <c r="E7132" s="22">
        <v>45278</v>
      </c>
      <c r="F7132" s="17">
        <v>60</v>
      </c>
      <c r="G7132" s="18">
        <v>0.16</v>
      </c>
      <c r="H7132">
        <f>F7132*VLOOKUP(B7132,產品!$A$2:$H$61,7,FALSE)*(1-銷售總表!G7132)</f>
        <v>50400</v>
      </c>
      <c r="I7132" s="35">
        <f>H7132-F7132*VLOOKUP(銷售總表!B7132,產品!$A$2:$H$61,8,FALSE)</f>
        <v>26400</v>
      </c>
      <c r="J7132" s="20">
        <f t="shared" si="111"/>
        <v>0.52380952380952384</v>
      </c>
    </row>
    <row r="7133" spans="1:10" x14ac:dyDescent="0.3">
      <c r="A7133" s="33">
        <v>7132</v>
      </c>
      <c r="B7133" s="4">
        <v>43</v>
      </c>
      <c r="C7133" s="15">
        <v>114</v>
      </c>
      <c r="D7133" s="16">
        <v>7</v>
      </c>
      <c r="E7133" s="23">
        <v>45278</v>
      </c>
      <c r="F7133">
        <v>5</v>
      </c>
      <c r="G7133" s="20">
        <v>0.05</v>
      </c>
      <c r="H7133">
        <f>F7133*VLOOKUP(B7133,產品!$A$2:$H$61,7,FALSE)*(1-銷售總表!G7133)</f>
        <v>85500</v>
      </c>
      <c r="I7133" s="35">
        <f>H7133-F7133*VLOOKUP(銷售總表!B7133,產品!$A$2:$H$61,8,FALSE)</f>
        <v>27000</v>
      </c>
      <c r="J7133" s="20">
        <f t="shared" si="111"/>
        <v>0.31578947368421051</v>
      </c>
    </row>
    <row r="7134" spans="1:10" x14ac:dyDescent="0.3">
      <c r="A7134" s="33">
        <v>7133</v>
      </c>
      <c r="B7134" s="4">
        <v>53</v>
      </c>
      <c r="C7134" s="15">
        <v>280</v>
      </c>
      <c r="D7134" s="16">
        <v>1</v>
      </c>
      <c r="E7134" s="22">
        <v>45279</v>
      </c>
      <c r="F7134" s="19">
        <v>3</v>
      </c>
      <c r="G7134" s="18">
        <v>0.13</v>
      </c>
      <c r="H7134">
        <f>F7134*VLOOKUP(B7134,產品!$A$2:$H$61,7,FALSE)*(1-銷售總表!G7134)</f>
        <v>39150</v>
      </c>
      <c r="I7134" s="35">
        <f>H7134-F7134*VLOOKUP(銷售總表!B7134,產品!$A$2:$H$61,8,FALSE)</f>
        <v>7650</v>
      </c>
      <c r="J7134" s="20">
        <f t="shared" si="111"/>
        <v>0.19540229885057472</v>
      </c>
    </row>
    <row r="7135" spans="1:10" x14ac:dyDescent="0.3">
      <c r="A7135" s="33">
        <v>7134</v>
      </c>
      <c r="B7135" s="4">
        <v>38</v>
      </c>
      <c r="C7135" s="15">
        <v>259</v>
      </c>
      <c r="D7135" s="16">
        <v>9</v>
      </c>
      <c r="E7135" s="23">
        <v>45279</v>
      </c>
      <c r="F7135">
        <v>13</v>
      </c>
      <c r="G7135" s="20">
        <v>0.05</v>
      </c>
      <c r="H7135">
        <f>F7135*VLOOKUP(B7135,產品!$A$2:$H$61,7,FALSE)*(1-銷售總表!G7135)</f>
        <v>185250</v>
      </c>
      <c r="I7135" s="35">
        <f>H7135-F7135*VLOOKUP(銷售總表!B7135,產品!$A$2:$H$61,8,FALSE)</f>
        <v>58500</v>
      </c>
      <c r="J7135" s="20">
        <f t="shared" si="111"/>
        <v>0.31578947368421051</v>
      </c>
    </row>
    <row r="7136" spans="1:10" x14ac:dyDescent="0.3">
      <c r="A7136" s="33">
        <v>7135</v>
      </c>
      <c r="B7136" s="4">
        <v>13</v>
      </c>
      <c r="C7136" s="15">
        <v>6</v>
      </c>
      <c r="D7136" s="16">
        <v>8</v>
      </c>
      <c r="E7136" s="23">
        <v>45279</v>
      </c>
      <c r="F7136">
        <v>50</v>
      </c>
      <c r="G7136" s="20">
        <v>0.14000000000000001</v>
      </c>
      <c r="H7136">
        <f>F7136*VLOOKUP(B7136,產品!$A$2:$H$61,7,FALSE)*(1-銷售總表!G7136)</f>
        <v>77400</v>
      </c>
      <c r="I7136" s="35">
        <f>H7136-F7136*VLOOKUP(銷售總表!B7136,產品!$A$2:$H$61,8,FALSE)</f>
        <v>41400</v>
      </c>
      <c r="J7136" s="20">
        <f t="shared" si="111"/>
        <v>0.53488372093023251</v>
      </c>
    </row>
    <row r="7137" spans="1:10" x14ac:dyDescent="0.3">
      <c r="A7137" s="33">
        <v>7136</v>
      </c>
      <c r="B7137" s="4">
        <v>26</v>
      </c>
      <c r="C7137" s="15">
        <v>282</v>
      </c>
      <c r="D7137" s="16">
        <v>5</v>
      </c>
      <c r="E7137" s="22">
        <v>45280</v>
      </c>
      <c r="F7137" s="17">
        <v>9</v>
      </c>
      <c r="G7137" s="18">
        <v>0.12</v>
      </c>
      <c r="H7137">
        <f>F7137*VLOOKUP(B7137,產品!$A$2:$H$61,7,FALSE)*(1-銷售總表!G7137)</f>
        <v>51480</v>
      </c>
      <c r="I7137" s="35">
        <f>H7137-F7137*VLOOKUP(銷售總表!B7137,產品!$A$2:$H$61,8,FALSE)</f>
        <v>16380</v>
      </c>
      <c r="J7137" s="20">
        <f t="shared" si="111"/>
        <v>0.31818181818181818</v>
      </c>
    </row>
    <row r="7138" spans="1:10" x14ac:dyDescent="0.3">
      <c r="A7138" s="33">
        <v>7137</v>
      </c>
      <c r="B7138" s="4">
        <v>56</v>
      </c>
      <c r="C7138" s="15">
        <v>135</v>
      </c>
      <c r="D7138" s="16">
        <v>6</v>
      </c>
      <c r="E7138" s="22">
        <v>45280</v>
      </c>
      <c r="F7138" s="17">
        <v>12</v>
      </c>
      <c r="G7138" s="18">
        <v>0.11</v>
      </c>
      <c r="H7138">
        <f>F7138*VLOOKUP(B7138,產品!$A$2:$H$61,7,FALSE)*(1-銷售總表!G7138)</f>
        <v>234960</v>
      </c>
      <c r="I7138" s="35">
        <f>H7138-F7138*VLOOKUP(銷售總表!B7138,產品!$A$2:$H$61,8,FALSE)</f>
        <v>50160.000000000029</v>
      </c>
      <c r="J7138" s="20">
        <f t="shared" si="111"/>
        <v>0.21348314606741586</v>
      </c>
    </row>
    <row r="7139" spans="1:10" x14ac:dyDescent="0.3">
      <c r="A7139" s="33">
        <v>7138</v>
      </c>
      <c r="B7139" s="4">
        <v>33</v>
      </c>
      <c r="C7139" s="15">
        <v>257</v>
      </c>
      <c r="D7139" s="16">
        <v>1</v>
      </c>
      <c r="E7139" s="22">
        <v>45280</v>
      </c>
      <c r="F7139" s="17">
        <v>8</v>
      </c>
      <c r="G7139" s="18">
        <v>0.1</v>
      </c>
      <c r="H7139">
        <f>F7139*VLOOKUP(B7139,產品!$A$2:$H$61,7,FALSE)*(1-銷售總表!G7139)</f>
        <v>54000</v>
      </c>
      <c r="I7139" s="35">
        <f>H7139-F7139*VLOOKUP(銷售總表!B7139,產品!$A$2:$H$61,8,FALSE)</f>
        <v>18000</v>
      </c>
      <c r="J7139" s="20">
        <f t="shared" si="111"/>
        <v>0.33333333333333331</v>
      </c>
    </row>
    <row r="7140" spans="1:10" x14ac:dyDescent="0.3">
      <c r="A7140" s="33">
        <v>7139</v>
      </c>
      <c r="B7140" s="4">
        <v>50</v>
      </c>
      <c r="C7140" s="15">
        <v>1</v>
      </c>
      <c r="D7140" s="16">
        <v>8</v>
      </c>
      <c r="E7140" s="22">
        <v>45280</v>
      </c>
      <c r="F7140" s="19">
        <v>10</v>
      </c>
      <c r="G7140" s="18">
        <v>0.11</v>
      </c>
      <c r="H7140">
        <f>F7140*VLOOKUP(B7140,產品!$A$2:$H$61,7,FALSE)*(1-銷售總表!G7140)</f>
        <v>160200</v>
      </c>
      <c r="I7140" s="35">
        <f>H7140-F7140*VLOOKUP(銷售總表!B7140,產品!$A$2:$H$61,8,FALSE)</f>
        <v>34200</v>
      </c>
      <c r="J7140" s="20">
        <f t="shared" si="111"/>
        <v>0.21348314606741572</v>
      </c>
    </row>
    <row r="7141" spans="1:10" x14ac:dyDescent="0.3">
      <c r="A7141" s="33">
        <v>7140</v>
      </c>
      <c r="B7141" s="4">
        <v>2</v>
      </c>
      <c r="C7141" s="15">
        <v>126</v>
      </c>
      <c r="D7141" s="16">
        <v>8</v>
      </c>
      <c r="E7141" s="23">
        <v>45280</v>
      </c>
      <c r="F7141">
        <v>250</v>
      </c>
      <c r="G7141" s="20">
        <v>0.18</v>
      </c>
      <c r="H7141">
        <f>F7141*VLOOKUP(B7141,產品!$A$2:$H$61,7,FALSE)*(1-銷售總表!G7141)</f>
        <v>205000.00000000003</v>
      </c>
      <c r="I7141" s="35">
        <f>H7141-F7141*VLOOKUP(銷售總表!B7141,產品!$A$2:$H$61,8,FALSE)</f>
        <v>105000.00000000003</v>
      </c>
      <c r="J7141" s="20">
        <f t="shared" si="111"/>
        <v>0.51219512195121963</v>
      </c>
    </row>
    <row r="7142" spans="1:10" x14ac:dyDescent="0.3">
      <c r="A7142" s="33">
        <v>7141</v>
      </c>
      <c r="B7142" s="4">
        <v>42</v>
      </c>
      <c r="C7142" s="15">
        <v>139</v>
      </c>
      <c r="D7142" s="16">
        <v>2</v>
      </c>
      <c r="E7142" s="23">
        <v>45280</v>
      </c>
      <c r="F7142">
        <v>10</v>
      </c>
      <c r="G7142" s="20">
        <v>0.14000000000000001</v>
      </c>
      <c r="H7142">
        <f>F7142*VLOOKUP(B7142,產品!$A$2:$H$61,7,FALSE)*(1-銷售總表!G7142)</f>
        <v>129000</v>
      </c>
      <c r="I7142" s="35">
        <f>H7142-F7142*VLOOKUP(銷售總表!B7142,產品!$A$2:$H$61,8,FALSE)</f>
        <v>31500</v>
      </c>
      <c r="J7142" s="20">
        <f t="shared" si="111"/>
        <v>0.2441860465116279</v>
      </c>
    </row>
    <row r="7143" spans="1:10" x14ac:dyDescent="0.3">
      <c r="A7143" s="33">
        <v>7142</v>
      </c>
      <c r="B7143" s="4">
        <v>54</v>
      </c>
      <c r="C7143" s="15">
        <v>281</v>
      </c>
      <c r="D7143" s="16">
        <v>4</v>
      </c>
      <c r="E7143" s="22">
        <v>45281</v>
      </c>
      <c r="F7143" s="17">
        <v>2</v>
      </c>
      <c r="G7143" s="18">
        <v>0.06</v>
      </c>
      <c r="H7143">
        <f>F7143*VLOOKUP(B7143,產品!$A$2:$H$61,7,FALSE)*(1-銷售總表!G7143)</f>
        <v>33840</v>
      </c>
      <c r="I7143" s="35">
        <f>H7143-F7143*VLOOKUP(銷售總表!B7143,產品!$A$2:$H$61,8,FALSE)</f>
        <v>8640</v>
      </c>
      <c r="J7143" s="20">
        <f t="shared" si="111"/>
        <v>0.25531914893617019</v>
      </c>
    </row>
    <row r="7144" spans="1:10" x14ac:dyDescent="0.3">
      <c r="A7144" s="33">
        <v>7143</v>
      </c>
      <c r="B7144" s="4">
        <v>12</v>
      </c>
      <c r="C7144" s="15">
        <v>267</v>
      </c>
      <c r="D7144" s="16">
        <v>8</v>
      </c>
      <c r="E7144" s="22">
        <v>45281</v>
      </c>
      <c r="F7144" s="17">
        <v>250</v>
      </c>
      <c r="G7144" s="18">
        <v>7.0000000000000007E-2</v>
      </c>
      <c r="H7144">
        <f>F7144*VLOOKUP(B7144,產品!$A$2:$H$61,7,FALSE)*(1-銷售總表!G7144)</f>
        <v>232499.99999999997</v>
      </c>
      <c r="I7144" s="35">
        <f>H7144-F7144*VLOOKUP(銷售總表!B7144,產品!$A$2:$H$61,8,FALSE)</f>
        <v>132499.99999999997</v>
      </c>
      <c r="J7144" s="20">
        <f t="shared" si="111"/>
        <v>0.56989247311827951</v>
      </c>
    </row>
    <row r="7145" spans="1:10" x14ac:dyDescent="0.3">
      <c r="A7145" s="33">
        <v>7144</v>
      </c>
      <c r="B7145" s="4">
        <v>23</v>
      </c>
      <c r="C7145" s="15">
        <v>121</v>
      </c>
      <c r="D7145" s="16">
        <v>9</v>
      </c>
      <c r="E7145" s="22">
        <v>45281</v>
      </c>
      <c r="F7145" s="17">
        <v>50</v>
      </c>
      <c r="G7145" s="18">
        <v>0.15</v>
      </c>
      <c r="H7145">
        <f>F7145*VLOOKUP(B7145,產品!$A$2:$H$61,7,FALSE)*(1-銷售總表!G7145)</f>
        <v>76500</v>
      </c>
      <c r="I7145" s="35">
        <f>H7145-F7145*VLOOKUP(銷售總表!B7145,產品!$A$2:$H$61,8,FALSE)</f>
        <v>40500</v>
      </c>
      <c r="J7145" s="20">
        <f t="shared" si="111"/>
        <v>0.52941176470588236</v>
      </c>
    </row>
    <row r="7146" spans="1:10" x14ac:dyDescent="0.3">
      <c r="A7146" s="33">
        <v>7145</v>
      </c>
      <c r="B7146" s="4">
        <v>33</v>
      </c>
      <c r="C7146" s="15">
        <v>291</v>
      </c>
      <c r="D7146" s="16">
        <v>1</v>
      </c>
      <c r="E7146" s="22">
        <v>45281</v>
      </c>
      <c r="F7146" s="17">
        <v>18</v>
      </c>
      <c r="G7146" s="18">
        <v>0.06</v>
      </c>
      <c r="H7146">
        <f>F7146*VLOOKUP(B7146,產品!$A$2:$H$61,7,FALSE)*(1-銷售總表!G7146)</f>
        <v>126900</v>
      </c>
      <c r="I7146" s="35">
        <f>H7146-F7146*VLOOKUP(銷售總表!B7146,產品!$A$2:$H$61,8,FALSE)</f>
        <v>45900</v>
      </c>
      <c r="J7146" s="20">
        <f t="shared" si="111"/>
        <v>0.36170212765957449</v>
      </c>
    </row>
    <row r="7147" spans="1:10" x14ac:dyDescent="0.3">
      <c r="A7147" s="33">
        <v>7146</v>
      </c>
      <c r="B7147" s="4">
        <v>14</v>
      </c>
      <c r="C7147" s="15">
        <v>258</v>
      </c>
      <c r="D7147" s="16">
        <v>1</v>
      </c>
      <c r="E7147" s="22">
        <v>45282</v>
      </c>
      <c r="F7147" s="17">
        <v>20</v>
      </c>
      <c r="G7147" s="18">
        <v>0.06</v>
      </c>
      <c r="H7147">
        <f>F7147*VLOOKUP(B7147,產品!$A$2:$H$61,7,FALSE)*(1-銷售總表!G7147)</f>
        <v>33840</v>
      </c>
      <c r="I7147" s="35">
        <f>H7147-F7147*VLOOKUP(銷售總表!B7147,產品!$A$2:$H$61,8,FALSE)</f>
        <v>19440</v>
      </c>
      <c r="J7147" s="20">
        <f t="shared" si="111"/>
        <v>0.57446808510638303</v>
      </c>
    </row>
    <row r="7148" spans="1:10" x14ac:dyDescent="0.3">
      <c r="A7148" s="33">
        <v>7147</v>
      </c>
      <c r="B7148" s="4">
        <v>11</v>
      </c>
      <c r="C7148" s="15">
        <v>124</v>
      </c>
      <c r="D7148" s="16">
        <v>1</v>
      </c>
      <c r="E7148" s="22">
        <v>45283</v>
      </c>
      <c r="F7148" s="17">
        <v>350</v>
      </c>
      <c r="G7148" s="18">
        <v>0.17</v>
      </c>
      <c r="H7148">
        <f>F7148*VLOOKUP(B7148,產品!$A$2:$H$61,7,FALSE)*(1-銷售總表!G7148)</f>
        <v>290500</v>
      </c>
      <c r="I7148" s="35">
        <f>H7148-F7148*VLOOKUP(銷售總表!B7148,產品!$A$2:$H$61,8,FALSE)</f>
        <v>150500</v>
      </c>
      <c r="J7148" s="20">
        <f t="shared" si="111"/>
        <v>0.51807228915662651</v>
      </c>
    </row>
    <row r="7149" spans="1:10" x14ac:dyDescent="0.3">
      <c r="A7149" s="33">
        <v>7148</v>
      </c>
      <c r="B7149" s="4">
        <v>33</v>
      </c>
      <c r="C7149" s="15">
        <v>121</v>
      </c>
      <c r="D7149" s="16">
        <v>10</v>
      </c>
      <c r="E7149" s="22">
        <v>45283</v>
      </c>
      <c r="F7149" s="19">
        <v>11</v>
      </c>
      <c r="G7149" s="18">
        <v>0.09</v>
      </c>
      <c r="H7149">
        <f>F7149*VLOOKUP(B7149,產品!$A$2:$H$61,7,FALSE)*(1-銷售總表!G7149)</f>
        <v>75075</v>
      </c>
      <c r="I7149" s="35">
        <f>H7149-F7149*VLOOKUP(銷售總表!B7149,產品!$A$2:$H$61,8,FALSE)</f>
        <v>25575</v>
      </c>
      <c r="J7149" s="20">
        <f t="shared" si="111"/>
        <v>0.34065934065934067</v>
      </c>
    </row>
    <row r="7150" spans="1:10" x14ac:dyDescent="0.3">
      <c r="A7150" s="33">
        <v>7149</v>
      </c>
      <c r="B7150" s="4">
        <v>55</v>
      </c>
      <c r="C7150" s="15">
        <v>112</v>
      </c>
      <c r="D7150" s="16">
        <v>7</v>
      </c>
      <c r="E7150" s="22">
        <v>45284</v>
      </c>
      <c r="F7150" s="17">
        <v>4</v>
      </c>
      <c r="G7150" s="18">
        <v>0.13</v>
      </c>
      <c r="H7150">
        <f>F7150*VLOOKUP(B7150,產品!$A$2:$H$61,7,FALSE)*(1-銷售總表!G7150)</f>
        <v>69600</v>
      </c>
      <c r="I7150" s="35">
        <f>H7150-F7150*VLOOKUP(銷售總表!B7150,產品!$A$2:$H$61,8,FALSE)</f>
        <v>13600</v>
      </c>
      <c r="J7150" s="20">
        <f t="shared" si="111"/>
        <v>0.19540229885057472</v>
      </c>
    </row>
    <row r="7151" spans="1:10" x14ac:dyDescent="0.3">
      <c r="A7151" s="33">
        <v>7150</v>
      </c>
      <c r="B7151" s="4">
        <v>36</v>
      </c>
      <c r="C7151" s="15">
        <v>7</v>
      </c>
      <c r="D7151" s="16">
        <v>9</v>
      </c>
      <c r="E7151" s="22">
        <v>45284</v>
      </c>
      <c r="F7151" s="17">
        <v>6</v>
      </c>
      <c r="G7151" s="18">
        <v>0.2</v>
      </c>
      <c r="H7151">
        <f>F7151*VLOOKUP(B7151,產品!$A$2:$H$61,7,FALSE)*(1-銷售總表!G7151)</f>
        <v>43200</v>
      </c>
      <c r="I7151" s="35">
        <f>H7151-F7151*VLOOKUP(銷售總表!B7151,產品!$A$2:$H$61,8,FALSE)</f>
        <v>10800</v>
      </c>
      <c r="J7151" s="20">
        <f t="shared" si="111"/>
        <v>0.25</v>
      </c>
    </row>
    <row r="7152" spans="1:10" x14ac:dyDescent="0.3">
      <c r="A7152" s="33">
        <v>7151</v>
      </c>
      <c r="B7152" s="4">
        <v>10</v>
      </c>
      <c r="C7152" s="15">
        <v>9</v>
      </c>
      <c r="D7152" s="16">
        <v>6</v>
      </c>
      <c r="E7152" s="22">
        <v>45284</v>
      </c>
      <c r="F7152" s="17">
        <v>40</v>
      </c>
      <c r="G7152" s="18">
        <v>0.1</v>
      </c>
      <c r="H7152">
        <f>F7152*VLOOKUP(B7152,產品!$A$2:$H$61,7,FALSE)*(1-銷售總表!G7152)</f>
        <v>36000</v>
      </c>
      <c r="I7152" s="35">
        <f>H7152-F7152*VLOOKUP(銷售總表!B7152,產品!$A$2:$H$61,8,FALSE)</f>
        <v>20000</v>
      </c>
      <c r="J7152" s="20">
        <f t="shared" si="111"/>
        <v>0.55555555555555558</v>
      </c>
    </row>
    <row r="7153" spans="1:10" x14ac:dyDescent="0.3">
      <c r="A7153" s="33">
        <v>7152</v>
      </c>
      <c r="B7153" s="4">
        <v>16</v>
      </c>
      <c r="C7153" s="15">
        <v>1</v>
      </c>
      <c r="D7153" s="16">
        <v>8</v>
      </c>
      <c r="E7153" s="22">
        <v>45284</v>
      </c>
      <c r="F7153" s="17">
        <v>20</v>
      </c>
      <c r="G7153" s="18">
        <v>0.12</v>
      </c>
      <c r="H7153">
        <f>F7153*VLOOKUP(B7153,產品!$A$2:$H$61,7,FALSE)*(1-銷售總表!G7153)</f>
        <v>31680</v>
      </c>
      <c r="I7153" s="35">
        <f>H7153-F7153*VLOOKUP(銷售總表!B7153,產品!$A$2:$H$61,8,FALSE)</f>
        <v>17280</v>
      </c>
      <c r="J7153" s="20">
        <f t="shared" si="111"/>
        <v>0.54545454545454541</v>
      </c>
    </row>
    <row r="7154" spans="1:10" x14ac:dyDescent="0.3">
      <c r="A7154" s="33">
        <v>7153</v>
      </c>
      <c r="B7154" s="4">
        <v>27</v>
      </c>
      <c r="C7154" s="15">
        <v>5</v>
      </c>
      <c r="D7154" s="16">
        <v>10</v>
      </c>
      <c r="E7154" s="22">
        <v>45284</v>
      </c>
      <c r="F7154" s="19">
        <v>15</v>
      </c>
      <c r="G7154" s="18">
        <v>0.2</v>
      </c>
      <c r="H7154">
        <f>F7154*VLOOKUP(B7154,產品!$A$2:$H$61,7,FALSE)*(1-銷售總表!G7154)</f>
        <v>84000</v>
      </c>
      <c r="I7154" s="35">
        <f>H7154-F7154*VLOOKUP(銷售總表!B7154,產品!$A$2:$H$61,8,FALSE)</f>
        <v>21000</v>
      </c>
      <c r="J7154" s="20">
        <f t="shared" si="111"/>
        <v>0.25</v>
      </c>
    </row>
    <row r="7155" spans="1:10" x14ac:dyDescent="0.3">
      <c r="A7155" s="33">
        <v>7154</v>
      </c>
      <c r="B7155" s="4">
        <v>13</v>
      </c>
      <c r="C7155" s="15">
        <v>116</v>
      </c>
      <c r="D7155" s="16">
        <v>5</v>
      </c>
      <c r="E7155" s="22">
        <v>45284</v>
      </c>
      <c r="F7155" s="19">
        <v>50</v>
      </c>
      <c r="G7155" s="18">
        <v>0.2</v>
      </c>
      <c r="H7155">
        <f>F7155*VLOOKUP(B7155,產品!$A$2:$H$61,7,FALSE)*(1-銷售總表!G7155)</f>
        <v>72000</v>
      </c>
      <c r="I7155" s="35">
        <f>H7155-F7155*VLOOKUP(銷售總表!B7155,產品!$A$2:$H$61,8,FALSE)</f>
        <v>36000</v>
      </c>
      <c r="J7155" s="20">
        <f t="shared" si="111"/>
        <v>0.5</v>
      </c>
    </row>
    <row r="7156" spans="1:10" x14ac:dyDescent="0.3">
      <c r="A7156" s="33">
        <v>7155</v>
      </c>
      <c r="B7156" s="4">
        <v>25</v>
      </c>
      <c r="C7156" s="15">
        <v>4</v>
      </c>
      <c r="D7156" s="16">
        <v>5</v>
      </c>
      <c r="E7156" s="23">
        <v>45284</v>
      </c>
      <c r="F7156">
        <v>11</v>
      </c>
      <c r="G7156" s="20">
        <v>0.12</v>
      </c>
      <c r="H7156">
        <f>F7156*VLOOKUP(B7156,產品!$A$2:$H$61,7,FALSE)*(1-銷售總表!G7156)</f>
        <v>58080</v>
      </c>
      <c r="I7156" s="35">
        <f>H7156-F7156*VLOOKUP(銷售總表!B7156,產品!$A$2:$H$61,8,FALSE)</f>
        <v>18480</v>
      </c>
      <c r="J7156" s="20">
        <f t="shared" si="111"/>
        <v>0.31818181818181818</v>
      </c>
    </row>
    <row r="7157" spans="1:10" x14ac:dyDescent="0.3">
      <c r="A7157" s="33">
        <v>7156</v>
      </c>
      <c r="B7157" s="4">
        <v>8</v>
      </c>
      <c r="C7157" s="15">
        <v>136</v>
      </c>
      <c r="D7157" s="16">
        <v>7</v>
      </c>
      <c r="E7157" s="23">
        <v>45284</v>
      </c>
      <c r="F7157">
        <v>50</v>
      </c>
      <c r="G7157" s="20">
        <v>0.18</v>
      </c>
      <c r="H7157">
        <f>F7157*VLOOKUP(B7157,產品!$A$2:$H$61,7,FALSE)*(1-銷售總表!G7157)</f>
        <v>41000</v>
      </c>
      <c r="I7157" s="35">
        <f>H7157-F7157*VLOOKUP(銷售總表!B7157,產品!$A$2:$H$61,8,FALSE)</f>
        <v>21000</v>
      </c>
      <c r="J7157" s="20">
        <f t="shared" si="111"/>
        <v>0.51219512195121952</v>
      </c>
    </row>
    <row r="7158" spans="1:10" x14ac:dyDescent="0.3">
      <c r="A7158" s="33">
        <v>7157</v>
      </c>
      <c r="B7158" s="4">
        <v>17</v>
      </c>
      <c r="C7158" s="15">
        <v>11</v>
      </c>
      <c r="D7158" s="16">
        <v>3</v>
      </c>
      <c r="E7158" s="23">
        <v>45284</v>
      </c>
      <c r="F7158">
        <v>10</v>
      </c>
      <c r="G7158" s="20">
        <v>0.14000000000000001</v>
      </c>
      <c r="H7158">
        <f>F7158*VLOOKUP(B7158,產品!$A$2:$H$61,7,FALSE)*(1-銷售總表!G7158)</f>
        <v>15480</v>
      </c>
      <c r="I7158" s="35">
        <f>H7158-F7158*VLOOKUP(銷售總表!B7158,產品!$A$2:$H$61,8,FALSE)</f>
        <v>8280</v>
      </c>
      <c r="J7158" s="20">
        <f t="shared" si="111"/>
        <v>0.53488372093023251</v>
      </c>
    </row>
    <row r="7159" spans="1:10" x14ac:dyDescent="0.3">
      <c r="A7159" s="33">
        <v>7158</v>
      </c>
      <c r="B7159" s="4">
        <v>18</v>
      </c>
      <c r="C7159" s="15">
        <v>273</v>
      </c>
      <c r="D7159" s="16">
        <v>1</v>
      </c>
      <c r="E7159" s="22">
        <v>45285</v>
      </c>
      <c r="F7159" s="17">
        <v>60</v>
      </c>
      <c r="G7159" s="18">
        <v>0.16</v>
      </c>
      <c r="H7159">
        <f>F7159*VLOOKUP(B7159,產品!$A$2:$H$61,7,FALSE)*(1-銷售總表!G7159)</f>
        <v>90720</v>
      </c>
      <c r="I7159" s="35">
        <f>H7159-F7159*VLOOKUP(銷售總表!B7159,產品!$A$2:$H$61,8,FALSE)</f>
        <v>47520</v>
      </c>
      <c r="J7159" s="20">
        <f t="shared" si="111"/>
        <v>0.52380952380952384</v>
      </c>
    </row>
    <row r="7160" spans="1:10" x14ac:dyDescent="0.3">
      <c r="A7160" s="33">
        <v>7159</v>
      </c>
      <c r="B7160" s="4">
        <v>52</v>
      </c>
      <c r="C7160" s="15">
        <v>7</v>
      </c>
      <c r="D7160" s="16">
        <v>10</v>
      </c>
      <c r="E7160" s="22">
        <v>45285</v>
      </c>
      <c r="F7160" s="17">
        <v>10</v>
      </c>
      <c r="G7160" s="18">
        <v>0.05</v>
      </c>
      <c r="H7160">
        <f>F7160*VLOOKUP(B7160,產品!$A$2:$H$61,7,FALSE)*(1-銷售總表!G7160)</f>
        <v>209000</v>
      </c>
      <c r="I7160" s="35">
        <f>H7160-F7160*VLOOKUP(銷售總表!B7160,產品!$A$2:$H$61,8,FALSE)</f>
        <v>55000.000000000029</v>
      </c>
      <c r="J7160" s="20">
        <f t="shared" si="111"/>
        <v>0.26315789473684226</v>
      </c>
    </row>
    <row r="7161" spans="1:10" x14ac:dyDescent="0.3">
      <c r="A7161" s="33">
        <v>7160</v>
      </c>
      <c r="B7161" s="4">
        <v>59</v>
      </c>
      <c r="C7161" s="15">
        <v>112</v>
      </c>
      <c r="D7161" s="16">
        <v>9</v>
      </c>
      <c r="E7161" s="22">
        <v>45285</v>
      </c>
      <c r="F7161" s="17">
        <v>1</v>
      </c>
      <c r="G7161" s="18">
        <v>0.18</v>
      </c>
      <c r="H7161">
        <f>F7161*VLOOKUP(B7161,產品!$A$2:$H$61,7,FALSE)*(1-銷售總表!G7161)</f>
        <v>19680</v>
      </c>
      <c r="I7161" s="35">
        <f>H7161-F7161*VLOOKUP(銷售總表!B7161,產品!$A$2:$H$61,8,FALSE)</f>
        <v>2880</v>
      </c>
      <c r="J7161" s="20">
        <f t="shared" si="111"/>
        <v>0.14634146341463414</v>
      </c>
    </row>
    <row r="7162" spans="1:10" x14ac:dyDescent="0.3">
      <c r="A7162" s="33">
        <v>7161</v>
      </c>
      <c r="B7162" s="4">
        <v>4</v>
      </c>
      <c r="C7162" s="15">
        <v>260</v>
      </c>
      <c r="D7162" s="16">
        <v>10</v>
      </c>
      <c r="E7162" s="22">
        <v>45285</v>
      </c>
      <c r="F7162" s="19">
        <v>70</v>
      </c>
      <c r="G7162" s="18">
        <v>0.18</v>
      </c>
      <c r="H7162">
        <f>F7162*VLOOKUP(B7162,產品!$A$2:$H$61,7,FALSE)*(1-銷售總表!G7162)</f>
        <v>57400.000000000007</v>
      </c>
      <c r="I7162" s="35">
        <f>H7162-F7162*VLOOKUP(銷售總表!B7162,產品!$A$2:$H$61,8,FALSE)</f>
        <v>29400.000000000007</v>
      </c>
      <c r="J7162" s="20">
        <f t="shared" si="111"/>
        <v>0.51219512195121952</v>
      </c>
    </row>
    <row r="7163" spans="1:10" x14ac:dyDescent="0.3">
      <c r="A7163" s="33">
        <v>7162</v>
      </c>
      <c r="B7163" s="4">
        <v>14</v>
      </c>
      <c r="C7163" s="15">
        <v>257</v>
      </c>
      <c r="D7163" s="16">
        <v>6</v>
      </c>
      <c r="E7163" s="22">
        <v>45285</v>
      </c>
      <c r="F7163" s="19">
        <v>80</v>
      </c>
      <c r="G7163" s="18">
        <v>0.13</v>
      </c>
      <c r="H7163">
        <f>F7163*VLOOKUP(B7163,產品!$A$2:$H$61,7,FALSE)*(1-銷售總表!G7163)</f>
        <v>125280</v>
      </c>
      <c r="I7163" s="35">
        <f>H7163-F7163*VLOOKUP(銷售總表!B7163,產品!$A$2:$H$61,8,FALSE)</f>
        <v>67680</v>
      </c>
      <c r="J7163" s="20">
        <f t="shared" si="111"/>
        <v>0.54022988505747127</v>
      </c>
    </row>
    <row r="7164" spans="1:10" x14ac:dyDescent="0.3">
      <c r="A7164" s="33">
        <v>7163</v>
      </c>
      <c r="B7164" s="4">
        <v>52</v>
      </c>
      <c r="C7164" s="15">
        <v>272</v>
      </c>
      <c r="D7164" s="16">
        <v>6</v>
      </c>
      <c r="E7164" s="22">
        <v>45285</v>
      </c>
      <c r="F7164" s="19">
        <v>8</v>
      </c>
      <c r="G7164" s="18">
        <v>7.0000000000000007E-2</v>
      </c>
      <c r="H7164">
        <f>F7164*VLOOKUP(B7164,產品!$A$2:$H$61,7,FALSE)*(1-銷售總表!G7164)</f>
        <v>163680</v>
      </c>
      <c r="I7164" s="35">
        <f>H7164-F7164*VLOOKUP(銷售總表!B7164,產品!$A$2:$H$61,8,FALSE)</f>
        <v>40480.000000000015</v>
      </c>
      <c r="J7164" s="20">
        <f t="shared" si="111"/>
        <v>0.24731182795698933</v>
      </c>
    </row>
    <row r="7165" spans="1:10" x14ac:dyDescent="0.3">
      <c r="A7165" s="33">
        <v>7164</v>
      </c>
      <c r="B7165" s="4">
        <v>60</v>
      </c>
      <c r="C7165" s="15">
        <v>122</v>
      </c>
      <c r="D7165" s="16">
        <v>7</v>
      </c>
      <c r="E7165" s="23">
        <v>45285</v>
      </c>
      <c r="F7165">
        <v>4</v>
      </c>
      <c r="G7165" s="20">
        <v>0.16</v>
      </c>
      <c r="H7165">
        <f>F7165*VLOOKUP(B7165,產品!$A$2:$H$61,7,FALSE)*(1-銷售總表!G7165)</f>
        <v>84000</v>
      </c>
      <c r="I7165" s="35">
        <f>H7165-F7165*VLOOKUP(銷售總表!B7165,產品!$A$2:$H$61,8,FALSE)</f>
        <v>14000</v>
      </c>
      <c r="J7165" s="20">
        <f t="shared" si="111"/>
        <v>0.16666666666666666</v>
      </c>
    </row>
    <row r="7166" spans="1:10" x14ac:dyDescent="0.3">
      <c r="A7166" s="33">
        <v>7165</v>
      </c>
      <c r="B7166" s="4">
        <v>54</v>
      </c>
      <c r="C7166" s="15">
        <v>290</v>
      </c>
      <c r="D7166" s="16">
        <v>7</v>
      </c>
      <c r="E7166" s="22">
        <v>45286</v>
      </c>
      <c r="F7166" s="19">
        <v>3</v>
      </c>
      <c r="G7166" s="18">
        <v>0.11</v>
      </c>
      <c r="H7166">
        <f>F7166*VLOOKUP(B7166,產品!$A$2:$H$61,7,FALSE)*(1-銷售總表!G7166)</f>
        <v>48060</v>
      </c>
      <c r="I7166" s="35">
        <f>H7166-F7166*VLOOKUP(銷售總表!B7166,產品!$A$2:$H$61,8,FALSE)</f>
        <v>10260</v>
      </c>
      <c r="J7166" s="20">
        <f t="shared" si="111"/>
        <v>0.21348314606741572</v>
      </c>
    </row>
    <row r="7167" spans="1:10" x14ac:dyDescent="0.3">
      <c r="A7167" s="33">
        <v>7166</v>
      </c>
      <c r="B7167" s="4">
        <v>4</v>
      </c>
      <c r="C7167" s="15">
        <v>284</v>
      </c>
      <c r="D7167" s="16">
        <v>8</v>
      </c>
      <c r="E7167" s="23">
        <v>45286</v>
      </c>
      <c r="F7167">
        <v>60</v>
      </c>
      <c r="G7167" s="20">
        <v>0.19</v>
      </c>
      <c r="H7167">
        <f>F7167*VLOOKUP(B7167,產品!$A$2:$H$61,7,FALSE)*(1-銷售總表!G7167)</f>
        <v>48600</v>
      </c>
      <c r="I7167" s="35">
        <f>H7167-F7167*VLOOKUP(銷售總表!B7167,產品!$A$2:$H$61,8,FALSE)</f>
        <v>24600</v>
      </c>
      <c r="J7167" s="20">
        <f t="shared" si="111"/>
        <v>0.50617283950617287</v>
      </c>
    </row>
    <row r="7168" spans="1:10" x14ac:dyDescent="0.3">
      <c r="A7168" s="33">
        <v>7167</v>
      </c>
      <c r="B7168" s="4">
        <v>52</v>
      </c>
      <c r="C7168" s="15">
        <v>116</v>
      </c>
      <c r="D7168" s="16">
        <v>2</v>
      </c>
      <c r="E7168" s="22">
        <v>45287</v>
      </c>
      <c r="F7168" s="17">
        <v>5</v>
      </c>
      <c r="G7168" s="18">
        <v>0.19</v>
      </c>
      <c r="H7168">
        <f>F7168*VLOOKUP(B7168,產品!$A$2:$H$61,7,FALSE)*(1-銷售總表!G7168)</f>
        <v>89100</v>
      </c>
      <c r="I7168" s="35">
        <f>H7168-F7168*VLOOKUP(銷售總表!B7168,產品!$A$2:$H$61,8,FALSE)</f>
        <v>12100.000000000015</v>
      </c>
      <c r="J7168" s="20">
        <f t="shared" si="111"/>
        <v>0.13580246913580263</v>
      </c>
    </row>
    <row r="7169" spans="1:10" x14ac:dyDescent="0.3">
      <c r="A7169" s="33">
        <v>7168</v>
      </c>
      <c r="B7169" s="4">
        <v>15</v>
      </c>
      <c r="C7169" s="15">
        <v>284</v>
      </c>
      <c r="D7169" s="16">
        <v>3</v>
      </c>
      <c r="E7169" s="23">
        <v>45287</v>
      </c>
      <c r="F7169">
        <v>70</v>
      </c>
      <c r="G7169" s="20">
        <v>0.12</v>
      </c>
      <c r="H7169">
        <f>F7169*VLOOKUP(B7169,產品!$A$2:$H$61,7,FALSE)*(1-銷售總表!G7169)</f>
        <v>110880</v>
      </c>
      <c r="I7169" s="35">
        <f>H7169-F7169*VLOOKUP(銷售總表!B7169,產品!$A$2:$H$61,8,FALSE)</f>
        <v>60480</v>
      </c>
      <c r="J7169" s="20">
        <f t="shared" si="111"/>
        <v>0.54545454545454541</v>
      </c>
    </row>
    <row r="7170" spans="1:10" x14ac:dyDescent="0.3">
      <c r="A7170" s="33">
        <v>7169</v>
      </c>
      <c r="B7170" s="4">
        <v>45</v>
      </c>
      <c r="C7170" s="15">
        <v>11</v>
      </c>
      <c r="D7170" s="16">
        <v>9</v>
      </c>
      <c r="E7170" s="22">
        <v>45288</v>
      </c>
      <c r="F7170" s="19">
        <v>3</v>
      </c>
      <c r="G7170" s="18">
        <v>0.06</v>
      </c>
      <c r="H7170">
        <f>F7170*VLOOKUP(B7170,產品!$A$2:$H$61,7,FALSE)*(1-銷售總表!G7170)</f>
        <v>39480</v>
      </c>
      <c r="I7170" s="35">
        <f>H7170-F7170*VLOOKUP(銷售總表!B7170,產品!$A$2:$H$61,8,FALSE)</f>
        <v>12180</v>
      </c>
      <c r="J7170" s="20">
        <f t="shared" si="111"/>
        <v>0.30851063829787234</v>
      </c>
    </row>
    <row r="7171" spans="1:10" x14ac:dyDescent="0.3">
      <c r="A7171" s="33">
        <v>7170</v>
      </c>
      <c r="B7171" s="4">
        <v>15</v>
      </c>
      <c r="C7171" s="15">
        <v>258</v>
      </c>
      <c r="D7171" s="16">
        <v>2</v>
      </c>
      <c r="E7171" s="22">
        <v>45288</v>
      </c>
      <c r="F7171" s="19">
        <v>135</v>
      </c>
      <c r="G7171" s="18">
        <v>0.12</v>
      </c>
      <c r="H7171">
        <f>F7171*VLOOKUP(B7171,產品!$A$2:$H$61,7,FALSE)*(1-銷售總表!G7171)</f>
        <v>213840</v>
      </c>
      <c r="I7171" s="35">
        <f>H7171-F7171*VLOOKUP(銷售總表!B7171,產品!$A$2:$H$61,8,FALSE)</f>
        <v>116640</v>
      </c>
      <c r="J7171" s="20">
        <f t="shared" ref="J7171:J7234" si="112">I7171/H7171</f>
        <v>0.54545454545454541</v>
      </c>
    </row>
    <row r="7172" spans="1:10" x14ac:dyDescent="0.3">
      <c r="A7172" s="33">
        <v>7171</v>
      </c>
      <c r="B7172" s="4">
        <v>35</v>
      </c>
      <c r="C7172" s="15">
        <v>134</v>
      </c>
      <c r="D7172" s="16">
        <v>9</v>
      </c>
      <c r="E7172" s="22">
        <v>45288</v>
      </c>
      <c r="F7172" s="19">
        <v>5</v>
      </c>
      <c r="G7172" s="18">
        <v>0.15</v>
      </c>
      <c r="H7172">
        <f>F7172*VLOOKUP(B7172,產品!$A$2:$H$61,7,FALSE)*(1-銷售總表!G7172)</f>
        <v>36125</v>
      </c>
      <c r="I7172" s="35">
        <f>H7172-F7172*VLOOKUP(銷售總表!B7172,產品!$A$2:$H$61,8,FALSE)</f>
        <v>10625</v>
      </c>
      <c r="J7172" s="20">
        <f t="shared" si="112"/>
        <v>0.29411764705882354</v>
      </c>
    </row>
    <row r="7173" spans="1:10" x14ac:dyDescent="0.3">
      <c r="A7173" s="33">
        <v>7172</v>
      </c>
      <c r="B7173" s="4">
        <v>21</v>
      </c>
      <c r="C7173" s="15">
        <v>284</v>
      </c>
      <c r="D7173" s="16">
        <v>4</v>
      </c>
      <c r="E7173" s="22">
        <v>45288</v>
      </c>
      <c r="F7173" s="19">
        <v>45</v>
      </c>
      <c r="G7173" s="18">
        <v>0.18</v>
      </c>
      <c r="H7173">
        <f>F7173*VLOOKUP(B7173,產品!$A$2:$H$61,7,FALSE)*(1-銷售總表!G7173)</f>
        <v>66420</v>
      </c>
      <c r="I7173" s="35">
        <f>H7173-F7173*VLOOKUP(銷售總表!B7173,產品!$A$2:$H$61,8,FALSE)</f>
        <v>34020</v>
      </c>
      <c r="J7173" s="20">
        <f t="shared" si="112"/>
        <v>0.51219512195121952</v>
      </c>
    </row>
    <row r="7174" spans="1:10" x14ac:dyDescent="0.3">
      <c r="A7174" s="33">
        <v>7173</v>
      </c>
      <c r="B7174" s="4">
        <v>32</v>
      </c>
      <c r="C7174" s="15">
        <v>12</v>
      </c>
      <c r="D7174" s="16">
        <v>9</v>
      </c>
      <c r="E7174" s="23">
        <v>45289</v>
      </c>
      <c r="F7174">
        <v>13</v>
      </c>
      <c r="G7174" s="20">
        <v>0.09</v>
      </c>
      <c r="H7174">
        <f>F7174*VLOOKUP(B7174,產品!$A$2:$H$61,7,FALSE)*(1-銷售總表!G7174)</f>
        <v>88725</v>
      </c>
      <c r="I7174" s="35">
        <f>H7174-F7174*VLOOKUP(銷售總表!B7174,產品!$A$2:$H$61,8,FALSE)</f>
        <v>30225</v>
      </c>
      <c r="J7174" s="20">
        <f t="shared" si="112"/>
        <v>0.34065934065934067</v>
      </c>
    </row>
    <row r="7175" spans="1:10" x14ac:dyDescent="0.3">
      <c r="A7175" s="33">
        <v>7174</v>
      </c>
      <c r="B7175" s="4">
        <v>51</v>
      </c>
      <c r="C7175" s="15">
        <v>294</v>
      </c>
      <c r="D7175" s="16">
        <v>9</v>
      </c>
      <c r="E7175" s="22">
        <v>45290</v>
      </c>
      <c r="F7175" s="17">
        <v>3</v>
      </c>
      <c r="G7175" s="18">
        <v>0.15</v>
      </c>
      <c r="H7175">
        <f>F7175*VLOOKUP(B7175,產品!$A$2:$H$61,7,FALSE)*(1-銷售總表!G7175)</f>
        <v>51000</v>
      </c>
      <c r="I7175" s="35">
        <f>H7175-F7175*VLOOKUP(銷售總表!B7175,產品!$A$2:$H$61,8,FALSE)</f>
        <v>9000</v>
      </c>
      <c r="J7175" s="20">
        <f t="shared" si="112"/>
        <v>0.17647058823529413</v>
      </c>
    </row>
    <row r="7176" spans="1:10" x14ac:dyDescent="0.3">
      <c r="A7176" s="33">
        <v>7175</v>
      </c>
      <c r="B7176" s="4">
        <v>40</v>
      </c>
      <c r="C7176" s="15">
        <v>293</v>
      </c>
      <c r="D7176" s="16">
        <v>2</v>
      </c>
      <c r="E7176" s="22">
        <v>45290</v>
      </c>
      <c r="F7176" s="17">
        <v>3</v>
      </c>
      <c r="G7176" s="18">
        <v>0.09</v>
      </c>
      <c r="H7176">
        <f>F7176*VLOOKUP(B7176,產品!$A$2:$H$61,7,FALSE)*(1-銷售總表!G7176)</f>
        <v>54600</v>
      </c>
      <c r="I7176" s="35">
        <f>H7176-F7176*VLOOKUP(銷售總表!B7176,產品!$A$2:$H$61,8,FALSE)</f>
        <v>15600</v>
      </c>
      <c r="J7176" s="20">
        <f t="shared" si="112"/>
        <v>0.2857142857142857</v>
      </c>
    </row>
    <row r="7177" spans="1:10" x14ac:dyDescent="0.3">
      <c r="A7177" s="33">
        <v>7176</v>
      </c>
      <c r="B7177" s="4">
        <v>31</v>
      </c>
      <c r="C7177" s="15">
        <v>261</v>
      </c>
      <c r="D7177" s="16">
        <v>5</v>
      </c>
      <c r="E7177" s="22">
        <v>45291</v>
      </c>
      <c r="F7177" s="17">
        <v>2</v>
      </c>
      <c r="G7177" s="18">
        <v>0.18</v>
      </c>
      <c r="H7177">
        <f>F7177*VLOOKUP(B7177,產品!$A$2:$H$61,7,FALSE)*(1-銷售總表!G7177)</f>
        <v>11480</v>
      </c>
      <c r="I7177" s="35">
        <f>H7177-F7177*VLOOKUP(銷售總表!B7177,產品!$A$2:$H$61,8,FALSE)</f>
        <v>3080</v>
      </c>
      <c r="J7177" s="20">
        <f t="shared" si="112"/>
        <v>0.26829268292682928</v>
      </c>
    </row>
    <row r="7178" spans="1:10" x14ac:dyDescent="0.3">
      <c r="A7178" s="33">
        <v>7177</v>
      </c>
      <c r="B7178" s="4">
        <v>50</v>
      </c>
      <c r="C7178" s="15">
        <v>258</v>
      </c>
      <c r="D7178" s="16">
        <v>1</v>
      </c>
      <c r="E7178" s="22">
        <v>45291</v>
      </c>
      <c r="F7178" s="17">
        <v>6</v>
      </c>
      <c r="G7178" s="18">
        <v>7.0000000000000007E-2</v>
      </c>
      <c r="H7178">
        <f>F7178*VLOOKUP(B7178,產品!$A$2:$H$61,7,FALSE)*(1-銷售總表!G7178)</f>
        <v>100440</v>
      </c>
      <c r="I7178" s="35">
        <f>H7178-F7178*VLOOKUP(銷售總表!B7178,產品!$A$2:$H$61,8,FALSE)</f>
        <v>24840</v>
      </c>
      <c r="J7178" s="20">
        <f t="shared" si="112"/>
        <v>0.24731182795698925</v>
      </c>
    </row>
    <row r="7179" spans="1:10" x14ac:dyDescent="0.3">
      <c r="A7179" s="33">
        <v>7178</v>
      </c>
      <c r="B7179" s="4">
        <v>26</v>
      </c>
      <c r="C7179" s="15">
        <v>287</v>
      </c>
      <c r="D7179" s="16">
        <v>3</v>
      </c>
      <c r="E7179" s="22">
        <v>45292</v>
      </c>
      <c r="F7179" s="17">
        <v>15</v>
      </c>
      <c r="G7179" s="18">
        <v>0.17</v>
      </c>
      <c r="H7179">
        <f>F7179*VLOOKUP(B7179,產品!$A$2:$H$61,7,FALSE)*(1-銷售總表!G7179)</f>
        <v>80925</v>
      </c>
      <c r="I7179" s="35">
        <f>H7179-F7179*VLOOKUP(銷售總表!B7179,產品!$A$2:$H$61,8,FALSE)</f>
        <v>22425</v>
      </c>
      <c r="J7179" s="20">
        <f t="shared" si="112"/>
        <v>0.27710843373493976</v>
      </c>
    </row>
    <row r="7180" spans="1:10" x14ac:dyDescent="0.3">
      <c r="A7180" s="33">
        <v>7179</v>
      </c>
      <c r="B7180" s="4">
        <v>52</v>
      </c>
      <c r="C7180" s="15">
        <v>120</v>
      </c>
      <c r="D7180" s="16">
        <v>6</v>
      </c>
      <c r="E7180" s="22">
        <v>45292</v>
      </c>
      <c r="F7180" s="17">
        <v>8</v>
      </c>
      <c r="G7180" s="18">
        <v>0.06</v>
      </c>
      <c r="H7180">
        <f>F7180*VLOOKUP(B7180,產品!$A$2:$H$61,7,FALSE)*(1-銷售總表!G7180)</f>
        <v>165440</v>
      </c>
      <c r="I7180" s="35">
        <f>H7180-F7180*VLOOKUP(銷售總表!B7180,產品!$A$2:$H$61,8,FALSE)</f>
        <v>42240.000000000015</v>
      </c>
      <c r="J7180" s="20">
        <f t="shared" si="112"/>
        <v>0.2553191489361703</v>
      </c>
    </row>
    <row r="7181" spans="1:10" x14ac:dyDescent="0.3">
      <c r="A7181" s="33">
        <v>7180</v>
      </c>
      <c r="B7181" s="4">
        <v>49</v>
      </c>
      <c r="C7181" s="15">
        <v>112</v>
      </c>
      <c r="D7181" s="16">
        <v>9</v>
      </c>
      <c r="E7181" s="22">
        <v>45292</v>
      </c>
      <c r="F7181" s="19">
        <v>9</v>
      </c>
      <c r="G7181" s="18">
        <v>0.17</v>
      </c>
      <c r="H7181">
        <f>F7181*VLOOKUP(B7181,產品!$A$2:$H$61,7,FALSE)*(1-銷售總表!G7181)</f>
        <v>112050</v>
      </c>
      <c r="I7181" s="35">
        <f>H7181-F7181*VLOOKUP(銷售總表!B7181,產品!$A$2:$H$61,8,FALSE)</f>
        <v>17550</v>
      </c>
      <c r="J7181" s="20">
        <f t="shared" si="112"/>
        <v>0.15662650602409639</v>
      </c>
    </row>
    <row r="7182" spans="1:10" x14ac:dyDescent="0.3">
      <c r="A7182" s="33">
        <v>7181</v>
      </c>
      <c r="B7182" s="4">
        <v>11</v>
      </c>
      <c r="C7182" s="15">
        <v>4</v>
      </c>
      <c r="D7182" s="16">
        <v>1</v>
      </c>
      <c r="E7182" s="23">
        <v>45292</v>
      </c>
      <c r="F7182">
        <v>100</v>
      </c>
      <c r="G7182" s="20">
        <v>0.05</v>
      </c>
      <c r="H7182">
        <f>F7182*VLOOKUP(B7182,產品!$A$2:$H$61,7,FALSE)*(1-銷售總表!G7182)</f>
        <v>95000</v>
      </c>
      <c r="I7182" s="35">
        <f>H7182-F7182*VLOOKUP(銷售總表!B7182,產品!$A$2:$H$61,8,FALSE)</f>
        <v>55000</v>
      </c>
      <c r="J7182" s="20">
        <f t="shared" si="112"/>
        <v>0.57894736842105265</v>
      </c>
    </row>
    <row r="7183" spans="1:10" x14ac:dyDescent="0.3">
      <c r="A7183" s="33">
        <v>7182</v>
      </c>
      <c r="B7183" s="4">
        <v>54</v>
      </c>
      <c r="C7183" s="15">
        <v>289</v>
      </c>
      <c r="D7183" s="16">
        <v>1</v>
      </c>
      <c r="E7183" s="22">
        <v>45293</v>
      </c>
      <c r="F7183" s="17">
        <v>2</v>
      </c>
      <c r="G7183" s="18">
        <v>0.2</v>
      </c>
      <c r="H7183">
        <f>F7183*VLOOKUP(B7183,產品!$A$2:$H$61,7,FALSE)*(1-銷售總表!G7183)</f>
        <v>28800</v>
      </c>
      <c r="I7183" s="35">
        <f>H7183-F7183*VLOOKUP(銷售總表!B7183,產品!$A$2:$H$61,8,FALSE)</f>
        <v>3600</v>
      </c>
      <c r="J7183" s="20">
        <f t="shared" si="112"/>
        <v>0.125</v>
      </c>
    </row>
    <row r="7184" spans="1:10" x14ac:dyDescent="0.3">
      <c r="A7184" s="33">
        <v>7183</v>
      </c>
      <c r="B7184" s="4">
        <v>10</v>
      </c>
      <c r="C7184" s="15">
        <v>289</v>
      </c>
      <c r="D7184" s="16">
        <v>1</v>
      </c>
      <c r="E7184" s="23">
        <v>45293</v>
      </c>
      <c r="F7184">
        <v>50</v>
      </c>
      <c r="G7184" s="20">
        <v>0.14000000000000001</v>
      </c>
      <c r="H7184">
        <f>F7184*VLOOKUP(B7184,產品!$A$2:$H$61,7,FALSE)*(1-銷售總表!G7184)</f>
        <v>43000</v>
      </c>
      <c r="I7184" s="35">
        <f>H7184-F7184*VLOOKUP(銷售總表!B7184,產品!$A$2:$H$61,8,FALSE)</f>
        <v>23000</v>
      </c>
      <c r="J7184" s="20">
        <f t="shared" si="112"/>
        <v>0.53488372093023251</v>
      </c>
    </row>
    <row r="7185" spans="1:10" x14ac:dyDescent="0.3">
      <c r="A7185" s="33">
        <v>7184</v>
      </c>
      <c r="B7185" s="4">
        <v>15</v>
      </c>
      <c r="C7185" s="15">
        <v>5</v>
      </c>
      <c r="D7185" s="16">
        <v>6</v>
      </c>
      <c r="E7185" s="22">
        <v>45294</v>
      </c>
      <c r="F7185" s="17">
        <v>40</v>
      </c>
      <c r="G7185" s="18">
        <v>0.1</v>
      </c>
      <c r="H7185">
        <f>F7185*VLOOKUP(B7185,產品!$A$2:$H$61,7,FALSE)*(1-銷售總表!G7185)</f>
        <v>64800</v>
      </c>
      <c r="I7185" s="35">
        <f>H7185-F7185*VLOOKUP(銷售總表!B7185,產品!$A$2:$H$61,8,FALSE)</f>
        <v>36000</v>
      </c>
      <c r="J7185" s="20">
        <f t="shared" si="112"/>
        <v>0.55555555555555558</v>
      </c>
    </row>
    <row r="7186" spans="1:10" x14ac:dyDescent="0.3">
      <c r="A7186" s="33">
        <v>7185</v>
      </c>
      <c r="B7186" s="4">
        <v>55</v>
      </c>
      <c r="C7186" s="15">
        <v>286</v>
      </c>
      <c r="D7186" s="16">
        <v>2</v>
      </c>
      <c r="E7186" s="23">
        <v>45294</v>
      </c>
      <c r="F7186">
        <v>12</v>
      </c>
      <c r="G7186" s="20">
        <v>0.12</v>
      </c>
      <c r="H7186">
        <f>F7186*VLOOKUP(B7186,產品!$A$2:$H$61,7,FALSE)*(1-銷售總表!G7186)</f>
        <v>211200</v>
      </c>
      <c r="I7186" s="35">
        <f>H7186-F7186*VLOOKUP(銷售總表!B7186,產品!$A$2:$H$61,8,FALSE)</f>
        <v>43200</v>
      </c>
      <c r="J7186" s="20">
        <f t="shared" si="112"/>
        <v>0.20454545454545456</v>
      </c>
    </row>
    <row r="7187" spans="1:10" x14ac:dyDescent="0.3">
      <c r="A7187" s="33">
        <v>7186</v>
      </c>
      <c r="B7187" s="4">
        <v>35</v>
      </c>
      <c r="C7187" s="15">
        <v>2</v>
      </c>
      <c r="D7187" s="16">
        <v>10</v>
      </c>
      <c r="E7187" s="22">
        <v>45295</v>
      </c>
      <c r="F7187" s="17">
        <v>3</v>
      </c>
      <c r="G7187" s="18">
        <v>0.15</v>
      </c>
      <c r="H7187">
        <f>F7187*VLOOKUP(B7187,產品!$A$2:$H$61,7,FALSE)*(1-銷售總表!G7187)</f>
        <v>21675</v>
      </c>
      <c r="I7187" s="35">
        <f>H7187-F7187*VLOOKUP(銷售總表!B7187,產品!$A$2:$H$61,8,FALSE)</f>
        <v>6375</v>
      </c>
      <c r="J7187" s="20">
        <f t="shared" si="112"/>
        <v>0.29411764705882354</v>
      </c>
    </row>
    <row r="7188" spans="1:10" x14ac:dyDescent="0.3">
      <c r="A7188" s="33">
        <v>7187</v>
      </c>
      <c r="B7188" s="4">
        <v>9</v>
      </c>
      <c r="C7188" s="15">
        <v>117</v>
      </c>
      <c r="D7188" s="16">
        <v>7</v>
      </c>
      <c r="E7188" s="23">
        <v>45295</v>
      </c>
      <c r="F7188">
        <v>250</v>
      </c>
      <c r="G7188" s="20">
        <v>0.1</v>
      </c>
      <c r="H7188">
        <f>F7188*VLOOKUP(B7188,產品!$A$2:$H$61,7,FALSE)*(1-銷售總表!G7188)</f>
        <v>225000</v>
      </c>
      <c r="I7188" s="35">
        <f>H7188-F7188*VLOOKUP(銷售總表!B7188,產品!$A$2:$H$61,8,FALSE)</f>
        <v>125000</v>
      </c>
      <c r="J7188" s="20">
        <f t="shared" si="112"/>
        <v>0.55555555555555558</v>
      </c>
    </row>
    <row r="7189" spans="1:10" x14ac:dyDescent="0.3">
      <c r="A7189" s="33">
        <v>7188</v>
      </c>
      <c r="B7189" s="4">
        <v>39</v>
      </c>
      <c r="C7189" s="15">
        <v>7</v>
      </c>
      <c r="D7189" s="16">
        <v>8</v>
      </c>
      <c r="E7189" s="22">
        <v>45296</v>
      </c>
      <c r="F7189" s="17">
        <v>15</v>
      </c>
      <c r="G7189" s="18">
        <v>0.12</v>
      </c>
      <c r="H7189">
        <f>F7189*VLOOKUP(B7189,產品!$A$2:$H$61,7,FALSE)*(1-銷售總表!G7189)</f>
        <v>237600</v>
      </c>
      <c r="I7189" s="35">
        <f>H7189-F7189*VLOOKUP(銷售總表!B7189,產品!$A$2:$H$61,8,FALSE)</f>
        <v>62100</v>
      </c>
      <c r="J7189" s="20">
        <f t="shared" si="112"/>
        <v>0.26136363636363635</v>
      </c>
    </row>
    <row r="7190" spans="1:10" x14ac:dyDescent="0.3">
      <c r="A7190" s="33">
        <v>7189</v>
      </c>
      <c r="B7190" s="4">
        <v>28</v>
      </c>
      <c r="C7190" s="15">
        <v>9</v>
      </c>
      <c r="D7190" s="16">
        <v>7</v>
      </c>
      <c r="E7190" s="22">
        <v>45296</v>
      </c>
      <c r="F7190" s="19">
        <v>4</v>
      </c>
      <c r="G7190" s="18">
        <v>7.0000000000000007E-2</v>
      </c>
      <c r="H7190">
        <f>F7190*VLOOKUP(B7190,產品!$A$2:$H$61,7,FALSE)*(1-銷售總表!G7190)</f>
        <v>27899.999999999996</v>
      </c>
      <c r="I7190" s="35">
        <f>H7190-F7190*VLOOKUP(銷售總表!B7190,產品!$A$2:$H$61,8,FALSE)</f>
        <v>9899.9999999999964</v>
      </c>
      <c r="J7190" s="20">
        <f t="shared" si="112"/>
        <v>0.35483870967741926</v>
      </c>
    </row>
    <row r="7191" spans="1:10" x14ac:dyDescent="0.3">
      <c r="A7191" s="33">
        <v>7190</v>
      </c>
      <c r="B7191" s="4">
        <v>19</v>
      </c>
      <c r="C7191" s="15">
        <v>6</v>
      </c>
      <c r="D7191" s="16">
        <v>1</v>
      </c>
      <c r="E7191" s="22">
        <v>45297</v>
      </c>
      <c r="F7191" s="17">
        <v>30</v>
      </c>
      <c r="G7191" s="18">
        <v>0.16</v>
      </c>
      <c r="H7191">
        <f>F7191*VLOOKUP(B7191,產品!$A$2:$H$61,7,FALSE)*(1-銷售總表!G7191)</f>
        <v>45360</v>
      </c>
      <c r="I7191" s="35">
        <f>H7191-F7191*VLOOKUP(銷售總表!B7191,產品!$A$2:$H$61,8,FALSE)</f>
        <v>23760</v>
      </c>
      <c r="J7191" s="20">
        <f t="shared" si="112"/>
        <v>0.52380952380952384</v>
      </c>
    </row>
    <row r="7192" spans="1:10" x14ac:dyDescent="0.3">
      <c r="A7192" s="33">
        <v>7191</v>
      </c>
      <c r="B7192" s="4">
        <v>22</v>
      </c>
      <c r="C7192" s="15">
        <v>290</v>
      </c>
      <c r="D7192" s="16">
        <v>9</v>
      </c>
      <c r="E7192" s="22">
        <v>45297</v>
      </c>
      <c r="F7192" s="17">
        <v>20</v>
      </c>
      <c r="G7192" s="18">
        <v>0.15</v>
      </c>
      <c r="H7192">
        <f>F7192*VLOOKUP(B7192,產品!$A$2:$H$61,7,FALSE)*(1-銷售總表!G7192)</f>
        <v>30600</v>
      </c>
      <c r="I7192" s="35">
        <f>H7192-F7192*VLOOKUP(銷售總表!B7192,產品!$A$2:$H$61,8,FALSE)</f>
        <v>16200</v>
      </c>
      <c r="J7192" s="20">
        <f t="shared" si="112"/>
        <v>0.52941176470588236</v>
      </c>
    </row>
    <row r="7193" spans="1:10" x14ac:dyDescent="0.3">
      <c r="A7193" s="33">
        <v>7192</v>
      </c>
      <c r="B7193" s="4">
        <v>52</v>
      </c>
      <c r="C7193" s="15">
        <v>264</v>
      </c>
      <c r="D7193" s="16">
        <v>7</v>
      </c>
      <c r="E7193" s="22">
        <v>45297</v>
      </c>
      <c r="F7193" s="17">
        <v>3</v>
      </c>
      <c r="G7193" s="18">
        <v>0.15</v>
      </c>
      <c r="H7193">
        <f>F7193*VLOOKUP(B7193,產品!$A$2:$H$61,7,FALSE)*(1-銷售總表!G7193)</f>
        <v>56100</v>
      </c>
      <c r="I7193" s="35">
        <f>H7193-F7193*VLOOKUP(銷售總表!B7193,產品!$A$2:$H$61,8,FALSE)</f>
        <v>9900.0000000000073</v>
      </c>
      <c r="J7193" s="20">
        <f t="shared" si="112"/>
        <v>0.17647058823529424</v>
      </c>
    </row>
    <row r="7194" spans="1:10" x14ac:dyDescent="0.3">
      <c r="A7194" s="33">
        <v>7193</v>
      </c>
      <c r="B7194" s="4">
        <v>3</v>
      </c>
      <c r="C7194" s="15">
        <v>113</v>
      </c>
      <c r="D7194" s="16">
        <v>5</v>
      </c>
      <c r="E7194" s="22">
        <v>45297</v>
      </c>
      <c r="F7194" s="19">
        <v>90</v>
      </c>
      <c r="G7194" s="18">
        <v>0.18</v>
      </c>
      <c r="H7194">
        <f>F7194*VLOOKUP(B7194,產品!$A$2:$H$61,7,FALSE)*(1-銷售總表!G7194)</f>
        <v>73800</v>
      </c>
      <c r="I7194" s="35">
        <f>H7194-F7194*VLOOKUP(銷售總表!B7194,產品!$A$2:$H$61,8,FALSE)</f>
        <v>37800</v>
      </c>
      <c r="J7194" s="20">
        <f t="shared" si="112"/>
        <v>0.51219512195121952</v>
      </c>
    </row>
    <row r="7195" spans="1:10" x14ac:dyDescent="0.3">
      <c r="A7195" s="33">
        <v>7194</v>
      </c>
      <c r="B7195" s="4">
        <v>36</v>
      </c>
      <c r="C7195" s="15">
        <v>121</v>
      </c>
      <c r="D7195" s="16">
        <v>2</v>
      </c>
      <c r="E7195" s="22">
        <v>45297</v>
      </c>
      <c r="F7195" s="19">
        <v>9</v>
      </c>
      <c r="G7195" s="18">
        <v>0.05</v>
      </c>
      <c r="H7195">
        <f>F7195*VLOOKUP(B7195,產品!$A$2:$H$61,7,FALSE)*(1-銷售總表!G7195)</f>
        <v>76950</v>
      </c>
      <c r="I7195" s="35">
        <f>H7195-F7195*VLOOKUP(銷售總表!B7195,產品!$A$2:$H$61,8,FALSE)</f>
        <v>28350</v>
      </c>
      <c r="J7195" s="20">
        <f t="shared" si="112"/>
        <v>0.36842105263157893</v>
      </c>
    </row>
    <row r="7196" spans="1:10" x14ac:dyDescent="0.3">
      <c r="A7196" s="33">
        <v>7195</v>
      </c>
      <c r="B7196" s="4">
        <v>58</v>
      </c>
      <c r="C7196" s="15">
        <v>267</v>
      </c>
      <c r="D7196" s="16">
        <v>6</v>
      </c>
      <c r="E7196" s="23">
        <v>45297</v>
      </c>
      <c r="F7196">
        <v>6</v>
      </c>
      <c r="G7196" s="20">
        <v>0.05</v>
      </c>
      <c r="H7196">
        <f>F7196*VLOOKUP(B7196,產品!$A$2:$H$61,7,FALSE)*(1-銷售總表!G7196)</f>
        <v>119700</v>
      </c>
      <c r="I7196" s="35">
        <f>H7196-F7196*VLOOKUP(銷售總表!B7196,產品!$A$2:$H$61,8,FALSE)</f>
        <v>31500.000000000015</v>
      </c>
      <c r="J7196" s="20">
        <f t="shared" si="112"/>
        <v>0.2631578947368422</v>
      </c>
    </row>
    <row r="7197" spans="1:10" x14ac:dyDescent="0.3">
      <c r="A7197" s="33">
        <v>7196</v>
      </c>
      <c r="B7197" s="4">
        <v>6</v>
      </c>
      <c r="C7197" s="15">
        <v>264</v>
      </c>
      <c r="D7197" s="16">
        <v>8</v>
      </c>
      <c r="E7197" s="22">
        <v>45298</v>
      </c>
      <c r="F7197" s="17">
        <v>200</v>
      </c>
      <c r="G7197" s="18">
        <v>0.2</v>
      </c>
      <c r="H7197">
        <f>F7197*VLOOKUP(B7197,產品!$A$2:$H$61,7,FALSE)*(1-銷售總表!G7197)</f>
        <v>160000</v>
      </c>
      <c r="I7197" s="35">
        <f>H7197-F7197*VLOOKUP(銷售總表!B7197,產品!$A$2:$H$61,8,FALSE)</f>
        <v>80000</v>
      </c>
      <c r="J7197" s="20">
        <f t="shared" si="112"/>
        <v>0.5</v>
      </c>
    </row>
    <row r="7198" spans="1:10" x14ac:dyDescent="0.3">
      <c r="A7198" s="33">
        <v>7197</v>
      </c>
      <c r="B7198" s="4">
        <v>25</v>
      </c>
      <c r="C7198" s="15">
        <v>121</v>
      </c>
      <c r="D7198" s="16">
        <v>10</v>
      </c>
      <c r="E7198" s="23">
        <v>45298</v>
      </c>
      <c r="F7198">
        <v>8</v>
      </c>
      <c r="G7198" s="20">
        <v>0.09</v>
      </c>
      <c r="H7198">
        <f>F7198*VLOOKUP(B7198,產品!$A$2:$H$61,7,FALSE)*(1-銷售總表!G7198)</f>
        <v>43680</v>
      </c>
      <c r="I7198" s="35">
        <f>H7198-F7198*VLOOKUP(銷售總表!B7198,產品!$A$2:$H$61,8,FALSE)</f>
        <v>14880</v>
      </c>
      <c r="J7198" s="20">
        <f t="shared" si="112"/>
        <v>0.34065934065934067</v>
      </c>
    </row>
    <row r="7199" spans="1:10" x14ac:dyDescent="0.3">
      <c r="A7199" s="33">
        <v>7198</v>
      </c>
      <c r="B7199" s="4">
        <v>4</v>
      </c>
      <c r="C7199" s="15">
        <v>9</v>
      </c>
      <c r="D7199" s="16">
        <v>9</v>
      </c>
      <c r="E7199" s="22">
        <v>45299</v>
      </c>
      <c r="F7199" s="17">
        <v>45</v>
      </c>
      <c r="G7199" s="18">
        <v>0.08</v>
      </c>
      <c r="H7199">
        <f>F7199*VLOOKUP(B7199,產品!$A$2:$H$61,7,FALSE)*(1-銷售總表!G7199)</f>
        <v>41400</v>
      </c>
      <c r="I7199" s="35">
        <f>H7199-F7199*VLOOKUP(銷售總表!B7199,產品!$A$2:$H$61,8,FALSE)</f>
        <v>23400</v>
      </c>
      <c r="J7199" s="20">
        <f t="shared" si="112"/>
        <v>0.56521739130434778</v>
      </c>
    </row>
    <row r="7200" spans="1:10" x14ac:dyDescent="0.3">
      <c r="A7200" s="33">
        <v>7199</v>
      </c>
      <c r="B7200" s="4">
        <v>36</v>
      </c>
      <c r="C7200" s="15">
        <v>6</v>
      </c>
      <c r="D7200" s="16">
        <v>10</v>
      </c>
      <c r="E7200" s="22">
        <v>45299</v>
      </c>
      <c r="F7200" s="17">
        <v>4</v>
      </c>
      <c r="G7200" s="18">
        <v>0.1</v>
      </c>
      <c r="H7200">
        <f>F7200*VLOOKUP(B7200,產品!$A$2:$H$61,7,FALSE)*(1-銷售總表!G7200)</f>
        <v>32400</v>
      </c>
      <c r="I7200" s="35">
        <f>H7200-F7200*VLOOKUP(銷售總表!B7200,產品!$A$2:$H$61,8,FALSE)</f>
        <v>10800</v>
      </c>
      <c r="J7200" s="20">
        <f t="shared" si="112"/>
        <v>0.33333333333333331</v>
      </c>
    </row>
    <row r="7201" spans="1:10" x14ac:dyDescent="0.3">
      <c r="A7201" s="33">
        <v>7200</v>
      </c>
      <c r="B7201" s="4">
        <v>2</v>
      </c>
      <c r="C7201" s="15">
        <v>115</v>
      </c>
      <c r="D7201" s="16">
        <v>8</v>
      </c>
      <c r="E7201" s="22">
        <v>45299</v>
      </c>
      <c r="F7201" s="19">
        <v>10</v>
      </c>
      <c r="G7201" s="18">
        <v>0.08</v>
      </c>
      <c r="H7201">
        <f>F7201*VLOOKUP(B7201,產品!$A$2:$H$61,7,FALSE)*(1-銷售總表!G7201)</f>
        <v>9200</v>
      </c>
      <c r="I7201" s="35">
        <f>H7201-F7201*VLOOKUP(銷售總表!B7201,產品!$A$2:$H$61,8,FALSE)</f>
        <v>5200</v>
      </c>
      <c r="J7201" s="20">
        <f t="shared" si="112"/>
        <v>0.56521739130434778</v>
      </c>
    </row>
    <row r="7202" spans="1:10" x14ac:dyDescent="0.3">
      <c r="A7202" s="33">
        <v>7201</v>
      </c>
      <c r="B7202" s="4">
        <v>37</v>
      </c>
      <c r="C7202" s="15">
        <v>291</v>
      </c>
      <c r="D7202" s="16">
        <v>10</v>
      </c>
      <c r="E7202" s="22">
        <v>45299</v>
      </c>
      <c r="F7202" s="19">
        <v>1</v>
      </c>
      <c r="G7202" s="18">
        <v>7.0000000000000007E-2</v>
      </c>
      <c r="H7202">
        <f>F7202*VLOOKUP(B7202,產品!$A$2:$H$61,7,FALSE)*(1-銷售總表!G7202)</f>
        <v>11160</v>
      </c>
      <c r="I7202" s="35">
        <f>H7202-F7202*VLOOKUP(銷售總表!B7202,產品!$A$2:$H$61,8,FALSE)</f>
        <v>3360</v>
      </c>
      <c r="J7202" s="20">
        <f t="shared" si="112"/>
        <v>0.30107526881720431</v>
      </c>
    </row>
    <row r="7203" spans="1:10" x14ac:dyDescent="0.3">
      <c r="A7203" s="33">
        <v>7202</v>
      </c>
      <c r="B7203" s="4">
        <v>38</v>
      </c>
      <c r="C7203" s="15">
        <v>6</v>
      </c>
      <c r="D7203" s="16">
        <v>9</v>
      </c>
      <c r="E7203" s="22">
        <v>45299</v>
      </c>
      <c r="F7203" s="19">
        <v>3</v>
      </c>
      <c r="G7203" s="18">
        <v>0.15</v>
      </c>
      <c r="H7203">
        <f>F7203*VLOOKUP(B7203,產品!$A$2:$H$61,7,FALSE)*(1-銷售總表!G7203)</f>
        <v>38250</v>
      </c>
      <c r="I7203" s="35">
        <f>H7203-F7203*VLOOKUP(銷售總表!B7203,產品!$A$2:$H$61,8,FALSE)</f>
        <v>9000</v>
      </c>
      <c r="J7203" s="20">
        <f t="shared" si="112"/>
        <v>0.23529411764705882</v>
      </c>
    </row>
    <row r="7204" spans="1:10" x14ac:dyDescent="0.3">
      <c r="A7204" s="33">
        <v>7203</v>
      </c>
      <c r="B7204" s="4">
        <v>46</v>
      </c>
      <c r="C7204" s="15">
        <v>136</v>
      </c>
      <c r="D7204" s="16">
        <v>10</v>
      </c>
      <c r="E7204" s="22">
        <v>45299</v>
      </c>
      <c r="F7204" s="19">
        <v>6</v>
      </c>
      <c r="G7204" s="18">
        <v>0.05</v>
      </c>
      <c r="H7204">
        <f>F7204*VLOOKUP(B7204,產品!$A$2:$H$61,7,FALSE)*(1-銷售總表!G7204)</f>
        <v>96900</v>
      </c>
      <c r="I7204" s="35">
        <f>H7204-F7204*VLOOKUP(銷售總表!B7204,產品!$A$2:$H$61,8,FALSE)</f>
        <v>30600</v>
      </c>
      <c r="J7204" s="20">
        <f t="shared" si="112"/>
        <v>0.31578947368421051</v>
      </c>
    </row>
    <row r="7205" spans="1:10" x14ac:dyDescent="0.3">
      <c r="A7205" s="33">
        <v>7204</v>
      </c>
      <c r="B7205" s="4">
        <v>38</v>
      </c>
      <c r="C7205" s="15">
        <v>1</v>
      </c>
      <c r="D7205" s="16">
        <v>7</v>
      </c>
      <c r="E7205" s="23">
        <v>45299</v>
      </c>
      <c r="F7205">
        <v>5</v>
      </c>
      <c r="G7205" s="20">
        <v>0.1</v>
      </c>
      <c r="H7205">
        <f>F7205*VLOOKUP(B7205,產品!$A$2:$H$61,7,FALSE)*(1-銷售總表!G7205)</f>
        <v>67500</v>
      </c>
      <c r="I7205" s="35">
        <f>H7205-F7205*VLOOKUP(銷售總表!B7205,產品!$A$2:$H$61,8,FALSE)</f>
        <v>18750</v>
      </c>
      <c r="J7205" s="20">
        <f t="shared" si="112"/>
        <v>0.27777777777777779</v>
      </c>
    </row>
    <row r="7206" spans="1:10" x14ac:dyDescent="0.3">
      <c r="A7206" s="33">
        <v>7205</v>
      </c>
      <c r="B7206" s="4">
        <v>11</v>
      </c>
      <c r="C7206" s="15">
        <v>122</v>
      </c>
      <c r="D7206" s="16">
        <v>6</v>
      </c>
      <c r="E7206" s="22">
        <v>45300</v>
      </c>
      <c r="F7206" s="19">
        <v>300</v>
      </c>
      <c r="G7206" s="18">
        <v>0.2</v>
      </c>
      <c r="H7206">
        <f>F7206*VLOOKUP(B7206,產品!$A$2:$H$61,7,FALSE)*(1-銷售總表!G7206)</f>
        <v>240000</v>
      </c>
      <c r="I7206" s="35">
        <f>H7206-F7206*VLOOKUP(銷售總表!B7206,產品!$A$2:$H$61,8,FALSE)</f>
        <v>120000</v>
      </c>
      <c r="J7206" s="20">
        <f t="shared" si="112"/>
        <v>0.5</v>
      </c>
    </row>
    <row r="7207" spans="1:10" x14ac:dyDescent="0.3">
      <c r="A7207" s="33">
        <v>7206</v>
      </c>
      <c r="B7207" s="4">
        <v>21</v>
      </c>
      <c r="C7207" s="15">
        <v>262</v>
      </c>
      <c r="D7207" s="16">
        <v>8</v>
      </c>
      <c r="E7207" s="23">
        <v>45300</v>
      </c>
      <c r="F7207">
        <v>11</v>
      </c>
      <c r="G7207" s="20">
        <v>0.06</v>
      </c>
      <c r="H7207">
        <f>F7207*VLOOKUP(B7207,產品!$A$2:$H$61,7,FALSE)*(1-銷售總表!G7207)</f>
        <v>18612</v>
      </c>
      <c r="I7207" s="35">
        <f>H7207-F7207*VLOOKUP(銷售總表!B7207,產品!$A$2:$H$61,8,FALSE)</f>
        <v>10692</v>
      </c>
      <c r="J7207" s="20">
        <f t="shared" si="112"/>
        <v>0.57446808510638303</v>
      </c>
    </row>
    <row r="7208" spans="1:10" x14ac:dyDescent="0.3">
      <c r="A7208" s="33">
        <v>7207</v>
      </c>
      <c r="B7208" s="4">
        <v>45</v>
      </c>
      <c r="C7208" s="15">
        <v>288</v>
      </c>
      <c r="D7208" s="16">
        <v>10</v>
      </c>
      <c r="E7208" s="22">
        <v>45301</v>
      </c>
      <c r="F7208" s="17">
        <v>3</v>
      </c>
      <c r="G7208" s="18">
        <v>0.1</v>
      </c>
      <c r="H7208">
        <f>F7208*VLOOKUP(B7208,產品!$A$2:$H$61,7,FALSE)*(1-銷售總表!G7208)</f>
        <v>37800</v>
      </c>
      <c r="I7208" s="35">
        <f>H7208-F7208*VLOOKUP(銷售總表!B7208,產品!$A$2:$H$61,8,FALSE)</f>
        <v>10500</v>
      </c>
      <c r="J7208" s="20">
        <f t="shared" si="112"/>
        <v>0.27777777777777779</v>
      </c>
    </row>
    <row r="7209" spans="1:10" x14ac:dyDescent="0.3">
      <c r="A7209" s="33">
        <v>7208</v>
      </c>
      <c r="B7209" s="4">
        <v>4</v>
      </c>
      <c r="C7209" s="15">
        <v>10</v>
      </c>
      <c r="D7209" s="16">
        <v>4</v>
      </c>
      <c r="E7209" s="23">
        <v>45301</v>
      </c>
      <c r="F7209">
        <v>175</v>
      </c>
      <c r="G7209" s="20">
        <v>0.11</v>
      </c>
      <c r="H7209">
        <f>F7209*VLOOKUP(B7209,產品!$A$2:$H$61,7,FALSE)*(1-銷售總表!G7209)</f>
        <v>155750</v>
      </c>
      <c r="I7209" s="35">
        <f>H7209-F7209*VLOOKUP(銷售總表!B7209,產品!$A$2:$H$61,8,FALSE)</f>
        <v>85750</v>
      </c>
      <c r="J7209" s="20">
        <f t="shared" si="112"/>
        <v>0.550561797752809</v>
      </c>
    </row>
    <row r="7210" spans="1:10" x14ac:dyDescent="0.3">
      <c r="A7210" s="33">
        <v>7209</v>
      </c>
      <c r="B7210" s="4">
        <v>8</v>
      </c>
      <c r="C7210" s="15">
        <v>289</v>
      </c>
      <c r="D7210" s="16">
        <v>7</v>
      </c>
      <c r="E7210" s="22">
        <v>45302</v>
      </c>
      <c r="F7210" s="17">
        <v>10</v>
      </c>
      <c r="G7210" s="18">
        <v>0.1</v>
      </c>
      <c r="H7210">
        <f>F7210*VLOOKUP(B7210,產品!$A$2:$H$61,7,FALSE)*(1-銷售總表!G7210)</f>
        <v>9000</v>
      </c>
      <c r="I7210" s="35">
        <f>H7210-F7210*VLOOKUP(銷售總表!B7210,產品!$A$2:$H$61,8,FALSE)</f>
        <v>5000</v>
      </c>
      <c r="J7210" s="20">
        <f t="shared" si="112"/>
        <v>0.55555555555555558</v>
      </c>
    </row>
    <row r="7211" spans="1:10" x14ac:dyDescent="0.3">
      <c r="A7211" s="33">
        <v>7210</v>
      </c>
      <c r="B7211" s="4">
        <v>14</v>
      </c>
      <c r="C7211" s="15">
        <v>286</v>
      </c>
      <c r="D7211" s="16">
        <v>6</v>
      </c>
      <c r="E7211" s="23">
        <v>45302</v>
      </c>
      <c r="F7211">
        <v>90</v>
      </c>
      <c r="G7211" s="20">
        <v>0.06</v>
      </c>
      <c r="H7211">
        <f>F7211*VLOOKUP(B7211,產品!$A$2:$H$61,7,FALSE)*(1-銷售總表!G7211)</f>
        <v>152280</v>
      </c>
      <c r="I7211" s="35">
        <f>H7211-F7211*VLOOKUP(銷售總表!B7211,產品!$A$2:$H$61,8,FALSE)</f>
        <v>87480</v>
      </c>
      <c r="J7211" s="20">
        <f t="shared" si="112"/>
        <v>0.57446808510638303</v>
      </c>
    </row>
    <row r="7212" spans="1:10" x14ac:dyDescent="0.3">
      <c r="A7212" s="33">
        <v>7211</v>
      </c>
      <c r="B7212" s="4">
        <v>40</v>
      </c>
      <c r="C7212" s="15">
        <v>6</v>
      </c>
      <c r="D7212" s="16">
        <v>2</v>
      </c>
      <c r="E7212" s="22">
        <v>45303</v>
      </c>
      <c r="F7212" s="17">
        <v>50</v>
      </c>
      <c r="G7212" s="18">
        <v>0.2</v>
      </c>
      <c r="H7212">
        <f>F7212*VLOOKUP(B7212,產品!$A$2:$H$61,7,FALSE)*(1-銷售總表!G7212)</f>
        <v>800000</v>
      </c>
      <c r="I7212" s="35">
        <f>H7212-F7212*VLOOKUP(銷售總表!B7212,產品!$A$2:$H$61,8,FALSE)</f>
        <v>150000</v>
      </c>
      <c r="J7212" s="20">
        <f t="shared" si="112"/>
        <v>0.1875</v>
      </c>
    </row>
    <row r="7213" spans="1:10" x14ac:dyDescent="0.3">
      <c r="A7213" s="33">
        <v>7212</v>
      </c>
      <c r="B7213" s="4">
        <v>55</v>
      </c>
      <c r="C7213" s="15">
        <v>258</v>
      </c>
      <c r="D7213" s="16">
        <v>6</v>
      </c>
      <c r="E7213" s="23">
        <v>45303</v>
      </c>
      <c r="F7213">
        <v>5</v>
      </c>
      <c r="G7213" s="20">
        <v>0.06</v>
      </c>
      <c r="H7213">
        <f>F7213*VLOOKUP(B7213,產品!$A$2:$H$61,7,FALSE)*(1-銷售總表!G7213)</f>
        <v>94000</v>
      </c>
      <c r="I7213" s="35">
        <f>H7213-F7213*VLOOKUP(銷售總表!B7213,產品!$A$2:$H$61,8,FALSE)</f>
        <v>24000</v>
      </c>
      <c r="J7213" s="20">
        <f t="shared" si="112"/>
        <v>0.25531914893617019</v>
      </c>
    </row>
    <row r="7214" spans="1:10" x14ac:dyDescent="0.3">
      <c r="A7214" s="33">
        <v>7213</v>
      </c>
      <c r="B7214" s="4">
        <v>11</v>
      </c>
      <c r="C7214" s="15">
        <v>263</v>
      </c>
      <c r="D7214" s="16">
        <v>6</v>
      </c>
      <c r="E7214" s="23">
        <v>45303</v>
      </c>
      <c r="F7214">
        <v>60</v>
      </c>
      <c r="G7214" s="20">
        <v>0.14000000000000001</v>
      </c>
      <c r="H7214">
        <f>F7214*VLOOKUP(B7214,產品!$A$2:$H$61,7,FALSE)*(1-銷售總表!G7214)</f>
        <v>51600</v>
      </c>
      <c r="I7214" s="35">
        <f>H7214-F7214*VLOOKUP(銷售總表!B7214,產品!$A$2:$H$61,8,FALSE)</f>
        <v>27600</v>
      </c>
      <c r="J7214" s="20">
        <f t="shared" si="112"/>
        <v>0.53488372093023251</v>
      </c>
    </row>
    <row r="7215" spans="1:10" x14ac:dyDescent="0.3">
      <c r="A7215" s="33">
        <v>7214</v>
      </c>
      <c r="B7215" s="4">
        <v>49</v>
      </c>
      <c r="C7215" s="15">
        <v>263</v>
      </c>
      <c r="D7215" s="16">
        <v>2</v>
      </c>
      <c r="E7215" s="23">
        <v>45303</v>
      </c>
      <c r="F7215">
        <v>15</v>
      </c>
      <c r="G7215" s="20">
        <v>0.14000000000000001</v>
      </c>
      <c r="H7215">
        <f>F7215*VLOOKUP(B7215,產品!$A$2:$H$61,7,FALSE)*(1-銷售總表!G7215)</f>
        <v>193500</v>
      </c>
      <c r="I7215" s="35">
        <f>H7215-F7215*VLOOKUP(銷售總表!B7215,產品!$A$2:$H$61,8,FALSE)</f>
        <v>36000</v>
      </c>
      <c r="J7215" s="20">
        <f t="shared" si="112"/>
        <v>0.18604651162790697</v>
      </c>
    </row>
    <row r="7216" spans="1:10" x14ac:dyDescent="0.3">
      <c r="A7216" s="33">
        <v>7215</v>
      </c>
      <c r="B7216" s="4">
        <v>2</v>
      </c>
      <c r="C7216" s="15">
        <v>112</v>
      </c>
      <c r="D7216" s="16">
        <v>9</v>
      </c>
      <c r="E7216" s="22">
        <v>45304</v>
      </c>
      <c r="F7216" s="17">
        <v>90</v>
      </c>
      <c r="G7216" s="18">
        <v>0.12</v>
      </c>
      <c r="H7216">
        <f>F7216*VLOOKUP(B7216,產品!$A$2:$H$61,7,FALSE)*(1-銷售總表!G7216)</f>
        <v>79200</v>
      </c>
      <c r="I7216" s="35">
        <f>H7216-F7216*VLOOKUP(銷售總表!B7216,產品!$A$2:$H$61,8,FALSE)</f>
        <v>43200</v>
      </c>
      <c r="J7216" s="20">
        <f t="shared" si="112"/>
        <v>0.54545454545454541</v>
      </c>
    </row>
    <row r="7217" spans="1:10" x14ac:dyDescent="0.3">
      <c r="A7217" s="33">
        <v>7216</v>
      </c>
      <c r="B7217" s="4">
        <v>47</v>
      </c>
      <c r="C7217" s="15">
        <v>3</v>
      </c>
      <c r="D7217" s="16">
        <v>8</v>
      </c>
      <c r="E7217" s="22">
        <v>45304</v>
      </c>
      <c r="F7217" s="17">
        <v>11</v>
      </c>
      <c r="G7217" s="18">
        <v>0.16</v>
      </c>
      <c r="H7217">
        <f>F7217*VLOOKUP(B7217,產品!$A$2:$H$61,7,FALSE)*(1-銷售總表!G7217)</f>
        <v>184800</v>
      </c>
      <c r="I7217" s="35">
        <f>H7217-F7217*VLOOKUP(銷售總表!B7217,產品!$A$2:$H$61,8,FALSE)</f>
        <v>41800</v>
      </c>
      <c r="J7217" s="20">
        <f t="shared" si="112"/>
        <v>0.22619047619047619</v>
      </c>
    </row>
    <row r="7218" spans="1:10" x14ac:dyDescent="0.3">
      <c r="A7218" s="33">
        <v>7217</v>
      </c>
      <c r="B7218" s="4">
        <v>40</v>
      </c>
      <c r="C7218" s="15">
        <v>274</v>
      </c>
      <c r="D7218" s="16">
        <v>1</v>
      </c>
      <c r="E7218" s="22">
        <v>45304</v>
      </c>
      <c r="F7218" s="17">
        <v>3</v>
      </c>
      <c r="G7218" s="18">
        <v>0.09</v>
      </c>
      <c r="H7218">
        <f>F7218*VLOOKUP(B7218,產品!$A$2:$H$61,7,FALSE)*(1-銷售總表!G7218)</f>
        <v>54600</v>
      </c>
      <c r="I7218" s="35">
        <f>H7218-F7218*VLOOKUP(銷售總表!B7218,產品!$A$2:$H$61,8,FALSE)</f>
        <v>15600</v>
      </c>
      <c r="J7218" s="20">
        <f t="shared" si="112"/>
        <v>0.2857142857142857</v>
      </c>
    </row>
    <row r="7219" spans="1:10" x14ac:dyDescent="0.3">
      <c r="A7219" s="33">
        <v>7218</v>
      </c>
      <c r="B7219" s="4">
        <v>40</v>
      </c>
      <c r="C7219" s="15">
        <v>264</v>
      </c>
      <c r="D7219" s="16">
        <v>4</v>
      </c>
      <c r="E7219" s="22">
        <v>45304</v>
      </c>
      <c r="F7219" s="17">
        <v>10</v>
      </c>
      <c r="G7219" s="18">
        <v>0.09</v>
      </c>
      <c r="H7219">
        <f>F7219*VLOOKUP(B7219,產品!$A$2:$H$61,7,FALSE)*(1-銷售總表!G7219)</f>
        <v>182000</v>
      </c>
      <c r="I7219" s="35">
        <f>H7219-F7219*VLOOKUP(銷售總表!B7219,產品!$A$2:$H$61,8,FALSE)</f>
        <v>52000</v>
      </c>
      <c r="J7219" s="20">
        <f t="shared" si="112"/>
        <v>0.2857142857142857</v>
      </c>
    </row>
    <row r="7220" spans="1:10" x14ac:dyDescent="0.3">
      <c r="A7220" s="33">
        <v>7219</v>
      </c>
      <c r="B7220" s="4">
        <v>8</v>
      </c>
      <c r="C7220" s="15">
        <v>117</v>
      </c>
      <c r="D7220" s="16">
        <v>2</v>
      </c>
      <c r="E7220" s="22">
        <v>45304</v>
      </c>
      <c r="F7220" s="17">
        <v>150</v>
      </c>
      <c r="G7220" s="18">
        <v>0.08</v>
      </c>
      <c r="H7220">
        <f>F7220*VLOOKUP(B7220,產品!$A$2:$H$61,7,FALSE)*(1-銷售總表!G7220)</f>
        <v>138000</v>
      </c>
      <c r="I7220" s="35">
        <f>H7220-F7220*VLOOKUP(銷售總表!B7220,產品!$A$2:$H$61,8,FALSE)</f>
        <v>78000</v>
      </c>
      <c r="J7220" s="20">
        <f t="shared" si="112"/>
        <v>0.56521739130434778</v>
      </c>
    </row>
    <row r="7221" spans="1:10" x14ac:dyDescent="0.3">
      <c r="A7221" s="33">
        <v>7220</v>
      </c>
      <c r="B7221" s="4">
        <v>47</v>
      </c>
      <c r="C7221" s="15">
        <v>1</v>
      </c>
      <c r="D7221" s="16">
        <v>9</v>
      </c>
      <c r="E7221" s="22">
        <v>45304</v>
      </c>
      <c r="F7221" s="17">
        <v>5</v>
      </c>
      <c r="G7221" s="18">
        <v>0.15</v>
      </c>
      <c r="H7221">
        <f>F7221*VLOOKUP(B7221,產品!$A$2:$H$61,7,FALSE)*(1-銷售總表!G7221)</f>
        <v>85000</v>
      </c>
      <c r="I7221" s="35">
        <f>H7221-F7221*VLOOKUP(銷售總表!B7221,產品!$A$2:$H$61,8,FALSE)</f>
        <v>20000</v>
      </c>
      <c r="J7221" s="20">
        <f t="shared" si="112"/>
        <v>0.23529411764705882</v>
      </c>
    </row>
    <row r="7222" spans="1:10" x14ac:dyDescent="0.3">
      <c r="A7222" s="33">
        <v>7221</v>
      </c>
      <c r="B7222" s="4">
        <v>55</v>
      </c>
      <c r="C7222" s="15">
        <v>272</v>
      </c>
      <c r="D7222" s="16">
        <v>2</v>
      </c>
      <c r="E7222" s="22">
        <v>45304</v>
      </c>
      <c r="F7222" s="17">
        <v>5</v>
      </c>
      <c r="G7222" s="18">
        <v>0.17</v>
      </c>
      <c r="H7222">
        <f>F7222*VLOOKUP(B7222,產品!$A$2:$H$61,7,FALSE)*(1-銷售總表!G7222)</f>
        <v>83000</v>
      </c>
      <c r="I7222" s="35">
        <f>H7222-F7222*VLOOKUP(銷售總表!B7222,產品!$A$2:$H$61,8,FALSE)</f>
        <v>13000</v>
      </c>
      <c r="J7222" s="20">
        <f t="shared" si="112"/>
        <v>0.15662650602409639</v>
      </c>
    </row>
    <row r="7223" spans="1:10" x14ac:dyDescent="0.3">
      <c r="A7223" s="33">
        <v>7222</v>
      </c>
      <c r="B7223" s="4">
        <v>17</v>
      </c>
      <c r="C7223" s="15">
        <v>138</v>
      </c>
      <c r="D7223" s="16">
        <v>7</v>
      </c>
      <c r="E7223" s="22">
        <v>45304</v>
      </c>
      <c r="F7223" s="17">
        <v>150</v>
      </c>
      <c r="G7223" s="18">
        <v>0.09</v>
      </c>
      <c r="H7223">
        <f>F7223*VLOOKUP(B7223,產品!$A$2:$H$61,7,FALSE)*(1-銷售總表!G7223)</f>
        <v>245700</v>
      </c>
      <c r="I7223" s="35">
        <f>H7223-F7223*VLOOKUP(銷售總表!B7223,產品!$A$2:$H$61,8,FALSE)</f>
        <v>137700</v>
      </c>
      <c r="J7223" s="20">
        <f t="shared" si="112"/>
        <v>0.56043956043956045</v>
      </c>
    </row>
    <row r="7224" spans="1:10" x14ac:dyDescent="0.3">
      <c r="A7224" s="33">
        <v>7223</v>
      </c>
      <c r="B7224" s="4">
        <v>46</v>
      </c>
      <c r="C7224" s="15">
        <v>123</v>
      </c>
      <c r="D7224" s="16">
        <v>6</v>
      </c>
      <c r="E7224" s="22">
        <v>45304</v>
      </c>
      <c r="F7224" s="17">
        <v>4</v>
      </c>
      <c r="G7224" s="18">
        <v>0.14000000000000001</v>
      </c>
      <c r="H7224">
        <f>F7224*VLOOKUP(B7224,產品!$A$2:$H$61,7,FALSE)*(1-銷售總表!G7224)</f>
        <v>58480</v>
      </c>
      <c r="I7224" s="35">
        <f>H7224-F7224*VLOOKUP(銷售總表!B7224,產品!$A$2:$H$61,8,FALSE)</f>
        <v>14280</v>
      </c>
      <c r="J7224" s="20">
        <f t="shared" si="112"/>
        <v>0.2441860465116279</v>
      </c>
    </row>
    <row r="7225" spans="1:10" x14ac:dyDescent="0.3">
      <c r="A7225" s="33">
        <v>7224</v>
      </c>
      <c r="B7225" s="4">
        <v>41</v>
      </c>
      <c r="C7225" s="15">
        <v>137</v>
      </c>
      <c r="D7225" s="16">
        <v>5</v>
      </c>
      <c r="E7225" s="23">
        <v>45304</v>
      </c>
      <c r="F7225">
        <v>20</v>
      </c>
      <c r="G7225" s="20">
        <v>0.16</v>
      </c>
      <c r="H7225">
        <f>F7225*VLOOKUP(B7225,產品!$A$2:$H$61,7,FALSE)*(1-銷售總表!G7225)</f>
        <v>201600</v>
      </c>
      <c r="I7225" s="35">
        <f>H7225-F7225*VLOOKUP(銷售總表!B7225,產品!$A$2:$H$61,8,FALSE)</f>
        <v>45600</v>
      </c>
      <c r="J7225" s="20">
        <f t="shared" si="112"/>
        <v>0.22619047619047619</v>
      </c>
    </row>
    <row r="7226" spans="1:10" x14ac:dyDescent="0.3">
      <c r="A7226" s="33">
        <v>7225</v>
      </c>
      <c r="B7226" s="4">
        <v>31</v>
      </c>
      <c r="C7226" s="15">
        <v>4</v>
      </c>
      <c r="D7226" s="16">
        <v>6</v>
      </c>
      <c r="E7226" s="22">
        <v>45305</v>
      </c>
      <c r="F7226" s="17">
        <v>20</v>
      </c>
      <c r="G7226" s="18">
        <v>0.17</v>
      </c>
      <c r="H7226">
        <f>F7226*VLOOKUP(B7226,產品!$A$2:$H$61,7,FALSE)*(1-銷售總表!G7226)</f>
        <v>116200</v>
      </c>
      <c r="I7226" s="35">
        <f>H7226-F7226*VLOOKUP(銷售總表!B7226,產品!$A$2:$H$61,8,FALSE)</f>
        <v>32200</v>
      </c>
      <c r="J7226" s="20">
        <f t="shared" si="112"/>
        <v>0.27710843373493976</v>
      </c>
    </row>
    <row r="7227" spans="1:10" x14ac:dyDescent="0.3">
      <c r="A7227" s="33">
        <v>7226</v>
      </c>
      <c r="B7227" s="4">
        <v>20</v>
      </c>
      <c r="C7227" s="15">
        <v>6</v>
      </c>
      <c r="D7227" s="16">
        <v>2</v>
      </c>
      <c r="E7227" s="22">
        <v>45305</v>
      </c>
      <c r="F7227" s="19">
        <v>50</v>
      </c>
      <c r="G7227" s="18">
        <v>0.14000000000000001</v>
      </c>
      <c r="H7227">
        <f>F7227*VLOOKUP(B7227,產品!$A$2:$H$61,7,FALSE)*(1-銷售總表!G7227)</f>
        <v>77400</v>
      </c>
      <c r="I7227" s="35">
        <f>H7227-F7227*VLOOKUP(銷售總表!B7227,產品!$A$2:$H$61,8,FALSE)</f>
        <v>41400</v>
      </c>
      <c r="J7227" s="20">
        <f t="shared" si="112"/>
        <v>0.53488372093023251</v>
      </c>
    </row>
    <row r="7228" spans="1:10" x14ac:dyDescent="0.3">
      <c r="A7228" s="33">
        <v>7227</v>
      </c>
      <c r="B7228" s="4">
        <v>10</v>
      </c>
      <c r="C7228" s="15">
        <v>112</v>
      </c>
      <c r="D7228" s="16">
        <v>3</v>
      </c>
      <c r="E7228" s="22">
        <v>45305</v>
      </c>
      <c r="F7228" s="19">
        <v>70</v>
      </c>
      <c r="G7228" s="18">
        <v>0.17</v>
      </c>
      <c r="H7228">
        <f>F7228*VLOOKUP(B7228,產品!$A$2:$H$61,7,FALSE)*(1-銷售總表!G7228)</f>
        <v>58100</v>
      </c>
      <c r="I7228" s="35">
        <f>H7228-F7228*VLOOKUP(銷售總表!B7228,產品!$A$2:$H$61,8,FALSE)</f>
        <v>30100</v>
      </c>
      <c r="J7228" s="20">
        <f t="shared" si="112"/>
        <v>0.51807228915662651</v>
      </c>
    </row>
    <row r="7229" spans="1:10" x14ac:dyDescent="0.3">
      <c r="A7229" s="33">
        <v>7228</v>
      </c>
      <c r="B7229" s="4">
        <v>26</v>
      </c>
      <c r="C7229" s="15">
        <v>122</v>
      </c>
      <c r="D7229" s="16">
        <v>7</v>
      </c>
      <c r="E7229" s="23">
        <v>45305</v>
      </c>
      <c r="F7229">
        <v>6</v>
      </c>
      <c r="G7229" s="20">
        <v>0.1</v>
      </c>
      <c r="H7229">
        <f>F7229*VLOOKUP(B7229,產品!$A$2:$H$61,7,FALSE)*(1-銷售總表!G7229)</f>
        <v>35100</v>
      </c>
      <c r="I7229" s="35">
        <f>H7229-F7229*VLOOKUP(銷售總表!B7229,產品!$A$2:$H$61,8,FALSE)</f>
        <v>11700</v>
      </c>
      <c r="J7229" s="20">
        <f t="shared" si="112"/>
        <v>0.33333333333333331</v>
      </c>
    </row>
    <row r="7230" spans="1:10" x14ac:dyDescent="0.3">
      <c r="A7230" s="33">
        <v>7229</v>
      </c>
      <c r="B7230" s="4">
        <v>19</v>
      </c>
      <c r="C7230" s="15">
        <v>12</v>
      </c>
      <c r="D7230" s="16">
        <v>1</v>
      </c>
      <c r="E7230" s="22">
        <v>45307</v>
      </c>
      <c r="F7230" s="17">
        <v>125</v>
      </c>
      <c r="G7230" s="18">
        <v>7.0000000000000007E-2</v>
      </c>
      <c r="H7230">
        <f>F7230*VLOOKUP(B7230,產品!$A$2:$H$61,7,FALSE)*(1-銷售總表!G7230)</f>
        <v>209250</v>
      </c>
      <c r="I7230" s="35">
        <f>H7230-F7230*VLOOKUP(銷售總表!B7230,產品!$A$2:$H$61,8,FALSE)</f>
        <v>119250</v>
      </c>
      <c r="J7230" s="20">
        <f t="shared" si="112"/>
        <v>0.56989247311827962</v>
      </c>
    </row>
    <row r="7231" spans="1:10" x14ac:dyDescent="0.3">
      <c r="A7231" s="33">
        <v>7230</v>
      </c>
      <c r="B7231" s="4">
        <v>38</v>
      </c>
      <c r="C7231" s="15">
        <v>259</v>
      </c>
      <c r="D7231" s="16">
        <v>10</v>
      </c>
      <c r="E7231" s="22">
        <v>45307</v>
      </c>
      <c r="F7231" s="17">
        <v>3</v>
      </c>
      <c r="G7231" s="18">
        <v>0.2</v>
      </c>
      <c r="H7231">
        <f>F7231*VLOOKUP(B7231,產品!$A$2:$H$61,7,FALSE)*(1-銷售總表!G7231)</f>
        <v>36000</v>
      </c>
      <c r="I7231" s="35">
        <f>H7231-F7231*VLOOKUP(銷售總表!B7231,產品!$A$2:$H$61,8,FALSE)</f>
        <v>6750</v>
      </c>
      <c r="J7231" s="20">
        <f t="shared" si="112"/>
        <v>0.1875</v>
      </c>
    </row>
    <row r="7232" spans="1:10" x14ac:dyDescent="0.3">
      <c r="A7232" s="33">
        <v>7231</v>
      </c>
      <c r="B7232" s="4">
        <v>45</v>
      </c>
      <c r="C7232" s="15">
        <v>122</v>
      </c>
      <c r="D7232" s="16">
        <v>8</v>
      </c>
      <c r="E7232" s="22">
        <v>45307</v>
      </c>
      <c r="F7232" s="17">
        <v>13</v>
      </c>
      <c r="G7232" s="18">
        <v>0.12</v>
      </c>
      <c r="H7232">
        <f>F7232*VLOOKUP(B7232,產品!$A$2:$H$61,7,FALSE)*(1-銷售總表!G7232)</f>
        <v>160160</v>
      </c>
      <c r="I7232" s="35">
        <f>H7232-F7232*VLOOKUP(銷售總表!B7232,產品!$A$2:$H$61,8,FALSE)</f>
        <v>41860</v>
      </c>
      <c r="J7232" s="20">
        <f t="shared" si="112"/>
        <v>0.26136363636363635</v>
      </c>
    </row>
    <row r="7233" spans="1:10" x14ac:dyDescent="0.3">
      <c r="A7233" s="33">
        <v>7232</v>
      </c>
      <c r="B7233" s="4">
        <v>16</v>
      </c>
      <c r="C7233" s="15">
        <v>284</v>
      </c>
      <c r="D7233" s="16">
        <v>7</v>
      </c>
      <c r="E7233" s="22">
        <v>45308</v>
      </c>
      <c r="F7233" s="19">
        <v>80</v>
      </c>
      <c r="G7233" s="18">
        <v>0.19</v>
      </c>
      <c r="H7233">
        <f>F7233*VLOOKUP(B7233,產品!$A$2:$H$61,7,FALSE)*(1-銷售總表!G7233)</f>
        <v>116640.00000000001</v>
      </c>
      <c r="I7233" s="35">
        <f>H7233-F7233*VLOOKUP(銷售總表!B7233,產品!$A$2:$H$61,8,FALSE)</f>
        <v>59040.000000000015</v>
      </c>
      <c r="J7233" s="20">
        <f t="shared" si="112"/>
        <v>0.50617283950617287</v>
      </c>
    </row>
    <row r="7234" spans="1:10" x14ac:dyDescent="0.3">
      <c r="A7234" s="33">
        <v>7233</v>
      </c>
      <c r="B7234" s="4">
        <v>6</v>
      </c>
      <c r="C7234" s="15">
        <v>288</v>
      </c>
      <c r="D7234" s="16">
        <v>1</v>
      </c>
      <c r="E7234" s="22">
        <v>45309</v>
      </c>
      <c r="F7234" s="17">
        <v>45</v>
      </c>
      <c r="G7234" s="18">
        <v>0.13</v>
      </c>
      <c r="H7234">
        <f>F7234*VLOOKUP(B7234,產品!$A$2:$H$61,7,FALSE)*(1-銷售總表!G7234)</f>
        <v>39150</v>
      </c>
      <c r="I7234" s="35">
        <f>H7234-F7234*VLOOKUP(銷售總表!B7234,產品!$A$2:$H$61,8,FALSE)</f>
        <v>21150</v>
      </c>
      <c r="J7234" s="20">
        <f t="shared" si="112"/>
        <v>0.54022988505747127</v>
      </c>
    </row>
    <row r="7235" spans="1:10" x14ac:dyDescent="0.3">
      <c r="A7235" s="33">
        <v>7234</v>
      </c>
      <c r="B7235" s="4">
        <v>50</v>
      </c>
      <c r="C7235" s="15">
        <v>5</v>
      </c>
      <c r="D7235" s="16">
        <v>1</v>
      </c>
      <c r="E7235" s="22">
        <v>45309</v>
      </c>
      <c r="F7235" s="17">
        <v>1</v>
      </c>
      <c r="G7235" s="18">
        <v>0.2</v>
      </c>
      <c r="H7235">
        <f>F7235*VLOOKUP(B7235,產品!$A$2:$H$61,7,FALSE)*(1-銷售總表!G7235)</f>
        <v>14400</v>
      </c>
      <c r="I7235" s="35">
        <f>H7235-F7235*VLOOKUP(銷售總表!B7235,產品!$A$2:$H$61,8,FALSE)</f>
        <v>1800</v>
      </c>
      <c r="J7235" s="20">
        <f t="shared" ref="J7235:J7298" si="113">I7235/H7235</f>
        <v>0.125</v>
      </c>
    </row>
    <row r="7236" spans="1:10" x14ac:dyDescent="0.3">
      <c r="A7236" s="33">
        <v>7235</v>
      </c>
      <c r="B7236" s="4">
        <v>40</v>
      </c>
      <c r="C7236" s="15">
        <v>269</v>
      </c>
      <c r="D7236" s="16">
        <v>3</v>
      </c>
      <c r="E7236" s="22">
        <v>45309</v>
      </c>
      <c r="F7236" s="19">
        <v>4</v>
      </c>
      <c r="G7236" s="18">
        <v>0.16</v>
      </c>
      <c r="H7236">
        <f>F7236*VLOOKUP(B7236,產品!$A$2:$H$61,7,FALSE)*(1-銷售總表!G7236)</f>
        <v>67200</v>
      </c>
      <c r="I7236" s="35">
        <f>H7236-F7236*VLOOKUP(銷售總表!B7236,產品!$A$2:$H$61,8,FALSE)</f>
        <v>15200</v>
      </c>
      <c r="J7236" s="20">
        <f t="shared" si="113"/>
        <v>0.22619047619047619</v>
      </c>
    </row>
    <row r="7237" spans="1:10" x14ac:dyDescent="0.3">
      <c r="A7237" s="33">
        <v>7236</v>
      </c>
      <c r="B7237" s="4">
        <v>42</v>
      </c>
      <c r="C7237" s="15">
        <v>9</v>
      </c>
      <c r="D7237" s="16">
        <v>2</v>
      </c>
      <c r="E7237" s="22">
        <v>45309</v>
      </c>
      <c r="F7237" s="19">
        <v>13</v>
      </c>
      <c r="G7237" s="18">
        <v>0.09</v>
      </c>
      <c r="H7237">
        <f>F7237*VLOOKUP(B7237,產品!$A$2:$H$61,7,FALSE)*(1-銷售總表!G7237)</f>
        <v>177450</v>
      </c>
      <c r="I7237" s="35">
        <f>H7237-F7237*VLOOKUP(銷售總表!B7237,產品!$A$2:$H$61,8,FALSE)</f>
        <v>50700</v>
      </c>
      <c r="J7237" s="20">
        <f t="shared" si="113"/>
        <v>0.2857142857142857</v>
      </c>
    </row>
    <row r="7238" spans="1:10" x14ac:dyDescent="0.3">
      <c r="A7238" s="33">
        <v>7237</v>
      </c>
      <c r="B7238" s="4">
        <v>41</v>
      </c>
      <c r="C7238" s="15">
        <v>260</v>
      </c>
      <c r="D7238" s="16">
        <v>1</v>
      </c>
      <c r="E7238" s="23">
        <v>45309</v>
      </c>
      <c r="F7238">
        <v>5</v>
      </c>
      <c r="G7238" s="20">
        <v>0.11</v>
      </c>
      <c r="H7238">
        <f>F7238*VLOOKUP(B7238,產品!$A$2:$H$61,7,FALSE)*(1-銷售總表!G7238)</f>
        <v>53400</v>
      </c>
      <c r="I7238" s="35">
        <f>H7238-F7238*VLOOKUP(銷售總表!B7238,產品!$A$2:$H$61,8,FALSE)</f>
        <v>14400</v>
      </c>
      <c r="J7238" s="20">
        <f t="shared" si="113"/>
        <v>0.2696629213483146</v>
      </c>
    </row>
    <row r="7239" spans="1:10" x14ac:dyDescent="0.3">
      <c r="A7239" s="33">
        <v>7238</v>
      </c>
      <c r="B7239" s="4">
        <v>40</v>
      </c>
      <c r="C7239" s="15">
        <v>272</v>
      </c>
      <c r="D7239" s="16">
        <v>7</v>
      </c>
      <c r="E7239" s="23">
        <v>45309</v>
      </c>
      <c r="F7239">
        <v>8</v>
      </c>
      <c r="G7239" s="20">
        <v>7.0000000000000007E-2</v>
      </c>
      <c r="H7239">
        <f>F7239*VLOOKUP(B7239,產品!$A$2:$H$61,7,FALSE)*(1-銷售總表!G7239)</f>
        <v>148800</v>
      </c>
      <c r="I7239" s="35">
        <f>H7239-F7239*VLOOKUP(銷售總表!B7239,產品!$A$2:$H$61,8,FALSE)</f>
        <v>44800</v>
      </c>
      <c r="J7239" s="20">
        <f t="shared" si="113"/>
        <v>0.30107526881720431</v>
      </c>
    </row>
    <row r="7240" spans="1:10" x14ac:dyDescent="0.3">
      <c r="A7240" s="33">
        <v>7239</v>
      </c>
      <c r="B7240" s="4">
        <v>9</v>
      </c>
      <c r="C7240" s="15">
        <v>281</v>
      </c>
      <c r="D7240" s="16">
        <v>6</v>
      </c>
      <c r="E7240" s="22">
        <v>45310</v>
      </c>
      <c r="F7240" s="17">
        <v>10</v>
      </c>
      <c r="G7240" s="18">
        <v>0.08</v>
      </c>
      <c r="H7240">
        <f>F7240*VLOOKUP(B7240,產品!$A$2:$H$61,7,FALSE)*(1-銷售總表!G7240)</f>
        <v>9200</v>
      </c>
      <c r="I7240" s="35">
        <f>H7240-F7240*VLOOKUP(銷售總表!B7240,產品!$A$2:$H$61,8,FALSE)</f>
        <v>5200</v>
      </c>
      <c r="J7240" s="20">
        <f t="shared" si="113"/>
        <v>0.56521739130434778</v>
      </c>
    </row>
    <row r="7241" spans="1:10" x14ac:dyDescent="0.3">
      <c r="A7241" s="33">
        <v>7240</v>
      </c>
      <c r="B7241" s="4">
        <v>16</v>
      </c>
      <c r="C7241" s="15">
        <v>118</v>
      </c>
      <c r="D7241" s="16">
        <v>3</v>
      </c>
      <c r="E7241" s="22">
        <v>45310</v>
      </c>
      <c r="F7241" s="17">
        <v>10</v>
      </c>
      <c r="G7241" s="18">
        <v>0.05</v>
      </c>
      <c r="H7241">
        <f>F7241*VLOOKUP(B7241,產品!$A$2:$H$61,7,FALSE)*(1-銷售總表!G7241)</f>
        <v>17100</v>
      </c>
      <c r="I7241" s="35">
        <f>H7241-F7241*VLOOKUP(銷售總表!B7241,產品!$A$2:$H$61,8,FALSE)</f>
        <v>9900</v>
      </c>
      <c r="J7241" s="20">
        <f t="shared" si="113"/>
        <v>0.57894736842105265</v>
      </c>
    </row>
    <row r="7242" spans="1:10" x14ac:dyDescent="0.3">
      <c r="A7242" s="33">
        <v>7241</v>
      </c>
      <c r="B7242" s="4">
        <v>44</v>
      </c>
      <c r="C7242" s="15">
        <v>120</v>
      </c>
      <c r="D7242" s="16">
        <v>3</v>
      </c>
      <c r="E7242" s="22">
        <v>45310</v>
      </c>
      <c r="F7242" s="17">
        <v>15</v>
      </c>
      <c r="G7242" s="18">
        <v>0.15</v>
      </c>
      <c r="H7242">
        <f>F7242*VLOOKUP(B7242,產品!$A$2:$H$61,7,FALSE)*(1-銷售總表!G7242)</f>
        <v>255000</v>
      </c>
      <c r="I7242" s="35">
        <f>H7242-F7242*VLOOKUP(銷售總表!B7242,產品!$A$2:$H$61,8,FALSE)</f>
        <v>60000</v>
      </c>
      <c r="J7242" s="20">
        <f t="shared" si="113"/>
        <v>0.23529411764705882</v>
      </c>
    </row>
    <row r="7243" spans="1:10" x14ac:dyDescent="0.3">
      <c r="A7243" s="33">
        <v>7242</v>
      </c>
      <c r="B7243" s="4">
        <v>39</v>
      </c>
      <c r="C7243" s="15">
        <v>281</v>
      </c>
      <c r="D7243" s="16">
        <v>6</v>
      </c>
      <c r="E7243" s="22">
        <v>45310</v>
      </c>
      <c r="F7243" s="17">
        <v>1</v>
      </c>
      <c r="G7243" s="18">
        <v>0.18</v>
      </c>
      <c r="H7243">
        <f>F7243*VLOOKUP(B7243,產品!$A$2:$H$61,7,FALSE)*(1-銷售總表!G7243)</f>
        <v>14760.000000000002</v>
      </c>
      <c r="I7243" s="35">
        <f>H7243-F7243*VLOOKUP(銷售總表!B7243,產品!$A$2:$H$61,8,FALSE)</f>
        <v>3060.0000000000018</v>
      </c>
      <c r="J7243" s="20">
        <f t="shared" si="113"/>
        <v>0.20731707317073181</v>
      </c>
    </row>
    <row r="7244" spans="1:10" x14ac:dyDescent="0.3">
      <c r="A7244" s="33">
        <v>7243</v>
      </c>
      <c r="B7244" s="4">
        <v>38</v>
      </c>
      <c r="C7244" s="15">
        <v>4</v>
      </c>
      <c r="D7244" s="16">
        <v>6</v>
      </c>
      <c r="E7244" s="22">
        <v>45310</v>
      </c>
      <c r="F7244" s="17">
        <v>12</v>
      </c>
      <c r="G7244" s="18">
        <v>0.09</v>
      </c>
      <c r="H7244">
        <f>F7244*VLOOKUP(B7244,產品!$A$2:$H$61,7,FALSE)*(1-銷售總表!G7244)</f>
        <v>163800</v>
      </c>
      <c r="I7244" s="35">
        <f>H7244-F7244*VLOOKUP(銷售總表!B7244,產品!$A$2:$H$61,8,FALSE)</f>
        <v>46800</v>
      </c>
      <c r="J7244" s="20">
        <f t="shared" si="113"/>
        <v>0.2857142857142857</v>
      </c>
    </row>
    <row r="7245" spans="1:10" x14ac:dyDescent="0.3">
      <c r="A7245" s="33">
        <v>7244</v>
      </c>
      <c r="B7245" s="4">
        <v>22</v>
      </c>
      <c r="C7245" s="15">
        <v>116</v>
      </c>
      <c r="D7245" s="16">
        <v>6</v>
      </c>
      <c r="E7245" s="22">
        <v>45311</v>
      </c>
      <c r="F7245" s="17">
        <v>20</v>
      </c>
      <c r="G7245" s="18">
        <v>0.12</v>
      </c>
      <c r="H7245">
        <f>F7245*VLOOKUP(B7245,產品!$A$2:$H$61,7,FALSE)*(1-銷售總表!G7245)</f>
        <v>31680</v>
      </c>
      <c r="I7245" s="35">
        <f>H7245-F7245*VLOOKUP(銷售總表!B7245,產品!$A$2:$H$61,8,FALSE)</f>
        <v>17280</v>
      </c>
      <c r="J7245" s="20">
        <f t="shared" si="113"/>
        <v>0.54545454545454541</v>
      </c>
    </row>
    <row r="7246" spans="1:10" x14ac:dyDescent="0.3">
      <c r="A7246" s="33">
        <v>7245</v>
      </c>
      <c r="B7246" s="4">
        <v>27</v>
      </c>
      <c r="C7246" s="15">
        <v>259</v>
      </c>
      <c r="D7246" s="16">
        <v>8</v>
      </c>
      <c r="E7246" s="22">
        <v>45311</v>
      </c>
      <c r="F7246" s="17">
        <v>15</v>
      </c>
      <c r="G7246" s="18">
        <v>0.14000000000000001</v>
      </c>
      <c r="H7246">
        <f>F7246*VLOOKUP(B7246,產品!$A$2:$H$61,7,FALSE)*(1-銷售總表!G7246)</f>
        <v>90300</v>
      </c>
      <c r="I7246" s="35">
        <f>H7246-F7246*VLOOKUP(銷售總表!B7246,產品!$A$2:$H$61,8,FALSE)</f>
        <v>27300</v>
      </c>
      <c r="J7246" s="20">
        <f t="shared" si="113"/>
        <v>0.30232558139534882</v>
      </c>
    </row>
    <row r="7247" spans="1:10" x14ac:dyDescent="0.3">
      <c r="A7247" s="33">
        <v>7246</v>
      </c>
      <c r="B7247" s="4">
        <v>43</v>
      </c>
      <c r="C7247" s="15">
        <v>112</v>
      </c>
      <c r="D7247" s="16">
        <v>2</v>
      </c>
      <c r="E7247" s="22">
        <v>45311</v>
      </c>
      <c r="F7247" s="19">
        <v>10</v>
      </c>
      <c r="G7247" s="18">
        <v>0.16</v>
      </c>
      <c r="H7247">
        <f>F7247*VLOOKUP(B7247,產品!$A$2:$H$61,7,FALSE)*(1-銷售總表!G7247)</f>
        <v>151200</v>
      </c>
      <c r="I7247" s="35">
        <f>H7247-F7247*VLOOKUP(銷售總表!B7247,產品!$A$2:$H$61,8,FALSE)</f>
        <v>34200</v>
      </c>
      <c r="J7247" s="20">
        <f t="shared" si="113"/>
        <v>0.22619047619047619</v>
      </c>
    </row>
    <row r="7248" spans="1:10" x14ac:dyDescent="0.3">
      <c r="A7248" s="33">
        <v>7247</v>
      </c>
      <c r="B7248" s="4">
        <v>54</v>
      </c>
      <c r="C7248" s="15">
        <v>6</v>
      </c>
      <c r="D7248" s="16">
        <v>2</v>
      </c>
      <c r="E7248" s="23">
        <v>45311</v>
      </c>
      <c r="F7248">
        <v>15</v>
      </c>
      <c r="G7248" s="20">
        <v>0.14000000000000001</v>
      </c>
      <c r="H7248">
        <f>F7248*VLOOKUP(B7248,產品!$A$2:$H$61,7,FALSE)*(1-銷售總表!G7248)</f>
        <v>232200</v>
      </c>
      <c r="I7248" s="35">
        <f>H7248-F7248*VLOOKUP(銷售總表!B7248,產品!$A$2:$H$61,8,FALSE)</f>
        <v>43200</v>
      </c>
      <c r="J7248" s="20">
        <f t="shared" si="113"/>
        <v>0.18604651162790697</v>
      </c>
    </row>
    <row r="7249" spans="1:10" x14ac:dyDescent="0.3">
      <c r="A7249" s="33">
        <v>7248</v>
      </c>
      <c r="B7249" s="4">
        <v>36</v>
      </c>
      <c r="C7249" s="15">
        <v>271</v>
      </c>
      <c r="D7249" s="16">
        <v>8</v>
      </c>
      <c r="E7249" s="22">
        <v>45312</v>
      </c>
      <c r="F7249" s="17">
        <v>25</v>
      </c>
      <c r="G7249" s="18">
        <v>0.15</v>
      </c>
      <c r="H7249">
        <f>F7249*VLOOKUP(B7249,產品!$A$2:$H$61,7,FALSE)*(1-銷售總表!G7249)</f>
        <v>191250</v>
      </c>
      <c r="I7249" s="35">
        <f>H7249-F7249*VLOOKUP(銷售總表!B7249,產品!$A$2:$H$61,8,FALSE)</f>
        <v>56250</v>
      </c>
      <c r="J7249" s="20">
        <f t="shared" si="113"/>
        <v>0.29411764705882354</v>
      </c>
    </row>
    <row r="7250" spans="1:10" x14ac:dyDescent="0.3">
      <c r="A7250" s="33">
        <v>7249</v>
      </c>
      <c r="B7250" s="4">
        <v>25</v>
      </c>
      <c r="C7250" s="15">
        <v>277</v>
      </c>
      <c r="D7250" s="16">
        <v>4</v>
      </c>
      <c r="E7250" s="22">
        <v>45312</v>
      </c>
      <c r="F7250" s="17">
        <v>2</v>
      </c>
      <c r="G7250" s="18">
        <v>0.16</v>
      </c>
      <c r="H7250">
        <f>F7250*VLOOKUP(B7250,產品!$A$2:$H$61,7,FALSE)*(1-銷售總表!G7250)</f>
        <v>10080</v>
      </c>
      <c r="I7250" s="35">
        <f>H7250-F7250*VLOOKUP(銷售總表!B7250,產品!$A$2:$H$61,8,FALSE)</f>
        <v>2880</v>
      </c>
      <c r="J7250" s="20">
        <f t="shared" si="113"/>
        <v>0.2857142857142857</v>
      </c>
    </row>
    <row r="7251" spans="1:10" x14ac:dyDescent="0.3">
      <c r="A7251" s="33">
        <v>7250</v>
      </c>
      <c r="B7251" s="4">
        <v>30</v>
      </c>
      <c r="C7251" s="15">
        <v>259</v>
      </c>
      <c r="D7251" s="16">
        <v>4</v>
      </c>
      <c r="E7251" s="22">
        <v>45312</v>
      </c>
      <c r="F7251" s="19">
        <v>6</v>
      </c>
      <c r="G7251" s="18">
        <v>0.11</v>
      </c>
      <c r="H7251">
        <f>F7251*VLOOKUP(B7251,產品!$A$2:$H$61,7,FALSE)*(1-銷售總表!G7251)</f>
        <v>34710</v>
      </c>
      <c r="I7251" s="35">
        <f>H7251-F7251*VLOOKUP(銷售總表!B7251,產品!$A$2:$H$61,8,FALSE)</f>
        <v>11310</v>
      </c>
      <c r="J7251" s="20">
        <f t="shared" si="113"/>
        <v>0.3258426966292135</v>
      </c>
    </row>
    <row r="7252" spans="1:10" x14ac:dyDescent="0.3">
      <c r="A7252" s="33">
        <v>7251</v>
      </c>
      <c r="B7252" s="4">
        <v>34</v>
      </c>
      <c r="C7252" s="15">
        <v>267</v>
      </c>
      <c r="D7252" s="16">
        <v>6</v>
      </c>
      <c r="E7252" s="22">
        <v>45312</v>
      </c>
      <c r="F7252" s="19">
        <v>8</v>
      </c>
      <c r="G7252" s="18">
        <v>0.19</v>
      </c>
      <c r="H7252">
        <f>F7252*VLOOKUP(B7252,產品!$A$2:$H$61,7,FALSE)*(1-銷售總表!G7252)</f>
        <v>51840</v>
      </c>
      <c r="I7252" s="35">
        <f>H7252-F7252*VLOOKUP(銷售總表!B7252,產品!$A$2:$H$61,8,FALSE)</f>
        <v>13440</v>
      </c>
      <c r="J7252" s="20">
        <f t="shared" si="113"/>
        <v>0.25925925925925924</v>
      </c>
    </row>
    <row r="7253" spans="1:10" x14ac:dyDescent="0.3">
      <c r="A7253" s="33">
        <v>7252</v>
      </c>
      <c r="B7253" s="4">
        <v>55</v>
      </c>
      <c r="C7253" s="15">
        <v>126</v>
      </c>
      <c r="D7253" s="16">
        <v>5</v>
      </c>
      <c r="E7253" s="23">
        <v>45312</v>
      </c>
      <c r="F7253">
        <v>13</v>
      </c>
      <c r="G7253" s="20">
        <v>0.15</v>
      </c>
      <c r="H7253">
        <f>F7253*VLOOKUP(B7253,產品!$A$2:$H$61,7,FALSE)*(1-銷售總表!G7253)</f>
        <v>221000</v>
      </c>
      <c r="I7253" s="35">
        <f>H7253-F7253*VLOOKUP(銷售總表!B7253,產品!$A$2:$H$61,8,FALSE)</f>
        <v>39000</v>
      </c>
      <c r="J7253" s="20">
        <f t="shared" si="113"/>
        <v>0.17647058823529413</v>
      </c>
    </row>
    <row r="7254" spans="1:10" x14ac:dyDescent="0.3">
      <c r="A7254" s="33">
        <v>7253</v>
      </c>
      <c r="B7254" s="4">
        <v>34</v>
      </c>
      <c r="C7254" s="15">
        <v>112</v>
      </c>
      <c r="D7254" s="16">
        <v>9</v>
      </c>
      <c r="E7254" s="22">
        <v>45313</v>
      </c>
      <c r="F7254" s="17">
        <v>20</v>
      </c>
      <c r="G7254" s="18">
        <v>0.2</v>
      </c>
      <c r="H7254">
        <f>F7254*VLOOKUP(B7254,產品!$A$2:$H$61,7,FALSE)*(1-銷售總表!G7254)</f>
        <v>128000</v>
      </c>
      <c r="I7254" s="35">
        <f>H7254-F7254*VLOOKUP(銷售總表!B7254,產品!$A$2:$H$61,8,FALSE)</f>
        <v>32000</v>
      </c>
      <c r="J7254" s="20">
        <f t="shared" si="113"/>
        <v>0.25</v>
      </c>
    </row>
    <row r="7255" spans="1:10" x14ac:dyDescent="0.3">
      <c r="A7255" s="33">
        <v>7254</v>
      </c>
      <c r="B7255" s="4">
        <v>23</v>
      </c>
      <c r="C7255" s="15">
        <v>2</v>
      </c>
      <c r="D7255" s="16">
        <v>6</v>
      </c>
      <c r="E7255" s="22">
        <v>45313</v>
      </c>
      <c r="F7255" s="17">
        <v>50</v>
      </c>
      <c r="G7255" s="18">
        <v>7.0000000000000007E-2</v>
      </c>
      <c r="H7255">
        <f>F7255*VLOOKUP(B7255,產品!$A$2:$H$61,7,FALSE)*(1-銷售總表!G7255)</f>
        <v>83700</v>
      </c>
      <c r="I7255" s="35">
        <f>H7255-F7255*VLOOKUP(銷售總表!B7255,產品!$A$2:$H$61,8,FALSE)</f>
        <v>47700</v>
      </c>
      <c r="J7255" s="20">
        <f t="shared" si="113"/>
        <v>0.56989247311827962</v>
      </c>
    </row>
    <row r="7256" spans="1:10" x14ac:dyDescent="0.3">
      <c r="A7256" s="33">
        <v>7255</v>
      </c>
      <c r="B7256" s="4">
        <v>49</v>
      </c>
      <c r="C7256" s="15">
        <v>4</v>
      </c>
      <c r="D7256" s="16">
        <v>2</v>
      </c>
      <c r="E7256" s="22">
        <v>45313</v>
      </c>
      <c r="F7256" s="19">
        <v>5</v>
      </c>
      <c r="G7256" s="18">
        <v>0.09</v>
      </c>
      <c r="H7256">
        <f>F7256*VLOOKUP(B7256,產品!$A$2:$H$61,7,FALSE)*(1-銷售總表!G7256)</f>
        <v>68250</v>
      </c>
      <c r="I7256" s="35">
        <f>H7256-F7256*VLOOKUP(銷售總表!B7256,產品!$A$2:$H$61,8,FALSE)</f>
        <v>15750</v>
      </c>
      <c r="J7256" s="20">
        <f t="shared" si="113"/>
        <v>0.23076923076923078</v>
      </c>
    </row>
    <row r="7257" spans="1:10" x14ac:dyDescent="0.3">
      <c r="A7257" s="33">
        <v>7256</v>
      </c>
      <c r="B7257" s="4">
        <v>27</v>
      </c>
      <c r="C7257" s="15">
        <v>266</v>
      </c>
      <c r="D7257" s="16">
        <v>10</v>
      </c>
      <c r="E7257" s="22">
        <v>45313</v>
      </c>
      <c r="F7257" s="19">
        <v>11</v>
      </c>
      <c r="G7257" s="18">
        <v>0.1</v>
      </c>
      <c r="H7257">
        <f>F7257*VLOOKUP(B7257,產品!$A$2:$H$61,7,FALSE)*(1-銷售總表!G7257)</f>
        <v>69300</v>
      </c>
      <c r="I7257" s="35">
        <f>H7257-F7257*VLOOKUP(銷售總表!B7257,產品!$A$2:$H$61,8,FALSE)</f>
        <v>23100</v>
      </c>
      <c r="J7257" s="20">
        <f t="shared" si="113"/>
        <v>0.33333333333333331</v>
      </c>
    </row>
    <row r="7258" spans="1:10" x14ac:dyDescent="0.3">
      <c r="A7258" s="33">
        <v>7257</v>
      </c>
      <c r="B7258" s="4">
        <v>35</v>
      </c>
      <c r="C7258" s="15">
        <v>259</v>
      </c>
      <c r="D7258" s="16">
        <v>6</v>
      </c>
      <c r="E7258" s="22">
        <v>45313</v>
      </c>
      <c r="F7258" s="19">
        <v>5</v>
      </c>
      <c r="G7258" s="18">
        <v>0.05</v>
      </c>
      <c r="H7258">
        <f>F7258*VLOOKUP(B7258,產品!$A$2:$H$61,7,FALSE)*(1-銷售總表!G7258)</f>
        <v>40375</v>
      </c>
      <c r="I7258" s="35">
        <f>H7258-F7258*VLOOKUP(銷售總表!B7258,產品!$A$2:$H$61,8,FALSE)</f>
        <v>14875</v>
      </c>
      <c r="J7258" s="20">
        <f t="shared" si="113"/>
        <v>0.36842105263157893</v>
      </c>
    </row>
    <row r="7259" spans="1:10" x14ac:dyDescent="0.3">
      <c r="A7259" s="33">
        <v>7258</v>
      </c>
      <c r="B7259" s="4">
        <v>20</v>
      </c>
      <c r="C7259" s="15">
        <v>287</v>
      </c>
      <c r="D7259" s="16">
        <v>8</v>
      </c>
      <c r="E7259" s="23">
        <v>45313</v>
      </c>
      <c r="F7259">
        <v>50</v>
      </c>
      <c r="G7259" s="20">
        <v>0.19</v>
      </c>
      <c r="H7259">
        <f>F7259*VLOOKUP(B7259,產品!$A$2:$H$61,7,FALSE)*(1-銷售總表!G7259)</f>
        <v>72900</v>
      </c>
      <c r="I7259" s="35">
        <f>H7259-F7259*VLOOKUP(銷售總表!B7259,產品!$A$2:$H$61,8,FALSE)</f>
        <v>36900</v>
      </c>
      <c r="J7259" s="20">
        <f t="shared" si="113"/>
        <v>0.50617283950617287</v>
      </c>
    </row>
    <row r="7260" spans="1:10" x14ac:dyDescent="0.3">
      <c r="A7260" s="33">
        <v>7259</v>
      </c>
      <c r="B7260" s="4">
        <v>47</v>
      </c>
      <c r="C7260" s="15">
        <v>12</v>
      </c>
      <c r="D7260" s="16">
        <v>7</v>
      </c>
      <c r="E7260" s="22">
        <v>45314</v>
      </c>
      <c r="F7260" s="17">
        <v>10</v>
      </c>
      <c r="G7260" s="18">
        <v>0.16</v>
      </c>
      <c r="H7260">
        <f>F7260*VLOOKUP(B7260,產品!$A$2:$H$61,7,FALSE)*(1-銷售總表!G7260)</f>
        <v>168000</v>
      </c>
      <c r="I7260" s="35">
        <f>H7260-F7260*VLOOKUP(銷售總表!B7260,產品!$A$2:$H$61,8,FALSE)</f>
        <v>38000</v>
      </c>
      <c r="J7260" s="20">
        <f t="shared" si="113"/>
        <v>0.22619047619047619</v>
      </c>
    </row>
    <row r="7261" spans="1:10" x14ac:dyDescent="0.3">
      <c r="A7261" s="33">
        <v>7260</v>
      </c>
      <c r="B7261" s="4">
        <v>4</v>
      </c>
      <c r="C7261" s="15">
        <v>6</v>
      </c>
      <c r="D7261" s="16">
        <v>7</v>
      </c>
      <c r="E7261" s="22">
        <v>45314</v>
      </c>
      <c r="F7261" s="17">
        <v>30</v>
      </c>
      <c r="G7261" s="18">
        <v>0.1</v>
      </c>
      <c r="H7261">
        <f>F7261*VLOOKUP(B7261,產品!$A$2:$H$61,7,FALSE)*(1-銷售總表!G7261)</f>
        <v>27000</v>
      </c>
      <c r="I7261" s="35">
        <f>H7261-F7261*VLOOKUP(銷售總表!B7261,產品!$A$2:$H$61,8,FALSE)</f>
        <v>15000</v>
      </c>
      <c r="J7261" s="20">
        <f t="shared" si="113"/>
        <v>0.55555555555555558</v>
      </c>
    </row>
    <row r="7262" spans="1:10" x14ac:dyDescent="0.3">
      <c r="A7262" s="33">
        <v>7261</v>
      </c>
      <c r="B7262" s="4">
        <v>13</v>
      </c>
      <c r="C7262" s="15">
        <v>2</v>
      </c>
      <c r="D7262" s="16">
        <v>1</v>
      </c>
      <c r="E7262" s="22">
        <v>45314</v>
      </c>
      <c r="F7262" s="19">
        <v>16</v>
      </c>
      <c r="G7262" s="18">
        <v>0.09</v>
      </c>
      <c r="H7262">
        <f>F7262*VLOOKUP(B7262,產品!$A$2:$H$61,7,FALSE)*(1-銷售總表!G7262)</f>
        <v>26208</v>
      </c>
      <c r="I7262" s="35">
        <f>H7262-F7262*VLOOKUP(銷售總表!B7262,產品!$A$2:$H$61,8,FALSE)</f>
        <v>14688</v>
      </c>
      <c r="J7262" s="20">
        <f t="shared" si="113"/>
        <v>0.56043956043956045</v>
      </c>
    </row>
    <row r="7263" spans="1:10" x14ac:dyDescent="0.3">
      <c r="A7263" s="33">
        <v>7262</v>
      </c>
      <c r="B7263" s="4">
        <v>53</v>
      </c>
      <c r="C7263" s="15">
        <v>268</v>
      </c>
      <c r="D7263" s="16">
        <v>6</v>
      </c>
      <c r="E7263" s="23">
        <v>45314</v>
      </c>
      <c r="F7263">
        <v>4</v>
      </c>
      <c r="G7263" s="20">
        <v>0.13</v>
      </c>
      <c r="H7263">
        <f>F7263*VLOOKUP(B7263,產品!$A$2:$H$61,7,FALSE)*(1-銷售總表!G7263)</f>
        <v>52200</v>
      </c>
      <c r="I7263" s="35">
        <f>H7263-F7263*VLOOKUP(銷售總表!B7263,產品!$A$2:$H$61,8,FALSE)</f>
        <v>10200</v>
      </c>
      <c r="J7263" s="20">
        <f t="shared" si="113"/>
        <v>0.19540229885057472</v>
      </c>
    </row>
    <row r="7264" spans="1:10" x14ac:dyDescent="0.3">
      <c r="A7264" s="33">
        <v>7263</v>
      </c>
      <c r="B7264" s="4">
        <v>24</v>
      </c>
      <c r="C7264" s="15">
        <v>272</v>
      </c>
      <c r="D7264" s="16">
        <v>10</v>
      </c>
      <c r="E7264" s="22">
        <v>45315</v>
      </c>
      <c r="F7264" s="17">
        <v>60</v>
      </c>
      <c r="G7264" s="18">
        <v>0.06</v>
      </c>
      <c r="H7264">
        <f>F7264*VLOOKUP(B7264,產品!$A$2:$H$61,7,FALSE)*(1-銷售總表!G7264)</f>
        <v>101520</v>
      </c>
      <c r="I7264" s="35">
        <f>H7264-F7264*VLOOKUP(銷售總表!B7264,產品!$A$2:$H$61,8,FALSE)</f>
        <v>58320</v>
      </c>
      <c r="J7264" s="20">
        <f t="shared" si="113"/>
        <v>0.57446808510638303</v>
      </c>
    </row>
    <row r="7265" spans="1:10" x14ac:dyDescent="0.3">
      <c r="A7265" s="33">
        <v>7264</v>
      </c>
      <c r="B7265" s="4">
        <v>7</v>
      </c>
      <c r="C7265" s="15">
        <v>278</v>
      </c>
      <c r="D7265" s="16">
        <v>8</v>
      </c>
      <c r="E7265" s="22">
        <v>45315</v>
      </c>
      <c r="F7265" s="17">
        <v>70</v>
      </c>
      <c r="G7265" s="18">
        <v>0.11</v>
      </c>
      <c r="H7265">
        <f>F7265*VLOOKUP(B7265,產品!$A$2:$H$61,7,FALSE)*(1-銷售總表!G7265)</f>
        <v>62300</v>
      </c>
      <c r="I7265" s="35">
        <f>H7265-F7265*VLOOKUP(銷售總表!B7265,產品!$A$2:$H$61,8,FALSE)</f>
        <v>34300</v>
      </c>
      <c r="J7265" s="20">
        <f t="shared" si="113"/>
        <v>0.550561797752809</v>
      </c>
    </row>
    <row r="7266" spans="1:10" x14ac:dyDescent="0.3">
      <c r="A7266" s="33">
        <v>7265</v>
      </c>
      <c r="B7266" s="4">
        <v>14</v>
      </c>
      <c r="C7266" s="15">
        <v>258</v>
      </c>
      <c r="D7266" s="16">
        <v>8</v>
      </c>
      <c r="E7266" s="22">
        <v>45315</v>
      </c>
      <c r="F7266" s="17">
        <v>60</v>
      </c>
      <c r="G7266" s="18">
        <v>0.05</v>
      </c>
      <c r="H7266">
        <f>F7266*VLOOKUP(B7266,產品!$A$2:$H$61,7,FALSE)*(1-銷售總表!G7266)</f>
        <v>102600</v>
      </c>
      <c r="I7266" s="35">
        <f>H7266-F7266*VLOOKUP(銷售總表!B7266,產品!$A$2:$H$61,8,FALSE)</f>
        <v>59400</v>
      </c>
      <c r="J7266" s="20">
        <f t="shared" si="113"/>
        <v>0.57894736842105265</v>
      </c>
    </row>
    <row r="7267" spans="1:10" x14ac:dyDescent="0.3">
      <c r="A7267" s="33">
        <v>7266</v>
      </c>
      <c r="B7267" s="4">
        <v>13</v>
      </c>
      <c r="C7267" s="15">
        <v>122</v>
      </c>
      <c r="D7267" s="16">
        <v>7</v>
      </c>
      <c r="E7267" s="23">
        <v>45315</v>
      </c>
      <c r="F7267">
        <v>90</v>
      </c>
      <c r="G7267" s="20">
        <v>0.16</v>
      </c>
      <c r="H7267">
        <f>F7267*VLOOKUP(B7267,產品!$A$2:$H$61,7,FALSE)*(1-銷售總表!G7267)</f>
        <v>136080</v>
      </c>
      <c r="I7267" s="35">
        <f>H7267-F7267*VLOOKUP(銷售總表!B7267,產品!$A$2:$H$61,8,FALSE)</f>
        <v>71280</v>
      </c>
      <c r="J7267" s="20">
        <f t="shared" si="113"/>
        <v>0.52380952380952384</v>
      </c>
    </row>
    <row r="7268" spans="1:10" x14ac:dyDescent="0.3">
      <c r="A7268" s="33">
        <v>7267</v>
      </c>
      <c r="B7268" s="4">
        <v>23</v>
      </c>
      <c r="C7268" s="15">
        <v>2</v>
      </c>
      <c r="D7268" s="16">
        <v>5</v>
      </c>
      <c r="E7268" s="22">
        <v>45316</v>
      </c>
      <c r="F7268" s="17">
        <v>60</v>
      </c>
      <c r="G7268" s="18">
        <v>0.06</v>
      </c>
      <c r="H7268">
        <f>F7268*VLOOKUP(B7268,產品!$A$2:$H$61,7,FALSE)*(1-銷售總表!G7268)</f>
        <v>101520</v>
      </c>
      <c r="I7268" s="35">
        <f>H7268-F7268*VLOOKUP(銷售總表!B7268,產品!$A$2:$H$61,8,FALSE)</f>
        <v>58320</v>
      </c>
      <c r="J7268" s="20">
        <f t="shared" si="113"/>
        <v>0.57446808510638303</v>
      </c>
    </row>
    <row r="7269" spans="1:10" x14ac:dyDescent="0.3">
      <c r="A7269" s="33">
        <v>7268</v>
      </c>
      <c r="B7269" s="4">
        <v>40</v>
      </c>
      <c r="C7269" s="15">
        <v>259</v>
      </c>
      <c r="D7269" s="16">
        <v>1</v>
      </c>
      <c r="E7269" s="22">
        <v>45316</v>
      </c>
      <c r="F7269" s="17">
        <v>2</v>
      </c>
      <c r="G7269" s="18">
        <v>0.17</v>
      </c>
      <c r="H7269">
        <f>F7269*VLOOKUP(B7269,產品!$A$2:$H$61,7,FALSE)*(1-銷售總表!G7269)</f>
        <v>33200</v>
      </c>
      <c r="I7269" s="35">
        <f>H7269-F7269*VLOOKUP(銷售總表!B7269,產品!$A$2:$H$61,8,FALSE)</f>
        <v>7200</v>
      </c>
      <c r="J7269" s="20">
        <f t="shared" si="113"/>
        <v>0.21686746987951808</v>
      </c>
    </row>
    <row r="7270" spans="1:10" x14ac:dyDescent="0.3">
      <c r="A7270" s="33">
        <v>7269</v>
      </c>
      <c r="B7270" s="4">
        <v>60</v>
      </c>
      <c r="C7270" s="15">
        <v>281</v>
      </c>
      <c r="D7270" s="16">
        <v>7</v>
      </c>
      <c r="E7270" s="22">
        <v>45316</v>
      </c>
      <c r="F7270" s="19">
        <v>4</v>
      </c>
      <c r="G7270" s="18">
        <v>0.13</v>
      </c>
      <c r="H7270">
        <f>F7270*VLOOKUP(B7270,產品!$A$2:$H$61,7,FALSE)*(1-銷售總表!G7270)</f>
        <v>87000</v>
      </c>
      <c r="I7270" s="35">
        <f>H7270-F7270*VLOOKUP(銷售總表!B7270,產品!$A$2:$H$61,8,FALSE)</f>
        <v>17000</v>
      </c>
      <c r="J7270" s="20">
        <f t="shared" si="113"/>
        <v>0.19540229885057472</v>
      </c>
    </row>
    <row r="7271" spans="1:10" x14ac:dyDescent="0.3">
      <c r="A7271" s="33">
        <v>7270</v>
      </c>
      <c r="B7271" s="4">
        <v>15</v>
      </c>
      <c r="C7271" s="15">
        <v>114</v>
      </c>
      <c r="D7271" s="16">
        <v>7</v>
      </c>
      <c r="E7271" s="22">
        <v>45317</v>
      </c>
      <c r="F7271" s="17">
        <v>23</v>
      </c>
      <c r="G7271" s="18">
        <v>0.1</v>
      </c>
      <c r="H7271">
        <f>F7271*VLOOKUP(B7271,產品!$A$2:$H$61,7,FALSE)*(1-銷售總表!G7271)</f>
        <v>37260</v>
      </c>
      <c r="I7271" s="35">
        <f>H7271-F7271*VLOOKUP(銷售總表!B7271,產品!$A$2:$H$61,8,FALSE)</f>
        <v>20700</v>
      </c>
      <c r="J7271" s="20">
        <f t="shared" si="113"/>
        <v>0.55555555555555558</v>
      </c>
    </row>
    <row r="7272" spans="1:10" x14ac:dyDescent="0.3">
      <c r="A7272" s="33">
        <v>7271</v>
      </c>
      <c r="B7272" s="4">
        <v>25</v>
      </c>
      <c r="C7272" s="15">
        <v>138</v>
      </c>
      <c r="D7272" s="16">
        <v>6</v>
      </c>
      <c r="E7272" s="23">
        <v>45317</v>
      </c>
      <c r="F7272">
        <v>18</v>
      </c>
      <c r="G7272" s="20">
        <v>0.2</v>
      </c>
      <c r="H7272">
        <f>F7272*VLOOKUP(B7272,產品!$A$2:$H$61,7,FALSE)*(1-銷售總表!G7272)</f>
        <v>86400</v>
      </c>
      <c r="I7272" s="35">
        <f>H7272-F7272*VLOOKUP(銷售總表!B7272,產品!$A$2:$H$61,8,FALSE)</f>
        <v>21600</v>
      </c>
      <c r="J7272" s="20">
        <f t="shared" si="113"/>
        <v>0.25</v>
      </c>
    </row>
    <row r="7273" spans="1:10" x14ac:dyDescent="0.3">
      <c r="A7273" s="33">
        <v>7272</v>
      </c>
      <c r="B7273" s="4">
        <v>11</v>
      </c>
      <c r="C7273" s="15">
        <v>264</v>
      </c>
      <c r="D7273" s="16">
        <v>5</v>
      </c>
      <c r="E7273" s="23">
        <v>45317</v>
      </c>
      <c r="F7273">
        <v>10</v>
      </c>
      <c r="G7273" s="20">
        <v>0.08</v>
      </c>
      <c r="H7273">
        <f>F7273*VLOOKUP(B7273,產品!$A$2:$H$61,7,FALSE)*(1-銷售總表!G7273)</f>
        <v>9200</v>
      </c>
      <c r="I7273" s="35">
        <f>H7273-F7273*VLOOKUP(銷售總表!B7273,產品!$A$2:$H$61,8,FALSE)</f>
        <v>5200</v>
      </c>
      <c r="J7273" s="20">
        <f t="shared" si="113"/>
        <v>0.56521739130434778</v>
      </c>
    </row>
    <row r="7274" spans="1:10" x14ac:dyDescent="0.3">
      <c r="A7274" s="33">
        <v>7273</v>
      </c>
      <c r="B7274" s="4">
        <v>47</v>
      </c>
      <c r="C7274" s="15">
        <v>135</v>
      </c>
      <c r="D7274" s="16">
        <v>1</v>
      </c>
      <c r="E7274" s="22">
        <v>45318</v>
      </c>
      <c r="F7274" s="17">
        <v>50</v>
      </c>
      <c r="G7274" s="18">
        <v>0.13</v>
      </c>
      <c r="H7274">
        <f>F7274*VLOOKUP(B7274,產品!$A$2:$H$61,7,FALSE)*(1-銷售總表!G7274)</f>
        <v>870000</v>
      </c>
      <c r="I7274" s="35">
        <f>H7274-F7274*VLOOKUP(銷售總表!B7274,產品!$A$2:$H$61,8,FALSE)</f>
        <v>220000</v>
      </c>
      <c r="J7274" s="20">
        <f t="shared" si="113"/>
        <v>0.25287356321839083</v>
      </c>
    </row>
    <row r="7275" spans="1:10" x14ac:dyDescent="0.3">
      <c r="A7275" s="33">
        <v>7274</v>
      </c>
      <c r="B7275" s="4">
        <v>19</v>
      </c>
      <c r="C7275" s="15">
        <v>120</v>
      </c>
      <c r="D7275" s="16">
        <v>7</v>
      </c>
      <c r="E7275" s="22">
        <v>45318</v>
      </c>
      <c r="F7275" s="17">
        <v>30</v>
      </c>
      <c r="G7275" s="18">
        <v>0.09</v>
      </c>
      <c r="H7275">
        <f>F7275*VLOOKUP(B7275,產品!$A$2:$H$61,7,FALSE)*(1-銷售總表!G7275)</f>
        <v>49140</v>
      </c>
      <c r="I7275" s="35">
        <f>H7275-F7275*VLOOKUP(銷售總表!B7275,產品!$A$2:$H$61,8,FALSE)</f>
        <v>27540</v>
      </c>
      <c r="J7275" s="20">
        <f t="shared" si="113"/>
        <v>0.56043956043956045</v>
      </c>
    </row>
    <row r="7276" spans="1:10" x14ac:dyDescent="0.3">
      <c r="A7276" s="33">
        <v>7275</v>
      </c>
      <c r="B7276" s="4">
        <v>12</v>
      </c>
      <c r="C7276" s="15">
        <v>275</v>
      </c>
      <c r="D7276" s="16">
        <v>10</v>
      </c>
      <c r="E7276" s="22">
        <v>45318</v>
      </c>
      <c r="F7276" s="19">
        <v>40</v>
      </c>
      <c r="G7276" s="18">
        <v>0.18</v>
      </c>
      <c r="H7276">
        <f>F7276*VLOOKUP(B7276,產品!$A$2:$H$61,7,FALSE)*(1-銷售總表!G7276)</f>
        <v>32800</v>
      </c>
      <c r="I7276" s="35">
        <f>H7276-F7276*VLOOKUP(銷售總表!B7276,產品!$A$2:$H$61,8,FALSE)</f>
        <v>16800</v>
      </c>
      <c r="J7276" s="20">
        <f t="shared" si="113"/>
        <v>0.51219512195121952</v>
      </c>
    </row>
    <row r="7277" spans="1:10" x14ac:dyDescent="0.3">
      <c r="A7277" s="33">
        <v>7276</v>
      </c>
      <c r="B7277" s="4">
        <v>16</v>
      </c>
      <c r="C7277" s="15">
        <v>264</v>
      </c>
      <c r="D7277" s="16">
        <v>10</v>
      </c>
      <c r="E7277" s="23">
        <v>45318</v>
      </c>
      <c r="F7277">
        <v>40</v>
      </c>
      <c r="G7277" s="20">
        <v>0.15</v>
      </c>
      <c r="H7277">
        <f>F7277*VLOOKUP(B7277,產品!$A$2:$H$61,7,FALSE)*(1-銷售總表!G7277)</f>
        <v>61200</v>
      </c>
      <c r="I7277" s="35">
        <f>H7277-F7277*VLOOKUP(銷售總表!B7277,產品!$A$2:$H$61,8,FALSE)</f>
        <v>32400</v>
      </c>
      <c r="J7277" s="20">
        <f t="shared" si="113"/>
        <v>0.52941176470588236</v>
      </c>
    </row>
    <row r="7278" spans="1:10" x14ac:dyDescent="0.3">
      <c r="A7278" s="33">
        <v>7277</v>
      </c>
      <c r="B7278" s="4">
        <v>11</v>
      </c>
      <c r="C7278" s="15">
        <v>9</v>
      </c>
      <c r="D7278" s="16">
        <v>4</v>
      </c>
      <c r="E7278" s="23">
        <v>45318</v>
      </c>
      <c r="F7278">
        <v>100</v>
      </c>
      <c r="G7278" s="20">
        <v>0.18</v>
      </c>
      <c r="H7278">
        <f>F7278*VLOOKUP(B7278,產品!$A$2:$H$61,7,FALSE)*(1-銷售總表!G7278)</f>
        <v>82000</v>
      </c>
      <c r="I7278" s="35">
        <f>H7278-F7278*VLOOKUP(銷售總表!B7278,產品!$A$2:$H$61,8,FALSE)</f>
        <v>42000</v>
      </c>
      <c r="J7278" s="20">
        <f t="shared" si="113"/>
        <v>0.51219512195121952</v>
      </c>
    </row>
    <row r="7279" spans="1:10" x14ac:dyDescent="0.3">
      <c r="A7279" s="33">
        <v>7278</v>
      </c>
      <c r="B7279" s="4">
        <v>38</v>
      </c>
      <c r="C7279" s="15">
        <v>9</v>
      </c>
      <c r="D7279" s="16">
        <v>3</v>
      </c>
      <c r="E7279" s="23">
        <v>45318</v>
      </c>
      <c r="F7279">
        <v>9</v>
      </c>
      <c r="G7279" s="20">
        <v>0.05</v>
      </c>
      <c r="H7279">
        <f>F7279*VLOOKUP(B7279,產品!$A$2:$H$61,7,FALSE)*(1-銷售總表!G7279)</f>
        <v>128250</v>
      </c>
      <c r="I7279" s="35">
        <f>H7279-F7279*VLOOKUP(銷售總表!B7279,產品!$A$2:$H$61,8,FALSE)</f>
        <v>40500</v>
      </c>
      <c r="J7279" s="20">
        <f t="shared" si="113"/>
        <v>0.31578947368421051</v>
      </c>
    </row>
    <row r="7280" spans="1:10" x14ac:dyDescent="0.3">
      <c r="A7280" s="33">
        <v>7279</v>
      </c>
      <c r="B7280" s="4">
        <v>19</v>
      </c>
      <c r="C7280" s="15">
        <v>275</v>
      </c>
      <c r="D7280" s="16">
        <v>4</v>
      </c>
      <c r="E7280" s="22">
        <v>45319</v>
      </c>
      <c r="F7280" s="17">
        <v>100</v>
      </c>
      <c r="G7280" s="18">
        <v>0.12</v>
      </c>
      <c r="H7280">
        <f>F7280*VLOOKUP(B7280,產品!$A$2:$H$61,7,FALSE)*(1-銷售總表!G7280)</f>
        <v>158400</v>
      </c>
      <c r="I7280" s="35">
        <f>H7280-F7280*VLOOKUP(銷售總表!B7280,產品!$A$2:$H$61,8,FALSE)</f>
        <v>86400</v>
      </c>
      <c r="J7280" s="20">
        <f t="shared" si="113"/>
        <v>0.54545454545454541</v>
      </c>
    </row>
    <row r="7281" spans="1:10" x14ac:dyDescent="0.3">
      <c r="A7281" s="33">
        <v>7280</v>
      </c>
      <c r="B7281" s="4">
        <v>24</v>
      </c>
      <c r="C7281" s="15">
        <v>8</v>
      </c>
      <c r="D7281" s="16">
        <v>8</v>
      </c>
      <c r="E7281" s="22">
        <v>45319</v>
      </c>
      <c r="F7281" s="17">
        <v>100</v>
      </c>
      <c r="G7281" s="18">
        <v>0.09</v>
      </c>
      <c r="H7281">
        <f>F7281*VLOOKUP(B7281,產品!$A$2:$H$61,7,FALSE)*(1-銷售總表!G7281)</f>
        <v>163800</v>
      </c>
      <c r="I7281" s="35">
        <f>H7281-F7281*VLOOKUP(銷售總表!B7281,產品!$A$2:$H$61,8,FALSE)</f>
        <v>91800</v>
      </c>
      <c r="J7281" s="20">
        <f t="shared" si="113"/>
        <v>0.56043956043956045</v>
      </c>
    </row>
    <row r="7282" spans="1:10" x14ac:dyDescent="0.3">
      <c r="A7282" s="33">
        <v>7281</v>
      </c>
      <c r="B7282" s="4">
        <v>16</v>
      </c>
      <c r="C7282" s="15">
        <v>12</v>
      </c>
      <c r="D7282" s="16">
        <v>2</v>
      </c>
      <c r="E7282" s="22">
        <v>45319</v>
      </c>
      <c r="F7282" s="19">
        <v>90</v>
      </c>
      <c r="G7282" s="18">
        <v>0.06</v>
      </c>
      <c r="H7282">
        <f>F7282*VLOOKUP(B7282,產品!$A$2:$H$61,7,FALSE)*(1-銷售總表!G7282)</f>
        <v>152280</v>
      </c>
      <c r="I7282" s="35">
        <f>H7282-F7282*VLOOKUP(銷售總表!B7282,產品!$A$2:$H$61,8,FALSE)</f>
        <v>87480</v>
      </c>
      <c r="J7282" s="20">
        <f t="shared" si="113"/>
        <v>0.57446808510638303</v>
      </c>
    </row>
    <row r="7283" spans="1:10" x14ac:dyDescent="0.3">
      <c r="A7283" s="33">
        <v>7282</v>
      </c>
      <c r="B7283" s="4">
        <v>14</v>
      </c>
      <c r="C7283" s="15">
        <v>261</v>
      </c>
      <c r="D7283" s="16">
        <v>8</v>
      </c>
      <c r="E7283" s="22">
        <v>45320</v>
      </c>
      <c r="F7283" s="17">
        <v>15</v>
      </c>
      <c r="G7283" s="18">
        <v>0.19</v>
      </c>
      <c r="H7283">
        <f>F7283*VLOOKUP(B7283,產品!$A$2:$H$61,7,FALSE)*(1-銷售總表!G7283)</f>
        <v>21870</v>
      </c>
      <c r="I7283" s="35">
        <f>H7283-F7283*VLOOKUP(銷售總表!B7283,產品!$A$2:$H$61,8,FALSE)</f>
        <v>11070</v>
      </c>
      <c r="J7283" s="20">
        <f t="shared" si="113"/>
        <v>0.50617283950617287</v>
      </c>
    </row>
    <row r="7284" spans="1:10" x14ac:dyDescent="0.3">
      <c r="A7284" s="33">
        <v>7283</v>
      </c>
      <c r="B7284" s="4">
        <v>7</v>
      </c>
      <c r="C7284" s="15">
        <v>264</v>
      </c>
      <c r="D7284" s="16">
        <v>1</v>
      </c>
      <c r="E7284" s="22">
        <v>45321</v>
      </c>
      <c r="F7284" s="17">
        <v>20</v>
      </c>
      <c r="G7284" s="18">
        <v>0.08</v>
      </c>
      <c r="H7284">
        <f>F7284*VLOOKUP(B7284,產品!$A$2:$H$61,7,FALSE)*(1-銷售總表!G7284)</f>
        <v>18400</v>
      </c>
      <c r="I7284" s="35">
        <f>H7284-F7284*VLOOKUP(銷售總表!B7284,產品!$A$2:$H$61,8,FALSE)</f>
        <v>10400</v>
      </c>
      <c r="J7284" s="20">
        <f t="shared" si="113"/>
        <v>0.56521739130434778</v>
      </c>
    </row>
    <row r="7285" spans="1:10" x14ac:dyDescent="0.3">
      <c r="A7285" s="33">
        <v>7284</v>
      </c>
      <c r="B7285" s="4">
        <v>5</v>
      </c>
      <c r="C7285" s="15">
        <v>12</v>
      </c>
      <c r="D7285" s="16">
        <v>4</v>
      </c>
      <c r="E7285" s="22">
        <v>45321</v>
      </c>
      <c r="F7285" s="17">
        <v>175</v>
      </c>
      <c r="G7285" s="18">
        <v>0.16</v>
      </c>
      <c r="H7285">
        <f>F7285*VLOOKUP(B7285,產品!$A$2:$H$61,7,FALSE)*(1-銷售總表!G7285)</f>
        <v>147000</v>
      </c>
      <c r="I7285" s="35">
        <f>H7285-F7285*VLOOKUP(銷售總表!B7285,產品!$A$2:$H$61,8,FALSE)</f>
        <v>77000</v>
      </c>
      <c r="J7285" s="20">
        <f t="shared" si="113"/>
        <v>0.52380952380952384</v>
      </c>
    </row>
    <row r="7286" spans="1:10" x14ac:dyDescent="0.3">
      <c r="A7286" s="33">
        <v>7285</v>
      </c>
      <c r="B7286" s="4">
        <v>12</v>
      </c>
      <c r="C7286" s="15">
        <v>275</v>
      </c>
      <c r="D7286" s="16">
        <v>2</v>
      </c>
      <c r="E7286" s="22">
        <v>45321</v>
      </c>
      <c r="F7286" s="17">
        <v>10</v>
      </c>
      <c r="G7286" s="18">
        <v>0.12</v>
      </c>
      <c r="H7286">
        <f>F7286*VLOOKUP(B7286,產品!$A$2:$H$61,7,FALSE)*(1-銷售總表!G7286)</f>
        <v>8800</v>
      </c>
      <c r="I7286" s="35">
        <f>H7286-F7286*VLOOKUP(銷售總表!B7286,產品!$A$2:$H$61,8,FALSE)</f>
        <v>4800</v>
      </c>
      <c r="J7286" s="20">
        <f t="shared" si="113"/>
        <v>0.54545454545454541</v>
      </c>
    </row>
    <row r="7287" spans="1:10" x14ac:dyDescent="0.3">
      <c r="A7287" s="33">
        <v>7286</v>
      </c>
      <c r="B7287" s="4">
        <v>1</v>
      </c>
      <c r="C7287" s="15">
        <v>273</v>
      </c>
      <c r="D7287" s="16">
        <v>1</v>
      </c>
      <c r="E7287" s="22">
        <v>45321</v>
      </c>
      <c r="F7287" s="17">
        <v>350</v>
      </c>
      <c r="G7287" s="18">
        <v>0.18</v>
      </c>
      <c r="H7287">
        <f>F7287*VLOOKUP(B7287,產品!$A$2:$H$61,7,FALSE)*(1-銷售總表!G7287)</f>
        <v>287000</v>
      </c>
      <c r="I7287" s="35">
        <f>H7287-F7287*VLOOKUP(銷售總表!B7287,產品!$A$2:$H$61,8,FALSE)</f>
        <v>147000</v>
      </c>
      <c r="J7287" s="20">
        <f t="shared" si="113"/>
        <v>0.51219512195121952</v>
      </c>
    </row>
    <row r="7288" spans="1:10" x14ac:dyDescent="0.3">
      <c r="A7288" s="33">
        <v>7287</v>
      </c>
      <c r="B7288" s="4">
        <v>11</v>
      </c>
      <c r="C7288" s="15">
        <v>272</v>
      </c>
      <c r="D7288" s="16">
        <v>10</v>
      </c>
      <c r="E7288" s="22">
        <v>45322</v>
      </c>
      <c r="F7288" s="17">
        <v>60</v>
      </c>
      <c r="G7288" s="18">
        <v>0.09</v>
      </c>
      <c r="H7288">
        <f>F7288*VLOOKUP(B7288,產品!$A$2:$H$61,7,FALSE)*(1-銷售總表!G7288)</f>
        <v>54600</v>
      </c>
      <c r="I7288" s="35">
        <f>H7288-F7288*VLOOKUP(銷售總表!B7288,產品!$A$2:$H$61,8,FALSE)</f>
        <v>30600</v>
      </c>
      <c r="J7288" s="20">
        <f t="shared" si="113"/>
        <v>0.56043956043956045</v>
      </c>
    </row>
    <row r="7289" spans="1:10" x14ac:dyDescent="0.3">
      <c r="A7289" s="33">
        <v>7288</v>
      </c>
      <c r="B7289" s="4">
        <v>13</v>
      </c>
      <c r="C7289" s="15">
        <v>4</v>
      </c>
      <c r="D7289" s="16">
        <v>6</v>
      </c>
      <c r="E7289" s="22">
        <v>45322</v>
      </c>
      <c r="F7289" s="17">
        <v>60</v>
      </c>
      <c r="G7289" s="18">
        <v>0.13</v>
      </c>
      <c r="H7289">
        <f>F7289*VLOOKUP(B7289,產品!$A$2:$H$61,7,FALSE)*(1-銷售總表!G7289)</f>
        <v>93960</v>
      </c>
      <c r="I7289" s="35">
        <f>H7289-F7289*VLOOKUP(銷售總表!B7289,產品!$A$2:$H$61,8,FALSE)</f>
        <v>50760</v>
      </c>
      <c r="J7289" s="20">
        <f t="shared" si="113"/>
        <v>0.54022988505747127</v>
      </c>
    </row>
    <row r="7290" spans="1:10" x14ac:dyDescent="0.3">
      <c r="A7290" s="33">
        <v>7289</v>
      </c>
      <c r="B7290" s="4">
        <v>58</v>
      </c>
      <c r="C7290" s="15">
        <v>261</v>
      </c>
      <c r="D7290" s="16">
        <v>3</v>
      </c>
      <c r="E7290" s="22">
        <v>45322</v>
      </c>
      <c r="F7290" s="17">
        <v>15</v>
      </c>
      <c r="G7290" s="18">
        <v>0.13</v>
      </c>
      <c r="H7290">
        <f>F7290*VLOOKUP(B7290,產品!$A$2:$H$61,7,FALSE)*(1-銷售總表!G7290)</f>
        <v>274050</v>
      </c>
      <c r="I7290" s="35">
        <f>H7290-F7290*VLOOKUP(銷售總表!B7290,產品!$A$2:$H$61,8,FALSE)</f>
        <v>53550.000000000029</v>
      </c>
      <c r="J7290" s="20">
        <f t="shared" si="113"/>
        <v>0.19540229885057481</v>
      </c>
    </row>
    <row r="7291" spans="1:10" x14ac:dyDescent="0.3">
      <c r="A7291" s="33">
        <v>7290</v>
      </c>
      <c r="B7291" s="4">
        <v>29</v>
      </c>
      <c r="C7291" s="15">
        <v>9</v>
      </c>
      <c r="D7291" s="16">
        <v>4</v>
      </c>
      <c r="E7291" s="22">
        <v>45322</v>
      </c>
      <c r="F7291" s="17">
        <v>16</v>
      </c>
      <c r="G7291" s="18">
        <v>0.16</v>
      </c>
      <c r="H7291">
        <f>F7291*VLOOKUP(B7291,產品!$A$2:$H$61,7,FALSE)*(1-銷售總表!G7291)</f>
        <v>80640</v>
      </c>
      <c r="I7291" s="35">
        <f>H7291-F7291*VLOOKUP(銷售總表!B7291,產品!$A$2:$H$61,8,FALSE)</f>
        <v>23040</v>
      </c>
      <c r="J7291" s="20">
        <f t="shared" si="113"/>
        <v>0.2857142857142857</v>
      </c>
    </row>
    <row r="7292" spans="1:10" x14ac:dyDescent="0.3">
      <c r="A7292" s="33">
        <v>7291</v>
      </c>
      <c r="B7292" s="4">
        <v>58</v>
      </c>
      <c r="C7292" s="15">
        <v>121</v>
      </c>
      <c r="D7292" s="16">
        <v>8</v>
      </c>
      <c r="E7292" s="22">
        <v>45322</v>
      </c>
      <c r="F7292" s="17">
        <v>4</v>
      </c>
      <c r="G7292" s="18">
        <v>0.06</v>
      </c>
      <c r="H7292">
        <f>F7292*VLOOKUP(B7292,產品!$A$2:$H$61,7,FALSE)*(1-銷售總表!G7292)</f>
        <v>78960</v>
      </c>
      <c r="I7292" s="35">
        <f>H7292-F7292*VLOOKUP(銷售總表!B7292,產品!$A$2:$H$61,8,FALSE)</f>
        <v>20160.000000000007</v>
      </c>
      <c r="J7292" s="20">
        <f t="shared" si="113"/>
        <v>0.2553191489361703</v>
      </c>
    </row>
    <row r="7293" spans="1:10" x14ac:dyDescent="0.3">
      <c r="A7293" s="33">
        <v>7292</v>
      </c>
      <c r="B7293" s="4">
        <v>53</v>
      </c>
      <c r="C7293" s="15">
        <v>294</v>
      </c>
      <c r="D7293" s="16">
        <v>2</v>
      </c>
      <c r="E7293" s="22">
        <v>45323</v>
      </c>
      <c r="F7293" s="17">
        <v>2</v>
      </c>
      <c r="G7293" s="18">
        <v>0.12</v>
      </c>
      <c r="H7293">
        <f>F7293*VLOOKUP(B7293,產品!$A$2:$H$61,7,FALSE)*(1-銷售總表!G7293)</f>
        <v>26400</v>
      </c>
      <c r="I7293" s="35">
        <f>H7293-F7293*VLOOKUP(銷售總表!B7293,產品!$A$2:$H$61,8,FALSE)</f>
        <v>5400</v>
      </c>
      <c r="J7293" s="20">
        <f t="shared" si="113"/>
        <v>0.20454545454545456</v>
      </c>
    </row>
    <row r="7294" spans="1:10" x14ac:dyDescent="0.3">
      <c r="A7294" s="33">
        <v>7293</v>
      </c>
      <c r="B7294" s="4">
        <v>3</v>
      </c>
      <c r="C7294" s="15">
        <v>8</v>
      </c>
      <c r="D7294" s="16">
        <v>8</v>
      </c>
      <c r="E7294" s="22">
        <v>45323</v>
      </c>
      <c r="F7294" s="17">
        <v>250</v>
      </c>
      <c r="G7294" s="18">
        <v>0.14000000000000001</v>
      </c>
      <c r="H7294">
        <f>F7294*VLOOKUP(B7294,產品!$A$2:$H$61,7,FALSE)*(1-銷售總表!G7294)</f>
        <v>215000</v>
      </c>
      <c r="I7294" s="35">
        <f>H7294-F7294*VLOOKUP(銷售總表!B7294,產品!$A$2:$H$61,8,FALSE)</f>
        <v>115000</v>
      </c>
      <c r="J7294" s="20">
        <f t="shared" si="113"/>
        <v>0.53488372093023251</v>
      </c>
    </row>
    <row r="7295" spans="1:10" x14ac:dyDescent="0.3">
      <c r="A7295" s="33">
        <v>7294</v>
      </c>
      <c r="B7295" s="4">
        <v>59</v>
      </c>
      <c r="C7295" s="15">
        <v>273</v>
      </c>
      <c r="D7295" s="16">
        <v>3</v>
      </c>
      <c r="E7295" s="22">
        <v>45323</v>
      </c>
      <c r="F7295" s="17">
        <v>10</v>
      </c>
      <c r="G7295" s="18">
        <v>0.12</v>
      </c>
      <c r="H7295">
        <f>F7295*VLOOKUP(B7295,產品!$A$2:$H$61,7,FALSE)*(1-銷售總表!G7295)</f>
        <v>211200</v>
      </c>
      <c r="I7295" s="35">
        <f>H7295-F7295*VLOOKUP(銷售總表!B7295,產品!$A$2:$H$61,8,FALSE)</f>
        <v>43200</v>
      </c>
      <c r="J7295" s="20">
        <f t="shared" si="113"/>
        <v>0.20454545454545456</v>
      </c>
    </row>
    <row r="7296" spans="1:10" x14ac:dyDescent="0.3">
      <c r="A7296" s="33">
        <v>7295</v>
      </c>
      <c r="B7296" s="4">
        <v>44</v>
      </c>
      <c r="C7296" s="15">
        <v>259</v>
      </c>
      <c r="D7296" s="16">
        <v>4</v>
      </c>
      <c r="E7296" s="22">
        <v>45323</v>
      </c>
      <c r="F7296" s="17">
        <v>10</v>
      </c>
      <c r="G7296" s="18">
        <v>0.19</v>
      </c>
      <c r="H7296">
        <f>F7296*VLOOKUP(B7296,產品!$A$2:$H$61,7,FALSE)*(1-銷售總表!G7296)</f>
        <v>162000</v>
      </c>
      <c r="I7296" s="35">
        <f>H7296-F7296*VLOOKUP(銷售總表!B7296,產品!$A$2:$H$61,8,FALSE)</f>
        <v>32000</v>
      </c>
      <c r="J7296" s="20">
        <f t="shared" si="113"/>
        <v>0.19753086419753085</v>
      </c>
    </row>
    <row r="7297" spans="1:10" x14ac:dyDescent="0.3">
      <c r="A7297" s="33">
        <v>7296</v>
      </c>
      <c r="B7297" s="4">
        <v>29</v>
      </c>
      <c r="C7297" s="15">
        <v>124</v>
      </c>
      <c r="D7297" s="16">
        <v>1</v>
      </c>
      <c r="E7297" s="22">
        <v>45323</v>
      </c>
      <c r="F7297" s="17">
        <v>10</v>
      </c>
      <c r="G7297" s="18">
        <v>0.05</v>
      </c>
      <c r="H7297">
        <f>F7297*VLOOKUP(B7297,產品!$A$2:$H$61,7,FALSE)*(1-銷售總表!G7297)</f>
        <v>57000</v>
      </c>
      <c r="I7297" s="35">
        <f>H7297-F7297*VLOOKUP(銷售總表!B7297,產品!$A$2:$H$61,8,FALSE)</f>
        <v>21000</v>
      </c>
      <c r="J7297" s="20">
        <f t="shared" si="113"/>
        <v>0.36842105263157893</v>
      </c>
    </row>
    <row r="7298" spans="1:10" x14ac:dyDescent="0.3">
      <c r="A7298" s="33">
        <v>7297</v>
      </c>
      <c r="B7298" s="4">
        <v>21</v>
      </c>
      <c r="C7298" s="15">
        <v>135</v>
      </c>
      <c r="D7298" s="16">
        <v>6</v>
      </c>
      <c r="E7298" s="22">
        <v>45323</v>
      </c>
      <c r="F7298" s="19">
        <v>50</v>
      </c>
      <c r="G7298" s="18">
        <v>0.11</v>
      </c>
      <c r="H7298">
        <f>F7298*VLOOKUP(B7298,產品!$A$2:$H$61,7,FALSE)*(1-銷售總表!G7298)</f>
        <v>80100</v>
      </c>
      <c r="I7298" s="35">
        <f>H7298-F7298*VLOOKUP(銷售總表!B7298,產品!$A$2:$H$61,8,FALSE)</f>
        <v>44100</v>
      </c>
      <c r="J7298" s="20">
        <f t="shared" si="113"/>
        <v>0.550561797752809</v>
      </c>
    </row>
    <row r="7299" spans="1:10" x14ac:dyDescent="0.3">
      <c r="A7299" s="33">
        <v>7298</v>
      </c>
      <c r="B7299" s="4">
        <v>14</v>
      </c>
      <c r="C7299" s="15">
        <v>269</v>
      </c>
      <c r="D7299" s="16">
        <v>9</v>
      </c>
      <c r="E7299" s="22">
        <v>45324</v>
      </c>
      <c r="F7299" s="17">
        <v>20</v>
      </c>
      <c r="G7299" s="18">
        <v>0.13</v>
      </c>
      <c r="H7299">
        <f>F7299*VLOOKUP(B7299,產品!$A$2:$H$61,7,FALSE)*(1-銷售總表!G7299)</f>
        <v>31320</v>
      </c>
      <c r="I7299" s="35">
        <f>H7299-F7299*VLOOKUP(銷售總表!B7299,產品!$A$2:$H$61,8,FALSE)</f>
        <v>16920</v>
      </c>
      <c r="J7299" s="20">
        <f t="shared" ref="J7299:J7362" si="114">I7299/H7299</f>
        <v>0.54022988505747127</v>
      </c>
    </row>
    <row r="7300" spans="1:10" x14ac:dyDescent="0.3">
      <c r="A7300" s="33">
        <v>7299</v>
      </c>
      <c r="B7300" s="4">
        <v>59</v>
      </c>
      <c r="C7300" s="15">
        <v>113</v>
      </c>
      <c r="D7300" s="16">
        <v>5</v>
      </c>
      <c r="E7300" s="22">
        <v>45324</v>
      </c>
      <c r="F7300" s="17">
        <v>8</v>
      </c>
      <c r="G7300" s="18">
        <v>7.0000000000000007E-2</v>
      </c>
      <c r="H7300">
        <f>F7300*VLOOKUP(B7300,產品!$A$2:$H$61,7,FALSE)*(1-銷售總表!G7300)</f>
        <v>178560</v>
      </c>
      <c r="I7300" s="35">
        <f>H7300-F7300*VLOOKUP(銷售總表!B7300,產品!$A$2:$H$61,8,FALSE)</f>
        <v>44160</v>
      </c>
      <c r="J7300" s="20">
        <f t="shared" si="114"/>
        <v>0.24731182795698925</v>
      </c>
    </row>
    <row r="7301" spans="1:10" x14ac:dyDescent="0.3">
      <c r="A7301" s="33">
        <v>7300</v>
      </c>
      <c r="B7301" s="4">
        <v>39</v>
      </c>
      <c r="C7301" s="15">
        <v>272</v>
      </c>
      <c r="D7301" s="16">
        <v>10</v>
      </c>
      <c r="E7301" s="22">
        <v>45324</v>
      </c>
      <c r="F7301" s="17">
        <v>10</v>
      </c>
      <c r="G7301" s="18">
        <v>0.16</v>
      </c>
      <c r="H7301">
        <f>F7301*VLOOKUP(B7301,產品!$A$2:$H$61,7,FALSE)*(1-銷售總表!G7301)</f>
        <v>151200</v>
      </c>
      <c r="I7301" s="35">
        <f>H7301-F7301*VLOOKUP(銷售總表!B7301,產品!$A$2:$H$61,8,FALSE)</f>
        <v>34200</v>
      </c>
      <c r="J7301" s="20">
        <f t="shared" si="114"/>
        <v>0.22619047619047619</v>
      </c>
    </row>
    <row r="7302" spans="1:10" x14ac:dyDescent="0.3">
      <c r="A7302" s="33">
        <v>7301</v>
      </c>
      <c r="B7302" s="4">
        <v>6</v>
      </c>
      <c r="C7302" s="15">
        <v>275</v>
      </c>
      <c r="D7302" s="16">
        <v>9</v>
      </c>
      <c r="E7302" s="23">
        <v>45324</v>
      </c>
      <c r="F7302">
        <v>80</v>
      </c>
      <c r="G7302" s="20">
        <v>0.08</v>
      </c>
      <c r="H7302">
        <f>F7302*VLOOKUP(B7302,產品!$A$2:$H$61,7,FALSE)*(1-銷售總表!G7302)</f>
        <v>73600</v>
      </c>
      <c r="I7302" s="35">
        <f>H7302-F7302*VLOOKUP(銷售總表!B7302,產品!$A$2:$H$61,8,FALSE)</f>
        <v>41600</v>
      </c>
      <c r="J7302" s="20">
        <f t="shared" si="114"/>
        <v>0.56521739130434778</v>
      </c>
    </row>
    <row r="7303" spans="1:10" x14ac:dyDescent="0.3">
      <c r="A7303" s="33">
        <v>7302</v>
      </c>
      <c r="B7303" s="4">
        <v>25</v>
      </c>
      <c r="C7303" s="15">
        <v>280</v>
      </c>
      <c r="D7303" s="16">
        <v>10</v>
      </c>
      <c r="E7303" s="23">
        <v>45324</v>
      </c>
      <c r="F7303">
        <v>6</v>
      </c>
      <c r="G7303" s="20">
        <v>0.16</v>
      </c>
      <c r="H7303">
        <f>F7303*VLOOKUP(B7303,產品!$A$2:$H$61,7,FALSE)*(1-銷售總表!G7303)</f>
        <v>30240</v>
      </c>
      <c r="I7303" s="35">
        <f>H7303-F7303*VLOOKUP(銷售總表!B7303,產品!$A$2:$H$61,8,FALSE)</f>
        <v>8640</v>
      </c>
      <c r="J7303" s="20">
        <f t="shared" si="114"/>
        <v>0.2857142857142857</v>
      </c>
    </row>
    <row r="7304" spans="1:10" x14ac:dyDescent="0.3">
      <c r="A7304" s="33">
        <v>7303</v>
      </c>
      <c r="B7304" s="4">
        <v>28</v>
      </c>
      <c r="C7304" s="15">
        <v>257</v>
      </c>
      <c r="D7304" s="16">
        <v>8</v>
      </c>
      <c r="E7304" s="23">
        <v>45324</v>
      </c>
      <c r="F7304">
        <v>1</v>
      </c>
      <c r="G7304" s="20">
        <v>0.1</v>
      </c>
      <c r="H7304">
        <f>F7304*VLOOKUP(B7304,產品!$A$2:$H$61,7,FALSE)*(1-銷售總表!G7304)</f>
        <v>6750</v>
      </c>
      <c r="I7304" s="35">
        <f>H7304-F7304*VLOOKUP(銷售總表!B7304,產品!$A$2:$H$61,8,FALSE)</f>
        <v>2250</v>
      </c>
      <c r="J7304" s="20">
        <f t="shared" si="114"/>
        <v>0.33333333333333331</v>
      </c>
    </row>
    <row r="7305" spans="1:10" x14ac:dyDescent="0.3">
      <c r="A7305" s="33">
        <v>7304</v>
      </c>
      <c r="B7305" s="4">
        <v>58</v>
      </c>
      <c r="C7305" s="15">
        <v>113</v>
      </c>
      <c r="D7305" s="16">
        <v>9</v>
      </c>
      <c r="E7305" s="22">
        <v>45325</v>
      </c>
      <c r="F7305" s="17">
        <v>40</v>
      </c>
      <c r="G7305" s="18">
        <v>0.16</v>
      </c>
      <c r="H7305">
        <f>F7305*VLOOKUP(B7305,產品!$A$2:$H$61,7,FALSE)*(1-銷售總表!G7305)</f>
        <v>705600</v>
      </c>
      <c r="I7305" s="35">
        <f>H7305-F7305*VLOOKUP(銷售總表!B7305,產品!$A$2:$H$61,8,FALSE)</f>
        <v>117600.00000000012</v>
      </c>
      <c r="J7305" s="20">
        <f t="shared" si="114"/>
        <v>0.16666666666666682</v>
      </c>
    </row>
    <row r="7306" spans="1:10" x14ac:dyDescent="0.3">
      <c r="A7306" s="33">
        <v>7305</v>
      </c>
      <c r="B7306" s="4">
        <v>20</v>
      </c>
      <c r="C7306" s="15">
        <v>281</v>
      </c>
      <c r="D7306" s="16">
        <v>5</v>
      </c>
      <c r="E7306" s="22">
        <v>45325</v>
      </c>
      <c r="F7306" s="17">
        <v>20</v>
      </c>
      <c r="G7306" s="18">
        <v>0.13</v>
      </c>
      <c r="H7306">
        <f>F7306*VLOOKUP(B7306,產品!$A$2:$H$61,7,FALSE)*(1-銷售總表!G7306)</f>
        <v>31320</v>
      </c>
      <c r="I7306" s="35">
        <f>H7306-F7306*VLOOKUP(銷售總表!B7306,產品!$A$2:$H$61,8,FALSE)</f>
        <v>16920</v>
      </c>
      <c r="J7306" s="20">
        <f t="shared" si="114"/>
        <v>0.54022988505747127</v>
      </c>
    </row>
    <row r="7307" spans="1:10" x14ac:dyDescent="0.3">
      <c r="A7307" s="33">
        <v>7306</v>
      </c>
      <c r="B7307" s="4">
        <v>35</v>
      </c>
      <c r="C7307" s="15">
        <v>135</v>
      </c>
      <c r="D7307" s="16">
        <v>10</v>
      </c>
      <c r="E7307" s="22">
        <v>45325</v>
      </c>
      <c r="F7307" s="17">
        <v>4</v>
      </c>
      <c r="G7307" s="18">
        <v>0.09</v>
      </c>
      <c r="H7307">
        <f>F7307*VLOOKUP(B7307,產品!$A$2:$H$61,7,FALSE)*(1-銷售總表!G7307)</f>
        <v>30940</v>
      </c>
      <c r="I7307" s="35">
        <f>H7307-F7307*VLOOKUP(銷售總表!B7307,產品!$A$2:$H$61,8,FALSE)</f>
        <v>10540</v>
      </c>
      <c r="J7307" s="20">
        <f t="shared" si="114"/>
        <v>0.34065934065934067</v>
      </c>
    </row>
    <row r="7308" spans="1:10" x14ac:dyDescent="0.3">
      <c r="A7308" s="33">
        <v>7307</v>
      </c>
      <c r="B7308" s="4">
        <v>29</v>
      </c>
      <c r="C7308" s="15">
        <v>290</v>
      </c>
      <c r="D7308" s="16">
        <v>3</v>
      </c>
      <c r="E7308" s="22">
        <v>45325</v>
      </c>
      <c r="F7308" s="17">
        <v>5</v>
      </c>
      <c r="G7308" s="18">
        <v>0.18</v>
      </c>
      <c r="H7308">
        <f>F7308*VLOOKUP(B7308,產品!$A$2:$H$61,7,FALSE)*(1-銷售總表!G7308)</f>
        <v>24600.000000000004</v>
      </c>
      <c r="I7308" s="35">
        <f>H7308-F7308*VLOOKUP(銷售總表!B7308,產品!$A$2:$H$61,8,FALSE)</f>
        <v>6600.0000000000036</v>
      </c>
      <c r="J7308" s="20">
        <f t="shared" si="114"/>
        <v>0.2682926829268294</v>
      </c>
    </row>
    <row r="7309" spans="1:10" x14ac:dyDescent="0.3">
      <c r="A7309" s="33">
        <v>7308</v>
      </c>
      <c r="B7309" s="4">
        <v>59</v>
      </c>
      <c r="C7309" s="15">
        <v>290</v>
      </c>
      <c r="D7309" s="16">
        <v>6</v>
      </c>
      <c r="E7309" s="22">
        <v>45325</v>
      </c>
      <c r="F7309" s="19">
        <v>5</v>
      </c>
      <c r="G7309" s="18">
        <v>0.05</v>
      </c>
      <c r="H7309">
        <f>F7309*VLOOKUP(B7309,產品!$A$2:$H$61,7,FALSE)*(1-銷售總表!G7309)</f>
        <v>114000</v>
      </c>
      <c r="I7309" s="35">
        <f>H7309-F7309*VLOOKUP(銷售總表!B7309,產品!$A$2:$H$61,8,FALSE)</f>
        <v>30000</v>
      </c>
      <c r="J7309" s="20">
        <f t="shared" si="114"/>
        <v>0.26315789473684209</v>
      </c>
    </row>
    <row r="7310" spans="1:10" x14ac:dyDescent="0.3">
      <c r="A7310" s="33">
        <v>7309</v>
      </c>
      <c r="B7310" s="4">
        <v>5</v>
      </c>
      <c r="C7310" s="15">
        <v>285</v>
      </c>
      <c r="D7310" s="16">
        <v>1</v>
      </c>
      <c r="E7310" s="22">
        <v>45326</v>
      </c>
      <c r="F7310" s="17">
        <v>100</v>
      </c>
      <c r="G7310" s="18">
        <v>0.12</v>
      </c>
      <c r="H7310">
        <f>F7310*VLOOKUP(B7310,產品!$A$2:$H$61,7,FALSE)*(1-銷售總表!G7310)</f>
        <v>88000</v>
      </c>
      <c r="I7310" s="35">
        <f>H7310-F7310*VLOOKUP(銷售總表!B7310,產品!$A$2:$H$61,8,FALSE)</f>
        <v>48000</v>
      </c>
      <c r="J7310" s="20">
        <f t="shared" si="114"/>
        <v>0.54545454545454541</v>
      </c>
    </row>
    <row r="7311" spans="1:10" x14ac:dyDescent="0.3">
      <c r="A7311" s="33">
        <v>7310</v>
      </c>
      <c r="B7311" s="4">
        <v>17</v>
      </c>
      <c r="C7311" s="15">
        <v>113</v>
      </c>
      <c r="D7311" s="16">
        <v>10</v>
      </c>
      <c r="E7311" s="22">
        <v>45326</v>
      </c>
      <c r="F7311" s="17">
        <v>150</v>
      </c>
      <c r="G7311" s="18">
        <v>0.19</v>
      </c>
      <c r="H7311">
        <f>F7311*VLOOKUP(B7311,產品!$A$2:$H$61,7,FALSE)*(1-銷售總表!G7311)</f>
        <v>218700</v>
      </c>
      <c r="I7311" s="35">
        <f>H7311-F7311*VLOOKUP(銷售總表!B7311,產品!$A$2:$H$61,8,FALSE)</f>
        <v>110700</v>
      </c>
      <c r="J7311" s="20">
        <f t="shared" si="114"/>
        <v>0.50617283950617287</v>
      </c>
    </row>
    <row r="7312" spans="1:10" x14ac:dyDescent="0.3">
      <c r="A7312" s="33">
        <v>7311</v>
      </c>
      <c r="B7312" s="4">
        <v>47</v>
      </c>
      <c r="C7312" s="15">
        <v>125</v>
      </c>
      <c r="D7312" s="16">
        <v>1</v>
      </c>
      <c r="E7312" s="22">
        <v>45326</v>
      </c>
      <c r="F7312" s="17">
        <v>2</v>
      </c>
      <c r="G7312" s="18">
        <v>0.2</v>
      </c>
      <c r="H7312">
        <f>F7312*VLOOKUP(B7312,產品!$A$2:$H$61,7,FALSE)*(1-銷售總表!G7312)</f>
        <v>32000</v>
      </c>
      <c r="I7312" s="35">
        <f>H7312-F7312*VLOOKUP(銷售總表!B7312,產品!$A$2:$H$61,8,FALSE)</f>
        <v>6000</v>
      </c>
      <c r="J7312" s="20">
        <f t="shared" si="114"/>
        <v>0.1875</v>
      </c>
    </row>
    <row r="7313" spans="1:10" x14ac:dyDescent="0.3">
      <c r="A7313" s="33">
        <v>7312</v>
      </c>
      <c r="B7313" s="4">
        <v>6</v>
      </c>
      <c r="C7313" s="15">
        <v>112</v>
      </c>
      <c r="D7313" s="16">
        <v>3</v>
      </c>
      <c r="E7313" s="22">
        <v>45326</v>
      </c>
      <c r="F7313" s="17">
        <v>40</v>
      </c>
      <c r="G7313" s="18">
        <v>0.15</v>
      </c>
      <c r="H7313">
        <f>F7313*VLOOKUP(B7313,產品!$A$2:$H$61,7,FALSE)*(1-銷售總表!G7313)</f>
        <v>34000</v>
      </c>
      <c r="I7313" s="35">
        <f>H7313-F7313*VLOOKUP(銷售總表!B7313,產品!$A$2:$H$61,8,FALSE)</f>
        <v>18000</v>
      </c>
      <c r="J7313" s="20">
        <f t="shared" si="114"/>
        <v>0.52941176470588236</v>
      </c>
    </row>
    <row r="7314" spans="1:10" x14ac:dyDescent="0.3">
      <c r="A7314" s="33">
        <v>7313</v>
      </c>
      <c r="B7314" s="4">
        <v>59</v>
      </c>
      <c r="C7314" s="15">
        <v>7</v>
      </c>
      <c r="D7314" s="16">
        <v>1</v>
      </c>
      <c r="E7314" s="22">
        <v>45326</v>
      </c>
      <c r="F7314" s="17">
        <v>1</v>
      </c>
      <c r="G7314" s="18">
        <v>0.13</v>
      </c>
      <c r="H7314">
        <f>F7314*VLOOKUP(B7314,產品!$A$2:$H$61,7,FALSE)*(1-銷售總表!G7314)</f>
        <v>20880</v>
      </c>
      <c r="I7314" s="35">
        <f>H7314-F7314*VLOOKUP(銷售總表!B7314,產品!$A$2:$H$61,8,FALSE)</f>
        <v>4080</v>
      </c>
      <c r="J7314" s="20">
        <f t="shared" si="114"/>
        <v>0.19540229885057472</v>
      </c>
    </row>
    <row r="7315" spans="1:10" x14ac:dyDescent="0.3">
      <c r="A7315" s="33">
        <v>7314</v>
      </c>
      <c r="B7315" s="4">
        <v>6</v>
      </c>
      <c r="C7315" s="15">
        <v>294</v>
      </c>
      <c r="D7315" s="16">
        <v>1</v>
      </c>
      <c r="E7315" s="23">
        <v>45326</v>
      </c>
      <c r="F7315">
        <v>100</v>
      </c>
      <c r="G7315" s="20">
        <v>0.06</v>
      </c>
      <c r="H7315">
        <f>F7315*VLOOKUP(B7315,產品!$A$2:$H$61,7,FALSE)*(1-銷售總表!G7315)</f>
        <v>94000</v>
      </c>
      <c r="I7315" s="35">
        <f>H7315-F7315*VLOOKUP(銷售總表!B7315,產品!$A$2:$H$61,8,FALSE)</f>
        <v>54000</v>
      </c>
      <c r="J7315" s="20">
        <f t="shared" si="114"/>
        <v>0.57446808510638303</v>
      </c>
    </row>
    <row r="7316" spans="1:10" x14ac:dyDescent="0.3">
      <c r="A7316" s="33">
        <v>7315</v>
      </c>
      <c r="B7316" s="4">
        <v>60</v>
      </c>
      <c r="C7316" s="15">
        <v>263</v>
      </c>
      <c r="D7316" s="16">
        <v>10</v>
      </c>
      <c r="E7316" s="23">
        <v>45326</v>
      </c>
      <c r="F7316">
        <v>10</v>
      </c>
      <c r="G7316" s="20">
        <v>0.11</v>
      </c>
      <c r="H7316">
        <f>F7316*VLOOKUP(B7316,產品!$A$2:$H$61,7,FALSE)*(1-銷售總表!G7316)</f>
        <v>222500</v>
      </c>
      <c r="I7316" s="35">
        <f>H7316-F7316*VLOOKUP(銷售總表!B7316,產品!$A$2:$H$61,8,FALSE)</f>
        <v>47500</v>
      </c>
      <c r="J7316" s="20">
        <f t="shared" si="114"/>
        <v>0.21348314606741572</v>
      </c>
    </row>
    <row r="7317" spans="1:10" x14ac:dyDescent="0.3">
      <c r="A7317" s="33">
        <v>7316</v>
      </c>
      <c r="B7317" s="4">
        <v>23</v>
      </c>
      <c r="C7317" s="15">
        <v>10</v>
      </c>
      <c r="D7317" s="16">
        <v>6</v>
      </c>
      <c r="E7317" s="22">
        <v>45327</v>
      </c>
      <c r="F7317" s="17">
        <v>30</v>
      </c>
      <c r="G7317" s="18">
        <v>0.19</v>
      </c>
      <c r="H7317">
        <f>F7317*VLOOKUP(B7317,產品!$A$2:$H$61,7,FALSE)*(1-銷售總表!G7317)</f>
        <v>43740</v>
      </c>
      <c r="I7317" s="35">
        <f>H7317-F7317*VLOOKUP(銷售總表!B7317,產品!$A$2:$H$61,8,FALSE)</f>
        <v>22140</v>
      </c>
      <c r="J7317" s="20">
        <f t="shared" si="114"/>
        <v>0.50617283950617287</v>
      </c>
    </row>
    <row r="7318" spans="1:10" x14ac:dyDescent="0.3">
      <c r="A7318" s="33">
        <v>7317</v>
      </c>
      <c r="B7318" s="4">
        <v>35</v>
      </c>
      <c r="C7318" s="15">
        <v>275</v>
      </c>
      <c r="D7318" s="16">
        <v>7</v>
      </c>
      <c r="E7318" s="22">
        <v>45327</v>
      </c>
      <c r="F7318" s="17">
        <v>2</v>
      </c>
      <c r="G7318" s="18">
        <v>0.19</v>
      </c>
      <c r="H7318">
        <f>F7318*VLOOKUP(B7318,產品!$A$2:$H$61,7,FALSE)*(1-銷售總表!G7318)</f>
        <v>13770</v>
      </c>
      <c r="I7318" s="35">
        <f>H7318-F7318*VLOOKUP(銷售總表!B7318,產品!$A$2:$H$61,8,FALSE)</f>
        <v>3570</v>
      </c>
      <c r="J7318" s="20">
        <f t="shared" si="114"/>
        <v>0.25925925925925924</v>
      </c>
    </row>
    <row r="7319" spans="1:10" x14ac:dyDescent="0.3">
      <c r="A7319" s="33">
        <v>7318</v>
      </c>
      <c r="B7319" s="4">
        <v>42</v>
      </c>
      <c r="C7319" s="15">
        <v>294</v>
      </c>
      <c r="D7319" s="16">
        <v>6</v>
      </c>
      <c r="E7319" s="22">
        <v>45327</v>
      </c>
      <c r="F7319" s="19">
        <v>5</v>
      </c>
      <c r="G7319" s="18">
        <v>0.18</v>
      </c>
      <c r="H7319">
        <f>F7319*VLOOKUP(B7319,產品!$A$2:$H$61,7,FALSE)*(1-銷售總表!G7319)</f>
        <v>61500.000000000007</v>
      </c>
      <c r="I7319" s="35">
        <f>H7319-F7319*VLOOKUP(銷售總表!B7319,產品!$A$2:$H$61,8,FALSE)</f>
        <v>12750.000000000007</v>
      </c>
      <c r="J7319" s="20">
        <f t="shared" si="114"/>
        <v>0.20731707317073181</v>
      </c>
    </row>
    <row r="7320" spans="1:10" x14ac:dyDescent="0.3">
      <c r="A7320" s="33">
        <v>7319</v>
      </c>
      <c r="B7320" s="4">
        <v>36</v>
      </c>
      <c r="C7320" s="15">
        <v>8</v>
      </c>
      <c r="D7320" s="16">
        <v>10</v>
      </c>
      <c r="E7320" s="22">
        <v>45327</v>
      </c>
      <c r="F7320" s="19">
        <v>17</v>
      </c>
      <c r="G7320" s="18">
        <v>0.11</v>
      </c>
      <c r="H7320">
        <f>F7320*VLOOKUP(B7320,產品!$A$2:$H$61,7,FALSE)*(1-銷售總表!G7320)</f>
        <v>136170</v>
      </c>
      <c r="I7320" s="35">
        <f>H7320-F7320*VLOOKUP(銷售總表!B7320,產品!$A$2:$H$61,8,FALSE)</f>
        <v>44370</v>
      </c>
      <c r="J7320" s="20">
        <f t="shared" si="114"/>
        <v>0.3258426966292135</v>
      </c>
    </row>
    <row r="7321" spans="1:10" x14ac:dyDescent="0.3">
      <c r="A7321" s="33">
        <v>7320</v>
      </c>
      <c r="B7321" s="4">
        <v>19</v>
      </c>
      <c r="C7321" s="15">
        <v>135</v>
      </c>
      <c r="D7321" s="16">
        <v>1</v>
      </c>
      <c r="E7321" s="22">
        <v>45328</v>
      </c>
      <c r="F7321" s="17">
        <v>30</v>
      </c>
      <c r="G7321" s="18">
        <v>0.12</v>
      </c>
      <c r="H7321">
        <f>F7321*VLOOKUP(B7321,產品!$A$2:$H$61,7,FALSE)*(1-銷售總表!G7321)</f>
        <v>47520</v>
      </c>
      <c r="I7321" s="35">
        <f>H7321-F7321*VLOOKUP(銷售總表!B7321,產品!$A$2:$H$61,8,FALSE)</f>
        <v>25920</v>
      </c>
      <c r="J7321" s="20">
        <f t="shared" si="114"/>
        <v>0.54545454545454541</v>
      </c>
    </row>
    <row r="7322" spans="1:10" x14ac:dyDescent="0.3">
      <c r="A7322" s="33">
        <v>7321</v>
      </c>
      <c r="B7322" s="4">
        <v>28</v>
      </c>
      <c r="C7322" s="15">
        <v>270</v>
      </c>
      <c r="D7322" s="16">
        <v>8</v>
      </c>
      <c r="E7322" s="22">
        <v>45328</v>
      </c>
      <c r="F7322" s="17">
        <v>15</v>
      </c>
      <c r="G7322" s="18">
        <v>0.06</v>
      </c>
      <c r="H7322">
        <f>F7322*VLOOKUP(B7322,產品!$A$2:$H$61,7,FALSE)*(1-銷售總表!G7322)</f>
        <v>105750</v>
      </c>
      <c r="I7322" s="35">
        <f>H7322-F7322*VLOOKUP(銷售總表!B7322,產品!$A$2:$H$61,8,FALSE)</f>
        <v>38250</v>
      </c>
      <c r="J7322" s="20">
        <f t="shared" si="114"/>
        <v>0.36170212765957449</v>
      </c>
    </row>
    <row r="7323" spans="1:10" x14ac:dyDescent="0.3">
      <c r="A7323" s="33">
        <v>7322</v>
      </c>
      <c r="B7323" s="4">
        <v>25</v>
      </c>
      <c r="C7323" s="15">
        <v>275</v>
      </c>
      <c r="D7323" s="16">
        <v>9</v>
      </c>
      <c r="E7323" s="22">
        <v>45328</v>
      </c>
      <c r="F7323" s="17">
        <v>5</v>
      </c>
      <c r="G7323" s="18">
        <v>0.12</v>
      </c>
      <c r="H7323">
        <f>F7323*VLOOKUP(B7323,產品!$A$2:$H$61,7,FALSE)*(1-銷售總表!G7323)</f>
        <v>26400</v>
      </c>
      <c r="I7323" s="35">
        <f>H7323-F7323*VLOOKUP(銷售總表!B7323,產品!$A$2:$H$61,8,FALSE)</f>
        <v>8400</v>
      </c>
      <c r="J7323" s="20">
        <f t="shared" si="114"/>
        <v>0.31818181818181818</v>
      </c>
    </row>
    <row r="7324" spans="1:10" x14ac:dyDescent="0.3">
      <c r="A7324" s="33">
        <v>7323</v>
      </c>
      <c r="B7324" s="4">
        <v>34</v>
      </c>
      <c r="C7324" s="15">
        <v>5</v>
      </c>
      <c r="D7324" s="16">
        <v>7</v>
      </c>
      <c r="E7324" s="23">
        <v>45328</v>
      </c>
      <c r="F7324">
        <v>6</v>
      </c>
      <c r="G7324" s="20">
        <v>0.09</v>
      </c>
      <c r="H7324">
        <f>F7324*VLOOKUP(B7324,產品!$A$2:$H$61,7,FALSE)*(1-銷售總表!G7324)</f>
        <v>43680</v>
      </c>
      <c r="I7324" s="35">
        <f>H7324-F7324*VLOOKUP(銷售總表!B7324,產品!$A$2:$H$61,8,FALSE)</f>
        <v>14880</v>
      </c>
      <c r="J7324" s="20">
        <f t="shared" si="114"/>
        <v>0.34065934065934067</v>
      </c>
    </row>
    <row r="7325" spans="1:10" x14ac:dyDescent="0.3">
      <c r="A7325" s="33">
        <v>7324</v>
      </c>
      <c r="B7325" s="4">
        <v>30</v>
      </c>
      <c r="C7325" s="15">
        <v>125</v>
      </c>
      <c r="D7325" s="16">
        <v>2</v>
      </c>
      <c r="E7325" s="22">
        <v>45329</v>
      </c>
      <c r="F7325" s="17">
        <v>5</v>
      </c>
      <c r="G7325" s="18">
        <v>0.11</v>
      </c>
      <c r="H7325">
        <f>F7325*VLOOKUP(B7325,產品!$A$2:$H$61,7,FALSE)*(1-銷售總表!G7325)</f>
        <v>28925</v>
      </c>
      <c r="I7325" s="35">
        <f>H7325-F7325*VLOOKUP(銷售總表!B7325,產品!$A$2:$H$61,8,FALSE)</f>
        <v>9425</v>
      </c>
      <c r="J7325" s="20">
        <f t="shared" si="114"/>
        <v>0.3258426966292135</v>
      </c>
    </row>
    <row r="7326" spans="1:10" x14ac:dyDescent="0.3">
      <c r="A7326" s="33">
        <v>7325</v>
      </c>
      <c r="B7326" s="4">
        <v>52</v>
      </c>
      <c r="C7326" s="15">
        <v>275</v>
      </c>
      <c r="D7326" s="16">
        <v>10</v>
      </c>
      <c r="E7326" s="22">
        <v>45329</v>
      </c>
      <c r="F7326" s="17">
        <v>7</v>
      </c>
      <c r="G7326" s="18">
        <v>0.11</v>
      </c>
      <c r="H7326">
        <f>F7326*VLOOKUP(B7326,產品!$A$2:$H$61,7,FALSE)*(1-銷售總表!G7326)</f>
        <v>137060</v>
      </c>
      <c r="I7326" s="35">
        <f>H7326-F7326*VLOOKUP(銷售總表!B7326,產品!$A$2:$H$61,8,FALSE)</f>
        <v>29260.000000000015</v>
      </c>
      <c r="J7326" s="20">
        <f t="shared" si="114"/>
        <v>0.21348314606741584</v>
      </c>
    </row>
    <row r="7327" spans="1:10" x14ac:dyDescent="0.3">
      <c r="A7327" s="33">
        <v>7326</v>
      </c>
      <c r="B7327" s="4">
        <v>50</v>
      </c>
      <c r="C7327" s="15">
        <v>271</v>
      </c>
      <c r="D7327" s="16">
        <v>7</v>
      </c>
      <c r="E7327" s="22">
        <v>45329</v>
      </c>
      <c r="F7327" s="17">
        <v>8</v>
      </c>
      <c r="G7327" s="18">
        <v>0.17</v>
      </c>
      <c r="H7327">
        <f>F7327*VLOOKUP(B7327,產品!$A$2:$H$61,7,FALSE)*(1-銷售總表!G7327)</f>
        <v>119520</v>
      </c>
      <c r="I7327" s="35">
        <f>H7327-F7327*VLOOKUP(銷售總表!B7327,產品!$A$2:$H$61,8,FALSE)</f>
        <v>18720</v>
      </c>
      <c r="J7327" s="20">
        <f t="shared" si="114"/>
        <v>0.15662650602409639</v>
      </c>
    </row>
    <row r="7328" spans="1:10" x14ac:dyDescent="0.3">
      <c r="A7328" s="33">
        <v>7327</v>
      </c>
      <c r="B7328" s="4">
        <v>60</v>
      </c>
      <c r="C7328" s="15">
        <v>115</v>
      </c>
      <c r="D7328" s="16">
        <v>6</v>
      </c>
      <c r="E7328" s="22">
        <v>45329</v>
      </c>
      <c r="F7328" s="17">
        <v>1</v>
      </c>
      <c r="G7328" s="18">
        <v>0.12</v>
      </c>
      <c r="H7328">
        <f>F7328*VLOOKUP(B7328,產品!$A$2:$H$61,7,FALSE)*(1-銷售總表!G7328)</f>
        <v>22000</v>
      </c>
      <c r="I7328" s="35">
        <f>H7328-F7328*VLOOKUP(銷售總表!B7328,產品!$A$2:$H$61,8,FALSE)</f>
        <v>4500</v>
      </c>
      <c r="J7328" s="20">
        <f t="shared" si="114"/>
        <v>0.20454545454545456</v>
      </c>
    </row>
    <row r="7329" spans="1:10" x14ac:dyDescent="0.3">
      <c r="A7329" s="33">
        <v>7328</v>
      </c>
      <c r="B7329" s="4">
        <v>19</v>
      </c>
      <c r="C7329" s="15">
        <v>272</v>
      </c>
      <c r="D7329" s="16">
        <v>1</v>
      </c>
      <c r="E7329" s="22">
        <v>45329</v>
      </c>
      <c r="F7329" s="19">
        <v>13</v>
      </c>
      <c r="G7329" s="18">
        <v>0.2</v>
      </c>
      <c r="H7329">
        <f>F7329*VLOOKUP(B7329,產品!$A$2:$H$61,7,FALSE)*(1-銷售總表!G7329)</f>
        <v>18720</v>
      </c>
      <c r="I7329" s="35">
        <f>H7329-F7329*VLOOKUP(銷售總表!B7329,產品!$A$2:$H$61,8,FALSE)</f>
        <v>9360</v>
      </c>
      <c r="J7329" s="20">
        <f t="shared" si="114"/>
        <v>0.5</v>
      </c>
    </row>
    <row r="7330" spans="1:10" x14ac:dyDescent="0.3">
      <c r="A7330" s="33">
        <v>7329</v>
      </c>
      <c r="B7330" s="4">
        <v>27</v>
      </c>
      <c r="C7330" s="15">
        <v>4</v>
      </c>
      <c r="D7330" s="16">
        <v>1</v>
      </c>
      <c r="E7330" s="22">
        <v>45330</v>
      </c>
      <c r="F7330" s="17">
        <v>30</v>
      </c>
      <c r="G7330" s="18">
        <v>0.17</v>
      </c>
      <c r="H7330">
        <f>F7330*VLOOKUP(B7330,產品!$A$2:$H$61,7,FALSE)*(1-銷售總表!G7330)</f>
        <v>174300</v>
      </c>
      <c r="I7330" s="35">
        <f>H7330-F7330*VLOOKUP(銷售總表!B7330,產品!$A$2:$H$61,8,FALSE)</f>
        <v>48300</v>
      </c>
      <c r="J7330" s="20">
        <f t="shared" si="114"/>
        <v>0.27710843373493976</v>
      </c>
    </row>
    <row r="7331" spans="1:10" x14ac:dyDescent="0.3">
      <c r="A7331" s="33">
        <v>7330</v>
      </c>
      <c r="B7331" s="4">
        <v>55</v>
      </c>
      <c r="C7331" s="15">
        <v>123</v>
      </c>
      <c r="D7331" s="16">
        <v>5</v>
      </c>
      <c r="E7331" s="22">
        <v>45330</v>
      </c>
      <c r="F7331" s="17">
        <v>6</v>
      </c>
      <c r="G7331" s="18">
        <v>0.16</v>
      </c>
      <c r="H7331">
        <f>F7331*VLOOKUP(B7331,產品!$A$2:$H$61,7,FALSE)*(1-銷售總表!G7331)</f>
        <v>100800</v>
      </c>
      <c r="I7331" s="35">
        <f>H7331-F7331*VLOOKUP(銷售總表!B7331,產品!$A$2:$H$61,8,FALSE)</f>
        <v>16800</v>
      </c>
      <c r="J7331" s="20">
        <f t="shared" si="114"/>
        <v>0.16666666666666666</v>
      </c>
    </row>
    <row r="7332" spans="1:10" x14ac:dyDescent="0.3">
      <c r="A7332" s="33">
        <v>7331</v>
      </c>
      <c r="B7332" s="4">
        <v>6</v>
      </c>
      <c r="C7332" s="15">
        <v>287</v>
      </c>
      <c r="D7332" s="16">
        <v>3</v>
      </c>
      <c r="E7332" s="22">
        <v>45330</v>
      </c>
      <c r="F7332" s="17">
        <v>200</v>
      </c>
      <c r="G7332" s="18">
        <v>0.12</v>
      </c>
      <c r="H7332">
        <f>F7332*VLOOKUP(B7332,產品!$A$2:$H$61,7,FALSE)*(1-銷售總表!G7332)</f>
        <v>176000</v>
      </c>
      <c r="I7332" s="35">
        <f>H7332-F7332*VLOOKUP(銷售總表!B7332,產品!$A$2:$H$61,8,FALSE)</f>
        <v>96000</v>
      </c>
      <c r="J7332" s="20">
        <f t="shared" si="114"/>
        <v>0.54545454545454541</v>
      </c>
    </row>
    <row r="7333" spans="1:10" x14ac:dyDescent="0.3">
      <c r="A7333" s="33">
        <v>7332</v>
      </c>
      <c r="B7333" s="4">
        <v>14</v>
      </c>
      <c r="C7333" s="15">
        <v>277</v>
      </c>
      <c r="D7333" s="16">
        <v>9</v>
      </c>
      <c r="E7333" s="23">
        <v>45331</v>
      </c>
      <c r="F7333">
        <v>125</v>
      </c>
      <c r="G7333" s="20">
        <v>0.17</v>
      </c>
      <c r="H7333">
        <f>F7333*VLOOKUP(B7333,產品!$A$2:$H$61,7,FALSE)*(1-銷售總表!G7333)</f>
        <v>186750</v>
      </c>
      <c r="I7333" s="35">
        <f>H7333-F7333*VLOOKUP(銷售總表!B7333,產品!$A$2:$H$61,8,FALSE)</f>
        <v>96750</v>
      </c>
      <c r="J7333" s="20">
        <f t="shared" si="114"/>
        <v>0.51807228915662651</v>
      </c>
    </row>
    <row r="7334" spans="1:10" x14ac:dyDescent="0.3">
      <c r="A7334" s="33">
        <v>7333</v>
      </c>
      <c r="B7334" s="4">
        <v>56</v>
      </c>
      <c r="C7334" s="15">
        <v>11</v>
      </c>
      <c r="D7334" s="16">
        <v>3</v>
      </c>
      <c r="E7334" s="23">
        <v>45331</v>
      </c>
      <c r="F7334">
        <v>6</v>
      </c>
      <c r="G7334" s="20">
        <v>0.1</v>
      </c>
      <c r="H7334">
        <f>F7334*VLOOKUP(B7334,產品!$A$2:$H$61,7,FALSE)*(1-銷售總表!G7334)</f>
        <v>118800</v>
      </c>
      <c r="I7334" s="35">
        <f>H7334-F7334*VLOOKUP(銷售總表!B7334,產品!$A$2:$H$61,8,FALSE)</f>
        <v>26400.000000000015</v>
      </c>
      <c r="J7334" s="20">
        <f t="shared" si="114"/>
        <v>0.22222222222222235</v>
      </c>
    </row>
    <row r="7335" spans="1:10" x14ac:dyDescent="0.3">
      <c r="A7335" s="33">
        <v>7334</v>
      </c>
      <c r="B7335" s="4">
        <v>3</v>
      </c>
      <c r="C7335" s="15">
        <v>117</v>
      </c>
      <c r="D7335" s="16">
        <v>3</v>
      </c>
      <c r="E7335" s="23">
        <v>45333</v>
      </c>
      <c r="F7335">
        <v>70</v>
      </c>
      <c r="G7335" s="20">
        <v>0.2</v>
      </c>
      <c r="H7335">
        <f>F7335*VLOOKUP(B7335,產品!$A$2:$H$61,7,FALSE)*(1-銷售總表!G7335)</f>
        <v>56000</v>
      </c>
      <c r="I7335" s="35">
        <f>H7335-F7335*VLOOKUP(銷售總表!B7335,產品!$A$2:$H$61,8,FALSE)</f>
        <v>28000</v>
      </c>
      <c r="J7335" s="20">
        <f t="shared" si="114"/>
        <v>0.5</v>
      </c>
    </row>
    <row r="7336" spans="1:10" x14ac:dyDescent="0.3">
      <c r="A7336" s="33">
        <v>7335</v>
      </c>
      <c r="B7336" s="4">
        <v>46</v>
      </c>
      <c r="C7336" s="15">
        <v>115</v>
      </c>
      <c r="D7336" s="16">
        <v>7</v>
      </c>
      <c r="E7336" s="23">
        <v>45336</v>
      </c>
      <c r="F7336">
        <v>8</v>
      </c>
      <c r="G7336" s="20">
        <v>0.13</v>
      </c>
      <c r="H7336">
        <f>F7336*VLOOKUP(B7336,產品!$A$2:$H$61,7,FALSE)*(1-銷售總表!G7336)</f>
        <v>118320</v>
      </c>
      <c r="I7336" s="35">
        <f>H7336-F7336*VLOOKUP(銷售總表!B7336,產品!$A$2:$H$61,8,FALSE)</f>
        <v>29920</v>
      </c>
      <c r="J7336" s="20">
        <f t="shared" si="114"/>
        <v>0.25287356321839083</v>
      </c>
    </row>
    <row r="7337" spans="1:10" x14ac:dyDescent="0.3">
      <c r="A7337" s="33">
        <v>7336</v>
      </c>
      <c r="B7337" s="4">
        <v>32</v>
      </c>
      <c r="C7337" s="15">
        <v>123</v>
      </c>
      <c r="D7337" s="16">
        <v>9</v>
      </c>
      <c r="E7337" s="23">
        <v>45338</v>
      </c>
      <c r="F7337">
        <v>5</v>
      </c>
      <c r="G7337" s="20">
        <v>0.12</v>
      </c>
      <c r="H7337">
        <f>F7337*VLOOKUP(B7337,產品!$A$2:$H$61,7,FALSE)*(1-銷售總表!G7337)</f>
        <v>33000</v>
      </c>
      <c r="I7337" s="35">
        <f>H7337-F7337*VLOOKUP(銷售總表!B7337,產品!$A$2:$H$61,8,FALSE)</f>
        <v>10500</v>
      </c>
      <c r="J7337" s="20">
        <f t="shared" si="114"/>
        <v>0.31818181818181818</v>
      </c>
    </row>
    <row r="7338" spans="1:10" x14ac:dyDescent="0.3">
      <c r="A7338" s="33">
        <v>7337</v>
      </c>
      <c r="B7338" s="4">
        <v>50</v>
      </c>
      <c r="C7338" s="15">
        <v>291</v>
      </c>
      <c r="D7338" s="16">
        <v>9</v>
      </c>
      <c r="E7338" s="23">
        <v>45338</v>
      </c>
      <c r="F7338">
        <v>8</v>
      </c>
      <c r="G7338" s="20">
        <v>0.16</v>
      </c>
      <c r="H7338">
        <f>F7338*VLOOKUP(B7338,產品!$A$2:$H$61,7,FALSE)*(1-銷售總表!G7338)</f>
        <v>120960</v>
      </c>
      <c r="I7338" s="35">
        <f>H7338-F7338*VLOOKUP(銷售總表!B7338,產品!$A$2:$H$61,8,FALSE)</f>
        <v>20160</v>
      </c>
      <c r="J7338" s="20">
        <f t="shared" si="114"/>
        <v>0.16666666666666666</v>
      </c>
    </row>
    <row r="7339" spans="1:10" x14ac:dyDescent="0.3">
      <c r="A7339" s="33">
        <v>7338</v>
      </c>
      <c r="B7339" s="4">
        <v>27</v>
      </c>
      <c r="C7339" s="15">
        <v>9</v>
      </c>
      <c r="D7339" s="16">
        <v>5</v>
      </c>
      <c r="E7339" s="23">
        <v>45339</v>
      </c>
      <c r="F7339">
        <v>4</v>
      </c>
      <c r="G7339" s="20">
        <v>0.1</v>
      </c>
      <c r="H7339">
        <f>F7339*VLOOKUP(B7339,產品!$A$2:$H$61,7,FALSE)*(1-銷售總表!G7339)</f>
        <v>25200</v>
      </c>
      <c r="I7339" s="35">
        <f>H7339-F7339*VLOOKUP(銷售總表!B7339,產品!$A$2:$H$61,8,FALSE)</f>
        <v>8400</v>
      </c>
      <c r="J7339" s="20">
        <f t="shared" si="114"/>
        <v>0.33333333333333331</v>
      </c>
    </row>
    <row r="7340" spans="1:10" x14ac:dyDescent="0.3">
      <c r="A7340" s="33">
        <v>7339</v>
      </c>
      <c r="B7340" s="4">
        <v>5</v>
      </c>
      <c r="C7340" s="15">
        <v>273</v>
      </c>
      <c r="D7340" s="16">
        <v>1</v>
      </c>
      <c r="E7340" s="23">
        <v>45339</v>
      </c>
      <c r="F7340">
        <v>11</v>
      </c>
      <c r="G7340" s="20">
        <v>7.0000000000000007E-2</v>
      </c>
      <c r="H7340">
        <f>F7340*VLOOKUP(B7340,產品!$A$2:$H$61,7,FALSE)*(1-銷售總表!G7340)</f>
        <v>10230</v>
      </c>
      <c r="I7340" s="35">
        <f>H7340-F7340*VLOOKUP(銷售總表!B7340,產品!$A$2:$H$61,8,FALSE)</f>
        <v>5830</v>
      </c>
      <c r="J7340" s="20">
        <f t="shared" si="114"/>
        <v>0.56989247311827962</v>
      </c>
    </row>
    <row r="7341" spans="1:10" x14ac:dyDescent="0.3">
      <c r="A7341" s="33">
        <v>7340</v>
      </c>
      <c r="B7341" s="4">
        <v>48</v>
      </c>
      <c r="C7341" s="15">
        <v>268</v>
      </c>
      <c r="D7341" s="16">
        <v>7</v>
      </c>
      <c r="E7341" s="23">
        <v>45340</v>
      </c>
      <c r="F7341">
        <v>7</v>
      </c>
      <c r="G7341" s="20">
        <v>7.0000000000000007E-2</v>
      </c>
      <c r="H7341">
        <f>F7341*VLOOKUP(B7341,產品!$A$2:$H$61,7,FALSE)*(1-銷售總表!G7341)</f>
        <v>143220</v>
      </c>
      <c r="I7341" s="35">
        <f>H7341-F7341*VLOOKUP(銷售總表!B7341,產品!$A$2:$H$61,8,FALSE)</f>
        <v>43120</v>
      </c>
      <c r="J7341" s="20">
        <f t="shared" si="114"/>
        <v>0.30107526881720431</v>
      </c>
    </row>
    <row r="7342" spans="1:10" x14ac:dyDescent="0.3">
      <c r="A7342" s="33">
        <v>7341</v>
      </c>
      <c r="B7342" s="4">
        <v>32</v>
      </c>
      <c r="C7342" s="15">
        <v>121</v>
      </c>
      <c r="D7342" s="16">
        <v>1</v>
      </c>
      <c r="E7342" s="23">
        <v>45340</v>
      </c>
      <c r="F7342">
        <v>13</v>
      </c>
      <c r="G7342" s="20">
        <v>0.09</v>
      </c>
      <c r="H7342">
        <f>F7342*VLOOKUP(B7342,產品!$A$2:$H$61,7,FALSE)*(1-銷售總表!G7342)</f>
        <v>88725</v>
      </c>
      <c r="I7342" s="35">
        <f>H7342-F7342*VLOOKUP(銷售總表!B7342,產品!$A$2:$H$61,8,FALSE)</f>
        <v>30225</v>
      </c>
      <c r="J7342" s="20">
        <f t="shared" si="114"/>
        <v>0.34065934065934067</v>
      </c>
    </row>
    <row r="7343" spans="1:10" x14ac:dyDescent="0.3">
      <c r="A7343" s="33">
        <v>7342</v>
      </c>
      <c r="B7343" s="4">
        <v>39</v>
      </c>
      <c r="C7343" s="15">
        <v>265</v>
      </c>
      <c r="D7343" s="16">
        <v>1</v>
      </c>
      <c r="E7343" s="23">
        <v>45341</v>
      </c>
      <c r="F7343">
        <v>5</v>
      </c>
      <c r="G7343" s="20">
        <v>0.15</v>
      </c>
      <c r="H7343">
        <f>F7343*VLOOKUP(B7343,產品!$A$2:$H$61,7,FALSE)*(1-銷售總表!G7343)</f>
        <v>76500</v>
      </c>
      <c r="I7343" s="35">
        <f>H7343-F7343*VLOOKUP(銷售總表!B7343,產品!$A$2:$H$61,8,FALSE)</f>
        <v>18000</v>
      </c>
      <c r="J7343" s="20">
        <f t="shared" si="114"/>
        <v>0.23529411764705882</v>
      </c>
    </row>
    <row r="7344" spans="1:10" x14ac:dyDescent="0.3">
      <c r="A7344" s="33">
        <v>7343</v>
      </c>
      <c r="B7344" s="4">
        <v>52</v>
      </c>
      <c r="C7344" s="15">
        <v>124</v>
      </c>
      <c r="D7344" s="16">
        <v>10</v>
      </c>
      <c r="E7344" s="23">
        <v>45342</v>
      </c>
      <c r="F7344">
        <v>13</v>
      </c>
      <c r="G7344" s="20">
        <v>0.17</v>
      </c>
      <c r="H7344">
        <f>F7344*VLOOKUP(B7344,產品!$A$2:$H$61,7,FALSE)*(1-銷售總表!G7344)</f>
        <v>237380</v>
      </c>
      <c r="I7344" s="35">
        <f>H7344-F7344*VLOOKUP(銷售總表!B7344,產品!$A$2:$H$61,8,FALSE)</f>
        <v>37180.000000000029</v>
      </c>
      <c r="J7344" s="20">
        <f t="shared" si="114"/>
        <v>0.1566265060240965</v>
      </c>
    </row>
    <row r="7345" spans="1:10" x14ac:dyDescent="0.3">
      <c r="A7345" s="33">
        <v>7344</v>
      </c>
      <c r="B7345" s="4">
        <v>49</v>
      </c>
      <c r="C7345" s="15">
        <v>137</v>
      </c>
      <c r="D7345" s="16">
        <v>5</v>
      </c>
      <c r="E7345" s="23">
        <v>45343</v>
      </c>
      <c r="F7345">
        <v>20</v>
      </c>
      <c r="G7345" s="20">
        <v>0.18</v>
      </c>
      <c r="H7345">
        <f>F7345*VLOOKUP(B7345,產品!$A$2:$H$61,7,FALSE)*(1-銷售總表!G7345)</f>
        <v>246000.00000000003</v>
      </c>
      <c r="I7345" s="35">
        <f>H7345-F7345*VLOOKUP(銷售總表!B7345,產品!$A$2:$H$61,8,FALSE)</f>
        <v>36000.000000000029</v>
      </c>
      <c r="J7345" s="20">
        <f t="shared" si="114"/>
        <v>0.14634146341463425</v>
      </c>
    </row>
    <row r="7346" spans="1:10" x14ac:dyDescent="0.3">
      <c r="A7346" s="33">
        <v>7345</v>
      </c>
      <c r="B7346" s="4">
        <v>44</v>
      </c>
      <c r="C7346" s="15">
        <v>265</v>
      </c>
      <c r="D7346" s="16">
        <v>3</v>
      </c>
      <c r="E7346" s="23">
        <v>45343</v>
      </c>
      <c r="F7346">
        <v>12</v>
      </c>
      <c r="G7346" s="20">
        <v>0.06</v>
      </c>
      <c r="H7346">
        <f>F7346*VLOOKUP(B7346,產品!$A$2:$H$61,7,FALSE)*(1-銷售總表!G7346)</f>
        <v>225600</v>
      </c>
      <c r="I7346" s="35">
        <f>H7346-F7346*VLOOKUP(銷售總表!B7346,產品!$A$2:$H$61,8,FALSE)</f>
        <v>69600</v>
      </c>
      <c r="J7346" s="20">
        <f t="shared" si="114"/>
        <v>0.30851063829787234</v>
      </c>
    </row>
    <row r="7347" spans="1:10" x14ac:dyDescent="0.3">
      <c r="A7347" s="33">
        <v>7346</v>
      </c>
      <c r="B7347" s="4">
        <v>15</v>
      </c>
      <c r="C7347" s="15">
        <v>5</v>
      </c>
      <c r="D7347" s="16">
        <v>8</v>
      </c>
      <c r="E7347" s="23">
        <v>45344</v>
      </c>
      <c r="F7347">
        <v>80</v>
      </c>
      <c r="G7347" s="20">
        <v>0.11</v>
      </c>
      <c r="H7347">
        <f>F7347*VLOOKUP(B7347,產品!$A$2:$H$61,7,FALSE)*(1-銷售總表!G7347)</f>
        <v>128160</v>
      </c>
      <c r="I7347" s="35">
        <f>H7347-F7347*VLOOKUP(銷售總表!B7347,產品!$A$2:$H$61,8,FALSE)</f>
        <v>70560</v>
      </c>
      <c r="J7347" s="20">
        <f t="shared" si="114"/>
        <v>0.550561797752809</v>
      </c>
    </row>
    <row r="7348" spans="1:10" x14ac:dyDescent="0.3">
      <c r="A7348" s="33">
        <v>7347</v>
      </c>
      <c r="B7348" s="4">
        <v>33</v>
      </c>
      <c r="C7348" s="15">
        <v>1</v>
      </c>
      <c r="D7348" s="16">
        <v>4</v>
      </c>
      <c r="E7348" s="23">
        <v>45345</v>
      </c>
      <c r="F7348">
        <v>6</v>
      </c>
      <c r="G7348" s="20">
        <v>0.2</v>
      </c>
      <c r="H7348">
        <f>F7348*VLOOKUP(B7348,產品!$A$2:$H$61,7,FALSE)*(1-銷售總表!G7348)</f>
        <v>36000</v>
      </c>
      <c r="I7348" s="35">
        <f>H7348-F7348*VLOOKUP(銷售總表!B7348,產品!$A$2:$H$61,8,FALSE)</f>
        <v>9000</v>
      </c>
      <c r="J7348" s="20">
        <f t="shared" si="114"/>
        <v>0.25</v>
      </c>
    </row>
    <row r="7349" spans="1:10" x14ac:dyDescent="0.3">
      <c r="A7349" s="33">
        <v>7348</v>
      </c>
      <c r="B7349" s="4">
        <v>35</v>
      </c>
      <c r="C7349" s="15">
        <v>123</v>
      </c>
      <c r="D7349" s="16">
        <v>2</v>
      </c>
      <c r="E7349" s="23">
        <v>45346</v>
      </c>
      <c r="F7349">
        <v>7</v>
      </c>
      <c r="G7349" s="20">
        <v>7.0000000000000007E-2</v>
      </c>
      <c r="H7349">
        <f>F7349*VLOOKUP(B7349,產品!$A$2:$H$61,7,FALSE)*(1-銷售總表!G7349)</f>
        <v>55334.999999999993</v>
      </c>
      <c r="I7349" s="35">
        <f>H7349-F7349*VLOOKUP(銷售總表!B7349,產品!$A$2:$H$61,8,FALSE)</f>
        <v>19634.999999999993</v>
      </c>
      <c r="J7349" s="20">
        <f t="shared" si="114"/>
        <v>0.35483870967741926</v>
      </c>
    </row>
    <row r="7350" spans="1:10" x14ac:dyDescent="0.3">
      <c r="A7350" s="33">
        <v>7349</v>
      </c>
      <c r="B7350" s="4">
        <v>44</v>
      </c>
      <c r="C7350" s="15">
        <v>123</v>
      </c>
      <c r="D7350" s="16">
        <v>4</v>
      </c>
      <c r="E7350" s="23">
        <v>45348</v>
      </c>
      <c r="F7350">
        <v>4</v>
      </c>
      <c r="G7350" s="20">
        <v>0.14000000000000001</v>
      </c>
      <c r="H7350">
        <f>F7350*VLOOKUP(B7350,產品!$A$2:$H$61,7,FALSE)*(1-銷售總表!G7350)</f>
        <v>68800</v>
      </c>
      <c r="I7350" s="35">
        <f>H7350-F7350*VLOOKUP(銷售總表!B7350,產品!$A$2:$H$61,8,FALSE)</f>
        <v>16800</v>
      </c>
      <c r="J7350" s="20">
        <f t="shared" si="114"/>
        <v>0.2441860465116279</v>
      </c>
    </row>
    <row r="7351" spans="1:10" x14ac:dyDescent="0.3">
      <c r="A7351" s="33">
        <v>7350</v>
      </c>
      <c r="B7351" s="4">
        <v>27</v>
      </c>
      <c r="C7351" s="15">
        <v>266</v>
      </c>
      <c r="D7351" s="16">
        <v>1</v>
      </c>
      <c r="E7351" s="23">
        <v>45350</v>
      </c>
      <c r="F7351">
        <v>4</v>
      </c>
      <c r="G7351" s="20">
        <v>0.09</v>
      </c>
      <c r="H7351">
        <f>F7351*VLOOKUP(B7351,產品!$A$2:$H$61,7,FALSE)*(1-銷售總表!G7351)</f>
        <v>25480</v>
      </c>
      <c r="I7351" s="35">
        <f>H7351-F7351*VLOOKUP(銷售總表!B7351,產品!$A$2:$H$61,8,FALSE)</f>
        <v>8680</v>
      </c>
      <c r="J7351" s="20">
        <f t="shared" si="114"/>
        <v>0.34065934065934067</v>
      </c>
    </row>
    <row r="7352" spans="1:10" x14ac:dyDescent="0.3">
      <c r="A7352" s="33">
        <v>7351</v>
      </c>
      <c r="B7352" s="4">
        <v>26</v>
      </c>
      <c r="C7352" s="15">
        <v>279</v>
      </c>
      <c r="D7352" s="16">
        <v>9</v>
      </c>
      <c r="E7352" s="23">
        <v>45352</v>
      </c>
      <c r="F7352">
        <v>7</v>
      </c>
      <c r="G7352" s="20">
        <v>0.18</v>
      </c>
      <c r="H7352">
        <f>F7352*VLOOKUP(B7352,產品!$A$2:$H$61,7,FALSE)*(1-銷售總表!G7352)</f>
        <v>37310</v>
      </c>
      <c r="I7352" s="35">
        <f>H7352-F7352*VLOOKUP(銷售總表!B7352,產品!$A$2:$H$61,8,FALSE)</f>
        <v>10010</v>
      </c>
      <c r="J7352" s="20">
        <f t="shared" si="114"/>
        <v>0.26829268292682928</v>
      </c>
    </row>
    <row r="7353" spans="1:10" x14ac:dyDescent="0.3">
      <c r="A7353" s="33">
        <v>7352</v>
      </c>
      <c r="B7353" s="4">
        <v>30</v>
      </c>
      <c r="C7353" s="15">
        <v>138</v>
      </c>
      <c r="D7353" s="16">
        <v>8</v>
      </c>
      <c r="E7353" s="23">
        <v>45353</v>
      </c>
      <c r="F7353">
        <v>7</v>
      </c>
      <c r="G7353" s="20">
        <v>0.09</v>
      </c>
      <c r="H7353">
        <f>F7353*VLOOKUP(B7353,產品!$A$2:$H$61,7,FALSE)*(1-銷售總表!G7353)</f>
        <v>41405</v>
      </c>
      <c r="I7353" s="35">
        <f>H7353-F7353*VLOOKUP(銷售總表!B7353,產品!$A$2:$H$61,8,FALSE)</f>
        <v>14105</v>
      </c>
      <c r="J7353" s="20">
        <f t="shared" si="114"/>
        <v>0.34065934065934067</v>
      </c>
    </row>
    <row r="7354" spans="1:10" x14ac:dyDescent="0.3">
      <c r="A7354" s="33">
        <v>7353</v>
      </c>
      <c r="B7354" s="4">
        <v>56</v>
      </c>
      <c r="C7354" s="15">
        <v>282</v>
      </c>
      <c r="D7354" s="16">
        <v>6</v>
      </c>
      <c r="E7354" s="23">
        <v>45357</v>
      </c>
      <c r="F7354">
        <v>7</v>
      </c>
      <c r="G7354" s="20">
        <v>0.13</v>
      </c>
      <c r="H7354">
        <f>F7354*VLOOKUP(B7354,產品!$A$2:$H$61,7,FALSE)*(1-銷售總表!G7354)</f>
        <v>133980</v>
      </c>
      <c r="I7354" s="35">
        <f>H7354-F7354*VLOOKUP(銷售總表!B7354,產品!$A$2:$H$61,8,FALSE)</f>
        <v>26180.000000000015</v>
      </c>
      <c r="J7354" s="20">
        <f t="shared" si="114"/>
        <v>0.19540229885057483</v>
      </c>
    </row>
    <row r="7355" spans="1:10" x14ac:dyDescent="0.3">
      <c r="A7355" s="33">
        <v>7354</v>
      </c>
      <c r="B7355" s="4">
        <v>46</v>
      </c>
      <c r="C7355" s="15">
        <v>3</v>
      </c>
      <c r="D7355" s="16">
        <v>3</v>
      </c>
      <c r="E7355" s="23">
        <v>45357</v>
      </c>
      <c r="F7355">
        <v>10</v>
      </c>
      <c r="G7355" s="20">
        <v>0.19</v>
      </c>
      <c r="H7355">
        <f>F7355*VLOOKUP(B7355,產品!$A$2:$H$61,7,FALSE)*(1-銷售總表!G7355)</f>
        <v>137700</v>
      </c>
      <c r="I7355" s="35">
        <f>H7355-F7355*VLOOKUP(銷售總表!B7355,產品!$A$2:$H$61,8,FALSE)</f>
        <v>27200</v>
      </c>
      <c r="J7355" s="20">
        <f t="shared" si="114"/>
        <v>0.19753086419753085</v>
      </c>
    </row>
    <row r="7356" spans="1:10" x14ac:dyDescent="0.3">
      <c r="A7356" s="33">
        <v>7355</v>
      </c>
      <c r="B7356" s="4">
        <v>41</v>
      </c>
      <c r="C7356" s="15">
        <v>266</v>
      </c>
      <c r="D7356" s="16">
        <v>7</v>
      </c>
      <c r="E7356" s="23">
        <v>45360</v>
      </c>
      <c r="F7356">
        <v>4</v>
      </c>
      <c r="G7356" s="20">
        <v>0.12</v>
      </c>
      <c r="H7356">
        <f>F7356*VLOOKUP(B7356,產品!$A$2:$H$61,7,FALSE)*(1-銷售總表!G7356)</f>
        <v>42240</v>
      </c>
      <c r="I7356" s="35">
        <f>H7356-F7356*VLOOKUP(銷售總表!B7356,產品!$A$2:$H$61,8,FALSE)</f>
        <v>11040</v>
      </c>
      <c r="J7356" s="20">
        <f t="shared" si="114"/>
        <v>0.26136363636363635</v>
      </c>
    </row>
    <row r="7357" spans="1:10" x14ac:dyDescent="0.3">
      <c r="A7357" s="33">
        <v>7356</v>
      </c>
      <c r="B7357" s="4">
        <v>28</v>
      </c>
      <c r="C7357" s="15">
        <v>124</v>
      </c>
      <c r="D7357" s="16">
        <v>4</v>
      </c>
      <c r="E7357" s="23">
        <v>45362</v>
      </c>
      <c r="F7357">
        <v>13</v>
      </c>
      <c r="G7357" s="20">
        <v>0.09</v>
      </c>
      <c r="H7357">
        <f>F7357*VLOOKUP(B7357,產品!$A$2:$H$61,7,FALSE)*(1-銷售總表!G7357)</f>
        <v>88725</v>
      </c>
      <c r="I7357" s="35">
        <f>H7357-F7357*VLOOKUP(銷售總表!B7357,產品!$A$2:$H$61,8,FALSE)</f>
        <v>30225</v>
      </c>
      <c r="J7357" s="20">
        <f t="shared" si="114"/>
        <v>0.34065934065934067</v>
      </c>
    </row>
    <row r="7358" spans="1:10" x14ac:dyDescent="0.3">
      <c r="A7358" s="33">
        <v>7357</v>
      </c>
      <c r="B7358" s="4">
        <v>12</v>
      </c>
      <c r="C7358" s="15">
        <v>263</v>
      </c>
      <c r="D7358" s="16">
        <v>9</v>
      </c>
      <c r="E7358" s="23">
        <v>45363</v>
      </c>
      <c r="F7358">
        <v>70</v>
      </c>
      <c r="G7358" s="20">
        <v>7.0000000000000007E-2</v>
      </c>
      <c r="H7358">
        <f>F7358*VLOOKUP(B7358,產品!$A$2:$H$61,7,FALSE)*(1-銷售總表!G7358)</f>
        <v>65099.999999999993</v>
      </c>
      <c r="I7358" s="35">
        <f>H7358-F7358*VLOOKUP(銷售總表!B7358,產品!$A$2:$H$61,8,FALSE)</f>
        <v>37099.999999999993</v>
      </c>
      <c r="J7358" s="20">
        <f t="shared" si="114"/>
        <v>0.56989247311827951</v>
      </c>
    </row>
    <row r="7359" spans="1:10" x14ac:dyDescent="0.3">
      <c r="A7359" s="33">
        <v>7358</v>
      </c>
      <c r="B7359" s="4">
        <v>42</v>
      </c>
      <c r="C7359" s="15">
        <v>4</v>
      </c>
      <c r="D7359" s="16">
        <v>4</v>
      </c>
      <c r="E7359" s="23">
        <v>45365</v>
      </c>
      <c r="F7359">
        <v>10</v>
      </c>
      <c r="G7359" s="20">
        <v>7.0000000000000007E-2</v>
      </c>
      <c r="H7359">
        <f>F7359*VLOOKUP(B7359,產品!$A$2:$H$61,7,FALSE)*(1-銷售總表!G7359)</f>
        <v>139500</v>
      </c>
      <c r="I7359" s="35">
        <f>H7359-F7359*VLOOKUP(銷售總表!B7359,產品!$A$2:$H$61,8,FALSE)</f>
        <v>42000</v>
      </c>
      <c r="J7359" s="20">
        <f t="shared" si="114"/>
        <v>0.30107526881720431</v>
      </c>
    </row>
    <row r="7360" spans="1:10" x14ac:dyDescent="0.3">
      <c r="A7360" s="33">
        <v>7359</v>
      </c>
      <c r="B7360" s="4">
        <v>24</v>
      </c>
      <c r="C7360" s="15">
        <v>118</v>
      </c>
      <c r="D7360" s="16">
        <v>10</v>
      </c>
      <c r="E7360" s="23">
        <v>45367</v>
      </c>
      <c r="F7360">
        <v>50</v>
      </c>
      <c r="G7360" s="20">
        <v>0.12</v>
      </c>
      <c r="H7360">
        <f>F7360*VLOOKUP(B7360,產品!$A$2:$H$61,7,FALSE)*(1-銷售總表!G7360)</f>
        <v>79200</v>
      </c>
      <c r="I7360" s="35">
        <f>H7360-F7360*VLOOKUP(銷售總表!B7360,產品!$A$2:$H$61,8,FALSE)</f>
        <v>43200</v>
      </c>
      <c r="J7360" s="20">
        <f t="shared" si="114"/>
        <v>0.54545454545454541</v>
      </c>
    </row>
    <row r="7361" spans="1:10" x14ac:dyDescent="0.3">
      <c r="A7361" s="33">
        <v>7360</v>
      </c>
      <c r="B7361" s="4">
        <v>58</v>
      </c>
      <c r="C7361" s="15">
        <v>3</v>
      </c>
      <c r="D7361" s="16">
        <v>4</v>
      </c>
      <c r="E7361" s="23">
        <v>45368</v>
      </c>
      <c r="F7361">
        <v>11</v>
      </c>
      <c r="G7361" s="20">
        <v>0.08</v>
      </c>
      <c r="H7361">
        <f>F7361*VLOOKUP(B7361,產品!$A$2:$H$61,7,FALSE)*(1-銷售總表!G7361)</f>
        <v>212520</v>
      </c>
      <c r="I7361" s="35">
        <f>H7361-F7361*VLOOKUP(銷售總表!B7361,產品!$A$2:$H$61,8,FALSE)</f>
        <v>50820.000000000029</v>
      </c>
      <c r="J7361" s="20">
        <f t="shared" si="114"/>
        <v>0.23913043478260884</v>
      </c>
    </row>
    <row r="7362" spans="1:10" x14ac:dyDescent="0.3">
      <c r="A7362" s="33">
        <v>7361</v>
      </c>
      <c r="B7362" s="4">
        <v>7</v>
      </c>
      <c r="C7362" s="15">
        <v>5</v>
      </c>
      <c r="D7362" s="16">
        <v>3</v>
      </c>
      <c r="E7362" s="23">
        <v>45368</v>
      </c>
      <c r="F7362">
        <v>80</v>
      </c>
      <c r="G7362" s="20">
        <v>0.2</v>
      </c>
      <c r="H7362">
        <f>F7362*VLOOKUP(B7362,產品!$A$2:$H$61,7,FALSE)*(1-銷售總表!G7362)</f>
        <v>64000</v>
      </c>
      <c r="I7362" s="35">
        <f>H7362-F7362*VLOOKUP(銷售總表!B7362,產品!$A$2:$H$61,8,FALSE)</f>
        <v>32000</v>
      </c>
      <c r="J7362" s="20">
        <f t="shared" si="114"/>
        <v>0.5</v>
      </c>
    </row>
    <row r="7363" spans="1:10" x14ac:dyDescent="0.3">
      <c r="A7363" s="33">
        <v>7362</v>
      </c>
      <c r="B7363" s="4">
        <v>47</v>
      </c>
      <c r="C7363" s="15">
        <v>272</v>
      </c>
      <c r="D7363" s="16">
        <v>3</v>
      </c>
      <c r="E7363" s="23">
        <v>45368</v>
      </c>
      <c r="F7363">
        <v>18</v>
      </c>
      <c r="G7363" s="20">
        <v>0.17</v>
      </c>
      <c r="H7363">
        <f>F7363*VLOOKUP(B7363,產品!$A$2:$H$61,7,FALSE)*(1-銷售總表!G7363)</f>
        <v>298800</v>
      </c>
      <c r="I7363" s="35">
        <f>H7363-F7363*VLOOKUP(銷售總表!B7363,產品!$A$2:$H$61,8,FALSE)</f>
        <v>64800</v>
      </c>
      <c r="J7363" s="20">
        <f t="shared" ref="J7363:J7389" si="115">I7363/H7363</f>
        <v>0.21686746987951808</v>
      </c>
    </row>
    <row r="7364" spans="1:10" x14ac:dyDescent="0.3">
      <c r="A7364" s="33">
        <v>7363</v>
      </c>
      <c r="B7364" s="4">
        <v>54</v>
      </c>
      <c r="C7364" s="15">
        <v>12</v>
      </c>
      <c r="D7364" s="16">
        <v>1</v>
      </c>
      <c r="E7364" s="23">
        <v>45369</v>
      </c>
      <c r="F7364">
        <v>10</v>
      </c>
      <c r="G7364" s="20">
        <v>0.14000000000000001</v>
      </c>
      <c r="H7364">
        <f>F7364*VLOOKUP(B7364,產品!$A$2:$H$61,7,FALSE)*(1-銷售總表!G7364)</f>
        <v>154800</v>
      </c>
      <c r="I7364" s="35">
        <f>H7364-F7364*VLOOKUP(銷售總表!B7364,產品!$A$2:$H$61,8,FALSE)</f>
        <v>28800</v>
      </c>
      <c r="J7364" s="20">
        <f t="shared" si="115"/>
        <v>0.18604651162790697</v>
      </c>
    </row>
    <row r="7365" spans="1:10" x14ac:dyDescent="0.3">
      <c r="A7365" s="33">
        <v>7364</v>
      </c>
      <c r="B7365" s="4">
        <v>7</v>
      </c>
      <c r="C7365" s="15">
        <v>263</v>
      </c>
      <c r="D7365" s="16">
        <v>3</v>
      </c>
      <c r="E7365" s="23">
        <v>45369</v>
      </c>
      <c r="F7365">
        <v>175</v>
      </c>
      <c r="G7365" s="20">
        <v>0.05</v>
      </c>
      <c r="H7365">
        <f>F7365*VLOOKUP(B7365,產品!$A$2:$H$61,7,FALSE)*(1-銷售總表!G7365)</f>
        <v>166250</v>
      </c>
      <c r="I7365" s="35">
        <f>H7365-F7365*VLOOKUP(銷售總表!B7365,產品!$A$2:$H$61,8,FALSE)</f>
        <v>96250</v>
      </c>
      <c r="J7365" s="20">
        <f t="shared" si="115"/>
        <v>0.57894736842105265</v>
      </c>
    </row>
    <row r="7366" spans="1:10" x14ac:dyDescent="0.3">
      <c r="A7366" s="33">
        <v>7365</v>
      </c>
      <c r="B7366" s="4">
        <v>38</v>
      </c>
      <c r="C7366" s="15">
        <v>275</v>
      </c>
      <c r="D7366" s="16">
        <v>6</v>
      </c>
      <c r="E7366" s="23">
        <v>45370</v>
      </c>
      <c r="F7366">
        <v>6</v>
      </c>
      <c r="G7366" s="20">
        <v>0.19</v>
      </c>
      <c r="H7366">
        <f>F7366*VLOOKUP(B7366,產品!$A$2:$H$61,7,FALSE)*(1-銷售總表!G7366)</f>
        <v>72900</v>
      </c>
      <c r="I7366" s="35">
        <f>H7366-F7366*VLOOKUP(銷售總表!B7366,產品!$A$2:$H$61,8,FALSE)</f>
        <v>14400</v>
      </c>
      <c r="J7366" s="20">
        <f t="shared" si="115"/>
        <v>0.19753086419753085</v>
      </c>
    </row>
    <row r="7367" spans="1:10" x14ac:dyDescent="0.3">
      <c r="A7367" s="33">
        <v>7366</v>
      </c>
      <c r="B7367" s="4">
        <v>28</v>
      </c>
      <c r="C7367" s="15">
        <v>267</v>
      </c>
      <c r="D7367" s="16">
        <v>4</v>
      </c>
      <c r="E7367" s="23">
        <v>45370</v>
      </c>
      <c r="F7367">
        <v>11</v>
      </c>
      <c r="G7367" s="20">
        <v>7.0000000000000007E-2</v>
      </c>
      <c r="H7367">
        <f>F7367*VLOOKUP(B7367,產品!$A$2:$H$61,7,FALSE)*(1-銷售總表!G7367)</f>
        <v>76725</v>
      </c>
      <c r="I7367" s="35">
        <f>H7367-F7367*VLOOKUP(銷售總表!B7367,產品!$A$2:$H$61,8,FALSE)</f>
        <v>27225</v>
      </c>
      <c r="J7367" s="20">
        <f t="shared" si="115"/>
        <v>0.35483870967741937</v>
      </c>
    </row>
    <row r="7368" spans="1:10" x14ac:dyDescent="0.3">
      <c r="A7368" s="33">
        <v>7367</v>
      </c>
      <c r="B7368" s="4">
        <v>28</v>
      </c>
      <c r="C7368" s="15">
        <v>282</v>
      </c>
      <c r="D7368" s="16">
        <v>8</v>
      </c>
      <c r="E7368" s="23">
        <v>45373</v>
      </c>
      <c r="F7368">
        <v>7</v>
      </c>
      <c r="G7368" s="20">
        <v>0.05</v>
      </c>
      <c r="H7368">
        <f>F7368*VLOOKUP(B7368,產品!$A$2:$H$61,7,FALSE)*(1-銷售總表!G7368)</f>
        <v>49875</v>
      </c>
      <c r="I7368" s="35">
        <f>H7368-F7368*VLOOKUP(銷售總表!B7368,產品!$A$2:$H$61,8,FALSE)</f>
        <v>18375</v>
      </c>
      <c r="J7368" s="20">
        <f t="shared" si="115"/>
        <v>0.36842105263157893</v>
      </c>
    </row>
    <row r="7369" spans="1:10" x14ac:dyDescent="0.3">
      <c r="A7369" s="33">
        <v>7368</v>
      </c>
      <c r="B7369" s="4">
        <v>50</v>
      </c>
      <c r="C7369" s="15">
        <v>267</v>
      </c>
      <c r="D7369" s="16">
        <v>4</v>
      </c>
      <c r="E7369" s="23">
        <v>45373</v>
      </c>
      <c r="F7369">
        <v>4</v>
      </c>
      <c r="G7369" s="20">
        <v>0.16</v>
      </c>
      <c r="H7369">
        <f>F7369*VLOOKUP(B7369,產品!$A$2:$H$61,7,FALSE)*(1-銷售總表!G7369)</f>
        <v>60480</v>
      </c>
      <c r="I7369" s="35">
        <f>H7369-F7369*VLOOKUP(銷售總表!B7369,產品!$A$2:$H$61,8,FALSE)</f>
        <v>10080</v>
      </c>
      <c r="J7369" s="20">
        <f t="shared" si="115"/>
        <v>0.16666666666666666</v>
      </c>
    </row>
    <row r="7370" spans="1:10" x14ac:dyDescent="0.3">
      <c r="A7370" s="33">
        <v>7369</v>
      </c>
      <c r="B7370" s="4">
        <v>60</v>
      </c>
      <c r="C7370" s="15">
        <v>5</v>
      </c>
      <c r="D7370" s="16">
        <v>1</v>
      </c>
      <c r="E7370" s="23">
        <v>45376</v>
      </c>
      <c r="F7370">
        <v>6</v>
      </c>
      <c r="G7370" s="20">
        <v>7.0000000000000007E-2</v>
      </c>
      <c r="H7370">
        <f>F7370*VLOOKUP(B7370,產品!$A$2:$H$61,7,FALSE)*(1-銷售總表!G7370)</f>
        <v>139500</v>
      </c>
      <c r="I7370" s="35">
        <f>H7370-F7370*VLOOKUP(銷售總表!B7370,產品!$A$2:$H$61,8,FALSE)</f>
        <v>34500</v>
      </c>
      <c r="J7370" s="20">
        <f t="shared" si="115"/>
        <v>0.24731182795698925</v>
      </c>
    </row>
    <row r="7371" spans="1:10" x14ac:dyDescent="0.3">
      <c r="A7371" s="33">
        <v>7370</v>
      </c>
      <c r="B7371" s="4">
        <v>14</v>
      </c>
      <c r="C7371" s="15">
        <v>264</v>
      </c>
      <c r="D7371" s="16">
        <v>10</v>
      </c>
      <c r="E7371" s="23">
        <v>45376</v>
      </c>
      <c r="F7371">
        <v>90</v>
      </c>
      <c r="G7371" s="20">
        <v>0.06</v>
      </c>
      <c r="H7371">
        <f>F7371*VLOOKUP(B7371,產品!$A$2:$H$61,7,FALSE)*(1-銷售總表!G7371)</f>
        <v>152280</v>
      </c>
      <c r="I7371" s="35">
        <f>H7371-F7371*VLOOKUP(銷售總表!B7371,產品!$A$2:$H$61,8,FALSE)</f>
        <v>87480</v>
      </c>
      <c r="J7371" s="20">
        <f t="shared" si="115"/>
        <v>0.57446808510638303</v>
      </c>
    </row>
    <row r="7372" spans="1:10" x14ac:dyDescent="0.3">
      <c r="A7372" s="33">
        <v>7371</v>
      </c>
      <c r="B7372" s="4">
        <v>8</v>
      </c>
      <c r="C7372" s="15">
        <v>126</v>
      </c>
      <c r="D7372" s="16">
        <v>10</v>
      </c>
      <c r="E7372" s="23">
        <v>45379</v>
      </c>
      <c r="F7372">
        <v>100</v>
      </c>
      <c r="G7372" s="20">
        <v>0.19</v>
      </c>
      <c r="H7372">
        <f>F7372*VLOOKUP(B7372,產品!$A$2:$H$61,7,FALSE)*(1-銷售總表!G7372)</f>
        <v>81000</v>
      </c>
      <c r="I7372" s="35">
        <f>H7372-F7372*VLOOKUP(銷售總表!B7372,產品!$A$2:$H$61,8,FALSE)</f>
        <v>41000</v>
      </c>
      <c r="J7372" s="20">
        <f t="shared" si="115"/>
        <v>0.50617283950617287</v>
      </c>
    </row>
    <row r="7373" spans="1:10" x14ac:dyDescent="0.3">
      <c r="A7373" s="33">
        <v>7372</v>
      </c>
      <c r="B7373" s="4">
        <v>25</v>
      </c>
      <c r="C7373" s="15">
        <v>272</v>
      </c>
      <c r="D7373" s="16">
        <v>9</v>
      </c>
      <c r="E7373" s="23">
        <v>45380</v>
      </c>
      <c r="F7373">
        <v>35</v>
      </c>
      <c r="G7373" s="20">
        <v>0.19</v>
      </c>
      <c r="H7373">
        <f>F7373*VLOOKUP(B7373,產品!$A$2:$H$61,7,FALSE)*(1-銷售總表!G7373)</f>
        <v>170100</v>
      </c>
      <c r="I7373" s="35">
        <f>H7373-F7373*VLOOKUP(銷售總表!B7373,產品!$A$2:$H$61,8,FALSE)</f>
        <v>44100</v>
      </c>
      <c r="J7373" s="20">
        <f t="shared" si="115"/>
        <v>0.25925925925925924</v>
      </c>
    </row>
    <row r="7374" spans="1:10" x14ac:dyDescent="0.3">
      <c r="A7374" s="33">
        <v>7373</v>
      </c>
      <c r="B7374" s="4">
        <v>13</v>
      </c>
      <c r="C7374" s="15">
        <v>134</v>
      </c>
      <c r="D7374" s="16">
        <v>1</v>
      </c>
      <c r="E7374" s="23">
        <v>45382</v>
      </c>
      <c r="F7374">
        <v>200</v>
      </c>
      <c r="G7374" s="20">
        <v>7.0000000000000007E-2</v>
      </c>
      <c r="H7374">
        <f>F7374*VLOOKUP(B7374,產品!$A$2:$H$61,7,FALSE)*(1-銷售總表!G7374)</f>
        <v>334800</v>
      </c>
      <c r="I7374" s="35">
        <f>H7374-F7374*VLOOKUP(銷售總表!B7374,產品!$A$2:$H$61,8,FALSE)</f>
        <v>190800</v>
      </c>
      <c r="J7374" s="20">
        <f t="shared" si="115"/>
        <v>0.56989247311827962</v>
      </c>
    </row>
    <row r="7375" spans="1:10" x14ac:dyDescent="0.3">
      <c r="A7375" s="33">
        <v>7374</v>
      </c>
      <c r="B7375" s="4">
        <v>7</v>
      </c>
      <c r="C7375" s="15">
        <v>10</v>
      </c>
      <c r="D7375" s="16">
        <v>2</v>
      </c>
      <c r="E7375" s="23">
        <v>45382</v>
      </c>
      <c r="F7375">
        <v>300</v>
      </c>
      <c r="G7375" s="20">
        <v>0.14000000000000001</v>
      </c>
      <c r="H7375">
        <f>F7375*VLOOKUP(B7375,產品!$A$2:$H$61,7,FALSE)*(1-銷售總表!G7375)</f>
        <v>258000</v>
      </c>
      <c r="I7375" s="35">
        <f>H7375-F7375*VLOOKUP(銷售總表!B7375,產品!$A$2:$H$61,8,FALSE)</f>
        <v>138000</v>
      </c>
      <c r="J7375" s="20">
        <f t="shared" si="115"/>
        <v>0.53488372093023251</v>
      </c>
    </row>
    <row r="7376" spans="1:10" x14ac:dyDescent="0.3">
      <c r="A7376" s="33">
        <v>7375</v>
      </c>
      <c r="B7376" s="4">
        <v>40</v>
      </c>
      <c r="C7376" s="15">
        <v>121</v>
      </c>
      <c r="D7376" s="16">
        <v>7</v>
      </c>
      <c r="E7376" s="23">
        <v>45382</v>
      </c>
      <c r="F7376">
        <v>200</v>
      </c>
      <c r="G7376" s="20">
        <v>0.11</v>
      </c>
      <c r="H7376">
        <f>F7376*VLOOKUP(B7376,產品!$A$2:$H$61,7,FALSE)*(1-銷售總表!G7376)</f>
        <v>3560000</v>
      </c>
      <c r="I7376" s="35">
        <f>H7376-F7376*VLOOKUP(銷售總表!B7376,產品!$A$2:$H$61,8,FALSE)</f>
        <v>960000</v>
      </c>
      <c r="J7376" s="20">
        <f t="shared" si="115"/>
        <v>0.2696629213483146</v>
      </c>
    </row>
    <row r="7377" spans="1:10" x14ac:dyDescent="0.3">
      <c r="A7377" s="33">
        <v>7376</v>
      </c>
      <c r="B7377" s="4">
        <v>2</v>
      </c>
      <c r="C7377" s="15">
        <v>267</v>
      </c>
      <c r="D7377" s="16">
        <v>3</v>
      </c>
      <c r="E7377" s="23">
        <v>45382</v>
      </c>
      <c r="F7377">
        <v>60</v>
      </c>
      <c r="G7377" s="20">
        <v>0.12</v>
      </c>
      <c r="H7377">
        <f>F7377*VLOOKUP(B7377,產品!$A$2:$H$61,7,FALSE)*(1-銷售總表!G7377)</f>
        <v>52800</v>
      </c>
      <c r="I7377" s="35">
        <f>H7377-F7377*VLOOKUP(銷售總表!B7377,產品!$A$2:$H$61,8,FALSE)</f>
        <v>28800</v>
      </c>
      <c r="J7377" s="20">
        <f t="shared" si="115"/>
        <v>0.54545454545454541</v>
      </c>
    </row>
    <row r="7378" spans="1:10" x14ac:dyDescent="0.3">
      <c r="A7378" s="33">
        <v>7377</v>
      </c>
      <c r="B7378" s="4">
        <v>39</v>
      </c>
      <c r="C7378" s="15">
        <v>265</v>
      </c>
      <c r="D7378" s="16">
        <v>7</v>
      </c>
      <c r="E7378" s="23">
        <v>45385</v>
      </c>
      <c r="F7378">
        <v>50</v>
      </c>
      <c r="G7378" s="20">
        <v>0.1</v>
      </c>
      <c r="H7378">
        <f>F7378*VLOOKUP(B7378,產品!$A$2:$H$61,7,FALSE)*(1-銷售總表!G7378)</f>
        <v>810000</v>
      </c>
      <c r="I7378" s="35">
        <f>H7378-F7378*VLOOKUP(銷售總表!B7378,產品!$A$2:$H$61,8,FALSE)</f>
        <v>225000</v>
      </c>
      <c r="J7378" s="20">
        <f t="shared" si="115"/>
        <v>0.27777777777777779</v>
      </c>
    </row>
    <row r="7379" spans="1:10" x14ac:dyDescent="0.3">
      <c r="A7379" s="33">
        <v>7378</v>
      </c>
      <c r="B7379" s="4">
        <v>38</v>
      </c>
      <c r="C7379" s="15">
        <v>262</v>
      </c>
      <c r="D7379" s="16">
        <v>2</v>
      </c>
      <c r="E7379" s="23">
        <v>45387</v>
      </c>
      <c r="F7379">
        <v>50</v>
      </c>
      <c r="G7379" s="20">
        <v>0.15</v>
      </c>
      <c r="H7379">
        <f>F7379*VLOOKUP(B7379,產品!$A$2:$H$61,7,FALSE)*(1-銷售總表!G7379)</f>
        <v>637500</v>
      </c>
      <c r="I7379" s="35">
        <f>H7379-F7379*VLOOKUP(銷售總表!B7379,產品!$A$2:$H$61,8,FALSE)</f>
        <v>150000</v>
      </c>
      <c r="J7379" s="20">
        <f t="shared" si="115"/>
        <v>0.23529411764705882</v>
      </c>
    </row>
    <row r="7380" spans="1:10" x14ac:dyDescent="0.3">
      <c r="A7380" s="33">
        <v>7379</v>
      </c>
      <c r="B7380" s="4">
        <v>27</v>
      </c>
      <c r="C7380" s="15">
        <v>124</v>
      </c>
      <c r="D7380" s="16">
        <v>4</v>
      </c>
      <c r="E7380" s="23">
        <v>45390</v>
      </c>
      <c r="F7380">
        <v>50</v>
      </c>
      <c r="G7380" s="20">
        <v>0.13</v>
      </c>
      <c r="H7380">
        <f>F7380*VLOOKUP(B7380,產品!$A$2:$H$61,7,FALSE)*(1-銷售總表!G7380)</f>
        <v>304500</v>
      </c>
      <c r="I7380" s="35">
        <f>H7380-F7380*VLOOKUP(銷售總表!B7380,產品!$A$2:$H$61,8,FALSE)</f>
        <v>94500</v>
      </c>
      <c r="J7380" s="20">
        <f t="shared" si="115"/>
        <v>0.31034482758620691</v>
      </c>
    </row>
    <row r="7381" spans="1:10" x14ac:dyDescent="0.3">
      <c r="A7381" s="33">
        <v>7380</v>
      </c>
      <c r="B7381" s="4">
        <v>34</v>
      </c>
      <c r="C7381" s="15">
        <v>258</v>
      </c>
      <c r="D7381" s="16">
        <v>10</v>
      </c>
      <c r="E7381" s="23">
        <v>45392</v>
      </c>
      <c r="F7381">
        <v>50</v>
      </c>
      <c r="G7381" s="20">
        <v>0.05</v>
      </c>
      <c r="H7381">
        <f>F7381*VLOOKUP(B7381,產品!$A$2:$H$61,7,FALSE)*(1-銷售總表!G7381)</f>
        <v>380000</v>
      </c>
      <c r="I7381" s="35">
        <f>H7381-F7381*VLOOKUP(銷售總表!B7381,產品!$A$2:$H$61,8,FALSE)</f>
        <v>140000</v>
      </c>
      <c r="J7381" s="20">
        <f t="shared" si="115"/>
        <v>0.36842105263157893</v>
      </c>
    </row>
    <row r="7382" spans="1:10" x14ac:dyDescent="0.3">
      <c r="A7382" s="33">
        <v>7381</v>
      </c>
      <c r="B7382" s="4">
        <v>37</v>
      </c>
      <c r="C7382" s="15">
        <v>134</v>
      </c>
      <c r="D7382" s="16">
        <v>8</v>
      </c>
      <c r="E7382" s="23">
        <v>45395</v>
      </c>
      <c r="F7382">
        <v>50</v>
      </c>
      <c r="G7382" s="20">
        <v>0.14000000000000001</v>
      </c>
      <c r="H7382">
        <f>F7382*VLOOKUP(B7382,產品!$A$2:$H$61,7,FALSE)*(1-銷售總表!G7382)</f>
        <v>516000</v>
      </c>
      <c r="I7382" s="35">
        <f>H7382-F7382*VLOOKUP(銷售總表!B7382,產品!$A$2:$H$61,8,FALSE)</f>
        <v>126000</v>
      </c>
      <c r="J7382" s="20">
        <f t="shared" si="115"/>
        <v>0.2441860465116279</v>
      </c>
    </row>
    <row r="7383" spans="1:10" x14ac:dyDescent="0.3">
      <c r="A7383" s="33">
        <v>7382</v>
      </c>
      <c r="B7383" s="4">
        <v>3</v>
      </c>
      <c r="C7383" s="15">
        <v>266</v>
      </c>
      <c r="D7383" s="16">
        <v>4</v>
      </c>
      <c r="E7383" s="23">
        <v>45395</v>
      </c>
      <c r="F7383">
        <v>70</v>
      </c>
      <c r="G7383" s="20">
        <v>0.05</v>
      </c>
      <c r="H7383">
        <f>F7383*VLOOKUP(B7383,產品!$A$2:$H$61,7,FALSE)*(1-銷售總表!G7383)</f>
        <v>66500</v>
      </c>
      <c r="I7383" s="35">
        <f>H7383-F7383*VLOOKUP(銷售總表!B7383,產品!$A$2:$H$61,8,FALSE)</f>
        <v>38500</v>
      </c>
      <c r="J7383" s="20">
        <f t="shared" si="115"/>
        <v>0.57894736842105265</v>
      </c>
    </row>
    <row r="7384" spans="1:10" x14ac:dyDescent="0.3">
      <c r="A7384" s="33">
        <v>7383</v>
      </c>
      <c r="B7384" s="4">
        <v>30</v>
      </c>
      <c r="C7384" s="15">
        <v>285</v>
      </c>
      <c r="D7384" s="16">
        <v>8</v>
      </c>
      <c r="E7384" s="23">
        <v>45399</v>
      </c>
      <c r="F7384">
        <v>40</v>
      </c>
      <c r="G7384" s="20">
        <v>0.13</v>
      </c>
      <c r="H7384">
        <f>F7384*VLOOKUP(B7384,產品!$A$2:$H$61,7,FALSE)*(1-銷售總表!G7384)</f>
        <v>226200</v>
      </c>
      <c r="I7384" s="35">
        <f>H7384-F7384*VLOOKUP(銷售總表!B7384,產品!$A$2:$H$61,8,FALSE)</f>
        <v>70200</v>
      </c>
      <c r="J7384" s="20">
        <f t="shared" si="115"/>
        <v>0.31034482758620691</v>
      </c>
    </row>
    <row r="7385" spans="1:10" x14ac:dyDescent="0.3">
      <c r="A7385" s="33">
        <v>7384</v>
      </c>
      <c r="B7385" s="4">
        <v>30</v>
      </c>
      <c r="C7385" s="15">
        <v>291</v>
      </c>
      <c r="D7385" s="16">
        <v>7</v>
      </c>
      <c r="E7385" s="23">
        <v>45401</v>
      </c>
      <c r="F7385">
        <v>60</v>
      </c>
      <c r="G7385" s="20">
        <v>0.11</v>
      </c>
      <c r="H7385">
        <f>F7385*VLOOKUP(B7385,產品!$A$2:$H$61,7,FALSE)*(1-銷售總表!G7385)</f>
        <v>347100</v>
      </c>
      <c r="I7385" s="35">
        <f>H7385-F7385*VLOOKUP(銷售總表!B7385,產品!$A$2:$H$61,8,FALSE)</f>
        <v>113100</v>
      </c>
      <c r="J7385" s="20">
        <f t="shared" si="115"/>
        <v>0.3258426966292135</v>
      </c>
    </row>
    <row r="7386" spans="1:10" x14ac:dyDescent="0.3">
      <c r="A7386" s="33">
        <v>7385</v>
      </c>
      <c r="B7386" s="4">
        <v>22</v>
      </c>
      <c r="C7386" s="15">
        <v>139</v>
      </c>
      <c r="D7386" s="16">
        <v>4</v>
      </c>
      <c r="E7386" s="23">
        <v>45402</v>
      </c>
      <c r="F7386">
        <v>200</v>
      </c>
      <c r="G7386" s="20">
        <v>0.16</v>
      </c>
      <c r="H7386">
        <f>F7386*VLOOKUP(B7386,產品!$A$2:$H$61,7,FALSE)*(1-銷售總表!G7386)</f>
        <v>302400</v>
      </c>
      <c r="I7386" s="35">
        <f>H7386-F7386*VLOOKUP(銷售總表!B7386,產品!$A$2:$H$61,8,FALSE)</f>
        <v>158400</v>
      </c>
      <c r="J7386" s="20">
        <f t="shared" si="115"/>
        <v>0.52380952380952384</v>
      </c>
    </row>
    <row r="7387" spans="1:10" x14ac:dyDescent="0.3">
      <c r="A7387" s="33">
        <v>7386</v>
      </c>
      <c r="B7387" s="4">
        <v>22</v>
      </c>
      <c r="C7387" s="15">
        <v>121</v>
      </c>
      <c r="D7387" s="16">
        <v>6</v>
      </c>
      <c r="E7387" s="23">
        <v>45408</v>
      </c>
      <c r="F7387">
        <v>100</v>
      </c>
      <c r="G7387" s="20">
        <v>0.19</v>
      </c>
      <c r="H7387">
        <f>F7387*VLOOKUP(B7387,產品!$A$2:$H$61,7,FALSE)*(1-銷售總表!G7387)</f>
        <v>145800</v>
      </c>
      <c r="I7387" s="35">
        <f>H7387-F7387*VLOOKUP(銷售總表!B7387,產品!$A$2:$H$61,8,FALSE)</f>
        <v>73800</v>
      </c>
      <c r="J7387" s="20">
        <f t="shared" si="115"/>
        <v>0.50617283950617287</v>
      </c>
    </row>
    <row r="7388" spans="1:10" x14ac:dyDescent="0.3">
      <c r="A7388" s="33">
        <v>7387</v>
      </c>
      <c r="B7388" s="4">
        <v>3</v>
      </c>
      <c r="C7388" s="15">
        <v>112</v>
      </c>
      <c r="D7388" s="16">
        <v>9</v>
      </c>
      <c r="E7388" s="23">
        <v>45410</v>
      </c>
      <c r="F7388">
        <v>100</v>
      </c>
      <c r="G7388" s="20">
        <v>0.15</v>
      </c>
      <c r="H7388">
        <f>F7388*VLOOKUP(B7388,產品!$A$2:$H$61,7,FALSE)*(1-銷售總表!G7388)</f>
        <v>85000</v>
      </c>
      <c r="I7388" s="35">
        <f>H7388-F7388*VLOOKUP(銷售總表!B7388,產品!$A$2:$H$61,8,FALSE)</f>
        <v>45000</v>
      </c>
      <c r="J7388" s="20">
        <f t="shared" si="115"/>
        <v>0.52941176470588236</v>
      </c>
    </row>
    <row r="7389" spans="1:10" x14ac:dyDescent="0.3">
      <c r="A7389" s="33">
        <v>7388</v>
      </c>
      <c r="B7389" s="4">
        <v>41</v>
      </c>
      <c r="C7389" s="15">
        <v>8</v>
      </c>
      <c r="D7389" s="16">
        <v>6</v>
      </c>
      <c r="E7389" s="23">
        <v>45411</v>
      </c>
      <c r="F7389">
        <v>10</v>
      </c>
      <c r="G7389" s="20">
        <v>0.15</v>
      </c>
      <c r="H7389">
        <f>F7389*VLOOKUP(B7389,產品!$A$2:$H$61,7,FALSE)*(1-銷售總表!G7389)</f>
        <v>102000</v>
      </c>
      <c r="I7389" s="35">
        <f>H7389-F7389*VLOOKUP(銷售總表!B7389,產品!$A$2:$H$61,8,FALSE)</f>
        <v>24000</v>
      </c>
      <c r="J7389" s="20">
        <f t="shared" si="115"/>
        <v>0.23529411764705882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selection activeCell="N55" sqref="N55"/>
    </sheetView>
  </sheetViews>
  <sheetFormatPr defaultColWidth="8.88671875" defaultRowHeight="16.2" x14ac:dyDescent="0.3"/>
  <cols>
    <col min="1" max="1" width="11" customWidth="1"/>
    <col min="2" max="2" width="24" customWidth="1"/>
    <col min="3" max="3" width="8.21875" style="32" bestFit="1" customWidth="1"/>
    <col min="4" max="4" width="8.5546875" bestFit="1" customWidth="1"/>
    <col min="5" max="5" width="8.5546875" customWidth="1"/>
    <col min="6" max="6" width="8.5546875" bestFit="1" customWidth="1"/>
    <col min="7" max="7" width="8.77734375" bestFit="1" customWidth="1"/>
    <col min="8" max="8" width="11" bestFit="1" customWidth="1"/>
  </cols>
  <sheetData>
    <row r="1" spans="1:8" x14ac:dyDescent="0.3">
      <c r="A1" s="1" t="s">
        <v>4</v>
      </c>
      <c r="B1" s="2" t="s">
        <v>1</v>
      </c>
      <c r="C1" s="30" t="s">
        <v>434</v>
      </c>
      <c r="D1" s="2" t="s">
        <v>433</v>
      </c>
      <c r="E1" s="2" t="s">
        <v>475</v>
      </c>
      <c r="F1" s="2" t="s">
        <v>474</v>
      </c>
      <c r="G1" s="2" t="s">
        <v>5</v>
      </c>
      <c r="H1" s="3" t="s">
        <v>6</v>
      </c>
    </row>
    <row r="2" spans="1:8" x14ac:dyDescent="0.3">
      <c r="A2" s="4">
        <v>1</v>
      </c>
      <c r="B2" s="5" t="s">
        <v>435</v>
      </c>
      <c r="C2" s="31" t="str">
        <f>LEFT(B2,2)</f>
        <v>黑色</v>
      </c>
      <c r="D2" s="6" t="s">
        <v>408</v>
      </c>
      <c r="E2" s="6" t="s">
        <v>472</v>
      </c>
      <c r="F2" s="6" t="s">
        <v>473</v>
      </c>
      <c r="G2" s="7">
        <v>1000</v>
      </c>
      <c r="H2" s="8">
        <v>400</v>
      </c>
    </row>
    <row r="3" spans="1:8" x14ac:dyDescent="0.3">
      <c r="A3" s="4">
        <v>2</v>
      </c>
      <c r="B3" s="5" t="s">
        <v>407</v>
      </c>
      <c r="C3" s="31" t="str">
        <f t="shared" ref="C3:C25" si="0">LEFT(B3,2)</f>
        <v>黑色</v>
      </c>
      <c r="D3" s="6" t="s">
        <v>409</v>
      </c>
      <c r="E3" s="6" t="s">
        <v>472</v>
      </c>
      <c r="F3" s="6" t="s">
        <v>473</v>
      </c>
      <c r="G3" s="7">
        <v>1000</v>
      </c>
      <c r="H3" s="8">
        <v>400</v>
      </c>
    </row>
    <row r="4" spans="1:8" x14ac:dyDescent="0.3">
      <c r="A4" s="4">
        <v>3</v>
      </c>
      <c r="B4" s="5" t="s">
        <v>407</v>
      </c>
      <c r="C4" s="31" t="str">
        <f t="shared" si="0"/>
        <v>黑色</v>
      </c>
      <c r="D4" s="6" t="s">
        <v>410</v>
      </c>
      <c r="E4" s="6" t="s">
        <v>472</v>
      </c>
      <c r="F4" s="6" t="s">
        <v>440</v>
      </c>
      <c r="G4" s="7">
        <v>1000</v>
      </c>
      <c r="H4" s="8">
        <v>400</v>
      </c>
    </row>
    <row r="5" spans="1:8" x14ac:dyDescent="0.3">
      <c r="A5" s="4">
        <v>4</v>
      </c>
      <c r="B5" s="5" t="s">
        <v>407</v>
      </c>
      <c r="C5" s="31" t="str">
        <f t="shared" si="0"/>
        <v>黑色</v>
      </c>
      <c r="D5" s="6" t="s">
        <v>411</v>
      </c>
      <c r="E5" s="6" t="s">
        <v>472</v>
      </c>
      <c r="F5" s="6" t="s">
        <v>441</v>
      </c>
      <c r="G5" s="7">
        <v>1000</v>
      </c>
      <c r="H5" s="8">
        <v>400</v>
      </c>
    </row>
    <row r="6" spans="1:8" x14ac:dyDescent="0.3">
      <c r="A6" s="4">
        <v>5</v>
      </c>
      <c r="B6" s="5" t="s">
        <v>412</v>
      </c>
      <c r="C6" s="31" t="str">
        <f t="shared" si="0"/>
        <v>藍色</v>
      </c>
      <c r="D6" s="6" t="s">
        <v>408</v>
      </c>
      <c r="E6" s="6" t="s">
        <v>472</v>
      </c>
      <c r="F6" s="6" t="s">
        <v>3</v>
      </c>
      <c r="G6" s="7">
        <v>1000</v>
      </c>
      <c r="H6" s="8">
        <v>400</v>
      </c>
    </row>
    <row r="7" spans="1:8" x14ac:dyDescent="0.3">
      <c r="A7" s="4">
        <v>6</v>
      </c>
      <c r="B7" s="5" t="s">
        <v>412</v>
      </c>
      <c r="C7" s="31" t="str">
        <f t="shared" si="0"/>
        <v>藍色</v>
      </c>
      <c r="D7" s="6" t="s">
        <v>409</v>
      </c>
      <c r="E7" s="6" t="s">
        <v>472</v>
      </c>
      <c r="F7" s="6" t="s">
        <v>3</v>
      </c>
      <c r="G7" s="7">
        <v>1000</v>
      </c>
      <c r="H7" s="8">
        <v>400</v>
      </c>
    </row>
    <row r="8" spans="1:8" x14ac:dyDescent="0.3">
      <c r="A8" s="4">
        <v>7</v>
      </c>
      <c r="B8" s="5" t="s">
        <v>412</v>
      </c>
      <c r="C8" s="31" t="str">
        <f t="shared" si="0"/>
        <v>藍色</v>
      </c>
      <c r="D8" s="6" t="s">
        <v>410</v>
      </c>
      <c r="E8" s="6" t="s">
        <v>472</v>
      </c>
      <c r="F8" s="6" t="s">
        <v>3</v>
      </c>
      <c r="G8" s="7">
        <v>1000</v>
      </c>
      <c r="H8" s="8">
        <v>400</v>
      </c>
    </row>
    <row r="9" spans="1:8" x14ac:dyDescent="0.3">
      <c r="A9" s="4">
        <v>8</v>
      </c>
      <c r="B9" s="5" t="s">
        <v>412</v>
      </c>
      <c r="C9" s="31" t="str">
        <f t="shared" si="0"/>
        <v>藍色</v>
      </c>
      <c r="D9" s="6" t="s">
        <v>411</v>
      </c>
      <c r="E9" s="6" t="s">
        <v>472</v>
      </c>
      <c r="F9" s="6" t="s">
        <v>3</v>
      </c>
      <c r="G9" s="7">
        <v>1000</v>
      </c>
      <c r="H9" s="8">
        <v>400</v>
      </c>
    </row>
    <row r="10" spans="1:8" x14ac:dyDescent="0.3">
      <c r="A10" s="4">
        <v>9</v>
      </c>
      <c r="B10" s="5" t="s">
        <v>413</v>
      </c>
      <c r="C10" s="31" t="str">
        <f t="shared" si="0"/>
        <v>紅色</v>
      </c>
      <c r="D10" s="6" t="s">
        <v>408</v>
      </c>
      <c r="E10" s="6" t="s">
        <v>472</v>
      </c>
      <c r="F10" s="6" t="s">
        <v>3</v>
      </c>
      <c r="G10" s="7">
        <v>1000</v>
      </c>
      <c r="H10" s="8">
        <v>400</v>
      </c>
    </row>
    <row r="11" spans="1:8" x14ac:dyDescent="0.3">
      <c r="A11" s="4">
        <v>10</v>
      </c>
      <c r="B11" s="5" t="s">
        <v>413</v>
      </c>
      <c r="C11" s="31" t="str">
        <f t="shared" si="0"/>
        <v>紅色</v>
      </c>
      <c r="D11" s="6" t="s">
        <v>409</v>
      </c>
      <c r="E11" s="6" t="s">
        <v>472</v>
      </c>
      <c r="F11" s="6" t="s">
        <v>442</v>
      </c>
      <c r="G11" s="7">
        <v>1000</v>
      </c>
      <c r="H11" s="8">
        <v>400</v>
      </c>
    </row>
    <row r="12" spans="1:8" x14ac:dyDescent="0.3">
      <c r="A12" s="4">
        <v>11</v>
      </c>
      <c r="B12" s="5" t="s">
        <v>413</v>
      </c>
      <c r="C12" s="31" t="str">
        <f t="shared" si="0"/>
        <v>紅色</v>
      </c>
      <c r="D12" s="6" t="s">
        <v>410</v>
      </c>
      <c r="E12" s="6" t="s">
        <v>472</v>
      </c>
      <c r="F12" s="6" t="s">
        <v>443</v>
      </c>
      <c r="G12" s="7">
        <v>1000</v>
      </c>
      <c r="H12" s="8">
        <v>400</v>
      </c>
    </row>
    <row r="13" spans="1:8" x14ac:dyDescent="0.3">
      <c r="A13" s="4">
        <v>12</v>
      </c>
      <c r="B13" s="5" t="s">
        <v>413</v>
      </c>
      <c r="C13" s="31" t="str">
        <f t="shared" si="0"/>
        <v>紅色</v>
      </c>
      <c r="D13" s="6" t="s">
        <v>411</v>
      </c>
      <c r="E13" s="6" t="s">
        <v>472</v>
      </c>
      <c r="F13" s="6" t="s">
        <v>3</v>
      </c>
      <c r="G13" s="7">
        <v>1000</v>
      </c>
      <c r="H13" s="8">
        <v>400</v>
      </c>
    </row>
    <row r="14" spans="1:8" x14ac:dyDescent="0.3">
      <c r="A14" s="4">
        <v>13</v>
      </c>
      <c r="B14" s="5" t="s">
        <v>414</v>
      </c>
      <c r="C14" s="31" t="str">
        <f t="shared" si="0"/>
        <v>黑色</v>
      </c>
      <c r="D14" s="9" t="s">
        <v>408</v>
      </c>
      <c r="E14" s="6" t="s">
        <v>472</v>
      </c>
      <c r="F14" s="9" t="s">
        <v>2</v>
      </c>
      <c r="G14" s="10">
        <v>1800</v>
      </c>
      <c r="H14" s="8">
        <v>720</v>
      </c>
    </row>
    <row r="15" spans="1:8" x14ac:dyDescent="0.3">
      <c r="A15" s="4">
        <v>14</v>
      </c>
      <c r="B15" s="5" t="s">
        <v>414</v>
      </c>
      <c r="C15" s="31" t="str">
        <f t="shared" si="0"/>
        <v>黑色</v>
      </c>
      <c r="D15" s="9" t="s">
        <v>409</v>
      </c>
      <c r="E15" s="6" t="s">
        <v>472</v>
      </c>
      <c r="F15" s="9" t="s">
        <v>2</v>
      </c>
      <c r="G15" s="10">
        <v>1800</v>
      </c>
      <c r="H15" s="8">
        <v>720</v>
      </c>
    </row>
    <row r="16" spans="1:8" x14ac:dyDescent="0.3">
      <c r="A16" s="4">
        <v>15</v>
      </c>
      <c r="B16" s="5" t="s">
        <v>414</v>
      </c>
      <c r="C16" s="31" t="str">
        <f t="shared" si="0"/>
        <v>黑色</v>
      </c>
      <c r="D16" s="9" t="s">
        <v>410</v>
      </c>
      <c r="E16" s="6" t="s">
        <v>472</v>
      </c>
      <c r="F16" s="9" t="s">
        <v>2</v>
      </c>
      <c r="G16" s="10">
        <v>1800</v>
      </c>
      <c r="H16" s="8">
        <v>720</v>
      </c>
    </row>
    <row r="17" spans="1:8" x14ac:dyDescent="0.3">
      <c r="A17" s="4">
        <v>16</v>
      </c>
      <c r="B17" s="5" t="s">
        <v>414</v>
      </c>
      <c r="C17" s="31" t="str">
        <f t="shared" si="0"/>
        <v>黑色</v>
      </c>
      <c r="D17" s="9" t="s">
        <v>411</v>
      </c>
      <c r="E17" s="6" t="s">
        <v>472</v>
      </c>
      <c r="F17" s="9" t="s">
        <v>2</v>
      </c>
      <c r="G17" s="10">
        <v>1800</v>
      </c>
      <c r="H17" s="8">
        <v>720</v>
      </c>
    </row>
    <row r="18" spans="1:8" x14ac:dyDescent="0.3">
      <c r="A18" s="4">
        <v>17</v>
      </c>
      <c r="B18" s="5" t="s">
        <v>415</v>
      </c>
      <c r="C18" s="31" t="str">
        <f t="shared" si="0"/>
        <v>藍色</v>
      </c>
      <c r="D18" s="9" t="s">
        <v>408</v>
      </c>
      <c r="E18" s="6" t="s">
        <v>472</v>
      </c>
      <c r="F18" s="9" t="s">
        <v>2</v>
      </c>
      <c r="G18" s="10">
        <v>1800</v>
      </c>
      <c r="H18" s="8">
        <v>720</v>
      </c>
    </row>
    <row r="19" spans="1:8" x14ac:dyDescent="0.3">
      <c r="A19" s="4">
        <v>18</v>
      </c>
      <c r="B19" s="5" t="s">
        <v>415</v>
      </c>
      <c r="C19" s="31" t="str">
        <f t="shared" si="0"/>
        <v>藍色</v>
      </c>
      <c r="D19" s="9" t="s">
        <v>409</v>
      </c>
      <c r="E19" s="6" t="s">
        <v>472</v>
      </c>
      <c r="F19" s="9" t="s">
        <v>2</v>
      </c>
      <c r="G19" s="10">
        <v>1800</v>
      </c>
      <c r="H19" s="8">
        <v>720</v>
      </c>
    </row>
    <row r="20" spans="1:8" x14ac:dyDescent="0.3">
      <c r="A20" s="4">
        <v>19</v>
      </c>
      <c r="B20" s="5" t="s">
        <v>415</v>
      </c>
      <c r="C20" s="31" t="str">
        <f t="shared" si="0"/>
        <v>藍色</v>
      </c>
      <c r="D20" s="9" t="s">
        <v>410</v>
      </c>
      <c r="E20" s="6" t="s">
        <v>472</v>
      </c>
      <c r="F20" s="9" t="s">
        <v>2</v>
      </c>
      <c r="G20" s="10">
        <v>1800</v>
      </c>
      <c r="H20" s="8">
        <v>720</v>
      </c>
    </row>
    <row r="21" spans="1:8" x14ac:dyDescent="0.3">
      <c r="A21" s="4">
        <v>20</v>
      </c>
      <c r="B21" s="5" t="s">
        <v>415</v>
      </c>
      <c r="C21" s="31" t="str">
        <f t="shared" si="0"/>
        <v>藍色</v>
      </c>
      <c r="D21" s="9" t="s">
        <v>411</v>
      </c>
      <c r="E21" s="6" t="s">
        <v>472</v>
      </c>
      <c r="F21" s="9" t="s">
        <v>2</v>
      </c>
      <c r="G21" s="10">
        <v>1800</v>
      </c>
      <c r="H21" s="8">
        <v>720</v>
      </c>
    </row>
    <row r="22" spans="1:8" x14ac:dyDescent="0.3">
      <c r="A22" s="4">
        <v>21</v>
      </c>
      <c r="B22" s="5" t="s">
        <v>416</v>
      </c>
      <c r="C22" s="31" t="str">
        <f t="shared" si="0"/>
        <v>紅色</v>
      </c>
      <c r="D22" s="9" t="s">
        <v>408</v>
      </c>
      <c r="E22" s="6" t="s">
        <v>472</v>
      </c>
      <c r="F22" s="9" t="s">
        <v>2</v>
      </c>
      <c r="G22" s="10">
        <v>1800</v>
      </c>
      <c r="H22" s="8">
        <v>720</v>
      </c>
    </row>
    <row r="23" spans="1:8" x14ac:dyDescent="0.3">
      <c r="A23" s="4">
        <v>22</v>
      </c>
      <c r="B23" s="5" t="s">
        <v>416</v>
      </c>
      <c r="C23" s="31" t="str">
        <f t="shared" si="0"/>
        <v>紅色</v>
      </c>
      <c r="D23" s="9" t="s">
        <v>409</v>
      </c>
      <c r="E23" s="6" t="s">
        <v>472</v>
      </c>
      <c r="F23" s="9" t="s">
        <v>2</v>
      </c>
      <c r="G23" s="10">
        <v>1800</v>
      </c>
      <c r="H23" s="8">
        <v>720</v>
      </c>
    </row>
    <row r="24" spans="1:8" x14ac:dyDescent="0.3">
      <c r="A24" s="4">
        <v>23</v>
      </c>
      <c r="B24" s="5" t="s">
        <v>416</v>
      </c>
      <c r="C24" s="31" t="str">
        <f t="shared" si="0"/>
        <v>紅色</v>
      </c>
      <c r="D24" s="9" t="s">
        <v>410</v>
      </c>
      <c r="E24" s="6" t="s">
        <v>472</v>
      </c>
      <c r="F24" s="9" t="s">
        <v>2</v>
      </c>
      <c r="G24" s="10">
        <v>1800</v>
      </c>
      <c r="H24" s="8">
        <v>720</v>
      </c>
    </row>
    <row r="25" spans="1:8" x14ac:dyDescent="0.3">
      <c r="A25" s="4">
        <v>24</v>
      </c>
      <c r="B25" s="5" t="s">
        <v>416</v>
      </c>
      <c r="C25" s="31" t="str">
        <f t="shared" si="0"/>
        <v>紅色</v>
      </c>
      <c r="D25" s="9" t="s">
        <v>411</v>
      </c>
      <c r="E25" s="6" t="s">
        <v>472</v>
      </c>
      <c r="F25" s="9" t="s">
        <v>2</v>
      </c>
      <c r="G25" s="10">
        <v>1800</v>
      </c>
      <c r="H25" s="8">
        <v>720</v>
      </c>
    </row>
    <row r="26" spans="1:8" x14ac:dyDescent="0.3">
      <c r="A26" s="4">
        <v>25</v>
      </c>
      <c r="B26" s="5" t="s">
        <v>438</v>
      </c>
      <c r="C26" s="31" t="s">
        <v>439</v>
      </c>
      <c r="D26" s="6" t="s">
        <v>418</v>
      </c>
      <c r="E26" s="6" t="s">
        <v>476</v>
      </c>
      <c r="F26" s="6" t="s">
        <v>7</v>
      </c>
      <c r="G26" s="7">
        <v>6000</v>
      </c>
      <c r="H26" s="11">
        <v>3600</v>
      </c>
    </row>
    <row r="27" spans="1:8" x14ac:dyDescent="0.3">
      <c r="A27" s="4">
        <v>26</v>
      </c>
      <c r="B27" s="5" t="s">
        <v>417</v>
      </c>
      <c r="C27" s="31" t="s">
        <v>439</v>
      </c>
      <c r="D27" s="6" t="s">
        <v>419</v>
      </c>
      <c r="E27" s="6" t="s">
        <v>476</v>
      </c>
      <c r="F27" s="6" t="s">
        <v>444</v>
      </c>
      <c r="G27" s="7">
        <v>6500</v>
      </c>
      <c r="H27" s="11">
        <v>3900</v>
      </c>
    </row>
    <row r="28" spans="1:8" x14ac:dyDescent="0.3">
      <c r="A28" s="4">
        <v>27</v>
      </c>
      <c r="B28" s="5" t="s">
        <v>417</v>
      </c>
      <c r="C28" s="31" t="s">
        <v>439</v>
      </c>
      <c r="D28" s="6" t="s">
        <v>420</v>
      </c>
      <c r="E28" s="6" t="s">
        <v>476</v>
      </c>
      <c r="F28" s="6" t="s">
        <v>7</v>
      </c>
      <c r="G28" s="7">
        <v>7000</v>
      </c>
      <c r="H28" s="11">
        <v>4200</v>
      </c>
    </row>
    <row r="29" spans="1:8" x14ac:dyDescent="0.3">
      <c r="A29" s="4">
        <v>28</v>
      </c>
      <c r="B29" s="5" t="s">
        <v>417</v>
      </c>
      <c r="C29" s="31" t="s">
        <v>439</v>
      </c>
      <c r="D29" s="6" t="s">
        <v>470</v>
      </c>
      <c r="E29" s="6" t="s">
        <v>476</v>
      </c>
      <c r="F29" s="6" t="s">
        <v>445</v>
      </c>
      <c r="G29" s="7">
        <v>7500</v>
      </c>
      <c r="H29" s="11">
        <v>4500</v>
      </c>
    </row>
    <row r="30" spans="1:8" x14ac:dyDescent="0.3">
      <c r="A30" s="4">
        <v>29</v>
      </c>
      <c r="B30" s="5" t="s">
        <v>450</v>
      </c>
      <c r="C30" s="31" t="s">
        <v>437</v>
      </c>
      <c r="D30" s="6" t="s">
        <v>418</v>
      </c>
      <c r="E30" s="6" t="s">
        <v>476</v>
      </c>
      <c r="F30" s="6" t="s">
        <v>446</v>
      </c>
      <c r="G30" s="7">
        <v>6000</v>
      </c>
      <c r="H30" s="11">
        <v>3600</v>
      </c>
    </row>
    <row r="31" spans="1:8" x14ac:dyDescent="0.3">
      <c r="A31" s="4">
        <v>30</v>
      </c>
      <c r="B31" s="5" t="s">
        <v>422</v>
      </c>
      <c r="C31" s="31" t="s">
        <v>437</v>
      </c>
      <c r="D31" s="6" t="s">
        <v>419</v>
      </c>
      <c r="E31" s="6" t="s">
        <v>476</v>
      </c>
      <c r="F31" s="6" t="s">
        <v>447</v>
      </c>
      <c r="G31" s="7">
        <v>6500</v>
      </c>
      <c r="H31" s="11">
        <v>3900</v>
      </c>
    </row>
    <row r="32" spans="1:8" x14ac:dyDescent="0.3">
      <c r="A32" s="4">
        <v>31</v>
      </c>
      <c r="B32" s="5" t="s">
        <v>422</v>
      </c>
      <c r="C32" s="31" t="s">
        <v>437</v>
      </c>
      <c r="D32" s="6" t="s">
        <v>420</v>
      </c>
      <c r="E32" s="6" t="s">
        <v>476</v>
      </c>
      <c r="F32" s="6" t="s">
        <v>445</v>
      </c>
      <c r="G32" s="7">
        <v>7000</v>
      </c>
      <c r="H32" s="11">
        <v>4200</v>
      </c>
    </row>
    <row r="33" spans="1:8" x14ac:dyDescent="0.3">
      <c r="A33" s="4">
        <v>32</v>
      </c>
      <c r="B33" s="5" t="s">
        <v>422</v>
      </c>
      <c r="C33" s="31" t="s">
        <v>437</v>
      </c>
      <c r="D33" s="6" t="s">
        <v>421</v>
      </c>
      <c r="E33" s="6" t="s">
        <v>476</v>
      </c>
      <c r="F33" s="6" t="s">
        <v>7</v>
      </c>
      <c r="G33" s="7">
        <v>7500</v>
      </c>
      <c r="H33" s="11">
        <v>4500</v>
      </c>
    </row>
    <row r="34" spans="1:8" x14ac:dyDescent="0.3">
      <c r="A34" s="4">
        <v>33</v>
      </c>
      <c r="B34" s="5" t="s">
        <v>451</v>
      </c>
      <c r="C34" s="31" t="s">
        <v>452</v>
      </c>
      <c r="D34" s="6" t="s">
        <v>419</v>
      </c>
      <c r="E34" s="6" t="s">
        <v>476</v>
      </c>
      <c r="F34" s="6" t="s">
        <v>7</v>
      </c>
      <c r="G34" s="12">
        <v>7500</v>
      </c>
      <c r="H34" s="11">
        <v>4500</v>
      </c>
    </row>
    <row r="35" spans="1:8" x14ac:dyDescent="0.3">
      <c r="A35" s="4">
        <v>34</v>
      </c>
      <c r="B35" s="5" t="s">
        <v>423</v>
      </c>
      <c r="C35" s="31" t="s">
        <v>452</v>
      </c>
      <c r="D35" s="6" t="s">
        <v>420</v>
      </c>
      <c r="E35" s="6" t="s">
        <v>476</v>
      </c>
      <c r="F35" s="6" t="s">
        <v>7</v>
      </c>
      <c r="G35" s="12">
        <v>8000</v>
      </c>
      <c r="H35" s="11">
        <v>4800</v>
      </c>
    </row>
    <row r="36" spans="1:8" x14ac:dyDescent="0.3">
      <c r="A36" s="4">
        <v>35</v>
      </c>
      <c r="B36" s="5" t="s">
        <v>453</v>
      </c>
      <c r="C36" s="31" t="s">
        <v>436</v>
      </c>
      <c r="D36" s="6" t="s">
        <v>419</v>
      </c>
      <c r="E36" s="6" t="s">
        <v>476</v>
      </c>
      <c r="F36" s="6" t="s">
        <v>7</v>
      </c>
      <c r="G36" s="12">
        <v>8500</v>
      </c>
      <c r="H36" s="11">
        <v>5100</v>
      </c>
    </row>
    <row r="37" spans="1:8" x14ac:dyDescent="0.3">
      <c r="A37" s="4">
        <v>36</v>
      </c>
      <c r="B37" s="5" t="s">
        <v>424</v>
      </c>
      <c r="C37" s="31" t="s">
        <v>436</v>
      </c>
      <c r="D37" s="6" t="s">
        <v>420</v>
      </c>
      <c r="E37" s="6" t="s">
        <v>476</v>
      </c>
      <c r="F37" s="6" t="s">
        <v>444</v>
      </c>
      <c r="G37" s="12">
        <v>9000</v>
      </c>
      <c r="H37" s="11">
        <v>5400</v>
      </c>
    </row>
    <row r="38" spans="1:8" x14ac:dyDescent="0.3">
      <c r="A38" s="4">
        <v>37</v>
      </c>
      <c r="B38" s="5" t="s">
        <v>425</v>
      </c>
      <c r="C38" s="31" t="s">
        <v>439</v>
      </c>
      <c r="D38" s="6" t="s">
        <v>418</v>
      </c>
      <c r="E38" s="6" t="s">
        <v>476</v>
      </c>
      <c r="F38" s="6" t="s">
        <v>448</v>
      </c>
      <c r="G38" s="7">
        <v>12000</v>
      </c>
      <c r="H38" s="11">
        <v>7800</v>
      </c>
    </row>
    <row r="39" spans="1:8" x14ac:dyDescent="0.3">
      <c r="A39" s="4">
        <v>38</v>
      </c>
      <c r="B39" s="5" t="s">
        <v>425</v>
      </c>
      <c r="C39" s="31" t="s">
        <v>439</v>
      </c>
      <c r="D39" s="6" t="s">
        <v>419</v>
      </c>
      <c r="E39" s="6" t="s">
        <v>476</v>
      </c>
      <c r="F39" s="6" t="s">
        <v>8</v>
      </c>
      <c r="G39" s="7">
        <v>15000</v>
      </c>
      <c r="H39" s="11">
        <v>9750</v>
      </c>
    </row>
    <row r="40" spans="1:8" x14ac:dyDescent="0.3">
      <c r="A40" s="4">
        <v>39</v>
      </c>
      <c r="B40" s="5" t="s">
        <v>425</v>
      </c>
      <c r="C40" s="31" t="s">
        <v>439</v>
      </c>
      <c r="D40" s="6" t="s">
        <v>420</v>
      </c>
      <c r="E40" s="6" t="s">
        <v>476</v>
      </c>
      <c r="F40" s="6" t="s">
        <v>8</v>
      </c>
      <c r="G40" s="7">
        <v>18000</v>
      </c>
      <c r="H40" s="11">
        <v>11700</v>
      </c>
    </row>
    <row r="41" spans="1:8" x14ac:dyDescent="0.3">
      <c r="A41" s="4">
        <v>40</v>
      </c>
      <c r="B41" s="5" t="s">
        <v>425</v>
      </c>
      <c r="C41" s="31" t="s">
        <v>439</v>
      </c>
      <c r="D41" s="6" t="s">
        <v>421</v>
      </c>
      <c r="E41" s="6" t="s">
        <v>476</v>
      </c>
      <c r="F41" s="6" t="s">
        <v>448</v>
      </c>
      <c r="G41" s="7">
        <v>20000</v>
      </c>
      <c r="H41" s="11">
        <v>13000</v>
      </c>
    </row>
    <row r="42" spans="1:8" x14ac:dyDescent="0.3">
      <c r="A42" s="4">
        <v>41</v>
      </c>
      <c r="B42" s="5" t="s">
        <v>426</v>
      </c>
      <c r="C42" s="31" t="s">
        <v>437</v>
      </c>
      <c r="D42" s="6" t="s">
        <v>418</v>
      </c>
      <c r="E42" s="6" t="s">
        <v>476</v>
      </c>
      <c r="F42" s="6" t="s">
        <v>8</v>
      </c>
      <c r="G42" s="7">
        <v>12000</v>
      </c>
      <c r="H42" s="11">
        <v>7800</v>
      </c>
    </row>
    <row r="43" spans="1:8" x14ac:dyDescent="0.3">
      <c r="A43" s="4">
        <v>42</v>
      </c>
      <c r="B43" s="5" t="s">
        <v>426</v>
      </c>
      <c r="C43" s="31" t="s">
        <v>437</v>
      </c>
      <c r="D43" s="6" t="s">
        <v>419</v>
      </c>
      <c r="E43" s="6" t="s">
        <v>476</v>
      </c>
      <c r="F43" s="6" t="s">
        <v>8</v>
      </c>
      <c r="G43" s="7">
        <v>15000</v>
      </c>
      <c r="H43" s="11">
        <v>9750</v>
      </c>
    </row>
    <row r="44" spans="1:8" x14ac:dyDescent="0.3">
      <c r="A44" s="4">
        <v>43</v>
      </c>
      <c r="B44" s="5" t="s">
        <v>426</v>
      </c>
      <c r="C44" s="31" t="s">
        <v>437</v>
      </c>
      <c r="D44" s="6" t="s">
        <v>420</v>
      </c>
      <c r="E44" s="6" t="s">
        <v>476</v>
      </c>
      <c r="F44" s="6" t="s">
        <v>8</v>
      </c>
      <c r="G44" s="7">
        <v>18000</v>
      </c>
      <c r="H44" s="11">
        <v>11700</v>
      </c>
    </row>
    <row r="45" spans="1:8" x14ac:dyDescent="0.3">
      <c r="A45" s="4">
        <v>44</v>
      </c>
      <c r="B45" s="5" t="s">
        <v>426</v>
      </c>
      <c r="C45" s="31" t="s">
        <v>437</v>
      </c>
      <c r="D45" s="6" t="s">
        <v>421</v>
      </c>
      <c r="E45" s="6" t="s">
        <v>476</v>
      </c>
      <c r="F45" s="6" t="s">
        <v>8</v>
      </c>
      <c r="G45" s="7">
        <v>20000</v>
      </c>
      <c r="H45" s="11">
        <v>13000</v>
      </c>
    </row>
    <row r="46" spans="1:8" x14ac:dyDescent="0.3">
      <c r="A46" s="4">
        <v>45</v>
      </c>
      <c r="B46" s="5" t="s">
        <v>427</v>
      </c>
      <c r="C46" s="31" t="s">
        <v>452</v>
      </c>
      <c r="D46" s="6" t="s">
        <v>419</v>
      </c>
      <c r="E46" s="6" t="s">
        <v>476</v>
      </c>
      <c r="F46" s="6" t="s">
        <v>8</v>
      </c>
      <c r="G46" s="12">
        <v>14000</v>
      </c>
      <c r="H46" s="11">
        <v>9100</v>
      </c>
    </row>
    <row r="47" spans="1:8" x14ac:dyDescent="0.3">
      <c r="A47" s="4">
        <v>46</v>
      </c>
      <c r="B47" s="5" t="s">
        <v>427</v>
      </c>
      <c r="C47" s="31" t="s">
        <v>452</v>
      </c>
      <c r="D47" s="6" t="s">
        <v>420</v>
      </c>
      <c r="E47" s="6" t="s">
        <v>476</v>
      </c>
      <c r="F47" s="6" t="s">
        <v>8</v>
      </c>
      <c r="G47" s="12">
        <v>17000</v>
      </c>
      <c r="H47" s="11">
        <v>11050</v>
      </c>
    </row>
    <row r="48" spans="1:8" x14ac:dyDescent="0.3">
      <c r="A48" s="4">
        <v>47</v>
      </c>
      <c r="B48" s="5" t="s">
        <v>428</v>
      </c>
      <c r="C48" s="31" t="s">
        <v>436</v>
      </c>
      <c r="D48" s="6" t="s">
        <v>419</v>
      </c>
      <c r="E48" s="6" t="s">
        <v>476</v>
      </c>
      <c r="F48" s="6" t="s">
        <v>8</v>
      </c>
      <c r="G48" s="12">
        <v>20000</v>
      </c>
      <c r="H48" s="11">
        <v>13000</v>
      </c>
    </row>
    <row r="49" spans="1:8" x14ac:dyDescent="0.3">
      <c r="A49" s="4">
        <v>48</v>
      </c>
      <c r="B49" s="5" t="s">
        <v>428</v>
      </c>
      <c r="C49" s="31" t="s">
        <v>436</v>
      </c>
      <c r="D49" s="6" t="s">
        <v>420</v>
      </c>
      <c r="E49" s="6" t="s">
        <v>476</v>
      </c>
      <c r="F49" s="6" t="s">
        <v>8</v>
      </c>
      <c r="G49" s="12">
        <v>22000</v>
      </c>
      <c r="H49" s="11">
        <v>14300</v>
      </c>
    </row>
    <row r="50" spans="1:8" x14ac:dyDescent="0.3">
      <c r="A50" s="4">
        <v>49</v>
      </c>
      <c r="B50" s="5" t="s">
        <v>429</v>
      </c>
      <c r="C50" s="31" t="s">
        <v>439</v>
      </c>
      <c r="D50" s="6" t="s">
        <v>418</v>
      </c>
      <c r="E50" s="6" t="s">
        <v>476</v>
      </c>
      <c r="F50" s="6" t="s">
        <v>9</v>
      </c>
      <c r="G50" s="7">
        <v>15000</v>
      </c>
      <c r="H50" s="11">
        <v>10500</v>
      </c>
    </row>
    <row r="51" spans="1:8" x14ac:dyDescent="0.3">
      <c r="A51" s="4">
        <v>50</v>
      </c>
      <c r="B51" s="5" t="s">
        <v>429</v>
      </c>
      <c r="C51" s="31" t="s">
        <v>439</v>
      </c>
      <c r="D51" s="6" t="s">
        <v>419</v>
      </c>
      <c r="E51" s="6" t="s">
        <v>476</v>
      </c>
      <c r="F51" s="6" t="s">
        <v>9</v>
      </c>
      <c r="G51" s="7">
        <v>18000</v>
      </c>
      <c r="H51" s="11">
        <v>12600</v>
      </c>
    </row>
    <row r="52" spans="1:8" x14ac:dyDescent="0.3">
      <c r="A52" s="4">
        <v>51</v>
      </c>
      <c r="B52" s="5" t="s">
        <v>429</v>
      </c>
      <c r="C52" s="31" t="s">
        <v>439</v>
      </c>
      <c r="D52" s="6" t="s">
        <v>420</v>
      </c>
      <c r="E52" s="6" t="s">
        <v>476</v>
      </c>
      <c r="F52" s="6" t="s">
        <v>9</v>
      </c>
      <c r="G52" s="7">
        <v>20000</v>
      </c>
      <c r="H52" s="11">
        <v>14000</v>
      </c>
    </row>
    <row r="53" spans="1:8" x14ac:dyDescent="0.3">
      <c r="A53" s="4">
        <v>52</v>
      </c>
      <c r="B53" s="5" t="s">
        <v>429</v>
      </c>
      <c r="C53" s="31" t="s">
        <v>439</v>
      </c>
      <c r="D53" s="6" t="s">
        <v>421</v>
      </c>
      <c r="E53" s="6" t="s">
        <v>476</v>
      </c>
      <c r="F53" s="6" t="s">
        <v>9</v>
      </c>
      <c r="G53" s="7">
        <v>22000</v>
      </c>
      <c r="H53" s="11">
        <v>15399.999999999998</v>
      </c>
    </row>
    <row r="54" spans="1:8" x14ac:dyDescent="0.3">
      <c r="A54" s="4">
        <v>53</v>
      </c>
      <c r="B54" s="5" t="s">
        <v>430</v>
      </c>
      <c r="C54" s="31" t="s">
        <v>437</v>
      </c>
      <c r="D54" s="6" t="s">
        <v>418</v>
      </c>
      <c r="E54" s="6" t="s">
        <v>476</v>
      </c>
      <c r="F54" s="6" t="s">
        <v>449</v>
      </c>
      <c r="G54" s="7">
        <v>15000</v>
      </c>
      <c r="H54" s="11">
        <v>10500</v>
      </c>
    </row>
    <row r="55" spans="1:8" x14ac:dyDescent="0.3">
      <c r="A55" s="4">
        <v>54</v>
      </c>
      <c r="B55" s="5" t="s">
        <v>430</v>
      </c>
      <c r="C55" s="31" t="s">
        <v>437</v>
      </c>
      <c r="D55" s="6" t="s">
        <v>419</v>
      </c>
      <c r="E55" s="6" t="s">
        <v>476</v>
      </c>
      <c r="F55" s="6" t="s">
        <v>9</v>
      </c>
      <c r="G55" s="7">
        <v>18000</v>
      </c>
      <c r="H55" s="11">
        <v>12600</v>
      </c>
    </row>
    <row r="56" spans="1:8" x14ac:dyDescent="0.3">
      <c r="A56" s="4">
        <v>55</v>
      </c>
      <c r="B56" s="5" t="s">
        <v>430</v>
      </c>
      <c r="C56" s="31" t="s">
        <v>437</v>
      </c>
      <c r="D56" s="6" t="s">
        <v>420</v>
      </c>
      <c r="E56" s="6" t="s">
        <v>476</v>
      </c>
      <c r="F56" s="6" t="s">
        <v>9</v>
      </c>
      <c r="G56" s="7">
        <v>20000</v>
      </c>
      <c r="H56" s="11">
        <v>14000</v>
      </c>
    </row>
    <row r="57" spans="1:8" x14ac:dyDescent="0.3">
      <c r="A57" s="4">
        <v>56</v>
      </c>
      <c r="B57" s="5" t="s">
        <v>430</v>
      </c>
      <c r="C57" s="31" t="s">
        <v>437</v>
      </c>
      <c r="D57" s="6" t="s">
        <v>421</v>
      </c>
      <c r="E57" s="6" t="s">
        <v>476</v>
      </c>
      <c r="F57" s="6" t="s">
        <v>9</v>
      </c>
      <c r="G57" s="7">
        <v>22000</v>
      </c>
      <c r="H57" s="11">
        <v>15399.999999999998</v>
      </c>
    </row>
    <row r="58" spans="1:8" x14ac:dyDescent="0.3">
      <c r="A58" s="4">
        <v>57</v>
      </c>
      <c r="B58" s="5" t="s">
        <v>431</v>
      </c>
      <c r="C58" s="31" t="s">
        <v>452</v>
      </c>
      <c r="D58" s="6" t="s">
        <v>419</v>
      </c>
      <c r="E58" s="6" t="s">
        <v>476</v>
      </c>
      <c r="F58" s="6" t="s">
        <v>9</v>
      </c>
      <c r="G58" s="7">
        <v>18000</v>
      </c>
      <c r="H58" s="11">
        <v>12600</v>
      </c>
    </row>
    <row r="59" spans="1:8" x14ac:dyDescent="0.3">
      <c r="A59" s="4">
        <v>58</v>
      </c>
      <c r="B59" s="5" t="s">
        <v>431</v>
      </c>
      <c r="C59" s="31" t="s">
        <v>452</v>
      </c>
      <c r="D59" s="6" t="s">
        <v>420</v>
      </c>
      <c r="E59" s="6" t="s">
        <v>476</v>
      </c>
      <c r="F59" s="6" t="s">
        <v>9</v>
      </c>
      <c r="G59" s="7">
        <v>21000</v>
      </c>
      <c r="H59" s="11">
        <v>14699.999999999998</v>
      </c>
    </row>
    <row r="60" spans="1:8" x14ac:dyDescent="0.3">
      <c r="A60" s="4">
        <v>59</v>
      </c>
      <c r="B60" s="5" t="s">
        <v>432</v>
      </c>
      <c r="C60" s="31" t="s">
        <v>436</v>
      </c>
      <c r="D60" s="6" t="s">
        <v>419</v>
      </c>
      <c r="E60" s="6" t="s">
        <v>476</v>
      </c>
      <c r="F60" s="6" t="s">
        <v>9</v>
      </c>
      <c r="G60" s="7">
        <v>24000</v>
      </c>
      <c r="H60" s="11">
        <v>16800</v>
      </c>
    </row>
    <row r="61" spans="1:8" x14ac:dyDescent="0.3">
      <c r="A61" s="4">
        <v>60</v>
      </c>
      <c r="B61" s="13" t="s">
        <v>432</v>
      </c>
      <c r="C61" s="31" t="s">
        <v>436</v>
      </c>
      <c r="D61" s="14" t="s">
        <v>420</v>
      </c>
      <c r="E61" s="6" t="s">
        <v>476</v>
      </c>
      <c r="F61" s="14" t="s">
        <v>449</v>
      </c>
      <c r="G61" s="7">
        <v>25000</v>
      </c>
      <c r="H61" s="11">
        <v>17500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9"/>
  <sheetViews>
    <sheetView workbookViewId="0">
      <selection activeCell="G9" sqref="G9"/>
    </sheetView>
  </sheetViews>
  <sheetFormatPr defaultRowHeight="16.2" x14ac:dyDescent="0.3"/>
  <cols>
    <col min="3" max="3" width="11.109375" bestFit="1" customWidth="1"/>
  </cols>
  <sheetData>
    <row r="1" spans="1:5" x14ac:dyDescent="0.3">
      <c r="A1" t="s">
        <v>10</v>
      </c>
      <c r="B1" t="s">
        <v>89</v>
      </c>
      <c r="C1" t="s">
        <v>90</v>
      </c>
      <c r="D1" t="s">
        <v>91</v>
      </c>
      <c r="E1" t="s">
        <v>92</v>
      </c>
    </row>
    <row r="2" spans="1:5" x14ac:dyDescent="0.3">
      <c r="A2" s="15">
        <v>1</v>
      </c>
      <c r="B2" t="s">
        <v>13</v>
      </c>
      <c r="C2" t="s">
        <v>81</v>
      </c>
      <c r="D2">
        <v>121.5198839</v>
      </c>
      <c r="E2">
        <v>25.032404870000001</v>
      </c>
    </row>
    <row r="3" spans="1:5" x14ac:dyDescent="0.3">
      <c r="A3" s="15">
        <v>2</v>
      </c>
      <c r="B3" t="s">
        <v>13</v>
      </c>
      <c r="C3" t="s">
        <v>14</v>
      </c>
      <c r="D3">
        <v>121.5130417</v>
      </c>
      <c r="E3">
        <v>25.06342433</v>
      </c>
    </row>
    <row r="4" spans="1:5" x14ac:dyDescent="0.3">
      <c r="A4" s="15">
        <v>3</v>
      </c>
      <c r="B4" t="s">
        <v>13</v>
      </c>
      <c r="C4" t="s">
        <v>31</v>
      </c>
      <c r="D4">
        <v>121.53815969999999</v>
      </c>
      <c r="E4">
        <v>25.06969917</v>
      </c>
    </row>
    <row r="5" spans="1:5" x14ac:dyDescent="0.3">
      <c r="A5" s="15">
        <v>4</v>
      </c>
      <c r="B5" t="s">
        <v>13</v>
      </c>
      <c r="C5" t="s">
        <v>35</v>
      </c>
      <c r="D5">
        <v>121.55758760000001</v>
      </c>
      <c r="E5">
        <v>25.059991010000001</v>
      </c>
    </row>
    <row r="6" spans="1:5" x14ac:dyDescent="0.3">
      <c r="A6" s="15">
        <v>5</v>
      </c>
      <c r="B6" t="s">
        <v>13</v>
      </c>
      <c r="C6" t="s">
        <v>16</v>
      </c>
      <c r="D6">
        <v>121.5434446</v>
      </c>
      <c r="E6">
        <v>25.026770119999998</v>
      </c>
    </row>
    <row r="7" spans="1:5" x14ac:dyDescent="0.3">
      <c r="A7" s="15">
        <v>6</v>
      </c>
      <c r="B7" t="s">
        <v>13</v>
      </c>
      <c r="C7" t="s">
        <v>76</v>
      </c>
      <c r="D7">
        <v>121.4979858</v>
      </c>
      <c r="E7">
        <v>25.0285899</v>
      </c>
    </row>
    <row r="8" spans="1:5" x14ac:dyDescent="0.3">
      <c r="A8" s="15">
        <v>7</v>
      </c>
      <c r="B8" t="s">
        <v>13</v>
      </c>
      <c r="C8" t="s">
        <v>61</v>
      </c>
      <c r="D8">
        <v>121.5716697</v>
      </c>
      <c r="E8">
        <v>25.03062083</v>
      </c>
    </row>
    <row r="9" spans="1:5" x14ac:dyDescent="0.3">
      <c r="A9" s="15">
        <v>8</v>
      </c>
      <c r="B9" t="s">
        <v>13</v>
      </c>
      <c r="C9" t="s">
        <v>53</v>
      </c>
      <c r="D9">
        <v>121.5508473</v>
      </c>
      <c r="E9">
        <v>25.12546704</v>
      </c>
    </row>
    <row r="10" spans="1:5" x14ac:dyDescent="0.3">
      <c r="A10" s="15">
        <v>9</v>
      </c>
      <c r="B10" t="s">
        <v>13</v>
      </c>
      <c r="C10" t="s">
        <v>64</v>
      </c>
      <c r="D10">
        <v>121.5177992</v>
      </c>
      <c r="E10">
        <v>25.148068200000001</v>
      </c>
    </row>
    <row r="11" spans="1:5" x14ac:dyDescent="0.3">
      <c r="A11" s="15">
        <v>10</v>
      </c>
      <c r="B11" t="s">
        <v>13</v>
      </c>
      <c r="C11" t="s">
        <v>80</v>
      </c>
      <c r="D11">
        <v>121.5923828</v>
      </c>
      <c r="E11">
        <v>25.083706230000001</v>
      </c>
    </row>
    <row r="12" spans="1:5" x14ac:dyDescent="0.3">
      <c r="A12" s="15">
        <v>11</v>
      </c>
      <c r="B12" t="s">
        <v>13</v>
      </c>
      <c r="C12" t="s">
        <v>66</v>
      </c>
      <c r="D12">
        <v>121.6097573</v>
      </c>
      <c r="E12">
        <v>25.03600934</v>
      </c>
    </row>
    <row r="13" spans="1:5" x14ac:dyDescent="0.3">
      <c r="A13" s="15">
        <v>12</v>
      </c>
      <c r="B13" t="s">
        <v>13</v>
      </c>
      <c r="C13" t="s">
        <v>82</v>
      </c>
      <c r="D13">
        <v>121.5736082</v>
      </c>
      <c r="E13">
        <v>24.988579340000001</v>
      </c>
    </row>
    <row r="14" spans="1:5" x14ac:dyDescent="0.3">
      <c r="A14" s="15">
        <v>13</v>
      </c>
      <c r="B14" t="s">
        <v>93</v>
      </c>
      <c r="C14" t="s">
        <v>94</v>
      </c>
      <c r="D14">
        <v>121.7434205</v>
      </c>
      <c r="E14">
        <v>25.119454210000001</v>
      </c>
    </row>
    <row r="15" spans="1:5" x14ac:dyDescent="0.3">
      <c r="A15" s="15">
        <v>14</v>
      </c>
      <c r="B15" t="s">
        <v>93</v>
      </c>
      <c r="C15" t="s">
        <v>61</v>
      </c>
      <c r="D15">
        <v>121.77264599999999</v>
      </c>
      <c r="E15">
        <v>25.125765789999999</v>
      </c>
    </row>
    <row r="16" spans="1:5" x14ac:dyDescent="0.3">
      <c r="A16" s="15">
        <v>15</v>
      </c>
      <c r="B16" t="s">
        <v>93</v>
      </c>
      <c r="C16" t="s">
        <v>81</v>
      </c>
      <c r="D16">
        <v>121.7783549</v>
      </c>
      <c r="E16">
        <v>25.14365754</v>
      </c>
    </row>
    <row r="17" spans="1:5" x14ac:dyDescent="0.3">
      <c r="A17" s="15">
        <v>16</v>
      </c>
      <c r="B17" t="s">
        <v>93</v>
      </c>
      <c r="C17" t="s">
        <v>31</v>
      </c>
      <c r="D17">
        <v>121.7308913</v>
      </c>
      <c r="E17">
        <v>25.14986365</v>
      </c>
    </row>
    <row r="18" spans="1:5" x14ac:dyDescent="0.3">
      <c r="A18" s="15">
        <v>17</v>
      </c>
      <c r="B18" t="s">
        <v>93</v>
      </c>
      <c r="C18" t="s">
        <v>95</v>
      </c>
      <c r="D18">
        <v>121.70783249999999</v>
      </c>
      <c r="E18">
        <v>25.141395209999999</v>
      </c>
    </row>
    <row r="19" spans="1:5" x14ac:dyDescent="0.3">
      <c r="A19" s="15">
        <v>18</v>
      </c>
      <c r="B19" t="s">
        <v>93</v>
      </c>
      <c r="C19" t="s">
        <v>96</v>
      </c>
      <c r="D19">
        <v>121.7447344</v>
      </c>
      <c r="E19">
        <v>25.08097003</v>
      </c>
    </row>
    <row r="20" spans="1:5" x14ac:dyDescent="0.3">
      <c r="A20" s="15">
        <v>19</v>
      </c>
      <c r="B20" t="s">
        <v>93</v>
      </c>
      <c r="C20" t="s">
        <v>97</v>
      </c>
      <c r="D20">
        <v>121.683628</v>
      </c>
      <c r="E20">
        <v>25.109620280000001</v>
      </c>
    </row>
    <row r="21" spans="1:5" x14ac:dyDescent="0.3">
      <c r="A21" s="15">
        <v>20</v>
      </c>
      <c r="B21" t="s">
        <v>98</v>
      </c>
      <c r="C21" t="s">
        <v>99</v>
      </c>
      <c r="D21">
        <v>121.6439307</v>
      </c>
      <c r="E21">
        <v>25.17572457</v>
      </c>
    </row>
    <row r="22" spans="1:5" x14ac:dyDescent="0.3">
      <c r="A22" s="15">
        <v>21</v>
      </c>
      <c r="B22" t="s">
        <v>98</v>
      </c>
      <c r="C22" t="s">
        <v>100</v>
      </c>
      <c r="D22">
        <v>121.6052639</v>
      </c>
      <c r="E22">
        <v>25.217145940000002</v>
      </c>
    </row>
    <row r="23" spans="1:5" x14ac:dyDescent="0.3">
      <c r="A23" s="15">
        <v>22</v>
      </c>
      <c r="B23" t="s">
        <v>101</v>
      </c>
      <c r="C23" t="s">
        <v>102</v>
      </c>
      <c r="D23">
        <v>119.931128</v>
      </c>
      <c r="E23">
        <v>26.154320999999999</v>
      </c>
    </row>
    <row r="24" spans="1:5" x14ac:dyDescent="0.3">
      <c r="A24" s="15">
        <v>23</v>
      </c>
      <c r="B24" t="s">
        <v>101</v>
      </c>
      <c r="C24" t="s">
        <v>103</v>
      </c>
      <c r="D24">
        <v>119.99425100000001</v>
      </c>
      <c r="E24">
        <v>26.225636999999999</v>
      </c>
    </row>
    <row r="25" spans="1:5" x14ac:dyDescent="0.3">
      <c r="A25" s="15">
        <v>24</v>
      </c>
      <c r="B25" t="s">
        <v>101</v>
      </c>
      <c r="C25" t="s">
        <v>104</v>
      </c>
      <c r="D25">
        <v>119.93887700000001</v>
      </c>
      <c r="E25">
        <v>25.97298</v>
      </c>
    </row>
    <row r="26" spans="1:5" x14ac:dyDescent="0.3">
      <c r="A26" s="15">
        <v>25</v>
      </c>
      <c r="B26" t="s">
        <v>101</v>
      </c>
      <c r="C26" t="s">
        <v>105</v>
      </c>
      <c r="D26">
        <v>120.4903</v>
      </c>
      <c r="E26">
        <v>26.366101</v>
      </c>
    </row>
    <row r="27" spans="1:5" x14ac:dyDescent="0.3">
      <c r="A27" s="15">
        <v>26</v>
      </c>
      <c r="B27" t="s">
        <v>98</v>
      </c>
      <c r="C27" t="s">
        <v>106</v>
      </c>
      <c r="D27">
        <v>121.4579675</v>
      </c>
      <c r="E27">
        <v>25.01186453</v>
      </c>
    </row>
    <row r="28" spans="1:5" x14ac:dyDescent="0.3">
      <c r="A28" s="15">
        <v>27</v>
      </c>
      <c r="B28" t="s">
        <v>98</v>
      </c>
      <c r="C28" t="s">
        <v>107</v>
      </c>
      <c r="D28">
        <v>121.6546992</v>
      </c>
      <c r="E28">
        <v>25.073313219999999</v>
      </c>
    </row>
    <row r="29" spans="1:5" x14ac:dyDescent="0.3">
      <c r="A29" s="15">
        <v>28</v>
      </c>
      <c r="B29" t="s">
        <v>98</v>
      </c>
      <c r="C29" t="s">
        <v>108</v>
      </c>
      <c r="D29">
        <v>121.62006239999999</v>
      </c>
      <c r="E29">
        <v>24.997675059999999</v>
      </c>
    </row>
    <row r="30" spans="1:5" x14ac:dyDescent="0.3">
      <c r="A30" s="15">
        <v>29</v>
      </c>
      <c r="B30" t="s">
        <v>98</v>
      </c>
      <c r="C30" t="s">
        <v>109</v>
      </c>
      <c r="D30">
        <v>121.6472277</v>
      </c>
      <c r="E30">
        <v>24.947141070000001</v>
      </c>
    </row>
    <row r="31" spans="1:5" x14ac:dyDescent="0.3">
      <c r="A31" s="15">
        <v>30</v>
      </c>
      <c r="B31" t="s">
        <v>98</v>
      </c>
      <c r="C31" t="s">
        <v>110</v>
      </c>
      <c r="D31">
        <v>121.82320180000001</v>
      </c>
      <c r="E31">
        <v>25.0981293</v>
      </c>
    </row>
    <row r="32" spans="1:5" x14ac:dyDescent="0.3">
      <c r="A32" s="15">
        <v>31</v>
      </c>
      <c r="B32" t="s">
        <v>98</v>
      </c>
      <c r="C32" t="s">
        <v>111</v>
      </c>
      <c r="D32">
        <v>121.7578817</v>
      </c>
      <c r="E32">
        <v>25.02607068</v>
      </c>
    </row>
    <row r="33" spans="1:5" x14ac:dyDescent="0.3">
      <c r="A33" s="15">
        <v>32</v>
      </c>
      <c r="B33" t="s">
        <v>98</v>
      </c>
      <c r="C33" t="s">
        <v>112</v>
      </c>
      <c r="D33">
        <v>121.8329822</v>
      </c>
      <c r="E33">
        <v>24.99698394</v>
      </c>
    </row>
    <row r="34" spans="1:5" x14ac:dyDescent="0.3">
      <c r="A34" s="15">
        <v>33</v>
      </c>
      <c r="B34" t="s">
        <v>98</v>
      </c>
      <c r="C34" t="s">
        <v>113</v>
      </c>
      <c r="D34">
        <v>121.9182466</v>
      </c>
      <c r="E34">
        <v>25.024856410000002</v>
      </c>
    </row>
    <row r="35" spans="1:5" x14ac:dyDescent="0.3">
      <c r="A35" s="15">
        <v>34</v>
      </c>
      <c r="B35" t="s">
        <v>98</v>
      </c>
      <c r="C35" t="s">
        <v>114</v>
      </c>
      <c r="D35">
        <v>121.5316565</v>
      </c>
      <c r="E35">
        <v>24.930390079999999</v>
      </c>
    </row>
    <row r="36" spans="1:5" x14ac:dyDescent="0.3">
      <c r="A36" s="15">
        <v>35</v>
      </c>
      <c r="B36" t="s">
        <v>98</v>
      </c>
      <c r="C36" t="s">
        <v>115</v>
      </c>
      <c r="D36">
        <v>121.72422299999999</v>
      </c>
      <c r="E36">
        <v>24.910970729999999</v>
      </c>
    </row>
    <row r="37" spans="1:5" x14ac:dyDescent="0.3">
      <c r="A37" s="15">
        <v>36</v>
      </c>
      <c r="B37" t="s">
        <v>98</v>
      </c>
      <c r="C37" t="s">
        <v>116</v>
      </c>
      <c r="D37">
        <v>121.5414806</v>
      </c>
      <c r="E37">
        <v>24.788242950000001</v>
      </c>
    </row>
    <row r="38" spans="1:5" x14ac:dyDescent="0.3">
      <c r="A38" s="15">
        <v>37</v>
      </c>
      <c r="B38" t="s">
        <v>98</v>
      </c>
      <c r="C38" t="s">
        <v>117</v>
      </c>
      <c r="D38">
        <v>121.516745</v>
      </c>
      <c r="E38">
        <v>25.00810199</v>
      </c>
    </row>
    <row r="39" spans="1:5" x14ac:dyDescent="0.3">
      <c r="A39" s="15">
        <v>38</v>
      </c>
      <c r="B39" t="s">
        <v>98</v>
      </c>
      <c r="C39" t="s">
        <v>118</v>
      </c>
      <c r="D39">
        <v>121.4936744</v>
      </c>
      <c r="E39">
        <v>24.990880390000001</v>
      </c>
    </row>
    <row r="40" spans="1:5" x14ac:dyDescent="0.3">
      <c r="A40" s="15">
        <v>39</v>
      </c>
      <c r="B40" t="s">
        <v>98</v>
      </c>
      <c r="C40" t="s">
        <v>119</v>
      </c>
      <c r="D40">
        <v>121.44573699999999</v>
      </c>
      <c r="E40">
        <v>24.964251019999999</v>
      </c>
    </row>
    <row r="41" spans="1:5" x14ac:dyDescent="0.3">
      <c r="A41" s="15">
        <v>40</v>
      </c>
      <c r="B41" t="s">
        <v>98</v>
      </c>
      <c r="C41" t="s">
        <v>120</v>
      </c>
      <c r="D41">
        <v>121.4163094</v>
      </c>
      <c r="E41">
        <v>24.882097659999999</v>
      </c>
    </row>
    <row r="42" spans="1:5" x14ac:dyDescent="0.3">
      <c r="A42" s="15">
        <v>41</v>
      </c>
      <c r="B42" t="s">
        <v>98</v>
      </c>
      <c r="C42" t="s">
        <v>121</v>
      </c>
      <c r="D42">
        <v>121.401034</v>
      </c>
      <c r="E42">
        <v>24.979706090000001</v>
      </c>
    </row>
    <row r="43" spans="1:5" x14ac:dyDescent="0.3">
      <c r="A43" s="15">
        <v>42</v>
      </c>
      <c r="B43" t="s">
        <v>98</v>
      </c>
      <c r="C43" t="s">
        <v>122</v>
      </c>
      <c r="D43">
        <v>121.3466269</v>
      </c>
      <c r="E43">
        <v>24.956625800000001</v>
      </c>
    </row>
    <row r="44" spans="1:5" x14ac:dyDescent="0.3">
      <c r="A44" s="15">
        <v>43</v>
      </c>
      <c r="B44" t="s">
        <v>98</v>
      </c>
      <c r="C44" t="s">
        <v>123</v>
      </c>
      <c r="D44">
        <v>121.48709770000001</v>
      </c>
      <c r="E44">
        <v>25.062816510000001</v>
      </c>
    </row>
    <row r="45" spans="1:5" x14ac:dyDescent="0.3">
      <c r="A45" s="15">
        <v>44</v>
      </c>
      <c r="B45" t="s">
        <v>98</v>
      </c>
      <c r="C45" t="s">
        <v>124</v>
      </c>
      <c r="D45">
        <v>121.43675349999999</v>
      </c>
      <c r="E45">
        <v>25.035830300000001</v>
      </c>
    </row>
    <row r="46" spans="1:5" x14ac:dyDescent="0.3">
      <c r="A46" s="15">
        <v>45</v>
      </c>
      <c r="B46" t="s">
        <v>98</v>
      </c>
      <c r="C46" t="s">
        <v>125</v>
      </c>
      <c r="D46">
        <v>121.4162785</v>
      </c>
      <c r="E46">
        <v>25.05549774</v>
      </c>
    </row>
    <row r="47" spans="1:5" x14ac:dyDescent="0.3">
      <c r="A47" s="15">
        <v>46</v>
      </c>
      <c r="B47" t="s">
        <v>98</v>
      </c>
      <c r="C47" t="s">
        <v>126</v>
      </c>
      <c r="D47">
        <v>121.3527235</v>
      </c>
      <c r="E47">
        <v>25.1000868</v>
      </c>
    </row>
    <row r="48" spans="1:5" x14ac:dyDescent="0.3">
      <c r="A48" s="15">
        <v>47</v>
      </c>
      <c r="B48" t="s">
        <v>98</v>
      </c>
      <c r="C48" t="s">
        <v>127</v>
      </c>
      <c r="D48">
        <v>121.4712461</v>
      </c>
      <c r="E48">
        <v>25.08927173</v>
      </c>
    </row>
    <row r="49" spans="1:5" x14ac:dyDescent="0.3">
      <c r="A49" s="15">
        <v>48</v>
      </c>
      <c r="B49" t="s">
        <v>98</v>
      </c>
      <c r="C49" t="s">
        <v>128</v>
      </c>
      <c r="D49">
        <v>121.4332139</v>
      </c>
      <c r="E49">
        <v>25.096147460000001</v>
      </c>
    </row>
    <row r="50" spans="1:5" x14ac:dyDescent="0.3">
      <c r="A50" s="15">
        <v>49</v>
      </c>
      <c r="B50" t="s">
        <v>98</v>
      </c>
      <c r="C50" t="s">
        <v>129</v>
      </c>
      <c r="D50">
        <v>121.4138359</v>
      </c>
      <c r="E50">
        <v>25.13812763</v>
      </c>
    </row>
    <row r="51" spans="1:5" x14ac:dyDescent="0.3">
      <c r="A51" s="15">
        <v>50</v>
      </c>
      <c r="B51" t="s">
        <v>98</v>
      </c>
      <c r="C51" t="s">
        <v>130</v>
      </c>
      <c r="D51">
        <v>121.463904</v>
      </c>
      <c r="E51">
        <v>25.189076360000001</v>
      </c>
    </row>
    <row r="52" spans="1:5" x14ac:dyDescent="0.3">
      <c r="A52" s="15">
        <v>51</v>
      </c>
      <c r="B52" t="s">
        <v>98</v>
      </c>
      <c r="C52" t="s">
        <v>131</v>
      </c>
      <c r="D52">
        <v>121.515558</v>
      </c>
      <c r="E52">
        <v>25.231598909999999</v>
      </c>
    </row>
    <row r="53" spans="1:5" x14ac:dyDescent="0.3">
      <c r="A53" s="15">
        <v>52</v>
      </c>
      <c r="B53" t="s">
        <v>98</v>
      </c>
      <c r="C53" t="s">
        <v>132</v>
      </c>
      <c r="D53">
        <v>121.5692761</v>
      </c>
      <c r="E53">
        <v>25.265180789999999</v>
      </c>
    </row>
    <row r="54" spans="1:5" x14ac:dyDescent="0.3">
      <c r="A54" s="15">
        <v>53</v>
      </c>
      <c r="B54" t="s">
        <v>133</v>
      </c>
      <c r="C54" t="s">
        <v>134</v>
      </c>
      <c r="D54">
        <v>121.75693579999999</v>
      </c>
      <c r="E54">
        <v>24.750211839999999</v>
      </c>
    </row>
    <row r="55" spans="1:5" x14ac:dyDescent="0.3">
      <c r="A55" s="15">
        <v>54</v>
      </c>
      <c r="B55" t="s">
        <v>133</v>
      </c>
      <c r="C55" t="s">
        <v>135</v>
      </c>
      <c r="D55">
        <v>121.845797</v>
      </c>
      <c r="E55">
        <v>24.90075882</v>
      </c>
    </row>
    <row r="56" spans="1:5" x14ac:dyDescent="0.3">
      <c r="A56" s="15">
        <v>55</v>
      </c>
      <c r="B56" t="s">
        <v>133</v>
      </c>
      <c r="C56" t="s">
        <v>136</v>
      </c>
      <c r="D56">
        <v>121.7346606</v>
      </c>
      <c r="E56">
        <v>24.81144192</v>
      </c>
    </row>
    <row r="57" spans="1:5" x14ac:dyDescent="0.3">
      <c r="A57" s="15">
        <v>56</v>
      </c>
      <c r="B57" t="s">
        <v>133</v>
      </c>
      <c r="C57" t="s">
        <v>137</v>
      </c>
      <c r="D57">
        <v>121.8017622</v>
      </c>
      <c r="E57">
        <v>24.751830420000001</v>
      </c>
    </row>
    <row r="58" spans="1:5" x14ac:dyDescent="0.3">
      <c r="A58" s="15">
        <v>57</v>
      </c>
      <c r="B58" t="s">
        <v>133</v>
      </c>
      <c r="C58" t="s">
        <v>138</v>
      </c>
      <c r="D58">
        <v>121.6612282</v>
      </c>
      <c r="E58">
        <v>24.741992369999998</v>
      </c>
    </row>
    <row r="59" spans="1:5" x14ac:dyDescent="0.3">
      <c r="A59" s="15">
        <v>58</v>
      </c>
      <c r="B59" t="s">
        <v>133</v>
      </c>
      <c r="C59" t="s">
        <v>139</v>
      </c>
      <c r="D59">
        <v>121.7701782</v>
      </c>
      <c r="E59">
        <v>24.678848240000001</v>
      </c>
    </row>
    <row r="60" spans="1:5" x14ac:dyDescent="0.3">
      <c r="A60" s="15">
        <v>59</v>
      </c>
      <c r="B60" t="s">
        <v>133</v>
      </c>
      <c r="C60" t="s">
        <v>140</v>
      </c>
      <c r="D60">
        <v>121.6642714</v>
      </c>
      <c r="E60">
        <v>24.667719720000001</v>
      </c>
    </row>
    <row r="61" spans="1:5" x14ac:dyDescent="0.3">
      <c r="A61" s="15">
        <v>60</v>
      </c>
      <c r="B61" t="s">
        <v>133</v>
      </c>
      <c r="C61" t="s">
        <v>141</v>
      </c>
      <c r="D61">
        <v>121.5040369</v>
      </c>
      <c r="E61">
        <v>24.55152082</v>
      </c>
    </row>
    <row r="62" spans="1:5" x14ac:dyDescent="0.3">
      <c r="A62" s="15">
        <v>61</v>
      </c>
      <c r="B62" t="s">
        <v>133</v>
      </c>
      <c r="C62" t="s">
        <v>142</v>
      </c>
      <c r="D62">
        <v>121.80583420000001</v>
      </c>
      <c r="E62">
        <v>24.688873430000001</v>
      </c>
    </row>
    <row r="63" spans="1:5" x14ac:dyDescent="0.3">
      <c r="A63" s="15">
        <v>62</v>
      </c>
      <c r="B63" t="s">
        <v>133</v>
      </c>
      <c r="C63" t="s">
        <v>143</v>
      </c>
      <c r="D63">
        <v>121.760255</v>
      </c>
      <c r="E63">
        <v>24.64214986</v>
      </c>
    </row>
    <row r="64" spans="1:5" x14ac:dyDescent="0.3">
      <c r="A64" s="15">
        <v>63</v>
      </c>
      <c r="B64" t="s">
        <v>133</v>
      </c>
      <c r="C64" t="s">
        <v>144</v>
      </c>
      <c r="D64">
        <v>121.8346892</v>
      </c>
      <c r="E64">
        <v>24.55467058</v>
      </c>
    </row>
    <row r="65" spans="1:5" x14ac:dyDescent="0.3">
      <c r="A65" s="15">
        <v>64</v>
      </c>
      <c r="B65" t="s">
        <v>133</v>
      </c>
      <c r="C65" t="s">
        <v>145</v>
      </c>
      <c r="D65">
        <v>121.6560593</v>
      </c>
      <c r="E65">
        <v>24.448640579999999</v>
      </c>
    </row>
    <row r="66" spans="1:5" x14ac:dyDescent="0.3">
      <c r="A66" s="15">
        <v>65</v>
      </c>
      <c r="B66" t="s">
        <v>146</v>
      </c>
      <c r="C66" t="s">
        <v>28</v>
      </c>
      <c r="D66">
        <v>120.9491233</v>
      </c>
      <c r="E66">
        <v>24.822695419999999</v>
      </c>
    </row>
    <row r="67" spans="1:5" x14ac:dyDescent="0.3">
      <c r="A67" s="15">
        <v>66</v>
      </c>
      <c r="B67" t="s">
        <v>146</v>
      </c>
      <c r="C67" t="s">
        <v>54</v>
      </c>
      <c r="D67">
        <v>120.9927505</v>
      </c>
      <c r="E67">
        <v>24.790281740000001</v>
      </c>
    </row>
    <row r="68" spans="1:5" x14ac:dyDescent="0.3">
      <c r="A68" s="15">
        <v>67</v>
      </c>
      <c r="B68" t="s">
        <v>146</v>
      </c>
      <c r="C68" t="s">
        <v>147</v>
      </c>
      <c r="D68">
        <v>120.9236727</v>
      </c>
      <c r="E68">
        <v>24.771043420000002</v>
      </c>
    </row>
    <row r="69" spans="1:5" x14ac:dyDescent="0.3">
      <c r="A69" s="15">
        <v>68</v>
      </c>
      <c r="B69" t="s">
        <v>148</v>
      </c>
      <c r="C69" t="s">
        <v>149</v>
      </c>
      <c r="D69">
        <v>120.9948704</v>
      </c>
      <c r="E69">
        <v>24.838162090000001</v>
      </c>
    </row>
    <row r="70" spans="1:5" x14ac:dyDescent="0.3">
      <c r="A70" s="15">
        <v>69</v>
      </c>
      <c r="B70" t="s">
        <v>148</v>
      </c>
      <c r="C70" t="s">
        <v>150</v>
      </c>
      <c r="D70">
        <v>121.0517242</v>
      </c>
      <c r="E70">
        <v>24.885663409999999</v>
      </c>
    </row>
    <row r="71" spans="1:5" x14ac:dyDescent="0.3">
      <c r="A71" s="15">
        <v>70</v>
      </c>
      <c r="B71" t="s">
        <v>148</v>
      </c>
      <c r="C71" t="s">
        <v>151</v>
      </c>
      <c r="D71">
        <v>120.9956033</v>
      </c>
      <c r="E71">
        <v>24.90731298</v>
      </c>
    </row>
    <row r="72" spans="1:5" x14ac:dyDescent="0.3">
      <c r="A72" s="15">
        <v>71</v>
      </c>
      <c r="B72" t="s">
        <v>148</v>
      </c>
      <c r="C72" t="s">
        <v>152</v>
      </c>
      <c r="D72">
        <v>121.0939886</v>
      </c>
      <c r="E72">
        <v>24.84133959</v>
      </c>
    </row>
    <row r="73" spans="1:5" x14ac:dyDescent="0.3">
      <c r="A73" s="15">
        <v>72</v>
      </c>
      <c r="B73" t="s">
        <v>148</v>
      </c>
      <c r="C73" t="s">
        <v>153</v>
      </c>
      <c r="D73">
        <v>121.18662209999999</v>
      </c>
      <c r="E73">
        <v>24.785146810000001</v>
      </c>
    </row>
    <row r="74" spans="1:5" x14ac:dyDescent="0.3">
      <c r="A74" s="15">
        <v>73</v>
      </c>
      <c r="B74" t="s">
        <v>148</v>
      </c>
      <c r="C74" t="s">
        <v>154</v>
      </c>
      <c r="D74">
        <v>121.1046394</v>
      </c>
      <c r="E74">
        <v>24.765711599999999</v>
      </c>
    </row>
    <row r="75" spans="1:5" x14ac:dyDescent="0.3">
      <c r="A75" s="15">
        <v>74</v>
      </c>
      <c r="B75" t="s">
        <v>148</v>
      </c>
      <c r="C75" t="s">
        <v>155</v>
      </c>
      <c r="D75">
        <v>120.9991605</v>
      </c>
      <c r="E75">
        <v>24.736973509999999</v>
      </c>
    </row>
    <row r="76" spans="1:5" x14ac:dyDescent="0.3">
      <c r="A76" s="15">
        <v>75</v>
      </c>
      <c r="B76" t="s">
        <v>148</v>
      </c>
      <c r="C76" t="s">
        <v>156</v>
      </c>
      <c r="D76">
        <v>121.0753632</v>
      </c>
      <c r="E76">
        <v>24.73075802</v>
      </c>
    </row>
    <row r="77" spans="1:5" x14ac:dyDescent="0.3">
      <c r="A77" s="15">
        <v>76</v>
      </c>
      <c r="B77" t="s">
        <v>148</v>
      </c>
      <c r="C77" t="s">
        <v>157</v>
      </c>
      <c r="D77">
        <v>121.1389495</v>
      </c>
      <c r="E77">
        <v>24.578054000000002</v>
      </c>
    </row>
    <row r="78" spans="1:5" x14ac:dyDescent="0.3">
      <c r="A78" s="15">
        <v>77</v>
      </c>
      <c r="B78" t="s">
        <v>148</v>
      </c>
      <c r="C78" t="s">
        <v>158</v>
      </c>
      <c r="D78">
        <v>121.14697320000001</v>
      </c>
      <c r="E78">
        <v>24.7078092</v>
      </c>
    </row>
    <row r="79" spans="1:5" x14ac:dyDescent="0.3">
      <c r="A79" s="15">
        <v>78</v>
      </c>
      <c r="B79" t="s">
        <v>148</v>
      </c>
      <c r="C79" t="s">
        <v>159</v>
      </c>
      <c r="D79">
        <v>121.2819341</v>
      </c>
      <c r="E79">
        <v>24.594932350000001</v>
      </c>
    </row>
    <row r="80" spans="1:5" x14ac:dyDescent="0.3">
      <c r="A80" s="15">
        <v>79</v>
      </c>
      <c r="B80" t="s">
        <v>148</v>
      </c>
      <c r="C80" t="s">
        <v>160</v>
      </c>
      <c r="D80">
        <v>121.0642745</v>
      </c>
      <c r="E80">
        <v>24.672074049999999</v>
      </c>
    </row>
    <row r="81" spans="1:5" x14ac:dyDescent="0.3">
      <c r="A81" s="15">
        <v>80</v>
      </c>
      <c r="B81" t="s">
        <v>148</v>
      </c>
      <c r="C81" t="s">
        <v>161</v>
      </c>
      <c r="D81">
        <v>121.0110809</v>
      </c>
      <c r="E81">
        <v>24.67811197</v>
      </c>
    </row>
    <row r="82" spans="1:5" x14ac:dyDescent="0.3">
      <c r="A82" s="15">
        <v>81</v>
      </c>
      <c r="B82" t="s">
        <v>162</v>
      </c>
      <c r="C82" t="s">
        <v>163</v>
      </c>
      <c r="D82">
        <v>121.2147243</v>
      </c>
      <c r="E82">
        <v>24.97993803</v>
      </c>
    </row>
    <row r="83" spans="1:5" x14ac:dyDescent="0.3">
      <c r="A83" s="15">
        <v>82</v>
      </c>
      <c r="B83" t="s">
        <v>162</v>
      </c>
      <c r="C83" t="s">
        <v>164</v>
      </c>
      <c r="D83">
        <v>121.21400509999999</v>
      </c>
      <c r="E83">
        <v>24.92117923</v>
      </c>
    </row>
    <row r="84" spans="1:5" x14ac:dyDescent="0.3">
      <c r="A84" s="15">
        <v>83</v>
      </c>
      <c r="B84" t="s">
        <v>162</v>
      </c>
      <c r="C84" t="s">
        <v>165</v>
      </c>
      <c r="D84">
        <v>121.2117877</v>
      </c>
      <c r="E84">
        <v>24.850649539999999</v>
      </c>
    </row>
    <row r="85" spans="1:5" x14ac:dyDescent="0.3">
      <c r="A85" s="15">
        <v>84</v>
      </c>
      <c r="B85" t="s">
        <v>162</v>
      </c>
      <c r="C85" t="s">
        <v>166</v>
      </c>
      <c r="D85">
        <v>121.12916970000001</v>
      </c>
      <c r="E85">
        <v>24.91820989</v>
      </c>
    </row>
    <row r="86" spans="1:5" x14ac:dyDescent="0.3">
      <c r="A86" s="15">
        <v>85</v>
      </c>
      <c r="B86" t="s">
        <v>162</v>
      </c>
      <c r="C86" t="s">
        <v>167</v>
      </c>
      <c r="D86">
        <v>121.067758</v>
      </c>
      <c r="E86">
        <v>24.972803519999999</v>
      </c>
    </row>
    <row r="87" spans="1:5" x14ac:dyDescent="0.3">
      <c r="A87" s="15">
        <v>86</v>
      </c>
      <c r="B87" t="s">
        <v>162</v>
      </c>
      <c r="C87" t="s">
        <v>168</v>
      </c>
      <c r="D87">
        <v>121.1155021</v>
      </c>
      <c r="E87">
        <v>25.026716109999999</v>
      </c>
    </row>
    <row r="88" spans="1:5" x14ac:dyDescent="0.3">
      <c r="A88" s="15">
        <v>87</v>
      </c>
      <c r="B88" t="s">
        <v>162</v>
      </c>
      <c r="C88" t="s">
        <v>169</v>
      </c>
      <c r="D88">
        <v>121.2996612</v>
      </c>
      <c r="E88">
        <v>25.000400240000001</v>
      </c>
    </row>
    <row r="89" spans="1:5" x14ac:dyDescent="0.3">
      <c r="A89" s="15">
        <v>88</v>
      </c>
      <c r="B89" t="s">
        <v>162</v>
      </c>
      <c r="C89" t="s">
        <v>170</v>
      </c>
      <c r="D89">
        <v>121.3569265</v>
      </c>
      <c r="E89">
        <v>25.024174720000001</v>
      </c>
    </row>
    <row r="90" spans="1:5" x14ac:dyDescent="0.3">
      <c r="A90" s="15">
        <v>89</v>
      </c>
      <c r="B90" t="s">
        <v>162</v>
      </c>
      <c r="C90" t="s">
        <v>171</v>
      </c>
      <c r="D90">
        <v>121.2913102</v>
      </c>
      <c r="E90">
        <v>24.949689029999998</v>
      </c>
    </row>
    <row r="91" spans="1:5" x14ac:dyDescent="0.3">
      <c r="A91" s="15">
        <v>90</v>
      </c>
      <c r="B91" t="s">
        <v>162</v>
      </c>
      <c r="C91" t="s">
        <v>172</v>
      </c>
      <c r="D91">
        <v>121.296342</v>
      </c>
      <c r="E91">
        <v>24.86797026</v>
      </c>
    </row>
    <row r="92" spans="1:5" x14ac:dyDescent="0.3">
      <c r="A92" s="15">
        <v>91</v>
      </c>
      <c r="B92" t="s">
        <v>162</v>
      </c>
      <c r="C92" t="s">
        <v>173</v>
      </c>
      <c r="D92">
        <v>121.3754588</v>
      </c>
      <c r="E92">
        <v>24.729498840000002</v>
      </c>
    </row>
    <row r="93" spans="1:5" x14ac:dyDescent="0.3">
      <c r="A93" s="15">
        <v>92</v>
      </c>
      <c r="B93" t="s">
        <v>162</v>
      </c>
      <c r="C93" t="s">
        <v>174</v>
      </c>
      <c r="D93">
        <v>121.21177</v>
      </c>
      <c r="E93">
        <v>25.063847089999999</v>
      </c>
    </row>
    <row r="94" spans="1:5" x14ac:dyDescent="0.3">
      <c r="A94" s="15">
        <v>93</v>
      </c>
      <c r="B94" t="s">
        <v>162</v>
      </c>
      <c r="C94" t="s">
        <v>175</v>
      </c>
      <c r="D94">
        <v>121.2831266</v>
      </c>
      <c r="E94">
        <v>25.060733370000001</v>
      </c>
    </row>
    <row r="95" spans="1:5" x14ac:dyDescent="0.3">
      <c r="A95" s="15">
        <v>94</v>
      </c>
      <c r="B95" t="s">
        <v>176</v>
      </c>
      <c r="C95" t="s">
        <v>177</v>
      </c>
      <c r="D95">
        <v>120.8777316</v>
      </c>
      <c r="E95">
        <v>24.698624590000001</v>
      </c>
    </row>
    <row r="96" spans="1:5" x14ac:dyDescent="0.3">
      <c r="A96" s="15">
        <v>95</v>
      </c>
      <c r="B96" t="s">
        <v>176</v>
      </c>
      <c r="C96" t="s">
        <v>178</v>
      </c>
      <c r="D96">
        <v>120.9189437</v>
      </c>
      <c r="E96">
        <v>24.676282430000001</v>
      </c>
    </row>
    <row r="97" spans="1:5" x14ac:dyDescent="0.3">
      <c r="A97" s="15">
        <v>96</v>
      </c>
      <c r="B97" t="s">
        <v>176</v>
      </c>
      <c r="C97" t="s">
        <v>179</v>
      </c>
      <c r="D97">
        <v>120.9525745</v>
      </c>
      <c r="E97">
        <v>24.635994050000001</v>
      </c>
    </row>
    <row r="98" spans="1:5" x14ac:dyDescent="0.3">
      <c r="A98" s="15">
        <v>97</v>
      </c>
      <c r="B98" t="s">
        <v>176</v>
      </c>
      <c r="C98" t="s">
        <v>180</v>
      </c>
      <c r="D98">
        <v>121.017471</v>
      </c>
      <c r="E98">
        <v>24.566084320000002</v>
      </c>
    </row>
    <row r="99" spans="1:5" x14ac:dyDescent="0.3">
      <c r="A99" s="15">
        <v>98</v>
      </c>
      <c r="B99" t="s">
        <v>176</v>
      </c>
      <c r="C99" t="s">
        <v>181</v>
      </c>
      <c r="D99">
        <v>120.9206688</v>
      </c>
      <c r="E99">
        <v>24.519786140000001</v>
      </c>
    </row>
    <row r="100" spans="1:5" x14ac:dyDescent="0.3">
      <c r="A100" s="15">
        <v>99</v>
      </c>
      <c r="B100" t="s">
        <v>176</v>
      </c>
      <c r="C100" t="s">
        <v>182</v>
      </c>
      <c r="D100">
        <v>120.781205</v>
      </c>
      <c r="E100">
        <v>24.615626500000001</v>
      </c>
    </row>
    <row r="101" spans="1:5" x14ac:dyDescent="0.3">
      <c r="A101" s="15">
        <v>100</v>
      </c>
      <c r="B101" t="s">
        <v>176</v>
      </c>
      <c r="C101" t="s">
        <v>183</v>
      </c>
      <c r="D101">
        <v>120.71463780000001</v>
      </c>
      <c r="E101">
        <v>24.485046400000002</v>
      </c>
    </row>
    <row r="102" spans="1:5" x14ac:dyDescent="0.3">
      <c r="A102" s="15">
        <v>101</v>
      </c>
      <c r="B102" t="s">
        <v>176</v>
      </c>
      <c r="C102" t="s">
        <v>184</v>
      </c>
      <c r="D102">
        <v>120.6882195</v>
      </c>
      <c r="E102">
        <v>24.411023199999999</v>
      </c>
    </row>
    <row r="103" spans="1:5" x14ac:dyDescent="0.3">
      <c r="A103" s="15">
        <v>102</v>
      </c>
      <c r="B103" t="s">
        <v>176</v>
      </c>
      <c r="C103" t="s">
        <v>185</v>
      </c>
      <c r="D103">
        <v>120.8112299</v>
      </c>
      <c r="E103">
        <v>24.563821409999999</v>
      </c>
    </row>
    <row r="104" spans="1:5" x14ac:dyDescent="0.3">
      <c r="A104" s="15">
        <v>103</v>
      </c>
      <c r="B104" t="s">
        <v>176</v>
      </c>
      <c r="C104" t="s">
        <v>186</v>
      </c>
      <c r="D104">
        <v>120.8695663</v>
      </c>
      <c r="E104">
        <v>24.624813140000001</v>
      </c>
    </row>
    <row r="105" spans="1:5" x14ac:dyDescent="0.3">
      <c r="A105" s="15">
        <v>104</v>
      </c>
      <c r="B105" t="s">
        <v>176</v>
      </c>
      <c r="C105" t="s">
        <v>187</v>
      </c>
      <c r="D105">
        <v>120.8826631</v>
      </c>
      <c r="E105">
        <v>24.57345497</v>
      </c>
    </row>
    <row r="106" spans="1:5" x14ac:dyDescent="0.3">
      <c r="A106" s="15">
        <v>105</v>
      </c>
      <c r="B106" t="s">
        <v>176</v>
      </c>
      <c r="C106" t="s">
        <v>188</v>
      </c>
      <c r="D106">
        <v>120.8505904</v>
      </c>
      <c r="E106">
        <v>24.502496860000001</v>
      </c>
    </row>
    <row r="107" spans="1:5" x14ac:dyDescent="0.3">
      <c r="A107" s="15">
        <v>106</v>
      </c>
      <c r="B107" t="s">
        <v>176</v>
      </c>
      <c r="C107" t="s">
        <v>189</v>
      </c>
      <c r="D107">
        <v>120.8631192</v>
      </c>
      <c r="E107">
        <v>24.393596410000001</v>
      </c>
    </row>
    <row r="108" spans="1:5" x14ac:dyDescent="0.3">
      <c r="A108" s="15">
        <v>107</v>
      </c>
      <c r="B108" t="s">
        <v>176</v>
      </c>
      <c r="C108" t="s">
        <v>190</v>
      </c>
      <c r="D108">
        <v>121.06815709999999</v>
      </c>
      <c r="E108">
        <v>24.419258190000001</v>
      </c>
    </row>
    <row r="109" spans="1:5" x14ac:dyDescent="0.3">
      <c r="A109" s="15">
        <v>108</v>
      </c>
      <c r="B109" t="s">
        <v>176</v>
      </c>
      <c r="C109" t="s">
        <v>191</v>
      </c>
      <c r="D109">
        <v>120.7992043</v>
      </c>
      <c r="E109">
        <v>24.455918319999999</v>
      </c>
    </row>
    <row r="110" spans="1:5" x14ac:dyDescent="0.3">
      <c r="A110" s="15">
        <v>109</v>
      </c>
      <c r="B110" t="s">
        <v>176</v>
      </c>
      <c r="C110" t="s">
        <v>192</v>
      </c>
      <c r="D110">
        <v>120.7701929</v>
      </c>
      <c r="E110">
        <v>24.380816589999998</v>
      </c>
    </row>
    <row r="111" spans="1:5" x14ac:dyDescent="0.3">
      <c r="A111" s="15">
        <v>110</v>
      </c>
      <c r="B111" t="s">
        <v>176</v>
      </c>
      <c r="C111" t="s">
        <v>193</v>
      </c>
      <c r="D111">
        <v>120.76141440000001</v>
      </c>
      <c r="E111">
        <v>24.541532180000001</v>
      </c>
    </row>
    <row r="112" spans="1:5" x14ac:dyDescent="0.3">
      <c r="A112" s="15">
        <v>111</v>
      </c>
      <c r="B112" t="s">
        <v>176</v>
      </c>
      <c r="C112" t="s">
        <v>194</v>
      </c>
      <c r="D112">
        <v>120.8561966</v>
      </c>
      <c r="E112">
        <v>24.325101669999999</v>
      </c>
    </row>
    <row r="113" spans="1:5" x14ac:dyDescent="0.3">
      <c r="A113" s="15">
        <v>112</v>
      </c>
      <c r="B113" t="s">
        <v>24</v>
      </c>
      <c r="C113" t="s">
        <v>25</v>
      </c>
      <c r="D113">
        <v>120.680598</v>
      </c>
      <c r="E113">
        <v>24.14168566</v>
      </c>
    </row>
    <row r="114" spans="1:5" x14ac:dyDescent="0.3">
      <c r="A114" s="15">
        <v>113</v>
      </c>
      <c r="B114" t="s">
        <v>24</v>
      </c>
      <c r="C114" t="s">
        <v>54</v>
      </c>
      <c r="D114">
        <v>120.6970865</v>
      </c>
      <c r="E114">
        <v>24.137332090000001</v>
      </c>
    </row>
    <row r="115" spans="1:5" x14ac:dyDescent="0.3">
      <c r="A115" s="15">
        <v>114</v>
      </c>
      <c r="B115" t="s">
        <v>24</v>
      </c>
      <c r="C115" t="s">
        <v>73</v>
      </c>
      <c r="D115">
        <v>120.6646178</v>
      </c>
      <c r="E115">
        <v>24.12114107</v>
      </c>
    </row>
    <row r="116" spans="1:5" x14ac:dyDescent="0.3">
      <c r="A116" s="15">
        <v>115</v>
      </c>
      <c r="B116" t="s">
        <v>24</v>
      </c>
      <c r="C116" t="s">
        <v>40</v>
      </c>
      <c r="D116">
        <v>120.6647579</v>
      </c>
      <c r="E116">
        <v>24.143910819999999</v>
      </c>
    </row>
    <row r="117" spans="1:5" x14ac:dyDescent="0.3">
      <c r="A117" s="15">
        <v>116</v>
      </c>
      <c r="B117" t="s">
        <v>24</v>
      </c>
      <c r="C117" t="s">
        <v>28</v>
      </c>
      <c r="D117">
        <v>120.6809521</v>
      </c>
      <c r="E117">
        <v>24.15863985</v>
      </c>
    </row>
    <row r="118" spans="1:5" x14ac:dyDescent="0.3">
      <c r="A118" s="15">
        <v>117</v>
      </c>
      <c r="B118" t="s">
        <v>24</v>
      </c>
      <c r="C118" t="s">
        <v>30</v>
      </c>
      <c r="D118">
        <v>120.73623190000001</v>
      </c>
      <c r="E118">
        <v>24.184002979999999</v>
      </c>
    </row>
    <row r="119" spans="1:5" x14ac:dyDescent="0.3">
      <c r="A119" s="15">
        <v>118</v>
      </c>
      <c r="B119" t="s">
        <v>24</v>
      </c>
      <c r="C119" t="s">
        <v>70</v>
      </c>
      <c r="D119">
        <v>120.6270131</v>
      </c>
      <c r="E119">
        <v>24.183088949999998</v>
      </c>
    </row>
    <row r="120" spans="1:5" x14ac:dyDescent="0.3">
      <c r="A120" s="15">
        <v>119</v>
      </c>
      <c r="B120" t="s">
        <v>24</v>
      </c>
      <c r="C120" t="s">
        <v>67</v>
      </c>
      <c r="D120">
        <v>120.61773789999999</v>
      </c>
      <c r="E120">
        <v>24.141655239999999</v>
      </c>
    </row>
    <row r="121" spans="1:5" x14ac:dyDescent="0.3">
      <c r="A121" s="15">
        <v>120</v>
      </c>
      <c r="B121" t="s">
        <v>24</v>
      </c>
      <c r="C121" t="s">
        <v>55</v>
      </c>
      <c r="D121">
        <v>120.7734217</v>
      </c>
      <c r="E121">
        <v>24.114773750000001</v>
      </c>
    </row>
    <row r="122" spans="1:5" x14ac:dyDescent="0.3">
      <c r="A122" s="15">
        <v>121</v>
      </c>
      <c r="B122" t="s">
        <v>24</v>
      </c>
      <c r="C122" t="s">
        <v>39</v>
      </c>
      <c r="D122">
        <v>120.6926261</v>
      </c>
      <c r="E122">
        <v>24.095757420000002</v>
      </c>
    </row>
    <row r="123" spans="1:5" x14ac:dyDescent="0.3">
      <c r="A123" s="15">
        <v>122</v>
      </c>
      <c r="B123" t="s">
        <v>24</v>
      </c>
      <c r="C123" t="s">
        <v>21</v>
      </c>
      <c r="D123">
        <v>120.7201989</v>
      </c>
      <c r="E123">
        <v>24.043327850000001</v>
      </c>
    </row>
    <row r="124" spans="1:5" x14ac:dyDescent="0.3">
      <c r="A124" s="15">
        <v>123</v>
      </c>
      <c r="B124" t="s">
        <v>24</v>
      </c>
      <c r="C124" t="s">
        <v>50</v>
      </c>
      <c r="D124">
        <v>120.62933049999999</v>
      </c>
      <c r="E124">
        <v>24.0839271</v>
      </c>
    </row>
    <row r="125" spans="1:5" x14ac:dyDescent="0.3">
      <c r="A125" s="15">
        <v>124</v>
      </c>
      <c r="B125" t="s">
        <v>24</v>
      </c>
      <c r="C125" t="s">
        <v>63</v>
      </c>
      <c r="D125">
        <v>120.7375715</v>
      </c>
      <c r="E125">
        <v>24.249902980000002</v>
      </c>
    </row>
    <row r="126" spans="1:5" x14ac:dyDescent="0.3">
      <c r="A126" s="15">
        <v>125</v>
      </c>
      <c r="B126" t="s">
        <v>24</v>
      </c>
      <c r="C126" t="s">
        <v>45</v>
      </c>
      <c r="D126">
        <v>120.7146127</v>
      </c>
      <c r="E126">
        <v>24.309624830000001</v>
      </c>
    </row>
    <row r="127" spans="1:5" x14ac:dyDescent="0.3">
      <c r="A127" s="15">
        <v>126</v>
      </c>
      <c r="B127" t="s">
        <v>24</v>
      </c>
      <c r="C127" t="s">
        <v>57</v>
      </c>
      <c r="D127">
        <v>120.7903822</v>
      </c>
      <c r="E127">
        <v>24.264932989999998</v>
      </c>
    </row>
    <row r="128" spans="1:5" x14ac:dyDescent="0.3">
      <c r="A128" s="15">
        <v>127</v>
      </c>
      <c r="B128" t="s">
        <v>24</v>
      </c>
      <c r="C128" t="s">
        <v>195</v>
      </c>
      <c r="D128">
        <v>120.8401401</v>
      </c>
      <c r="E128">
        <v>24.249526370000002</v>
      </c>
    </row>
    <row r="129" spans="1:5" x14ac:dyDescent="0.3">
      <c r="A129" s="15">
        <v>128</v>
      </c>
      <c r="B129" t="s">
        <v>24</v>
      </c>
      <c r="C129" t="s">
        <v>196</v>
      </c>
      <c r="D129">
        <v>121.140185</v>
      </c>
      <c r="E129">
        <v>24.276202770000001</v>
      </c>
    </row>
    <row r="130" spans="1:5" x14ac:dyDescent="0.3">
      <c r="A130" s="15">
        <v>129</v>
      </c>
      <c r="B130" t="s">
        <v>24</v>
      </c>
      <c r="C130" t="s">
        <v>197</v>
      </c>
      <c r="D130">
        <v>120.8313228</v>
      </c>
      <c r="E130">
        <v>24.177692889999999</v>
      </c>
    </row>
    <row r="131" spans="1:5" x14ac:dyDescent="0.3">
      <c r="A131" s="15">
        <v>130</v>
      </c>
      <c r="B131" t="s">
        <v>24</v>
      </c>
      <c r="C131" t="s">
        <v>198</v>
      </c>
      <c r="D131">
        <v>120.71099700000001</v>
      </c>
      <c r="E131">
        <v>24.211711210000001</v>
      </c>
    </row>
    <row r="132" spans="1:5" x14ac:dyDescent="0.3">
      <c r="A132" s="15">
        <v>131</v>
      </c>
      <c r="B132" t="s">
        <v>24</v>
      </c>
      <c r="C132" t="s">
        <v>199</v>
      </c>
      <c r="D132">
        <v>120.6411818</v>
      </c>
      <c r="E132">
        <v>24.227041809999999</v>
      </c>
    </row>
    <row r="133" spans="1:5" x14ac:dyDescent="0.3">
      <c r="A133" s="15">
        <v>132</v>
      </c>
      <c r="B133" t="s">
        <v>24</v>
      </c>
      <c r="C133" t="s">
        <v>200</v>
      </c>
      <c r="D133">
        <v>120.6733321</v>
      </c>
      <c r="E133">
        <v>24.265680079999999</v>
      </c>
    </row>
    <row r="134" spans="1:5" x14ac:dyDescent="0.3">
      <c r="A134" s="15">
        <v>133</v>
      </c>
      <c r="B134" t="s">
        <v>24</v>
      </c>
      <c r="C134" t="s">
        <v>201</v>
      </c>
      <c r="D134">
        <v>120.5543243</v>
      </c>
      <c r="E134">
        <v>24.144675039999999</v>
      </c>
    </row>
    <row r="135" spans="1:5" x14ac:dyDescent="0.3">
      <c r="A135" s="15">
        <v>134</v>
      </c>
      <c r="B135" t="s">
        <v>24</v>
      </c>
      <c r="C135" t="s">
        <v>42</v>
      </c>
      <c r="D135">
        <v>120.58386280000001</v>
      </c>
      <c r="E135">
        <v>24.234252120000001</v>
      </c>
    </row>
    <row r="136" spans="1:5" x14ac:dyDescent="0.3">
      <c r="A136" s="15">
        <v>135</v>
      </c>
      <c r="B136" t="s">
        <v>24</v>
      </c>
      <c r="C136" t="s">
        <v>58</v>
      </c>
      <c r="D136">
        <v>120.5283728</v>
      </c>
      <c r="E136">
        <v>24.20062892</v>
      </c>
    </row>
    <row r="137" spans="1:5" x14ac:dyDescent="0.3">
      <c r="A137" s="15">
        <v>136</v>
      </c>
      <c r="B137" t="s">
        <v>24</v>
      </c>
      <c r="C137" t="s">
        <v>86</v>
      </c>
      <c r="D137">
        <v>120.5301259</v>
      </c>
      <c r="E137">
        <v>24.24552431</v>
      </c>
    </row>
    <row r="138" spans="1:5" x14ac:dyDescent="0.3">
      <c r="A138" s="15">
        <v>137</v>
      </c>
      <c r="B138" t="s">
        <v>24</v>
      </c>
      <c r="C138" t="s">
        <v>83</v>
      </c>
      <c r="D138">
        <v>120.5809094</v>
      </c>
      <c r="E138">
        <v>24.29205743</v>
      </c>
    </row>
    <row r="139" spans="1:5" x14ac:dyDescent="0.3">
      <c r="A139" s="15">
        <v>138</v>
      </c>
      <c r="B139" t="s">
        <v>24</v>
      </c>
      <c r="C139" t="s">
        <v>29</v>
      </c>
      <c r="D139">
        <v>120.63579009999999</v>
      </c>
      <c r="E139">
        <v>24.378271609999999</v>
      </c>
    </row>
    <row r="140" spans="1:5" x14ac:dyDescent="0.3">
      <c r="A140" s="15">
        <v>139</v>
      </c>
      <c r="B140" t="s">
        <v>24</v>
      </c>
      <c r="C140" t="s">
        <v>77</v>
      </c>
      <c r="D140">
        <v>120.66506390000001</v>
      </c>
      <c r="E140">
        <v>24.335510710000001</v>
      </c>
    </row>
    <row r="141" spans="1:5" x14ac:dyDescent="0.3">
      <c r="A141" s="15">
        <v>140</v>
      </c>
      <c r="B141" t="s">
        <v>24</v>
      </c>
      <c r="C141" t="s">
        <v>16</v>
      </c>
      <c r="D141">
        <v>120.59144070000001</v>
      </c>
      <c r="E141">
        <v>24.365095549999999</v>
      </c>
    </row>
    <row r="142" spans="1:5" x14ac:dyDescent="0.3">
      <c r="A142" s="15">
        <v>141</v>
      </c>
      <c r="B142" t="s">
        <v>202</v>
      </c>
      <c r="C142" t="s">
        <v>203</v>
      </c>
      <c r="D142">
        <v>120.5694208</v>
      </c>
      <c r="E142">
        <v>24.07532909</v>
      </c>
    </row>
    <row r="143" spans="1:5" x14ac:dyDescent="0.3">
      <c r="A143" s="15">
        <v>142</v>
      </c>
      <c r="B143" t="s">
        <v>202</v>
      </c>
      <c r="C143" t="s">
        <v>204</v>
      </c>
      <c r="D143">
        <v>120.6294414</v>
      </c>
      <c r="E143">
        <v>24.00628794</v>
      </c>
    </row>
    <row r="144" spans="1:5" x14ac:dyDescent="0.3">
      <c r="A144" s="15">
        <v>143</v>
      </c>
      <c r="B144" t="s">
        <v>202</v>
      </c>
      <c r="C144" t="s">
        <v>205</v>
      </c>
      <c r="D144">
        <v>120.5597655</v>
      </c>
      <c r="E144">
        <v>24.030068750000002</v>
      </c>
    </row>
    <row r="145" spans="1:5" x14ac:dyDescent="0.3">
      <c r="A145" s="15">
        <v>144</v>
      </c>
      <c r="B145" t="s">
        <v>202</v>
      </c>
      <c r="C145" t="s">
        <v>206</v>
      </c>
      <c r="D145">
        <v>120.5041184</v>
      </c>
      <c r="E145">
        <v>24.03249405</v>
      </c>
    </row>
    <row r="146" spans="1:5" x14ac:dyDescent="0.3">
      <c r="A146" s="15">
        <v>145</v>
      </c>
      <c r="B146" t="s">
        <v>202</v>
      </c>
      <c r="C146" t="s">
        <v>207</v>
      </c>
      <c r="D146">
        <v>120.4385491</v>
      </c>
      <c r="E146">
        <v>24.082866849999998</v>
      </c>
    </row>
    <row r="147" spans="1:5" x14ac:dyDescent="0.3">
      <c r="A147" s="15">
        <v>146</v>
      </c>
      <c r="B147" t="s">
        <v>202</v>
      </c>
      <c r="C147" t="s">
        <v>208</v>
      </c>
      <c r="D147">
        <v>120.4310511</v>
      </c>
      <c r="E147">
        <v>24.03021674</v>
      </c>
    </row>
    <row r="148" spans="1:5" x14ac:dyDescent="0.3">
      <c r="A148" s="15">
        <v>147</v>
      </c>
      <c r="B148" t="s">
        <v>202</v>
      </c>
      <c r="C148" t="s">
        <v>209</v>
      </c>
      <c r="D148">
        <v>120.452157</v>
      </c>
      <c r="E148">
        <v>24.131581270000002</v>
      </c>
    </row>
    <row r="149" spans="1:5" x14ac:dyDescent="0.3">
      <c r="A149" s="15">
        <v>148</v>
      </c>
      <c r="B149" t="s">
        <v>202</v>
      </c>
      <c r="C149" t="s">
        <v>210</v>
      </c>
      <c r="D149">
        <v>120.51120450000001</v>
      </c>
      <c r="E149">
        <v>24.11379535</v>
      </c>
    </row>
    <row r="150" spans="1:5" x14ac:dyDescent="0.3">
      <c r="A150" s="15">
        <v>149</v>
      </c>
      <c r="B150" t="s">
        <v>202</v>
      </c>
      <c r="C150" t="s">
        <v>211</v>
      </c>
      <c r="D150">
        <v>120.48644899999999</v>
      </c>
      <c r="E150">
        <v>24.163671069999999</v>
      </c>
    </row>
    <row r="151" spans="1:5" x14ac:dyDescent="0.3">
      <c r="A151" s="15">
        <v>150</v>
      </c>
      <c r="B151" t="s">
        <v>202</v>
      </c>
      <c r="C151" t="s">
        <v>212</v>
      </c>
      <c r="D151">
        <v>120.593073</v>
      </c>
      <c r="E151">
        <v>23.95650448</v>
      </c>
    </row>
    <row r="152" spans="1:5" x14ac:dyDescent="0.3">
      <c r="A152" s="15">
        <v>151</v>
      </c>
      <c r="B152" t="s">
        <v>202</v>
      </c>
      <c r="C152" t="s">
        <v>213</v>
      </c>
      <c r="D152">
        <v>120.60216610000001</v>
      </c>
      <c r="E152">
        <v>23.905364129999999</v>
      </c>
    </row>
    <row r="153" spans="1:5" x14ac:dyDescent="0.3">
      <c r="A153" s="15">
        <v>152</v>
      </c>
      <c r="B153" t="s">
        <v>202</v>
      </c>
      <c r="C153" t="s">
        <v>214</v>
      </c>
      <c r="D153">
        <v>120.5416032</v>
      </c>
      <c r="E153">
        <v>23.921395069999999</v>
      </c>
    </row>
    <row r="154" spans="1:5" x14ac:dyDescent="0.3">
      <c r="A154" s="15">
        <v>153</v>
      </c>
      <c r="B154" t="s">
        <v>202</v>
      </c>
      <c r="C154" t="s">
        <v>215</v>
      </c>
      <c r="D154">
        <v>120.5342802</v>
      </c>
      <c r="E154">
        <v>23.952775209999999</v>
      </c>
    </row>
    <row r="155" spans="1:5" x14ac:dyDescent="0.3">
      <c r="A155" s="15">
        <v>154</v>
      </c>
      <c r="B155" t="s">
        <v>202</v>
      </c>
      <c r="C155" t="s">
        <v>216</v>
      </c>
      <c r="D155">
        <v>120.4831739</v>
      </c>
      <c r="E155">
        <v>23.951714559999999</v>
      </c>
    </row>
    <row r="156" spans="1:5" x14ac:dyDescent="0.3">
      <c r="A156" s="15">
        <v>155</v>
      </c>
      <c r="B156" t="s">
        <v>202</v>
      </c>
      <c r="C156" t="s">
        <v>217</v>
      </c>
      <c r="D156">
        <v>120.5586866</v>
      </c>
      <c r="E156">
        <v>23.992092060000001</v>
      </c>
    </row>
    <row r="157" spans="1:5" x14ac:dyDescent="0.3">
      <c r="A157" s="15">
        <v>156</v>
      </c>
      <c r="B157" t="s">
        <v>202</v>
      </c>
      <c r="C157" t="s">
        <v>218</v>
      </c>
      <c r="D157">
        <v>120.45946259999999</v>
      </c>
      <c r="E157">
        <v>23.99204417</v>
      </c>
    </row>
    <row r="158" spans="1:5" x14ac:dyDescent="0.3">
      <c r="A158" s="15">
        <v>157</v>
      </c>
      <c r="B158" t="s">
        <v>202</v>
      </c>
      <c r="C158" t="s">
        <v>219</v>
      </c>
      <c r="D158">
        <v>120.5903471</v>
      </c>
      <c r="E158">
        <v>23.857238720000002</v>
      </c>
    </row>
    <row r="159" spans="1:5" x14ac:dyDescent="0.3">
      <c r="A159" s="15">
        <v>158</v>
      </c>
      <c r="B159" t="s">
        <v>202</v>
      </c>
      <c r="C159" t="s">
        <v>220</v>
      </c>
      <c r="D159">
        <v>120.5331566</v>
      </c>
      <c r="E159">
        <v>23.867574000000001</v>
      </c>
    </row>
    <row r="160" spans="1:5" x14ac:dyDescent="0.3">
      <c r="A160" s="15">
        <v>159</v>
      </c>
      <c r="B160" t="s">
        <v>202</v>
      </c>
      <c r="C160" t="s">
        <v>221</v>
      </c>
      <c r="D160">
        <v>120.5223244</v>
      </c>
      <c r="E160">
        <v>23.900560649999999</v>
      </c>
    </row>
    <row r="161" spans="1:5" x14ac:dyDescent="0.3">
      <c r="A161" s="15">
        <v>160</v>
      </c>
      <c r="B161" t="s">
        <v>202</v>
      </c>
      <c r="C161" t="s">
        <v>222</v>
      </c>
      <c r="D161">
        <v>120.4675642</v>
      </c>
      <c r="E161">
        <v>23.882341180000001</v>
      </c>
    </row>
    <row r="162" spans="1:5" x14ac:dyDescent="0.3">
      <c r="A162" s="15">
        <v>161</v>
      </c>
      <c r="B162" t="s">
        <v>202</v>
      </c>
      <c r="C162" t="s">
        <v>223</v>
      </c>
      <c r="D162">
        <v>120.5224904</v>
      </c>
      <c r="E162">
        <v>23.82725185</v>
      </c>
    </row>
    <row r="163" spans="1:5" x14ac:dyDescent="0.3">
      <c r="A163" s="15">
        <v>162</v>
      </c>
      <c r="B163" t="s">
        <v>202</v>
      </c>
      <c r="C163" t="s">
        <v>224</v>
      </c>
      <c r="D163">
        <v>120.4136645</v>
      </c>
      <c r="E163">
        <v>23.8505872</v>
      </c>
    </row>
    <row r="164" spans="1:5" x14ac:dyDescent="0.3">
      <c r="A164" s="15">
        <v>163</v>
      </c>
      <c r="B164" t="s">
        <v>202</v>
      </c>
      <c r="C164" t="s">
        <v>225</v>
      </c>
      <c r="D164">
        <v>120.404225</v>
      </c>
      <c r="E164">
        <v>23.916214050000001</v>
      </c>
    </row>
    <row r="165" spans="1:5" x14ac:dyDescent="0.3">
      <c r="A165" s="15">
        <v>164</v>
      </c>
      <c r="B165" t="s">
        <v>202</v>
      </c>
      <c r="C165" t="s">
        <v>226</v>
      </c>
      <c r="D165">
        <v>120.31132839999999</v>
      </c>
      <c r="E165">
        <v>23.850692760000001</v>
      </c>
    </row>
    <row r="166" spans="1:5" x14ac:dyDescent="0.3">
      <c r="A166" s="15">
        <v>165</v>
      </c>
      <c r="B166" t="s">
        <v>202</v>
      </c>
      <c r="C166" t="s">
        <v>227</v>
      </c>
      <c r="D166">
        <v>120.3539226</v>
      </c>
      <c r="E166">
        <v>23.953790600000001</v>
      </c>
    </row>
    <row r="167" spans="1:5" x14ac:dyDescent="0.3">
      <c r="A167" s="15">
        <v>166</v>
      </c>
      <c r="B167" t="s">
        <v>202</v>
      </c>
      <c r="C167" t="s">
        <v>228</v>
      </c>
      <c r="D167">
        <v>120.62858900000001</v>
      </c>
      <c r="E167">
        <v>23.809240200000001</v>
      </c>
    </row>
    <row r="168" spans="1:5" x14ac:dyDescent="0.3">
      <c r="A168" s="15">
        <v>167</v>
      </c>
      <c r="B168" t="s">
        <v>229</v>
      </c>
      <c r="C168" t="s">
        <v>230</v>
      </c>
      <c r="D168">
        <v>120.67876579999999</v>
      </c>
      <c r="E168">
        <v>23.92173537</v>
      </c>
    </row>
    <row r="169" spans="1:5" x14ac:dyDescent="0.3">
      <c r="A169" s="15">
        <v>168</v>
      </c>
      <c r="B169" t="s">
        <v>229</v>
      </c>
      <c r="C169" t="s">
        <v>231</v>
      </c>
      <c r="D169">
        <v>120.78591590000001</v>
      </c>
      <c r="E169">
        <v>23.905892139999999</v>
      </c>
    </row>
    <row r="170" spans="1:5" x14ac:dyDescent="0.3">
      <c r="A170" s="15">
        <v>169</v>
      </c>
      <c r="B170" t="s">
        <v>229</v>
      </c>
      <c r="C170" t="s">
        <v>232</v>
      </c>
      <c r="D170">
        <v>120.7326182</v>
      </c>
      <c r="E170">
        <v>23.983210809999999</v>
      </c>
    </row>
    <row r="171" spans="1:5" x14ac:dyDescent="0.3">
      <c r="A171" s="15">
        <v>170</v>
      </c>
      <c r="B171" t="s">
        <v>229</v>
      </c>
      <c r="C171" t="s">
        <v>233</v>
      </c>
      <c r="D171">
        <v>120.8676052</v>
      </c>
      <c r="E171">
        <v>24.03135413</v>
      </c>
    </row>
    <row r="172" spans="1:5" x14ac:dyDescent="0.3">
      <c r="A172" s="15">
        <v>171</v>
      </c>
      <c r="B172" t="s">
        <v>229</v>
      </c>
      <c r="C172" t="s">
        <v>234</v>
      </c>
      <c r="D172">
        <v>120.9625259</v>
      </c>
      <c r="E172">
        <v>23.978925910000001</v>
      </c>
    </row>
    <row r="173" spans="1:5" x14ac:dyDescent="0.3">
      <c r="A173" s="15">
        <v>172</v>
      </c>
      <c r="B173" t="s">
        <v>229</v>
      </c>
      <c r="C173" t="s">
        <v>235</v>
      </c>
      <c r="D173">
        <v>121.1443879</v>
      </c>
      <c r="E173">
        <v>24.02886513</v>
      </c>
    </row>
    <row r="174" spans="1:5" x14ac:dyDescent="0.3">
      <c r="A174" s="15">
        <v>173</v>
      </c>
      <c r="B174" t="s">
        <v>229</v>
      </c>
      <c r="C174" t="s">
        <v>236</v>
      </c>
      <c r="D174">
        <v>120.67744020000001</v>
      </c>
      <c r="E174">
        <v>23.851077100000001</v>
      </c>
    </row>
    <row r="175" spans="1:5" x14ac:dyDescent="0.3">
      <c r="A175" s="15">
        <v>174</v>
      </c>
      <c r="B175" t="s">
        <v>229</v>
      </c>
      <c r="C175" t="s">
        <v>237</v>
      </c>
      <c r="D175">
        <v>120.78541920000001</v>
      </c>
      <c r="E175">
        <v>23.837016869999999</v>
      </c>
    </row>
    <row r="176" spans="1:5" x14ac:dyDescent="0.3">
      <c r="A176" s="15">
        <v>175</v>
      </c>
      <c r="B176" t="s">
        <v>229</v>
      </c>
      <c r="C176" t="s">
        <v>238</v>
      </c>
      <c r="D176">
        <v>120.8622721</v>
      </c>
      <c r="E176">
        <v>23.796129069999999</v>
      </c>
    </row>
    <row r="177" spans="1:5" x14ac:dyDescent="0.3">
      <c r="A177" s="15">
        <v>176</v>
      </c>
      <c r="B177" t="s">
        <v>229</v>
      </c>
      <c r="C177" t="s">
        <v>239</v>
      </c>
      <c r="D177">
        <v>120.9256736</v>
      </c>
      <c r="E177">
        <v>23.876012129999999</v>
      </c>
    </row>
    <row r="178" spans="1:5" x14ac:dyDescent="0.3">
      <c r="A178" s="15">
        <v>177</v>
      </c>
      <c r="B178" t="s">
        <v>229</v>
      </c>
      <c r="C178" t="s">
        <v>240</v>
      </c>
      <c r="D178">
        <v>121.0212867</v>
      </c>
      <c r="E178">
        <v>23.6554647</v>
      </c>
    </row>
    <row r="179" spans="1:5" x14ac:dyDescent="0.3">
      <c r="A179" s="15">
        <v>178</v>
      </c>
      <c r="B179" t="s">
        <v>229</v>
      </c>
      <c r="C179" t="s">
        <v>241</v>
      </c>
      <c r="D179">
        <v>120.71007969999999</v>
      </c>
      <c r="E179">
        <v>23.698055180000001</v>
      </c>
    </row>
    <row r="180" spans="1:5" x14ac:dyDescent="0.3">
      <c r="A180" s="15">
        <v>179</v>
      </c>
      <c r="B180" t="s">
        <v>229</v>
      </c>
      <c r="C180" t="s">
        <v>242</v>
      </c>
      <c r="D180">
        <v>120.78150650000001</v>
      </c>
      <c r="E180">
        <v>23.737760290000001</v>
      </c>
    </row>
    <row r="181" spans="1:5" x14ac:dyDescent="0.3">
      <c r="A181" s="15">
        <v>180</v>
      </c>
      <c r="B181" t="s">
        <v>243</v>
      </c>
      <c r="C181" t="s">
        <v>40</v>
      </c>
      <c r="D181">
        <v>120.4248724</v>
      </c>
      <c r="E181">
        <v>23.479155290000001</v>
      </c>
    </row>
    <row r="182" spans="1:5" x14ac:dyDescent="0.3">
      <c r="A182" s="15">
        <v>181</v>
      </c>
      <c r="B182" t="s">
        <v>243</v>
      </c>
      <c r="C182" t="s">
        <v>54</v>
      </c>
      <c r="D182">
        <v>120.47062440000001</v>
      </c>
      <c r="E182">
        <v>23.481703339999999</v>
      </c>
    </row>
    <row r="183" spans="1:5" x14ac:dyDescent="0.3">
      <c r="A183" s="15">
        <v>182</v>
      </c>
      <c r="B183" t="s">
        <v>244</v>
      </c>
      <c r="C183" t="s">
        <v>245</v>
      </c>
      <c r="D183">
        <v>120.6075335</v>
      </c>
      <c r="E183">
        <v>23.427656689999999</v>
      </c>
    </row>
    <row r="184" spans="1:5" x14ac:dyDescent="0.3">
      <c r="A184" s="15">
        <v>183</v>
      </c>
      <c r="B184" t="s">
        <v>244</v>
      </c>
      <c r="C184" t="s">
        <v>246</v>
      </c>
      <c r="D184">
        <v>120.6387459</v>
      </c>
      <c r="E184">
        <v>23.555354650000002</v>
      </c>
    </row>
    <row r="185" spans="1:5" x14ac:dyDescent="0.3">
      <c r="A185" s="15">
        <v>184</v>
      </c>
      <c r="B185" t="s">
        <v>244</v>
      </c>
      <c r="C185" t="s">
        <v>247</v>
      </c>
      <c r="D185">
        <v>120.5965771</v>
      </c>
      <c r="E185">
        <v>23.503765269999999</v>
      </c>
    </row>
    <row r="186" spans="1:5" x14ac:dyDescent="0.3">
      <c r="A186" s="15">
        <v>185</v>
      </c>
      <c r="B186" t="s">
        <v>244</v>
      </c>
      <c r="C186" t="s">
        <v>248</v>
      </c>
      <c r="D186">
        <v>120.7596173</v>
      </c>
      <c r="E186">
        <v>23.440776190000001</v>
      </c>
    </row>
    <row r="187" spans="1:5" x14ac:dyDescent="0.3">
      <c r="A187" s="15">
        <v>186</v>
      </c>
      <c r="B187" t="s">
        <v>244</v>
      </c>
      <c r="C187" t="s">
        <v>249</v>
      </c>
      <c r="D187">
        <v>120.5365312</v>
      </c>
      <c r="E187">
        <v>23.404089979999998</v>
      </c>
    </row>
    <row r="188" spans="1:5" x14ac:dyDescent="0.3">
      <c r="A188" s="15">
        <v>187</v>
      </c>
      <c r="B188" t="s">
        <v>244</v>
      </c>
      <c r="C188" t="s">
        <v>250</v>
      </c>
      <c r="D188">
        <v>120.58964659999999</v>
      </c>
      <c r="E188">
        <v>23.288484260000001</v>
      </c>
    </row>
    <row r="189" spans="1:5" x14ac:dyDescent="0.3">
      <c r="A189" s="15">
        <v>188</v>
      </c>
      <c r="B189" t="s">
        <v>244</v>
      </c>
      <c r="C189" t="s">
        <v>251</v>
      </c>
      <c r="D189">
        <v>120.41473569999999</v>
      </c>
      <c r="E189">
        <v>23.429112870000001</v>
      </c>
    </row>
    <row r="190" spans="1:5" x14ac:dyDescent="0.3">
      <c r="A190" s="15">
        <v>189</v>
      </c>
      <c r="B190" t="s">
        <v>244</v>
      </c>
      <c r="C190" t="s">
        <v>252</v>
      </c>
      <c r="D190">
        <v>120.3045468</v>
      </c>
      <c r="E190">
        <v>23.408117359999999</v>
      </c>
    </row>
    <row r="191" spans="1:5" x14ac:dyDescent="0.3">
      <c r="A191" s="15">
        <v>190</v>
      </c>
      <c r="B191" t="s">
        <v>244</v>
      </c>
      <c r="C191" t="s">
        <v>253</v>
      </c>
      <c r="D191">
        <v>120.3440009</v>
      </c>
      <c r="E191">
        <v>23.472919099999999</v>
      </c>
    </row>
    <row r="192" spans="1:5" x14ac:dyDescent="0.3">
      <c r="A192" s="15">
        <v>191</v>
      </c>
      <c r="B192" t="s">
        <v>244</v>
      </c>
      <c r="C192" t="s">
        <v>254</v>
      </c>
      <c r="D192">
        <v>120.2538977</v>
      </c>
      <c r="E192">
        <v>23.446106050000001</v>
      </c>
    </row>
    <row r="193" spans="1:5" x14ac:dyDescent="0.3">
      <c r="A193" s="15">
        <v>192</v>
      </c>
      <c r="B193" t="s">
        <v>244</v>
      </c>
      <c r="C193" t="s">
        <v>255</v>
      </c>
      <c r="D193">
        <v>120.1738682</v>
      </c>
      <c r="E193">
        <v>23.468660589999999</v>
      </c>
    </row>
    <row r="194" spans="1:5" x14ac:dyDescent="0.3">
      <c r="A194" s="15">
        <v>193</v>
      </c>
      <c r="B194" t="s">
        <v>244</v>
      </c>
      <c r="C194" t="s">
        <v>256</v>
      </c>
      <c r="D194">
        <v>120.2714728</v>
      </c>
      <c r="E194">
        <v>23.510209840000002</v>
      </c>
    </row>
    <row r="195" spans="1:5" x14ac:dyDescent="0.3">
      <c r="A195" s="15">
        <v>194</v>
      </c>
      <c r="B195" t="s">
        <v>244</v>
      </c>
      <c r="C195" t="s">
        <v>257</v>
      </c>
      <c r="D195">
        <v>120.3482873</v>
      </c>
      <c r="E195">
        <v>23.545812949999998</v>
      </c>
    </row>
    <row r="196" spans="1:5" x14ac:dyDescent="0.3">
      <c r="A196" s="15">
        <v>195</v>
      </c>
      <c r="B196" t="s">
        <v>244</v>
      </c>
      <c r="C196" t="s">
        <v>258</v>
      </c>
      <c r="D196">
        <v>120.4442798</v>
      </c>
      <c r="E196">
        <v>23.542553470000001</v>
      </c>
    </row>
    <row r="197" spans="1:5" x14ac:dyDescent="0.3">
      <c r="A197" s="15">
        <v>196</v>
      </c>
      <c r="B197" t="s">
        <v>244</v>
      </c>
      <c r="C197" t="s">
        <v>259</v>
      </c>
      <c r="D197">
        <v>120.48078649999999</v>
      </c>
      <c r="E197">
        <v>23.598908269999999</v>
      </c>
    </row>
    <row r="198" spans="1:5" x14ac:dyDescent="0.3">
      <c r="A198" s="15">
        <v>197</v>
      </c>
      <c r="B198" t="s">
        <v>244</v>
      </c>
      <c r="C198" t="s">
        <v>260</v>
      </c>
      <c r="D198">
        <v>120.4010282</v>
      </c>
      <c r="E198">
        <v>23.59353089</v>
      </c>
    </row>
    <row r="199" spans="1:5" x14ac:dyDescent="0.3">
      <c r="A199" s="15">
        <v>198</v>
      </c>
      <c r="B199" t="s">
        <v>244</v>
      </c>
      <c r="C199" t="s">
        <v>261</v>
      </c>
      <c r="D199">
        <v>120.2239433</v>
      </c>
      <c r="E199">
        <v>23.345758719999999</v>
      </c>
    </row>
    <row r="200" spans="1:5" x14ac:dyDescent="0.3">
      <c r="A200" s="15">
        <v>199</v>
      </c>
      <c r="B200" t="s">
        <v>244</v>
      </c>
      <c r="C200" t="s">
        <v>262</v>
      </c>
      <c r="D200">
        <v>120.1777498</v>
      </c>
      <c r="E200">
        <v>23.37494276</v>
      </c>
    </row>
    <row r="201" spans="1:5" x14ac:dyDescent="0.3">
      <c r="A201" s="15">
        <v>200</v>
      </c>
      <c r="B201" t="s">
        <v>263</v>
      </c>
      <c r="C201" t="s">
        <v>264</v>
      </c>
      <c r="D201">
        <v>120.48263559999999</v>
      </c>
      <c r="E201">
        <v>23.67066393</v>
      </c>
    </row>
    <row r="202" spans="1:5" x14ac:dyDescent="0.3">
      <c r="A202" s="15">
        <v>201</v>
      </c>
      <c r="B202" t="s">
        <v>263</v>
      </c>
      <c r="C202" t="s">
        <v>265</v>
      </c>
      <c r="D202">
        <v>120.4255592</v>
      </c>
      <c r="E202">
        <v>23.6455971</v>
      </c>
    </row>
    <row r="203" spans="1:5" x14ac:dyDescent="0.3">
      <c r="A203" s="15">
        <v>202</v>
      </c>
      <c r="B203" t="s">
        <v>263</v>
      </c>
      <c r="C203" t="s">
        <v>266</v>
      </c>
      <c r="D203">
        <v>120.42930610000001</v>
      </c>
      <c r="E203">
        <v>23.716615449999999</v>
      </c>
    </row>
    <row r="204" spans="1:5" x14ac:dyDescent="0.3">
      <c r="A204" s="15">
        <v>203</v>
      </c>
      <c r="B204" t="s">
        <v>263</v>
      </c>
      <c r="C204" t="s">
        <v>267</v>
      </c>
      <c r="D204">
        <v>120.3647252</v>
      </c>
      <c r="E204">
        <v>23.691106649999998</v>
      </c>
    </row>
    <row r="205" spans="1:5" x14ac:dyDescent="0.3">
      <c r="A205" s="15">
        <v>204</v>
      </c>
      <c r="B205" t="s">
        <v>263</v>
      </c>
      <c r="C205" t="s">
        <v>268</v>
      </c>
      <c r="D205">
        <v>120.3116122</v>
      </c>
      <c r="E205">
        <v>23.716132040000002</v>
      </c>
    </row>
    <row r="206" spans="1:5" x14ac:dyDescent="0.3">
      <c r="A206" s="15">
        <v>205</v>
      </c>
      <c r="B206" t="s">
        <v>263</v>
      </c>
      <c r="C206" t="s">
        <v>269</v>
      </c>
      <c r="D206">
        <v>120.2564173</v>
      </c>
      <c r="E206">
        <v>23.696123239999999</v>
      </c>
    </row>
    <row r="207" spans="1:5" x14ac:dyDescent="0.3">
      <c r="A207" s="15">
        <v>206</v>
      </c>
      <c r="B207" t="s">
        <v>263</v>
      </c>
      <c r="C207" t="s">
        <v>270</v>
      </c>
      <c r="D207">
        <v>120.2054952</v>
      </c>
      <c r="E207">
        <v>23.71600815</v>
      </c>
    </row>
    <row r="208" spans="1:5" x14ac:dyDescent="0.3">
      <c r="A208" s="15">
        <v>207</v>
      </c>
      <c r="B208" t="s">
        <v>263</v>
      </c>
      <c r="C208" t="s">
        <v>271</v>
      </c>
      <c r="D208">
        <v>120.3339769</v>
      </c>
      <c r="E208">
        <v>23.778497909999999</v>
      </c>
    </row>
    <row r="209" spans="1:5" x14ac:dyDescent="0.3">
      <c r="A209" s="15">
        <v>208</v>
      </c>
      <c r="B209" t="s">
        <v>263</v>
      </c>
      <c r="C209" t="s">
        <v>272</v>
      </c>
      <c r="D209">
        <v>120.243533</v>
      </c>
      <c r="E209">
        <v>23.788170560000001</v>
      </c>
    </row>
    <row r="210" spans="1:5" x14ac:dyDescent="0.3">
      <c r="A210" s="15">
        <v>209</v>
      </c>
      <c r="B210" t="s">
        <v>263</v>
      </c>
      <c r="C210" t="s">
        <v>273</v>
      </c>
      <c r="D210">
        <v>120.5600044</v>
      </c>
      <c r="E210">
        <v>23.70651883</v>
      </c>
    </row>
    <row r="211" spans="1:5" x14ac:dyDescent="0.3">
      <c r="A211" s="15">
        <v>210</v>
      </c>
      <c r="B211" t="s">
        <v>263</v>
      </c>
      <c r="C211" t="s">
        <v>274</v>
      </c>
      <c r="D211">
        <v>120.6155018</v>
      </c>
      <c r="E211">
        <v>23.7557209</v>
      </c>
    </row>
    <row r="212" spans="1:5" x14ac:dyDescent="0.3">
      <c r="A212" s="15">
        <v>211</v>
      </c>
      <c r="B212" t="s">
        <v>263</v>
      </c>
      <c r="C212" t="s">
        <v>275</v>
      </c>
      <c r="D212">
        <v>120.6117351</v>
      </c>
      <c r="E212">
        <v>23.625454690000002</v>
      </c>
    </row>
    <row r="213" spans="1:5" x14ac:dyDescent="0.3">
      <c r="A213" s="15">
        <v>212</v>
      </c>
      <c r="B213" t="s">
        <v>263</v>
      </c>
      <c r="C213" t="s">
        <v>276</v>
      </c>
      <c r="D213">
        <v>120.5290419</v>
      </c>
      <c r="E213">
        <v>23.76973894</v>
      </c>
    </row>
    <row r="214" spans="1:5" x14ac:dyDescent="0.3">
      <c r="A214" s="15">
        <v>213</v>
      </c>
      <c r="B214" t="s">
        <v>263</v>
      </c>
      <c r="C214" t="s">
        <v>277</v>
      </c>
      <c r="D214">
        <v>120.4580795</v>
      </c>
      <c r="E214">
        <v>23.77942109</v>
      </c>
    </row>
    <row r="215" spans="1:5" x14ac:dyDescent="0.3">
      <c r="A215" s="15">
        <v>214</v>
      </c>
      <c r="B215" t="s">
        <v>263</v>
      </c>
      <c r="C215" t="s">
        <v>278</v>
      </c>
      <c r="D215">
        <v>120.3964598</v>
      </c>
      <c r="E215">
        <v>23.792552100000002</v>
      </c>
    </row>
    <row r="216" spans="1:5" x14ac:dyDescent="0.3">
      <c r="A216" s="15">
        <v>215</v>
      </c>
      <c r="B216" t="s">
        <v>263</v>
      </c>
      <c r="C216" t="s">
        <v>279</v>
      </c>
      <c r="D216">
        <v>120.2940164</v>
      </c>
      <c r="E216">
        <v>23.592195279999999</v>
      </c>
    </row>
    <row r="217" spans="1:5" x14ac:dyDescent="0.3">
      <c r="A217" s="15">
        <v>216</v>
      </c>
      <c r="B217" t="s">
        <v>263</v>
      </c>
      <c r="C217" t="s">
        <v>280</v>
      </c>
      <c r="D217">
        <v>120.2352734</v>
      </c>
      <c r="E217">
        <v>23.56162849</v>
      </c>
    </row>
    <row r="218" spans="1:5" x14ac:dyDescent="0.3">
      <c r="A218" s="15">
        <v>217</v>
      </c>
      <c r="B218" t="s">
        <v>263</v>
      </c>
      <c r="C218" t="s">
        <v>281</v>
      </c>
      <c r="D218">
        <v>120.1413711</v>
      </c>
      <c r="E218">
        <v>23.553653950000001</v>
      </c>
    </row>
    <row r="219" spans="1:5" x14ac:dyDescent="0.3">
      <c r="A219" s="15">
        <v>218</v>
      </c>
      <c r="B219" t="s">
        <v>263</v>
      </c>
      <c r="C219" t="s">
        <v>282</v>
      </c>
      <c r="D219">
        <v>120.2064699</v>
      </c>
      <c r="E219">
        <v>23.64206875</v>
      </c>
    </row>
    <row r="220" spans="1:5" x14ac:dyDescent="0.3">
      <c r="A220" s="15">
        <v>219</v>
      </c>
      <c r="B220" t="s">
        <v>263</v>
      </c>
      <c r="C220" t="s">
        <v>283</v>
      </c>
      <c r="D220">
        <v>120.3279617</v>
      </c>
      <c r="E220">
        <v>23.642430950000001</v>
      </c>
    </row>
    <row r="221" spans="1:5" x14ac:dyDescent="0.3">
      <c r="A221" s="15">
        <v>220</v>
      </c>
      <c r="B221" t="s">
        <v>284</v>
      </c>
      <c r="C221" t="s">
        <v>285</v>
      </c>
      <c r="D221">
        <v>120.192874</v>
      </c>
      <c r="E221">
        <v>22.99594458</v>
      </c>
    </row>
    <row r="222" spans="1:5" x14ac:dyDescent="0.3">
      <c r="A222" s="15">
        <v>221</v>
      </c>
      <c r="B222" t="s">
        <v>284</v>
      </c>
      <c r="C222" t="s">
        <v>54</v>
      </c>
      <c r="D222">
        <v>120.22818580000001</v>
      </c>
      <c r="E222">
        <v>22.981782020000001</v>
      </c>
    </row>
    <row r="223" spans="1:5" x14ac:dyDescent="0.3">
      <c r="A223" s="15">
        <v>222</v>
      </c>
      <c r="B223" t="s">
        <v>284</v>
      </c>
      <c r="C223" t="s">
        <v>73</v>
      </c>
      <c r="D223">
        <v>120.1903743</v>
      </c>
      <c r="E223">
        <v>22.95561863</v>
      </c>
    </row>
    <row r="224" spans="1:5" x14ac:dyDescent="0.3">
      <c r="A224" s="15">
        <v>223</v>
      </c>
      <c r="B224" t="s">
        <v>284</v>
      </c>
      <c r="C224" t="s">
        <v>28</v>
      </c>
      <c r="D224">
        <v>120.2068735</v>
      </c>
      <c r="E224">
        <v>23.010121789999999</v>
      </c>
    </row>
    <row r="225" spans="1:5" x14ac:dyDescent="0.3">
      <c r="A225" s="15">
        <v>224</v>
      </c>
      <c r="B225" t="s">
        <v>284</v>
      </c>
      <c r="C225" t="s">
        <v>286</v>
      </c>
      <c r="D225">
        <v>120.1649949</v>
      </c>
      <c r="E225">
        <v>22.990084370000002</v>
      </c>
    </row>
    <row r="226" spans="1:5" x14ac:dyDescent="0.3">
      <c r="A226" s="15">
        <v>225</v>
      </c>
      <c r="B226" t="s">
        <v>284</v>
      </c>
      <c r="C226" t="s">
        <v>287</v>
      </c>
      <c r="D226">
        <v>120.15261889999999</v>
      </c>
      <c r="E226">
        <v>23.048696809999999</v>
      </c>
    </row>
    <row r="227" spans="1:5" x14ac:dyDescent="0.3">
      <c r="A227" s="15">
        <v>226</v>
      </c>
      <c r="B227" t="s">
        <v>284</v>
      </c>
      <c r="C227" t="s">
        <v>288</v>
      </c>
      <c r="D227">
        <v>120.2542795</v>
      </c>
      <c r="E227">
        <v>23.02729532</v>
      </c>
    </row>
    <row r="228" spans="1:5" x14ac:dyDescent="0.3">
      <c r="A228" s="15">
        <v>227</v>
      </c>
      <c r="B228" t="s">
        <v>284</v>
      </c>
      <c r="C228" t="s">
        <v>289</v>
      </c>
      <c r="D228">
        <v>120.29306269999999</v>
      </c>
      <c r="E228">
        <v>22.946794690000001</v>
      </c>
    </row>
    <row r="229" spans="1:5" x14ac:dyDescent="0.3">
      <c r="A229" s="15">
        <v>228</v>
      </c>
      <c r="B229" t="s">
        <v>284</v>
      </c>
      <c r="C229" t="s">
        <v>290</v>
      </c>
      <c r="D229">
        <v>120.33579640000001</v>
      </c>
      <c r="E229">
        <v>23.033945450000001</v>
      </c>
    </row>
    <row r="230" spans="1:5" x14ac:dyDescent="0.3">
      <c r="A230" s="15">
        <v>229</v>
      </c>
      <c r="B230" t="s">
        <v>284</v>
      </c>
      <c r="C230" t="s">
        <v>291</v>
      </c>
      <c r="D230">
        <v>120.4123917</v>
      </c>
      <c r="E230">
        <v>23.026046109999999</v>
      </c>
    </row>
    <row r="231" spans="1:5" x14ac:dyDescent="0.3">
      <c r="A231" s="15">
        <v>230</v>
      </c>
      <c r="B231" t="s">
        <v>284</v>
      </c>
      <c r="C231" t="s">
        <v>292</v>
      </c>
      <c r="D231">
        <v>120.4609622</v>
      </c>
      <c r="E231">
        <v>23.114809260000001</v>
      </c>
    </row>
    <row r="232" spans="1:5" x14ac:dyDescent="0.3">
      <c r="A232" s="15">
        <v>231</v>
      </c>
      <c r="B232" t="s">
        <v>284</v>
      </c>
      <c r="C232" t="s">
        <v>293</v>
      </c>
      <c r="D232">
        <v>120.5170304</v>
      </c>
      <c r="E232">
        <v>23.17885854</v>
      </c>
    </row>
    <row r="233" spans="1:5" x14ac:dyDescent="0.3">
      <c r="A233" s="15">
        <v>232</v>
      </c>
      <c r="B233" t="s">
        <v>284</v>
      </c>
      <c r="C233" t="s">
        <v>294</v>
      </c>
      <c r="D233">
        <v>120.5441223</v>
      </c>
      <c r="E233">
        <v>23.1151111</v>
      </c>
    </row>
    <row r="234" spans="1:5" x14ac:dyDescent="0.3">
      <c r="A234" s="15">
        <v>233</v>
      </c>
      <c r="B234" t="s">
        <v>284</v>
      </c>
      <c r="C234" t="s">
        <v>295</v>
      </c>
      <c r="D234">
        <v>120.24187879999999</v>
      </c>
      <c r="E234">
        <v>22.941309310000001</v>
      </c>
    </row>
    <row r="235" spans="1:5" x14ac:dyDescent="0.3">
      <c r="A235" s="15">
        <v>234</v>
      </c>
      <c r="B235" t="s">
        <v>284</v>
      </c>
      <c r="C235" t="s">
        <v>296</v>
      </c>
      <c r="D235">
        <v>120.3342821</v>
      </c>
      <c r="E235">
        <v>22.95577909</v>
      </c>
    </row>
    <row r="236" spans="1:5" x14ac:dyDescent="0.3">
      <c r="A236" s="15">
        <v>235</v>
      </c>
      <c r="B236" t="s">
        <v>284</v>
      </c>
      <c r="C236" t="s">
        <v>297</v>
      </c>
      <c r="D236">
        <v>120.3869373</v>
      </c>
      <c r="E236">
        <v>22.954822759999999</v>
      </c>
    </row>
    <row r="237" spans="1:5" x14ac:dyDescent="0.3">
      <c r="A237" s="15">
        <v>236</v>
      </c>
      <c r="B237" t="s">
        <v>284</v>
      </c>
      <c r="C237" t="s">
        <v>298</v>
      </c>
      <c r="D237">
        <v>120.3479918</v>
      </c>
      <c r="E237">
        <v>23.190985479999998</v>
      </c>
    </row>
    <row r="238" spans="1:5" x14ac:dyDescent="0.3">
      <c r="A238" s="15">
        <v>237</v>
      </c>
      <c r="B238" t="s">
        <v>284</v>
      </c>
      <c r="C238" t="s">
        <v>299</v>
      </c>
      <c r="D238">
        <v>120.241308</v>
      </c>
      <c r="E238">
        <v>23.182480330000001</v>
      </c>
    </row>
    <row r="239" spans="1:5" x14ac:dyDescent="0.3">
      <c r="A239" s="15">
        <v>238</v>
      </c>
      <c r="B239" t="s">
        <v>284</v>
      </c>
      <c r="C239" t="s">
        <v>300</v>
      </c>
      <c r="D239">
        <v>120.17859300000001</v>
      </c>
      <c r="E239">
        <v>23.1669941</v>
      </c>
    </row>
    <row r="240" spans="1:5" x14ac:dyDescent="0.3">
      <c r="A240" s="15">
        <v>239</v>
      </c>
      <c r="B240" t="s">
        <v>284</v>
      </c>
      <c r="C240" t="s">
        <v>301</v>
      </c>
      <c r="D240">
        <v>120.20023089999999</v>
      </c>
      <c r="E240">
        <v>23.12491893</v>
      </c>
    </row>
    <row r="241" spans="1:5" x14ac:dyDescent="0.3">
      <c r="A241" s="15">
        <v>240</v>
      </c>
      <c r="B241" t="s">
        <v>284</v>
      </c>
      <c r="C241" t="s">
        <v>302</v>
      </c>
      <c r="D241">
        <v>120.1005854</v>
      </c>
      <c r="E241">
        <v>23.123265780000001</v>
      </c>
    </row>
    <row r="242" spans="1:5" x14ac:dyDescent="0.3">
      <c r="A242" s="15">
        <v>241</v>
      </c>
      <c r="B242" t="s">
        <v>284</v>
      </c>
      <c r="C242" t="s">
        <v>303</v>
      </c>
      <c r="D242">
        <v>120.1276958</v>
      </c>
      <c r="E242">
        <v>23.20834413</v>
      </c>
    </row>
    <row r="243" spans="1:5" x14ac:dyDescent="0.3">
      <c r="A243" s="15">
        <v>242</v>
      </c>
      <c r="B243" t="s">
        <v>284</v>
      </c>
      <c r="C243" t="s">
        <v>304</v>
      </c>
      <c r="D243">
        <v>120.1841865</v>
      </c>
      <c r="E243">
        <v>23.252198050000001</v>
      </c>
    </row>
    <row r="244" spans="1:5" x14ac:dyDescent="0.3">
      <c r="A244" s="15">
        <v>243</v>
      </c>
      <c r="B244" t="s">
        <v>284</v>
      </c>
      <c r="C244" t="s">
        <v>305</v>
      </c>
      <c r="D244">
        <v>120.1262357</v>
      </c>
      <c r="E244">
        <v>23.277770799999999</v>
      </c>
    </row>
    <row r="245" spans="1:5" x14ac:dyDescent="0.3">
      <c r="A245" s="15">
        <v>244</v>
      </c>
      <c r="B245" t="s">
        <v>284</v>
      </c>
      <c r="C245" t="s">
        <v>306</v>
      </c>
      <c r="D245">
        <v>120.2954067</v>
      </c>
      <c r="E245">
        <v>23.301524879999999</v>
      </c>
    </row>
    <row r="246" spans="1:5" x14ac:dyDescent="0.3">
      <c r="A246" s="15">
        <v>245</v>
      </c>
      <c r="B246" t="s">
        <v>284</v>
      </c>
      <c r="C246" t="s">
        <v>307</v>
      </c>
      <c r="D246">
        <v>120.3485081</v>
      </c>
      <c r="E246">
        <v>23.362014779999999</v>
      </c>
    </row>
    <row r="247" spans="1:5" x14ac:dyDescent="0.3">
      <c r="A247" s="15">
        <v>246</v>
      </c>
      <c r="B247" t="s">
        <v>284</v>
      </c>
      <c r="C247" t="s">
        <v>308</v>
      </c>
      <c r="D247">
        <v>120.45785650000001</v>
      </c>
      <c r="E247">
        <v>23.351320680000001</v>
      </c>
    </row>
    <row r="248" spans="1:5" x14ac:dyDescent="0.3">
      <c r="A248" s="15">
        <v>247</v>
      </c>
      <c r="B248" t="s">
        <v>284</v>
      </c>
      <c r="C248" t="s">
        <v>309</v>
      </c>
      <c r="D248">
        <v>120.4441211</v>
      </c>
      <c r="E248">
        <v>23.2783187</v>
      </c>
    </row>
    <row r="249" spans="1:5" x14ac:dyDescent="0.3">
      <c r="A249" s="15">
        <v>248</v>
      </c>
      <c r="B249" t="s">
        <v>284</v>
      </c>
      <c r="C249" t="s">
        <v>310</v>
      </c>
      <c r="D249">
        <v>120.38002590000001</v>
      </c>
      <c r="E249">
        <v>23.2272672</v>
      </c>
    </row>
    <row r="250" spans="1:5" x14ac:dyDescent="0.3">
      <c r="A250" s="15">
        <v>249</v>
      </c>
      <c r="B250" t="s">
        <v>284</v>
      </c>
      <c r="C250" t="s">
        <v>311</v>
      </c>
      <c r="D250">
        <v>120.26484000000001</v>
      </c>
      <c r="E250">
        <v>23.23103978</v>
      </c>
    </row>
    <row r="251" spans="1:5" x14ac:dyDescent="0.3">
      <c r="A251" s="15">
        <v>250</v>
      </c>
      <c r="B251" t="s">
        <v>284</v>
      </c>
      <c r="C251" t="s">
        <v>312</v>
      </c>
      <c r="D251">
        <v>120.35492050000001</v>
      </c>
      <c r="E251">
        <v>23.268870010000001</v>
      </c>
    </row>
    <row r="252" spans="1:5" x14ac:dyDescent="0.3">
      <c r="A252" s="15">
        <v>251</v>
      </c>
      <c r="B252" t="s">
        <v>284</v>
      </c>
      <c r="C252" t="s">
        <v>313</v>
      </c>
      <c r="D252">
        <v>120.24829769999999</v>
      </c>
      <c r="E252">
        <v>23.297986219999999</v>
      </c>
    </row>
    <row r="253" spans="1:5" x14ac:dyDescent="0.3">
      <c r="A253" s="15">
        <v>252</v>
      </c>
      <c r="B253" t="s">
        <v>284</v>
      </c>
      <c r="C253" t="s">
        <v>314</v>
      </c>
      <c r="D253">
        <v>120.29882739999999</v>
      </c>
      <c r="E253">
        <v>23.140310719999999</v>
      </c>
    </row>
    <row r="254" spans="1:5" x14ac:dyDescent="0.3">
      <c r="A254" s="15">
        <v>253</v>
      </c>
      <c r="B254" t="s">
        <v>284</v>
      </c>
      <c r="C254" t="s">
        <v>315</v>
      </c>
      <c r="D254">
        <v>120.3988147</v>
      </c>
      <c r="E254">
        <v>23.144821520000001</v>
      </c>
    </row>
    <row r="255" spans="1:5" x14ac:dyDescent="0.3">
      <c r="A255" s="15">
        <v>254</v>
      </c>
      <c r="B255" t="s">
        <v>284</v>
      </c>
      <c r="C255" t="s">
        <v>316</v>
      </c>
      <c r="D255">
        <v>120.370977</v>
      </c>
      <c r="E255">
        <v>23.096893290000001</v>
      </c>
    </row>
    <row r="256" spans="1:5" x14ac:dyDescent="0.3">
      <c r="A256" s="15">
        <v>255</v>
      </c>
      <c r="B256" t="s">
        <v>284</v>
      </c>
      <c r="C256" t="s">
        <v>317</v>
      </c>
      <c r="D256">
        <v>120.2923941</v>
      </c>
      <c r="E256">
        <v>23.08319496</v>
      </c>
    </row>
    <row r="257" spans="1:5" x14ac:dyDescent="0.3">
      <c r="A257" s="15">
        <v>256</v>
      </c>
      <c r="B257" t="s">
        <v>284</v>
      </c>
      <c r="C257" t="s">
        <v>318</v>
      </c>
      <c r="D257">
        <v>120.2296235</v>
      </c>
      <c r="E257">
        <v>23.09974927</v>
      </c>
    </row>
    <row r="258" spans="1:5" x14ac:dyDescent="0.3">
      <c r="A258" s="15">
        <v>257</v>
      </c>
      <c r="B258" t="s">
        <v>17</v>
      </c>
      <c r="C258" t="s">
        <v>36</v>
      </c>
      <c r="D258">
        <v>120.3067337</v>
      </c>
      <c r="E258">
        <v>22.629929059999998</v>
      </c>
    </row>
    <row r="259" spans="1:5" x14ac:dyDescent="0.3">
      <c r="A259" s="15">
        <v>258</v>
      </c>
      <c r="B259" t="s">
        <v>17</v>
      </c>
      <c r="C259" t="s">
        <v>38</v>
      </c>
      <c r="D259">
        <v>120.2944217</v>
      </c>
      <c r="E259">
        <v>22.626990500000002</v>
      </c>
    </row>
    <row r="260" spans="1:5" x14ac:dyDescent="0.3">
      <c r="A260" s="15">
        <v>259</v>
      </c>
      <c r="B260" t="s">
        <v>17</v>
      </c>
      <c r="C260" t="s">
        <v>22</v>
      </c>
      <c r="D260">
        <v>120.32091029999999</v>
      </c>
      <c r="E260">
        <v>22.623594480000001</v>
      </c>
    </row>
    <row r="261" spans="1:5" x14ac:dyDescent="0.3">
      <c r="A261" s="15">
        <v>260</v>
      </c>
      <c r="B261" t="s">
        <v>17</v>
      </c>
      <c r="C261" t="s">
        <v>74</v>
      </c>
      <c r="D261">
        <v>120.28423309999999</v>
      </c>
      <c r="E261">
        <v>22.624245850000001</v>
      </c>
    </row>
    <row r="262" spans="1:5" x14ac:dyDescent="0.3">
      <c r="A262" s="15">
        <v>261</v>
      </c>
      <c r="B262" t="s">
        <v>17</v>
      </c>
      <c r="C262" t="s">
        <v>27</v>
      </c>
      <c r="D262">
        <v>120.274163</v>
      </c>
      <c r="E262">
        <v>22.650195249999999</v>
      </c>
    </row>
    <row r="263" spans="1:5" x14ac:dyDescent="0.3">
      <c r="A263" s="15">
        <v>262</v>
      </c>
      <c r="B263" t="s">
        <v>17</v>
      </c>
      <c r="C263" t="s">
        <v>23</v>
      </c>
      <c r="D263">
        <v>120.2891539</v>
      </c>
      <c r="E263">
        <v>22.58565583</v>
      </c>
    </row>
    <row r="264" spans="1:5" x14ac:dyDescent="0.3">
      <c r="A264" s="15">
        <v>263</v>
      </c>
      <c r="B264" t="s">
        <v>17</v>
      </c>
      <c r="C264" t="s">
        <v>46</v>
      </c>
      <c r="D264">
        <v>120.3146749</v>
      </c>
      <c r="E264">
        <v>22.59269724</v>
      </c>
    </row>
    <row r="265" spans="1:5" x14ac:dyDescent="0.3">
      <c r="A265" s="15">
        <v>264</v>
      </c>
      <c r="B265" t="s">
        <v>17</v>
      </c>
      <c r="C265" t="s">
        <v>34</v>
      </c>
      <c r="D265">
        <v>120.31791870000001</v>
      </c>
      <c r="E265">
        <v>22.649898830000001</v>
      </c>
    </row>
    <row r="266" spans="1:5" x14ac:dyDescent="0.3">
      <c r="A266" s="15">
        <v>265</v>
      </c>
      <c r="B266" t="s">
        <v>17</v>
      </c>
      <c r="C266" t="s">
        <v>75</v>
      </c>
      <c r="D266">
        <v>120.300758</v>
      </c>
      <c r="E266">
        <v>22.72109961</v>
      </c>
    </row>
    <row r="267" spans="1:5" x14ac:dyDescent="0.3">
      <c r="A267" s="15">
        <v>266</v>
      </c>
      <c r="B267" t="s">
        <v>17</v>
      </c>
      <c r="C267" t="s">
        <v>15</v>
      </c>
      <c r="D267">
        <v>120.3592605</v>
      </c>
      <c r="E267">
        <v>22.551402070000002</v>
      </c>
    </row>
    <row r="268" spans="1:5" x14ac:dyDescent="0.3">
      <c r="A268" s="15">
        <v>267</v>
      </c>
      <c r="B268" t="s">
        <v>17</v>
      </c>
      <c r="C268" t="s">
        <v>32</v>
      </c>
      <c r="D268">
        <v>120.2951588</v>
      </c>
      <c r="E268">
        <v>22.683956989999999</v>
      </c>
    </row>
    <row r="269" spans="1:5" x14ac:dyDescent="0.3">
      <c r="A269" s="15">
        <v>268</v>
      </c>
      <c r="B269" t="s">
        <v>17</v>
      </c>
      <c r="C269" t="s">
        <v>41</v>
      </c>
      <c r="D269">
        <v>120.36052650000001</v>
      </c>
      <c r="E269">
        <v>22.70120782</v>
      </c>
    </row>
    <row r="270" spans="1:5" x14ac:dyDescent="0.3">
      <c r="A270" s="15">
        <v>269</v>
      </c>
      <c r="B270" t="s">
        <v>17</v>
      </c>
      <c r="C270" t="s">
        <v>84</v>
      </c>
      <c r="D270">
        <v>120.3707994</v>
      </c>
      <c r="E270">
        <v>22.73983479</v>
      </c>
    </row>
    <row r="271" spans="1:5" x14ac:dyDescent="0.3">
      <c r="A271" s="15">
        <v>270</v>
      </c>
      <c r="B271" t="s">
        <v>17</v>
      </c>
      <c r="C271" t="s">
        <v>68</v>
      </c>
      <c r="D271">
        <v>120.2978906</v>
      </c>
      <c r="E271">
        <v>22.805058859999999</v>
      </c>
    </row>
    <row r="272" spans="1:5" x14ac:dyDescent="0.3">
      <c r="A272" s="15">
        <v>271</v>
      </c>
      <c r="B272" t="s">
        <v>17</v>
      </c>
      <c r="C272" t="s">
        <v>51</v>
      </c>
      <c r="D272">
        <v>120.2659871</v>
      </c>
      <c r="E272">
        <v>22.85724171</v>
      </c>
    </row>
    <row r="273" spans="1:5" x14ac:dyDescent="0.3">
      <c r="A273" s="15">
        <v>272</v>
      </c>
      <c r="B273" t="s">
        <v>17</v>
      </c>
      <c r="C273" t="s">
        <v>43</v>
      </c>
      <c r="D273">
        <v>120.3210967</v>
      </c>
      <c r="E273">
        <v>22.870228829999999</v>
      </c>
    </row>
    <row r="274" spans="1:5" x14ac:dyDescent="0.3">
      <c r="A274" s="15">
        <v>273</v>
      </c>
      <c r="B274" t="s">
        <v>17</v>
      </c>
      <c r="C274" t="s">
        <v>44</v>
      </c>
      <c r="D274">
        <v>120.3959842</v>
      </c>
      <c r="E274">
        <v>22.863943070000001</v>
      </c>
    </row>
    <row r="275" spans="1:5" x14ac:dyDescent="0.3">
      <c r="A275" s="15">
        <v>274</v>
      </c>
      <c r="B275" t="s">
        <v>17</v>
      </c>
      <c r="C275" t="s">
        <v>56</v>
      </c>
      <c r="D275">
        <v>120.37079900000001</v>
      </c>
      <c r="E275">
        <v>22.787696260000001</v>
      </c>
    </row>
    <row r="276" spans="1:5" x14ac:dyDescent="0.3">
      <c r="A276" s="15">
        <v>275</v>
      </c>
      <c r="B276" t="s">
        <v>17</v>
      </c>
      <c r="C276" t="s">
        <v>33</v>
      </c>
      <c r="D276">
        <v>120.3006534</v>
      </c>
      <c r="E276">
        <v>22.752523979999999</v>
      </c>
    </row>
    <row r="277" spans="1:5" x14ac:dyDescent="0.3">
      <c r="A277" s="15">
        <v>276</v>
      </c>
      <c r="B277" t="s">
        <v>17</v>
      </c>
      <c r="C277" t="s">
        <v>69</v>
      </c>
      <c r="D277">
        <v>120.25939889999999</v>
      </c>
      <c r="E277">
        <v>22.748208999999999</v>
      </c>
    </row>
    <row r="278" spans="1:5" x14ac:dyDescent="0.3">
      <c r="A278" s="15">
        <v>277</v>
      </c>
      <c r="B278" t="s">
        <v>17</v>
      </c>
      <c r="C278" t="s">
        <v>52</v>
      </c>
      <c r="D278">
        <v>120.2394571</v>
      </c>
      <c r="E278">
        <v>22.779445280000001</v>
      </c>
    </row>
    <row r="279" spans="1:5" x14ac:dyDescent="0.3">
      <c r="A279" s="15">
        <v>278</v>
      </c>
      <c r="B279" t="s">
        <v>17</v>
      </c>
      <c r="C279" t="s">
        <v>79</v>
      </c>
      <c r="D279">
        <v>120.22805099999999</v>
      </c>
      <c r="E279">
        <v>22.822245850000002</v>
      </c>
    </row>
    <row r="280" spans="1:5" x14ac:dyDescent="0.3">
      <c r="A280" s="15">
        <v>279</v>
      </c>
      <c r="B280" t="s">
        <v>17</v>
      </c>
      <c r="C280" t="s">
        <v>49</v>
      </c>
      <c r="D280">
        <v>120.2259375</v>
      </c>
      <c r="E280">
        <v>22.893249520000001</v>
      </c>
    </row>
    <row r="281" spans="1:5" x14ac:dyDescent="0.3">
      <c r="A281" s="15">
        <v>280</v>
      </c>
      <c r="B281" t="s">
        <v>17</v>
      </c>
      <c r="C281" t="s">
        <v>59</v>
      </c>
      <c r="D281">
        <v>120.3554359</v>
      </c>
      <c r="E281">
        <v>22.61379251</v>
      </c>
    </row>
    <row r="282" spans="1:5" x14ac:dyDescent="0.3">
      <c r="A282" s="15">
        <v>281</v>
      </c>
      <c r="B282" t="s">
        <v>17</v>
      </c>
      <c r="C282" t="s">
        <v>78</v>
      </c>
      <c r="D282">
        <v>120.4111468</v>
      </c>
      <c r="E282">
        <v>22.59283576</v>
      </c>
    </row>
    <row r="283" spans="1:5" x14ac:dyDescent="0.3">
      <c r="A283" s="15">
        <v>282</v>
      </c>
      <c r="B283" t="s">
        <v>17</v>
      </c>
      <c r="C283" t="s">
        <v>60</v>
      </c>
      <c r="D283">
        <v>120.399052</v>
      </c>
      <c r="E283">
        <v>22.508137430000001</v>
      </c>
    </row>
    <row r="284" spans="1:5" x14ac:dyDescent="0.3">
      <c r="A284" s="15">
        <v>283</v>
      </c>
      <c r="B284" t="s">
        <v>17</v>
      </c>
      <c r="C284" t="s">
        <v>20</v>
      </c>
      <c r="D284">
        <v>120.37277829999999</v>
      </c>
      <c r="E284">
        <v>22.662493019999999</v>
      </c>
    </row>
    <row r="285" spans="1:5" x14ac:dyDescent="0.3">
      <c r="A285" s="15">
        <v>284</v>
      </c>
      <c r="B285" t="s">
        <v>17</v>
      </c>
      <c r="C285" t="s">
        <v>37</v>
      </c>
      <c r="D285">
        <v>120.42540700000001</v>
      </c>
      <c r="E285">
        <v>22.711003640000001</v>
      </c>
    </row>
    <row r="286" spans="1:5" x14ac:dyDescent="0.3">
      <c r="A286" s="15">
        <v>285</v>
      </c>
      <c r="B286" t="s">
        <v>17</v>
      </c>
      <c r="C286" t="s">
        <v>19</v>
      </c>
      <c r="D286">
        <v>120.4754554</v>
      </c>
      <c r="E286">
        <v>22.864970329999998</v>
      </c>
    </row>
    <row r="287" spans="1:5" x14ac:dyDescent="0.3">
      <c r="A287" s="15">
        <v>286</v>
      </c>
      <c r="B287" t="s">
        <v>17</v>
      </c>
      <c r="C287" t="s">
        <v>71</v>
      </c>
      <c r="D287">
        <v>120.5634635</v>
      </c>
      <c r="E287">
        <v>22.900055290000001</v>
      </c>
    </row>
    <row r="288" spans="1:5" x14ac:dyDescent="0.3">
      <c r="A288" s="15">
        <v>287</v>
      </c>
      <c r="B288" t="s">
        <v>17</v>
      </c>
      <c r="C288" t="s">
        <v>47</v>
      </c>
      <c r="D288">
        <v>120.6585635</v>
      </c>
      <c r="E288">
        <v>23.01195426</v>
      </c>
    </row>
    <row r="289" spans="1:5" x14ac:dyDescent="0.3">
      <c r="A289" s="15">
        <v>288</v>
      </c>
      <c r="B289" t="s">
        <v>17</v>
      </c>
      <c r="C289" t="s">
        <v>65</v>
      </c>
      <c r="D289">
        <v>120.4719272</v>
      </c>
      <c r="E289">
        <v>22.95668817</v>
      </c>
    </row>
    <row r="290" spans="1:5" x14ac:dyDescent="0.3">
      <c r="A290" s="15">
        <v>289</v>
      </c>
      <c r="B290" t="s">
        <v>17</v>
      </c>
      <c r="C290" t="s">
        <v>62</v>
      </c>
      <c r="D290">
        <v>120.56219710000001</v>
      </c>
      <c r="E290">
        <v>22.996946810000001</v>
      </c>
    </row>
    <row r="291" spans="1:5" x14ac:dyDescent="0.3">
      <c r="A291" s="15">
        <v>290</v>
      </c>
      <c r="B291" t="s">
        <v>17</v>
      </c>
      <c r="C291" t="s">
        <v>48</v>
      </c>
      <c r="D291">
        <v>120.6232895</v>
      </c>
      <c r="E291">
        <v>23.11654995</v>
      </c>
    </row>
    <row r="292" spans="1:5" x14ac:dyDescent="0.3">
      <c r="A292" s="15">
        <v>291</v>
      </c>
      <c r="B292" t="s">
        <v>17</v>
      </c>
      <c r="C292" t="s">
        <v>26</v>
      </c>
      <c r="D292">
        <v>120.8523383</v>
      </c>
      <c r="E292">
        <v>23.224945900000002</v>
      </c>
    </row>
    <row r="293" spans="1:5" x14ac:dyDescent="0.3">
      <c r="A293" s="15">
        <v>292</v>
      </c>
      <c r="B293" t="s">
        <v>17</v>
      </c>
      <c r="C293" t="s">
        <v>72</v>
      </c>
      <c r="D293">
        <v>120.741944</v>
      </c>
      <c r="E293">
        <v>23.275008</v>
      </c>
    </row>
    <row r="294" spans="1:5" x14ac:dyDescent="0.3">
      <c r="A294" s="15">
        <v>293</v>
      </c>
      <c r="B294" t="s">
        <v>17</v>
      </c>
      <c r="C294" t="s">
        <v>85</v>
      </c>
      <c r="D294">
        <v>120.75238400000001</v>
      </c>
      <c r="E294">
        <v>22.919932559999999</v>
      </c>
    </row>
    <row r="295" spans="1:5" x14ac:dyDescent="0.3">
      <c r="A295" s="15">
        <v>294</v>
      </c>
      <c r="B295" t="s">
        <v>17</v>
      </c>
      <c r="C295" t="s">
        <v>18</v>
      </c>
      <c r="D295">
        <v>120.1980519</v>
      </c>
      <c r="E295">
        <v>22.88241399</v>
      </c>
    </row>
    <row r="296" spans="1:5" x14ac:dyDescent="0.3">
      <c r="A296" s="15">
        <v>295</v>
      </c>
      <c r="B296" t="s">
        <v>319</v>
      </c>
      <c r="C296" t="s">
        <v>320</v>
      </c>
      <c r="D296">
        <v>119.59233999999999</v>
      </c>
      <c r="E296">
        <v>23.555340000000001</v>
      </c>
    </row>
    <row r="297" spans="1:5" x14ac:dyDescent="0.3">
      <c r="A297" s="15">
        <v>296</v>
      </c>
      <c r="B297" t="s">
        <v>319</v>
      </c>
      <c r="C297" t="s">
        <v>321</v>
      </c>
      <c r="D297">
        <v>119.50783</v>
      </c>
      <c r="E297">
        <v>23.59975</v>
      </c>
    </row>
    <row r="298" spans="1:5" x14ac:dyDescent="0.3">
      <c r="A298" s="15">
        <v>297</v>
      </c>
      <c r="B298" t="s">
        <v>319</v>
      </c>
      <c r="C298" t="s">
        <v>322</v>
      </c>
      <c r="D298">
        <v>119.50406</v>
      </c>
      <c r="E298">
        <v>23.369039999999998</v>
      </c>
    </row>
    <row r="299" spans="1:5" x14ac:dyDescent="0.3">
      <c r="A299" s="15">
        <v>298</v>
      </c>
      <c r="B299" t="s">
        <v>319</v>
      </c>
      <c r="C299" t="s">
        <v>323</v>
      </c>
      <c r="D299">
        <v>119.43393</v>
      </c>
      <c r="E299">
        <v>23.201080000000001</v>
      </c>
    </row>
    <row r="300" spans="1:5" x14ac:dyDescent="0.3">
      <c r="A300" s="15">
        <v>299</v>
      </c>
      <c r="B300" t="s">
        <v>319</v>
      </c>
      <c r="C300" t="s">
        <v>324</v>
      </c>
      <c r="D300">
        <v>119.59251</v>
      </c>
      <c r="E300">
        <v>23.641780000000001</v>
      </c>
    </row>
    <row r="301" spans="1:5" x14ac:dyDescent="0.3">
      <c r="A301" s="15">
        <v>300</v>
      </c>
      <c r="B301" t="s">
        <v>319</v>
      </c>
      <c r="C301" t="s">
        <v>325</v>
      </c>
      <c r="D301">
        <v>119.64462</v>
      </c>
      <c r="E301">
        <v>23.573640000000001</v>
      </c>
    </row>
    <row r="302" spans="1:5" x14ac:dyDescent="0.3">
      <c r="A302" s="15">
        <v>301</v>
      </c>
      <c r="B302" t="s">
        <v>326</v>
      </c>
      <c r="C302" t="s">
        <v>327</v>
      </c>
      <c r="D302">
        <v>118.40841</v>
      </c>
      <c r="E302">
        <v>24.458649999999999</v>
      </c>
    </row>
    <row r="303" spans="1:5" x14ac:dyDescent="0.3">
      <c r="A303" s="15">
        <v>302</v>
      </c>
      <c r="B303" t="s">
        <v>326</v>
      </c>
      <c r="C303" t="s">
        <v>328</v>
      </c>
      <c r="D303">
        <v>118.40373</v>
      </c>
      <c r="E303">
        <v>24.414960000000001</v>
      </c>
    </row>
    <row r="304" spans="1:5" x14ac:dyDescent="0.3">
      <c r="A304" s="15">
        <v>303</v>
      </c>
      <c r="B304" t="s">
        <v>326</v>
      </c>
      <c r="C304" t="s">
        <v>329</v>
      </c>
      <c r="D304">
        <v>118.31704999999999</v>
      </c>
      <c r="E304">
        <v>24.42482</v>
      </c>
    </row>
    <row r="305" spans="1:5" x14ac:dyDescent="0.3">
      <c r="A305" s="15">
        <v>304</v>
      </c>
      <c r="B305" t="s">
        <v>326</v>
      </c>
      <c r="C305" t="s">
        <v>330</v>
      </c>
      <c r="D305">
        <v>118.30128000000001</v>
      </c>
      <c r="E305">
        <v>24.38402</v>
      </c>
    </row>
    <row r="306" spans="1:5" x14ac:dyDescent="0.3">
      <c r="A306" s="15">
        <v>305</v>
      </c>
      <c r="B306" t="s">
        <v>326</v>
      </c>
      <c r="C306" t="s">
        <v>331</v>
      </c>
      <c r="D306">
        <v>118.22789</v>
      </c>
      <c r="E306">
        <v>24.40166</v>
      </c>
    </row>
    <row r="307" spans="1:5" x14ac:dyDescent="0.3">
      <c r="A307" s="15">
        <v>306</v>
      </c>
      <c r="B307" t="s">
        <v>326</v>
      </c>
      <c r="C307" t="s">
        <v>332</v>
      </c>
      <c r="D307">
        <v>119.452738</v>
      </c>
      <c r="E307">
        <v>24.992338</v>
      </c>
    </row>
    <row r="308" spans="1:5" x14ac:dyDescent="0.3">
      <c r="A308" s="15">
        <v>307</v>
      </c>
      <c r="B308" t="s">
        <v>333</v>
      </c>
      <c r="C308" t="s">
        <v>334</v>
      </c>
      <c r="D308">
        <v>120.4799948</v>
      </c>
      <c r="E308">
        <v>22.664737500000001</v>
      </c>
    </row>
    <row r="309" spans="1:5" x14ac:dyDescent="0.3">
      <c r="A309" s="15">
        <v>308</v>
      </c>
      <c r="B309" t="s">
        <v>333</v>
      </c>
      <c r="C309" t="s">
        <v>335</v>
      </c>
      <c r="D309">
        <v>120.6865219</v>
      </c>
      <c r="E309">
        <v>22.797868470000001</v>
      </c>
    </row>
    <row r="310" spans="1:5" x14ac:dyDescent="0.3">
      <c r="A310" s="15">
        <v>309</v>
      </c>
      <c r="B310" t="s">
        <v>333</v>
      </c>
      <c r="C310" t="s">
        <v>336</v>
      </c>
      <c r="D310">
        <v>120.8008099</v>
      </c>
      <c r="E310">
        <v>22.759904779999999</v>
      </c>
    </row>
    <row r="311" spans="1:5" x14ac:dyDescent="0.3">
      <c r="A311" s="15">
        <v>310</v>
      </c>
      <c r="B311" t="s">
        <v>333</v>
      </c>
      <c r="C311" t="s">
        <v>337</v>
      </c>
      <c r="D311">
        <v>120.67992390000001</v>
      </c>
      <c r="E311">
        <v>22.67107764</v>
      </c>
    </row>
    <row r="312" spans="1:5" x14ac:dyDescent="0.3">
      <c r="A312" s="15">
        <v>311</v>
      </c>
      <c r="B312" t="s">
        <v>333</v>
      </c>
      <c r="C312" t="s">
        <v>338</v>
      </c>
      <c r="D312">
        <v>120.48450440000001</v>
      </c>
      <c r="E312">
        <v>22.731667699999999</v>
      </c>
    </row>
    <row r="313" spans="1:5" x14ac:dyDescent="0.3">
      <c r="A313" s="15">
        <v>312</v>
      </c>
      <c r="B313" t="s">
        <v>333</v>
      </c>
      <c r="C313" t="s">
        <v>339</v>
      </c>
      <c r="D313">
        <v>120.5061276</v>
      </c>
      <c r="E313">
        <v>22.798548310000001</v>
      </c>
    </row>
    <row r="314" spans="1:5" x14ac:dyDescent="0.3">
      <c r="A314" s="15">
        <v>313</v>
      </c>
      <c r="B314" t="s">
        <v>333</v>
      </c>
      <c r="C314" t="s">
        <v>340</v>
      </c>
      <c r="D314">
        <v>120.6017678</v>
      </c>
      <c r="E314">
        <v>22.809920219999999</v>
      </c>
    </row>
    <row r="315" spans="1:5" x14ac:dyDescent="0.3">
      <c r="A315" s="15">
        <v>314</v>
      </c>
      <c r="B315" t="s">
        <v>333</v>
      </c>
      <c r="C315" t="s">
        <v>341</v>
      </c>
      <c r="D315">
        <v>120.5693941</v>
      </c>
      <c r="E315">
        <v>22.742536359999999</v>
      </c>
    </row>
    <row r="316" spans="1:5" x14ac:dyDescent="0.3">
      <c r="A316" s="15">
        <v>315</v>
      </c>
      <c r="B316" t="s">
        <v>333</v>
      </c>
      <c r="C316" t="s">
        <v>342</v>
      </c>
      <c r="D316">
        <v>120.55597899999999</v>
      </c>
      <c r="E316">
        <v>22.694549519999999</v>
      </c>
    </row>
    <row r="317" spans="1:5" x14ac:dyDescent="0.3">
      <c r="A317" s="15">
        <v>316</v>
      </c>
      <c r="B317" t="s">
        <v>333</v>
      </c>
      <c r="C317" t="s">
        <v>343</v>
      </c>
      <c r="D317">
        <v>120.5299693</v>
      </c>
      <c r="E317">
        <v>22.648763670000001</v>
      </c>
    </row>
    <row r="318" spans="1:5" x14ac:dyDescent="0.3">
      <c r="A318" s="15">
        <v>317</v>
      </c>
      <c r="B318" t="s">
        <v>333</v>
      </c>
      <c r="C318" t="s">
        <v>344</v>
      </c>
      <c r="D318">
        <v>120.5266379</v>
      </c>
      <c r="E318">
        <v>22.588556359999998</v>
      </c>
    </row>
    <row r="319" spans="1:5" x14ac:dyDescent="0.3">
      <c r="A319" s="15">
        <v>318</v>
      </c>
      <c r="B319" t="s">
        <v>333</v>
      </c>
      <c r="C319" t="s">
        <v>345</v>
      </c>
      <c r="D319">
        <v>120.5888222</v>
      </c>
      <c r="E319">
        <v>22.651169329999998</v>
      </c>
    </row>
    <row r="320" spans="1:5" x14ac:dyDescent="0.3">
      <c r="A320" s="15">
        <v>319</v>
      </c>
      <c r="B320" t="s">
        <v>333</v>
      </c>
      <c r="C320" t="s">
        <v>346</v>
      </c>
      <c r="D320">
        <v>120.4766188</v>
      </c>
      <c r="E320">
        <v>22.588495470000002</v>
      </c>
    </row>
    <row r="321" spans="1:5" x14ac:dyDescent="0.3">
      <c r="A321" s="15">
        <v>320</v>
      </c>
      <c r="B321" t="s">
        <v>333</v>
      </c>
      <c r="C321" t="s">
        <v>347</v>
      </c>
      <c r="D321">
        <v>120.55680630000001</v>
      </c>
      <c r="E321">
        <v>22.536429470000002</v>
      </c>
    </row>
    <row r="322" spans="1:5" x14ac:dyDescent="0.3">
      <c r="A322" s="15">
        <v>321</v>
      </c>
      <c r="B322" t="s">
        <v>333</v>
      </c>
      <c r="C322" t="s">
        <v>348</v>
      </c>
      <c r="D322">
        <v>120.6917929</v>
      </c>
      <c r="E322">
        <v>22.60408477</v>
      </c>
    </row>
    <row r="323" spans="1:5" x14ac:dyDescent="0.3">
      <c r="A323" s="15">
        <v>322</v>
      </c>
      <c r="B323" t="s">
        <v>333</v>
      </c>
      <c r="C323" t="s">
        <v>349</v>
      </c>
      <c r="D323">
        <v>120.6857232</v>
      </c>
      <c r="E323">
        <v>22.501572060000001</v>
      </c>
    </row>
    <row r="324" spans="1:5" x14ac:dyDescent="0.3">
      <c r="A324" s="15">
        <v>323</v>
      </c>
      <c r="B324" t="s">
        <v>333</v>
      </c>
      <c r="C324" t="s">
        <v>350</v>
      </c>
      <c r="D324">
        <v>120.601817</v>
      </c>
      <c r="E324">
        <v>22.582334589999999</v>
      </c>
    </row>
    <row r="325" spans="1:5" x14ac:dyDescent="0.3">
      <c r="A325" s="15">
        <v>324</v>
      </c>
      <c r="B325" t="s">
        <v>333</v>
      </c>
      <c r="C325" t="s">
        <v>351</v>
      </c>
      <c r="D325">
        <v>120.50065979999999</v>
      </c>
      <c r="E325">
        <v>22.515281510000001</v>
      </c>
    </row>
    <row r="326" spans="1:5" x14ac:dyDescent="0.3">
      <c r="A326" s="15">
        <v>325</v>
      </c>
      <c r="B326" t="s">
        <v>333</v>
      </c>
      <c r="C326" t="s">
        <v>352</v>
      </c>
      <c r="D326">
        <v>120.5846257</v>
      </c>
      <c r="E326">
        <v>22.48676279</v>
      </c>
    </row>
    <row r="327" spans="1:5" x14ac:dyDescent="0.3">
      <c r="A327" s="15">
        <v>326</v>
      </c>
      <c r="B327" t="s">
        <v>333</v>
      </c>
      <c r="C327" t="s">
        <v>353</v>
      </c>
      <c r="D327">
        <v>120.5180561</v>
      </c>
      <c r="E327">
        <v>22.479807040000001</v>
      </c>
    </row>
    <row r="328" spans="1:5" x14ac:dyDescent="0.3">
      <c r="A328" s="15">
        <v>327</v>
      </c>
      <c r="B328" t="s">
        <v>333</v>
      </c>
      <c r="C328" t="s">
        <v>354</v>
      </c>
      <c r="D328">
        <v>120.51250949999999</v>
      </c>
      <c r="E328">
        <v>22.441421009999999</v>
      </c>
    </row>
    <row r="329" spans="1:5" x14ac:dyDescent="0.3">
      <c r="A329" s="15">
        <v>328</v>
      </c>
      <c r="B329" t="s">
        <v>333</v>
      </c>
      <c r="C329" t="s">
        <v>355</v>
      </c>
      <c r="D329">
        <v>120.4751333</v>
      </c>
      <c r="E329">
        <v>22.46265635</v>
      </c>
    </row>
    <row r="330" spans="1:5" x14ac:dyDescent="0.3">
      <c r="A330" s="15">
        <v>329</v>
      </c>
      <c r="B330" t="s">
        <v>333</v>
      </c>
      <c r="C330" t="s">
        <v>356</v>
      </c>
      <c r="D330">
        <v>120.3710466</v>
      </c>
      <c r="E330">
        <v>22.340002779999999</v>
      </c>
    </row>
    <row r="331" spans="1:5" x14ac:dyDescent="0.3">
      <c r="A331" s="15">
        <v>330</v>
      </c>
      <c r="B331" t="s">
        <v>333</v>
      </c>
      <c r="C331" t="s">
        <v>357</v>
      </c>
      <c r="D331">
        <v>120.54761240000001</v>
      </c>
      <c r="E331">
        <v>22.429806240000001</v>
      </c>
    </row>
    <row r="332" spans="1:5" x14ac:dyDescent="0.3">
      <c r="A332" s="15">
        <v>331</v>
      </c>
      <c r="B332" t="s">
        <v>333</v>
      </c>
      <c r="C332" t="s">
        <v>358</v>
      </c>
      <c r="D332">
        <v>120.4501429</v>
      </c>
      <c r="E332">
        <v>22.517190299999999</v>
      </c>
    </row>
    <row r="333" spans="1:5" x14ac:dyDescent="0.3">
      <c r="A333" s="15">
        <v>332</v>
      </c>
      <c r="B333" t="s">
        <v>333</v>
      </c>
      <c r="C333" t="s">
        <v>359</v>
      </c>
      <c r="D333">
        <v>120.5975845</v>
      </c>
      <c r="E333">
        <v>22.403341990000001</v>
      </c>
    </row>
    <row r="334" spans="1:5" x14ac:dyDescent="0.3">
      <c r="A334" s="15">
        <v>333</v>
      </c>
      <c r="B334" t="s">
        <v>333</v>
      </c>
      <c r="C334" t="s">
        <v>360</v>
      </c>
      <c r="D334">
        <v>120.6567673</v>
      </c>
      <c r="E334">
        <v>22.270869619999999</v>
      </c>
    </row>
    <row r="335" spans="1:5" x14ac:dyDescent="0.3">
      <c r="A335" s="15">
        <v>334</v>
      </c>
      <c r="B335" t="s">
        <v>333</v>
      </c>
      <c r="C335" t="s">
        <v>361</v>
      </c>
      <c r="D335">
        <v>120.69757989999999</v>
      </c>
      <c r="E335">
        <v>22.403997539999999</v>
      </c>
    </row>
    <row r="336" spans="1:5" x14ac:dyDescent="0.3">
      <c r="A336" s="15">
        <v>335</v>
      </c>
      <c r="B336" t="s">
        <v>333</v>
      </c>
      <c r="C336" t="s">
        <v>362</v>
      </c>
      <c r="D336">
        <v>120.7356454</v>
      </c>
      <c r="E336">
        <v>22.26084921</v>
      </c>
    </row>
    <row r="337" spans="1:5" x14ac:dyDescent="0.3">
      <c r="A337" s="15">
        <v>336</v>
      </c>
      <c r="B337" t="s">
        <v>333</v>
      </c>
      <c r="C337" t="s">
        <v>363</v>
      </c>
      <c r="D337">
        <v>120.7432633</v>
      </c>
      <c r="E337">
        <v>22.079156170000001</v>
      </c>
    </row>
    <row r="338" spans="1:5" x14ac:dyDescent="0.3">
      <c r="A338" s="15">
        <v>337</v>
      </c>
      <c r="B338" t="s">
        <v>333</v>
      </c>
      <c r="C338" t="s">
        <v>364</v>
      </c>
      <c r="D338">
        <v>120.8173609</v>
      </c>
      <c r="E338">
        <v>22.155528589999999</v>
      </c>
    </row>
    <row r="339" spans="1:5" x14ac:dyDescent="0.3">
      <c r="A339" s="15">
        <v>338</v>
      </c>
      <c r="B339" t="s">
        <v>333</v>
      </c>
      <c r="C339" t="s">
        <v>365</v>
      </c>
      <c r="D339">
        <v>120.76325370000001</v>
      </c>
      <c r="E339">
        <v>21.985316449999999</v>
      </c>
    </row>
    <row r="340" spans="1:5" x14ac:dyDescent="0.3">
      <c r="A340" s="15">
        <v>339</v>
      </c>
      <c r="B340" t="s">
        <v>333</v>
      </c>
      <c r="C340" t="s">
        <v>366</v>
      </c>
      <c r="D340">
        <v>120.84356750000001</v>
      </c>
      <c r="E340">
        <v>22.049300150000001</v>
      </c>
    </row>
    <row r="341" spans="1:5" x14ac:dyDescent="0.3">
      <c r="A341" s="15">
        <v>340</v>
      </c>
      <c r="B341" t="s">
        <v>367</v>
      </c>
      <c r="C341" t="s">
        <v>368</v>
      </c>
      <c r="D341">
        <v>121.11036470000001</v>
      </c>
      <c r="E341">
        <v>22.751657210000001</v>
      </c>
    </row>
    <row r="342" spans="1:5" x14ac:dyDescent="0.3">
      <c r="A342" s="15">
        <v>341</v>
      </c>
      <c r="B342" t="s">
        <v>367</v>
      </c>
      <c r="C342" t="s">
        <v>369</v>
      </c>
      <c r="D342">
        <v>121.49019509999999</v>
      </c>
      <c r="E342">
        <v>22.660175370000001</v>
      </c>
    </row>
    <row r="343" spans="1:5" x14ac:dyDescent="0.3">
      <c r="A343" s="15">
        <v>342</v>
      </c>
      <c r="B343" t="s">
        <v>367</v>
      </c>
      <c r="C343" t="s">
        <v>370</v>
      </c>
      <c r="D343">
        <v>121.55083279999999</v>
      </c>
      <c r="E343">
        <v>22.046168349999999</v>
      </c>
    </row>
    <row r="344" spans="1:5" x14ac:dyDescent="0.3">
      <c r="A344" s="15">
        <v>343</v>
      </c>
      <c r="B344" t="s">
        <v>367</v>
      </c>
      <c r="C344" t="s">
        <v>371</v>
      </c>
      <c r="D344">
        <v>120.9831902</v>
      </c>
      <c r="E344">
        <v>22.903431739999998</v>
      </c>
    </row>
    <row r="345" spans="1:5" x14ac:dyDescent="0.3">
      <c r="A345" s="15">
        <v>344</v>
      </c>
      <c r="B345" t="s">
        <v>367</v>
      </c>
      <c r="C345" t="s">
        <v>372</v>
      </c>
      <c r="D345">
        <v>121.0015521</v>
      </c>
      <c r="E345">
        <v>22.764944530000001</v>
      </c>
    </row>
    <row r="346" spans="1:5" x14ac:dyDescent="0.3">
      <c r="A346" s="15">
        <v>345</v>
      </c>
      <c r="B346" t="s">
        <v>367</v>
      </c>
      <c r="C346" t="s">
        <v>373</v>
      </c>
      <c r="D346">
        <v>121.1560376</v>
      </c>
      <c r="E346">
        <v>22.951256659999999</v>
      </c>
    </row>
    <row r="347" spans="1:5" x14ac:dyDescent="0.3">
      <c r="A347" s="15">
        <v>346</v>
      </c>
      <c r="B347" t="s">
        <v>367</v>
      </c>
      <c r="C347" t="s">
        <v>374</v>
      </c>
      <c r="D347">
        <v>121.1766197</v>
      </c>
      <c r="E347">
        <v>23.037806839999998</v>
      </c>
    </row>
    <row r="348" spans="1:5" x14ac:dyDescent="0.3">
      <c r="A348" s="15">
        <v>347</v>
      </c>
      <c r="B348" t="s">
        <v>367</v>
      </c>
      <c r="C348" t="s">
        <v>375</v>
      </c>
      <c r="D348">
        <v>121.0175672</v>
      </c>
      <c r="E348">
        <v>23.11478528</v>
      </c>
    </row>
    <row r="349" spans="1:5" x14ac:dyDescent="0.3">
      <c r="A349" s="15">
        <v>348</v>
      </c>
      <c r="B349" t="s">
        <v>367</v>
      </c>
      <c r="C349" t="s">
        <v>376</v>
      </c>
      <c r="D349">
        <v>121.2184501</v>
      </c>
      <c r="E349">
        <v>23.092487139999999</v>
      </c>
    </row>
    <row r="350" spans="1:5" x14ac:dyDescent="0.3">
      <c r="A350" s="15">
        <v>349</v>
      </c>
      <c r="B350" t="s">
        <v>367</v>
      </c>
      <c r="C350" t="s">
        <v>377</v>
      </c>
      <c r="D350">
        <v>121.2517917</v>
      </c>
      <c r="E350">
        <v>22.98006921</v>
      </c>
    </row>
    <row r="351" spans="1:5" x14ac:dyDescent="0.3">
      <c r="A351" s="15">
        <v>350</v>
      </c>
      <c r="B351" t="s">
        <v>367</v>
      </c>
      <c r="C351" t="s">
        <v>378</v>
      </c>
      <c r="D351">
        <v>121.35379829999999</v>
      </c>
      <c r="E351">
        <v>23.126637160000001</v>
      </c>
    </row>
    <row r="352" spans="1:5" x14ac:dyDescent="0.3">
      <c r="A352" s="15">
        <v>351</v>
      </c>
      <c r="B352" t="s">
        <v>367</v>
      </c>
      <c r="C352" t="s">
        <v>379</v>
      </c>
      <c r="D352">
        <v>121.42617250000001</v>
      </c>
      <c r="E352">
        <v>23.334768990000001</v>
      </c>
    </row>
    <row r="353" spans="1:5" x14ac:dyDescent="0.3">
      <c r="A353" s="15">
        <v>352</v>
      </c>
      <c r="B353" t="s">
        <v>367</v>
      </c>
      <c r="C353" t="s">
        <v>380</v>
      </c>
      <c r="D353">
        <v>120.9797643</v>
      </c>
      <c r="E353">
        <v>22.590980819999999</v>
      </c>
    </row>
    <row r="354" spans="1:5" x14ac:dyDescent="0.3">
      <c r="A354" s="15">
        <v>353</v>
      </c>
      <c r="B354" t="s">
        <v>367</v>
      </c>
      <c r="C354" t="s">
        <v>381</v>
      </c>
      <c r="D354">
        <v>120.85703839999999</v>
      </c>
      <c r="E354">
        <v>22.581616870000001</v>
      </c>
    </row>
    <row r="355" spans="1:5" x14ac:dyDescent="0.3">
      <c r="A355" s="15">
        <v>354</v>
      </c>
      <c r="B355" t="s">
        <v>367</v>
      </c>
      <c r="C355" t="s">
        <v>382</v>
      </c>
      <c r="D355">
        <v>120.89917029999999</v>
      </c>
      <c r="E355">
        <v>22.38359522</v>
      </c>
    </row>
    <row r="356" spans="1:5" x14ac:dyDescent="0.3">
      <c r="A356" s="15">
        <v>355</v>
      </c>
      <c r="B356" t="s">
        <v>367</v>
      </c>
      <c r="C356" t="s">
        <v>383</v>
      </c>
      <c r="D356">
        <v>120.8355239</v>
      </c>
      <c r="E356">
        <v>22.38430718</v>
      </c>
    </row>
    <row r="357" spans="1:5" x14ac:dyDescent="0.3">
      <c r="A357" s="15">
        <v>356</v>
      </c>
      <c r="B357" t="s">
        <v>384</v>
      </c>
      <c r="C357" t="s">
        <v>385</v>
      </c>
      <c r="D357">
        <v>121.6071463</v>
      </c>
      <c r="E357">
        <v>23.99700271</v>
      </c>
    </row>
    <row r="358" spans="1:5" x14ac:dyDescent="0.3">
      <c r="A358" s="15">
        <v>357</v>
      </c>
      <c r="B358" t="s">
        <v>384</v>
      </c>
      <c r="C358" t="s">
        <v>386</v>
      </c>
      <c r="D358">
        <v>121.6137969</v>
      </c>
      <c r="E358">
        <v>24.055799520000001</v>
      </c>
    </row>
    <row r="359" spans="1:5" x14ac:dyDescent="0.3">
      <c r="A359" s="15">
        <v>358</v>
      </c>
      <c r="B359" t="s">
        <v>384</v>
      </c>
      <c r="C359" t="s">
        <v>387</v>
      </c>
      <c r="D359">
        <v>121.4807194</v>
      </c>
      <c r="E359">
        <v>24.123744139999999</v>
      </c>
    </row>
    <row r="360" spans="1:5" x14ac:dyDescent="0.3">
      <c r="A360" s="15">
        <v>359</v>
      </c>
      <c r="B360" t="s">
        <v>384</v>
      </c>
      <c r="C360" t="s">
        <v>388</v>
      </c>
      <c r="D360">
        <v>121.56467379999999</v>
      </c>
      <c r="E360">
        <v>23.95546585</v>
      </c>
    </row>
    <row r="361" spans="1:5" x14ac:dyDescent="0.3">
      <c r="A361" s="15">
        <v>360</v>
      </c>
      <c r="B361" t="s">
        <v>384</v>
      </c>
      <c r="C361" t="s">
        <v>389</v>
      </c>
      <c r="D361">
        <v>121.5341569</v>
      </c>
      <c r="E361">
        <v>23.844597140000001</v>
      </c>
    </row>
    <row r="362" spans="1:5" x14ac:dyDescent="0.3">
      <c r="A362" s="15">
        <v>361</v>
      </c>
      <c r="B362" t="s">
        <v>384</v>
      </c>
      <c r="C362" t="s">
        <v>390</v>
      </c>
      <c r="D362">
        <v>121.4698848</v>
      </c>
      <c r="E362">
        <v>23.743244619999999</v>
      </c>
    </row>
    <row r="363" spans="1:5" x14ac:dyDescent="0.3">
      <c r="A363" s="15">
        <v>362</v>
      </c>
      <c r="B363" t="s">
        <v>384</v>
      </c>
      <c r="C363" t="s">
        <v>391</v>
      </c>
      <c r="D363">
        <v>121.4351231</v>
      </c>
      <c r="E363">
        <v>23.646587419999999</v>
      </c>
    </row>
    <row r="364" spans="1:5" x14ac:dyDescent="0.3">
      <c r="A364" s="15">
        <v>363</v>
      </c>
      <c r="B364" t="s">
        <v>384</v>
      </c>
      <c r="C364" t="s">
        <v>392</v>
      </c>
      <c r="D364">
        <v>121.4942331</v>
      </c>
      <c r="E364">
        <v>23.58519428</v>
      </c>
    </row>
    <row r="365" spans="1:5" x14ac:dyDescent="0.3">
      <c r="A365" s="15">
        <v>364</v>
      </c>
      <c r="B365" t="s">
        <v>384</v>
      </c>
      <c r="C365" t="s">
        <v>393</v>
      </c>
      <c r="D365">
        <v>121.4073472</v>
      </c>
      <c r="E365">
        <v>23.515612399999998</v>
      </c>
    </row>
    <row r="366" spans="1:5" x14ac:dyDescent="0.3">
      <c r="A366" s="15">
        <v>365</v>
      </c>
      <c r="B366" t="s">
        <v>384</v>
      </c>
      <c r="C366" t="s">
        <v>394</v>
      </c>
      <c r="D366">
        <v>121.3189531</v>
      </c>
      <c r="E366">
        <v>23.72772629</v>
      </c>
    </row>
    <row r="367" spans="1:5" x14ac:dyDescent="0.3">
      <c r="A367" s="15">
        <v>366</v>
      </c>
      <c r="B367" t="s">
        <v>384</v>
      </c>
      <c r="C367" t="s">
        <v>395</v>
      </c>
      <c r="D367">
        <v>121.3604476</v>
      </c>
      <c r="E367">
        <v>23.37143588</v>
      </c>
    </row>
    <row r="368" spans="1:5" x14ac:dyDescent="0.3">
      <c r="A368" s="15">
        <v>367</v>
      </c>
      <c r="B368" t="s">
        <v>384</v>
      </c>
      <c r="C368" t="s">
        <v>396</v>
      </c>
      <c r="D368">
        <v>121.1804222</v>
      </c>
      <c r="E368">
        <v>23.390628750000001</v>
      </c>
    </row>
    <row r="369" spans="1:5" x14ac:dyDescent="0.3">
      <c r="A369" s="15">
        <v>368</v>
      </c>
      <c r="B369" t="s">
        <v>384</v>
      </c>
      <c r="C369" t="s">
        <v>397</v>
      </c>
      <c r="D369">
        <v>121.2980494</v>
      </c>
      <c r="E369">
        <v>23.196720920000001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I11" sqref="I11"/>
    </sheetView>
  </sheetViews>
  <sheetFormatPr defaultRowHeight="16.2" x14ac:dyDescent="0.3"/>
  <cols>
    <col min="1" max="1" width="12.88671875" bestFit="1" customWidth="1"/>
    <col min="2" max="2" width="13.5546875" bestFit="1" customWidth="1"/>
    <col min="3" max="3" width="13.5546875" customWidth="1"/>
    <col min="4" max="4" width="9.77734375" customWidth="1"/>
    <col min="5" max="5" width="12.109375" customWidth="1"/>
    <col min="6" max="6" width="16.44140625" customWidth="1"/>
    <col min="7" max="7" width="16.77734375" bestFit="1" customWidth="1"/>
    <col min="8" max="8" width="9.5546875" bestFit="1" customWidth="1"/>
  </cols>
  <sheetData>
    <row r="1" spans="1:8" x14ac:dyDescent="0.3">
      <c r="A1" s="25" t="s">
        <v>11</v>
      </c>
      <c r="B1" s="25" t="s">
        <v>471</v>
      </c>
      <c r="C1" s="25" t="s">
        <v>454</v>
      </c>
      <c r="D1" s="25" t="s">
        <v>398</v>
      </c>
      <c r="E1" s="25" t="s">
        <v>399</v>
      </c>
      <c r="F1" s="25" t="s">
        <v>400</v>
      </c>
      <c r="G1" s="25" t="s">
        <v>478</v>
      </c>
      <c r="H1" s="25" t="s">
        <v>479</v>
      </c>
    </row>
    <row r="2" spans="1:8" x14ac:dyDescent="0.3">
      <c r="A2" s="24">
        <v>1</v>
      </c>
      <c r="B2" t="s">
        <v>459</v>
      </c>
      <c r="C2" t="s">
        <v>455</v>
      </c>
      <c r="D2" t="s">
        <v>401</v>
      </c>
      <c r="E2" t="s">
        <v>402</v>
      </c>
      <c r="F2" s="36">
        <v>38516</v>
      </c>
      <c r="G2" s="32">
        <f ca="1">ROUNDUP((TODAY()-F2)/365,0)</f>
        <v>19</v>
      </c>
      <c r="H2">
        <f>SUMIFS(銷售總表!$I:$I,銷售總表!$D:$D,業務!A2)</f>
        <v>22401630</v>
      </c>
    </row>
    <row r="3" spans="1:8" x14ac:dyDescent="0.3">
      <c r="A3" s="24">
        <v>2</v>
      </c>
      <c r="B3" t="s">
        <v>460</v>
      </c>
      <c r="C3" t="s">
        <v>456</v>
      </c>
      <c r="D3" t="s">
        <v>401</v>
      </c>
      <c r="E3" t="s">
        <v>403</v>
      </c>
      <c r="F3" s="36">
        <v>34000</v>
      </c>
      <c r="G3" s="32">
        <f t="shared" ref="G3:G11" ca="1" si="0">ROUNDUP((TODAY()-F3)/365,0)</f>
        <v>32</v>
      </c>
      <c r="H3">
        <f>SUMIFS(銷售總表!$I:$I,銷售總表!$D:$D,業務!A3)</f>
        <v>22053136</v>
      </c>
    </row>
    <row r="4" spans="1:8" x14ac:dyDescent="0.3">
      <c r="A4" s="24">
        <v>3</v>
      </c>
      <c r="B4" t="s">
        <v>461</v>
      </c>
      <c r="C4" t="s">
        <v>457</v>
      </c>
      <c r="D4" t="s">
        <v>401</v>
      </c>
      <c r="E4" t="s">
        <v>402</v>
      </c>
      <c r="F4" s="36">
        <v>32562</v>
      </c>
      <c r="G4" s="32">
        <f t="shared" ca="1" si="0"/>
        <v>36</v>
      </c>
      <c r="H4">
        <f>SUMIFS(銷售總表!$I:$I,銷售總表!$D:$D,業務!A4)</f>
        <v>21107741</v>
      </c>
    </row>
    <row r="5" spans="1:8" x14ac:dyDescent="0.3">
      <c r="A5" s="24">
        <v>4</v>
      </c>
      <c r="B5" t="s">
        <v>462</v>
      </c>
      <c r="C5" t="s">
        <v>458</v>
      </c>
      <c r="D5" t="s">
        <v>404</v>
      </c>
      <c r="E5" t="s">
        <v>403</v>
      </c>
      <c r="F5" s="36">
        <v>39246</v>
      </c>
      <c r="G5" s="32">
        <f t="shared" ca="1" si="0"/>
        <v>17</v>
      </c>
      <c r="H5">
        <f>SUMIFS(銷售總表!$I:$I,銷售總表!$D:$D,業務!A5)</f>
        <v>25362844</v>
      </c>
    </row>
    <row r="6" spans="1:8" x14ac:dyDescent="0.3">
      <c r="A6" s="24">
        <v>5</v>
      </c>
      <c r="B6" t="s">
        <v>463</v>
      </c>
      <c r="C6" t="s">
        <v>455</v>
      </c>
      <c r="D6" t="s">
        <v>401</v>
      </c>
      <c r="E6" t="s">
        <v>402</v>
      </c>
      <c r="F6" s="36">
        <v>36088</v>
      </c>
      <c r="G6" s="32">
        <f t="shared" ca="1" si="0"/>
        <v>26</v>
      </c>
      <c r="H6">
        <f>SUMIFS(銷售總表!$I:$I,銷售總表!$D:$D,業務!A6)</f>
        <v>21356763</v>
      </c>
    </row>
    <row r="7" spans="1:8" x14ac:dyDescent="0.3">
      <c r="A7" s="24">
        <v>6</v>
      </c>
      <c r="B7" t="s">
        <v>464</v>
      </c>
      <c r="C7" t="s">
        <v>455</v>
      </c>
      <c r="D7" t="s">
        <v>401</v>
      </c>
      <c r="E7" t="s">
        <v>402</v>
      </c>
      <c r="F7" s="36">
        <v>37061</v>
      </c>
      <c r="G7" s="32">
        <f t="shared" ca="1" si="0"/>
        <v>23</v>
      </c>
      <c r="H7">
        <f>SUMIFS(銷售總表!$I:$I,銷售總表!$D:$D,業務!A7)</f>
        <v>23193056</v>
      </c>
    </row>
    <row r="8" spans="1:8" x14ac:dyDescent="0.3">
      <c r="A8" s="24">
        <v>7</v>
      </c>
      <c r="B8" t="s">
        <v>465</v>
      </c>
      <c r="C8" t="s">
        <v>458</v>
      </c>
      <c r="D8" t="s">
        <v>401</v>
      </c>
      <c r="E8" t="s">
        <v>403</v>
      </c>
      <c r="F8" s="36">
        <v>34957</v>
      </c>
      <c r="G8" s="32">
        <f t="shared" ca="1" si="0"/>
        <v>29</v>
      </c>
      <c r="H8">
        <f>SUMIFS(銷售總表!$I:$I,銷售總表!$D:$D,業務!A8)</f>
        <v>24395954</v>
      </c>
    </row>
    <row r="9" spans="1:8" x14ac:dyDescent="0.3">
      <c r="A9" s="24">
        <v>8</v>
      </c>
      <c r="B9" t="s">
        <v>466</v>
      </c>
      <c r="C9" t="s">
        <v>455</v>
      </c>
      <c r="D9" t="s">
        <v>401</v>
      </c>
      <c r="E9" t="s">
        <v>402</v>
      </c>
      <c r="F9" s="36">
        <v>35248</v>
      </c>
      <c r="G9" s="32">
        <f t="shared" ca="1" si="0"/>
        <v>28</v>
      </c>
      <c r="H9">
        <f>SUMIFS(銷售總表!$I:$I,銷售總表!$D:$D,業務!A9)</f>
        <v>22547525</v>
      </c>
    </row>
    <row r="10" spans="1:8" x14ac:dyDescent="0.3">
      <c r="A10" s="24">
        <v>9</v>
      </c>
      <c r="B10" t="s">
        <v>467</v>
      </c>
      <c r="C10" t="s">
        <v>456</v>
      </c>
      <c r="D10" t="s">
        <v>404</v>
      </c>
      <c r="E10" t="s">
        <v>402</v>
      </c>
      <c r="F10" s="36">
        <v>34278</v>
      </c>
      <c r="G10" s="32">
        <f t="shared" ca="1" si="0"/>
        <v>31</v>
      </c>
      <c r="H10">
        <f>SUMIFS(銷售總表!$I:$I,銷售總表!$D:$D,業務!A10)</f>
        <v>23158595</v>
      </c>
    </row>
    <row r="11" spans="1:8" x14ac:dyDescent="0.3">
      <c r="A11" s="24">
        <v>10</v>
      </c>
      <c r="B11" t="s">
        <v>468</v>
      </c>
      <c r="C11" t="s">
        <v>455</v>
      </c>
      <c r="D11" t="s">
        <v>404</v>
      </c>
      <c r="E11" t="s">
        <v>403</v>
      </c>
      <c r="F11" s="36">
        <v>33393</v>
      </c>
      <c r="G11" s="32">
        <f t="shared" ca="1" si="0"/>
        <v>34</v>
      </c>
      <c r="H11">
        <f>SUMIFS(銷售總表!$I:$I,銷售總表!$D:$D,業務!A11)</f>
        <v>21075195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銷售總表</vt:lpstr>
      <vt:lpstr>產品</vt:lpstr>
      <vt:lpstr>門市</vt:lpstr>
      <vt:lpstr>業務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陳群翔</cp:lastModifiedBy>
  <cp:lastPrinted>2024-04-15T16:28:50Z</cp:lastPrinted>
  <dcterms:created xsi:type="dcterms:W3CDTF">2024-04-15T09:38:26Z</dcterms:created>
  <dcterms:modified xsi:type="dcterms:W3CDTF">2024-05-28T08:31:14Z</dcterms:modified>
</cp:coreProperties>
</file>