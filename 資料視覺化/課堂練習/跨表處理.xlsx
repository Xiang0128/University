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defaultThemeVersion="166925"/>
  <xr:revisionPtr revIDLastSave="0" documentId="13_ncr:1_{58F8F32B-6652-4D2C-9A14-3B12BE6B6A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第一季" sheetId="5" r:id="rId1"/>
    <sheet name="1月" sheetId="2" r:id="rId2"/>
    <sheet name="2月" sheetId="3" r:id="rId3"/>
    <sheet name="3月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4" l="1"/>
  <c r="D12" i="4"/>
  <c r="C12" i="4"/>
  <c r="B12" i="4"/>
  <c r="F11" i="4"/>
  <c r="F10" i="4"/>
  <c r="F9" i="4"/>
  <c r="F8" i="4"/>
  <c r="F7" i="4"/>
  <c r="F6" i="4"/>
  <c r="F5" i="4"/>
  <c r="F4" i="4"/>
  <c r="F3" i="4"/>
  <c r="F2" i="4"/>
  <c r="F12" i="4" s="1"/>
  <c r="E12" i="3"/>
  <c r="D12" i="3"/>
  <c r="C12" i="3"/>
  <c r="B12" i="3"/>
  <c r="F11" i="3"/>
  <c r="F10" i="3"/>
  <c r="F9" i="3"/>
  <c r="F8" i="3"/>
  <c r="F7" i="3"/>
  <c r="F6" i="3"/>
  <c r="F5" i="3"/>
  <c r="F4" i="3"/>
  <c r="F3" i="3"/>
  <c r="F2" i="3"/>
  <c r="F12" i="3" s="1"/>
  <c r="E12" i="2"/>
  <c r="D12" i="2"/>
  <c r="C12" i="2"/>
  <c r="B12" i="2"/>
  <c r="F11" i="2"/>
  <c r="F10" i="2"/>
  <c r="F9" i="2"/>
  <c r="F8" i="2"/>
  <c r="F7" i="2"/>
  <c r="F6" i="2"/>
  <c r="F5" i="2"/>
  <c r="F4" i="2"/>
  <c r="F3" i="2"/>
  <c r="F2" i="2"/>
  <c r="F12" i="2" s="1"/>
  <c r="C18" i="5"/>
  <c r="E19" i="5"/>
  <c r="D18" i="5"/>
  <c r="F19" i="5"/>
  <c r="E18" i="5"/>
  <c r="G19" i="5"/>
  <c r="F18" i="5"/>
  <c r="H19" i="5"/>
  <c r="G18" i="5"/>
  <c r="I19" i="5"/>
  <c r="H18" i="5"/>
  <c r="I18" i="5"/>
  <c r="K19" i="5"/>
  <c r="J18" i="5"/>
  <c r="K18" i="5"/>
  <c r="B19" i="5"/>
  <c r="B18" i="5"/>
  <c r="J19" i="5"/>
  <c r="C19" i="5"/>
  <c r="D19" i="5"/>
  <c r="D17" i="5"/>
  <c r="F17" i="5"/>
  <c r="H17" i="5"/>
  <c r="J17" i="5"/>
  <c r="C17" i="5"/>
  <c r="E17" i="5"/>
  <c r="G17" i="5"/>
  <c r="I17" i="5"/>
  <c r="K17" i="5"/>
  <c r="B17" i="5"/>
  <c r="B4" i="5"/>
  <c r="D5" i="5"/>
  <c r="C12" i="5"/>
  <c r="I12" i="5"/>
  <c r="E11" i="5"/>
  <c r="H4" i="5"/>
  <c r="G4" i="5"/>
  <c r="E13" i="5"/>
  <c r="K13" i="5"/>
  <c r="H11" i="5"/>
  <c r="I4" i="5"/>
  <c r="F11" i="5"/>
  <c r="E12" i="5"/>
  <c r="G11" i="5"/>
  <c r="C13" i="5"/>
  <c r="F12" i="5"/>
  <c r="C4" i="5"/>
  <c r="D12" i="5"/>
  <c r="J12" i="5"/>
  <c r="K11" i="5"/>
  <c r="J4" i="5"/>
  <c r="K12" i="5"/>
  <c r="K4" i="5"/>
  <c r="B13" i="5"/>
  <c r="G13" i="5"/>
  <c r="B11" i="5"/>
  <c r="B12" i="5"/>
  <c r="H13" i="5"/>
  <c r="F13" i="5"/>
  <c r="D13" i="5"/>
  <c r="G12" i="5"/>
  <c r="C11" i="5"/>
  <c r="D4" i="5"/>
  <c r="I13" i="5"/>
  <c r="I11" i="5"/>
  <c r="E4" i="5"/>
  <c r="H12" i="5"/>
  <c r="D11" i="5"/>
  <c r="F4" i="5"/>
  <c r="J13" i="5"/>
  <c r="J11" i="5"/>
  <c r="B6" i="5"/>
  <c r="C6" i="5"/>
  <c r="E5" i="5"/>
  <c r="F5" i="5"/>
  <c r="H6" i="5"/>
  <c r="H5" i="5"/>
  <c r="K6" i="5"/>
  <c r="F6" i="5"/>
  <c r="J6" i="5"/>
  <c r="B5" i="5"/>
  <c r="C5" i="5"/>
  <c r="D6" i="5"/>
  <c r="E6" i="5"/>
  <c r="G6" i="5"/>
  <c r="G5" i="5"/>
  <c r="I6" i="5"/>
  <c r="I5" i="5"/>
  <c r="J5" i="5"/>
  <c r="K5" i="5"/>
  <c r="B20" i="5" l="1"/>
  <c r="L20" i="5" s="1"/>
  <c r="L17" i="5"/>
  <c r="K20" i="5"/>
  <c r="I20" i="5"/>
  <c r="G20" i="5"/>
  <c r="E20" i="5"/>
  <c r="C20" i="5"/>
  <c r="J20" i="5"/>
  <c r="H20" i="5"/>
  <c r="F20" i="5"/>
  <c r="D20" i="5"/>
  <c r="L18" i="5"/>
  <c r="L19" i="5"/>
  <c r="L5" i="5"/>
  <c r="L6" i="5"/>
  <c r="J14" i="5"/>
  <c r="F7" i="5"/>
  <c r="D14" i="5"/>
  <c r="E7" i="5"/>
  <c r="I14" i="5"/>
  <c r="D7" i="5"/>
  <c r="C14" i="5"/>
  <c r="B7" i="5"/>
  <c r="L4" i="5"/>
  <c r="L12" i="5"/>
  <c r="B14" i="5"/>
  <c r="L11" i="5"/>
  <c r="L13" i="5"/>
  <c r="K7" i="5"/>
  <c r="J7" i="5"/>
  <c r="K14" i="5"/>
  <c r="C7" i="5"/>
  <c r="G14" i="5"/>
  <c r="F14" i="5"/>
  <c r="I7" i="5"/>
  <c r="H14" i="5"/>
  <c r="G7" i="5"/>
  <c r="H7" i="5"/>
  <c r="E14" i="5"/>
  <c r="L7" i="5" l="1"/>
  <c r="L14" i="5"/>
</calcChain>
</file>

<file path=xl/sharedStrings.xml><?xml version="1.0" encoding="utf-8"?>
<sst xmlns="http://schemas.openxmlformats.org/spreadsheetml/2006/main" count="64" uniqueCount="19">
  <si>
    <t>Kevin</t>
    <phoneticPr fontId="2" type="noConversion"/>
  </si>
  <si>
    <t>Lynn</t>
    <phoneticPr fontId="2" type="noConversion"/>
  </si>
  <si>
    <t>Magee</t>
    <phoneticPr fontId="2" type="noConversion"/>
  </si>
  <si>
    <t>Louis</t>
    <phoneticPr fontId="2" type="noConversion"/>
  </si>
  <si>
    <t>Claire</t>
    <phoneticPr fontId="2" type="noConversion"/>
  </si>
  <si>
    <t>Doris</t>
    <phoneticPr fontId="2" type="noConversion"/>
  </si>
  <si>
    <t>Erica</t>
    <phoneticPr fontId="2" type="noConversion"/>
  </si>
  <si>
    <t>Billy</t>
    <phoneticPr fontId="2" type="noConversion"/>
  </si>
  <si>
    <t>Bella</t>
    <phoneticPr fontId="2" type="noConversion"/>
  </si>
  <si>
    <t>Hank</t>
    <phoneticPr fontId="2" type="noConversion"/>
  </si>
  <si>
    <t>合計</t>
    <phoneticPr fontId="2" type="noConversion"/>
  </si>
  <si>
    <t>電動腳踏車</t>
    <phoneticPr fontId="2" type="noConversion"/>
  </si>
  <si>
    <t>彈力帶踏步機</t>
    <phoneticPr fontId="2" type="noConversion"/>
  </si>
  <si>
    <t>靜音飛輪車</t>
    <phoneticPr fontId="2" type="noConversion"/>
  </si>
  <si>
    <t>重力訓練架</t>
    <phoneticPr fontId="2" type="noConversion"/>
  </si>
  <si>
    <t>1月</t>
    <phoneticPr fontId="2" type="noConversion"/>
  </si>
  <si>
    <t>2月</t>
    <phoneticPr fontId="2" type="noConversion"/>
  </si>
  <si>
    <t>3月</t>
    <phoneticPr fontId="2" type="noConversion"/>
  </si>
  <si>
    <t>哈士奇健身器材 1～3月各業務員銷售總額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</si>
</sst>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76" formatCode="_-* #,##0_-;\-* #,##0_-;_-* &quot;-&quot;??_-;_-@_-"/>
  </numFmts>
  <fonts count="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4"/>
      <color rgb="FF0070C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6" fontId="0" fillId="0" borderId="1" xfId="1" applyNumberFormat="1" applyFont="1" applyBorder="1">
      <alignment vertical="center"/>
    </xf>
    <xf numFmtId="176" fontId="0" fillId="3" borderId="1" xfId="0" applyNumberFormat="1" applyFill="1" applyBorder="1">
      <alignment vertical="center"/>
    </xf>
    <xf numFmtId="176" fontId="0" fillId="0" borderId="3" xfId="1" applyNumberFormat="1" applyFont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一般" xfId="0" builtinId="0"/>
    <cellStyle name="千分位" xfId="1" builtinId="3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66C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N3" sqref="N3"/>
    </sheetView>
  </sheetViews>
  <sheetFormatPr defaultRowHeight="16.2" x14ac:dyDescent="0.3"/>
  <cols>
    <col min="2" max="11" width="12.6640625" customWidth="1"/>
    <col min="12" max="12" width="11.88671875" bestFit="1" customWidth="1"/>
  </cols>
  <sheetData>
    <row r="1" spans="1:12" ht="19.8" x14ac:dyDescent="0.3">
      <c r="A1" s="14" t="s">
        <v>18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3" spans="1:12" ht="26.1" customHeight="1" thickBot="1" x14ac:dyDescent="0.35">
      <c r="A3" s="8"/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7</v>
      </c>
      <c r="H3" s="8" t="s">
        <v>6</v>
      </c>
      <c r="I3" s="8" t="s">
        <v>8</v>
      </c>
      <c r="J3" s="8" t="s">
        <v>5</v>
      </c>
      <c r="K3" s="8" t="s">
        <v>9</v>
      </c>
      <c r="L3" s="7" t="s">
        <v>10</v>
      </c>
    </row>
    <row r="4" spans="1:12" ht="26.1" customHeight="1" thickTop="1" x14ac:dyDescent="0.3">
      <c r="A4" s="6" t="s">
        <v>15</v>
      </c>
      <c r="B4" s="11">
        <f ca="1">VLOOKUP(B$3,INDIRECT($A4&amp;"!A2:F11"),6,FALSE)</f>
        <v>2091189</v>
      </c>
      <c r="C4" s="11">
        <f t="shared" ref="C4:K6" ca="1" si="0">VLOOKUP(C$3,INDIRECT($A4&amp;"!A2:F11"),6,FALSE)</f>
        <v>2715965</v>
      </c>
      <c r="D4" s="11">
        <f t="shared" ca="1" si="0"/>
        <v>1692168</v>
      </c>
      <c r="E4" s="11">
        <f t="shared" ca="1" si="0"/>
        <v>1832467</v>
      </c>
      <c r="F4" s="11">
        <f t="shared" ca="1" si="0"/>
        <v>2042860</v>
      </c>
      <c r="G4" s="11">
        <f t="shared" ca="1" si="0"/>
        <v>2121694</v>
      </c>
      <c r="H4" s="11">
        <f t="shared" ca="1" si="0"/>
        <v>2232373</v>
      </c>
      <c r="I4" s="11">
        <f t="shared" ca="1" si="0"/>
        <v>2180120</v>
      </c>
      <c r="J4" s="11">
        <f t="shared" ca="1" si="0"/>
        <v>2073167</v>
      </c>
      <c r="K4" s="11">
        <f t="shared" ca="1" si="0"/>
        <v>1414659</v>
      </c>
      <c r="L4" s="11">
        <f ca="1">SUM(B4:K4)</f>
        <v>20396662</v>
      </c>
    </row>
    <row r="5" spans="1:12" ht="26.1" customHeight="1" x14ac:dyDescent="0.3">
      <c r="A5" s="5" t="s">
        <v>16</v>
      </c>
      <c r="B5" s="11">
        <f ca="1">VLOOKUP(B$3,INDIRECT($A5&amp;"!A2:F11"),6,FALSE)</f>
        <v>1714778</v>
      </c>
      <c r="C5" s="11">
        <f t="shared" ca="1" si="0"/>
        <v>643323</v>
      </c>
      <c r="D5" s="11">
        <f ca="1">VLOOKUP(D$3,INDIRECT($A5&amp;"!A2:F11"),6,FALSE)</f>
        <v>2239852</v>
      </c>
      <c r="E5" s="11">
        <f t="shared" ca="1" si="0"/>
        <v>1184630</v>
      </c>
      <c r="F5" s="11">
        <f t="shared" ca="1" si="0"/>
        <v>1959507</v>
      </c>
      <c r="G5" s="11">
        <f t="shared" ca="1" si="0"/>
        <v>1736630</v>
      </c>
      <c r="H5" s="11">
        <f t="shared" ca="1" si="0"/>
        <v>1911851</v>
      </c>
      <c r="I5" s="11">
        <f t="shared" ca="1" si="0"/>
        <v>2240933</v>
      </c>
      <c r="J5" s="11">
        <f t="shared" ca="1" si="0"/>
        <v>1644267</v>
      </c>
      <c r="K5" s="11">
        <f t="shared" ca="1" si="0"/>
        <v>1338842</v>
      </c>
      <c r="L5" s="11">
        <f ca="1">SUM(B5:K5)</f>
        <v>16614613</v>
      </c>
    </row>
    <row r="6" spans="1:12" ht="26.1" customHeight="1" thickBot="1" x14ac:dyDescent="0.35">
      <c r="A6" s="12" t="s">
        <v>17</v>
      </c>
      <c r="B6" s="11">
        <f ca="1">VLOOKUP(B$3,INDIRECT($A6&amp;"!A2:F11"),6,FALSE)</f>
        <v>1747011</v>
      </c>
      <c r="C6" s="11">
        <f t="shared" ca="1" si="0"/>
        <v>1720457</v>
      </c>
      <c r="D6" s="11">
        <f t="shared" ca="1" si="0"/>
        <v>1649666</v>
      </c>
      <c r="E6" s="11">
        <f t="shared" ca="1" si="0"/>
        <v>2290157</v>
      </c>
      <c r="F6" s="11">
        <f t="shared" ca="1" si="0"/>
        <v>2131006</v>
      </c>
      <c r="G6" s="11">
        <f t="shared" ca="1" si="0"/>
        <v>2741998</v>
      </c>
      <c r="H6" s="11">
        <f t="shared" ca="1" si="0"/>
        <v>1715944</v>
      </c>
      <c r="I6" s="11">
        <f t="shared" ca="1" si="0"/>
        <v>1721818</v>
      </c>
      <c r="J6" s="11">
        <f t="shared" ca="1" si="0"/>
        <v>2118193</v>
      </c>
      <c r="K6" s="11">
        <f t="shared" ca="1" si="0"/>
        <v>2939806</v>
      </c>
      <c r="L6" s="11">
        <f ca="1">SUM(B6:K6)</f>
        <v>20776056</v>
      </c>
    </row>
    <row r="7" spans="1:12" ht="26.1" customHeight="1" thickTop="1" x14ac:dyDescent="0.3">
      <c r="A7" s="13" t="s">
        <v>10</v>
      </c>
      <c r="B7" s="11">
        <f t="shared" ref="B7:K7" ca="1" si="1">SUM(B4:B6)</f>
        <v>5552978</v>
      </c>
      <c r="C7" s="11">
        <f t="shared" ca="1" si="1"/>
        <v>5079745</v>
      </c>
      <c r="D7" s="11">
        <f t="shared" ca="1" si="1"/>
        <v>5581686</v>
      </c>
      <c r="E7" s="11">
        <f t="shared" ca="1" si="1"/>
        <v>5307254</v>
      </c>
      <c r="F7" s="11">
        <f t="shared" ca="1" si="1"/>
        <v>6133373</v>
      </c>
      <c r="G7" s="11">
        <f t="shared" ca="1" si="1"/>
        <v>6600322</v>
      </c>
      <c r="H7" s="11">
        <f t="shared" ca="1" si="1"/>
        <v>5860168</v>
      </c>
      <c r="I7" s="11">
        <f t="shared" ca="1" si="1"/>
        <v>6142871</v>
      </c>
      <c r="J7" s="11">
        <f t="shared" ca="1" si="1"/>
        <v>5835627</v>
      </c>
      <c r="K7" s="11">
        <f t="shared" ca="1" si="1"/>
        <v>5693307</v>
      </c>
      <c r="L7" s="11">
        <f ca="1">SUM(B7:K7)</f>
        <v>57787331</v>
      </c>
    </row>
    <row r="11" spans="1:12" x14ac:dyDescent="0.3">
      <c r="B11">
        <f ca="1">VLOOKUP(B$3,INDIRECT($A4&amp;"!A1:F11"),COLUMN('1月'!$F$1),FALSE)</f>
        <v>2091189</v>
      </c>
      <c r="C11">
        <f ca="1">VLOOKUP(C$3,INDIRECT($A4&amp;"!A1:F11"),COLUMN('1月'!$F$1),FALSE)</f>
        <v>2715965</v>
      </c>
      <c r="D11">
        <f ca="1">VLOOKUP(D$3,INDIRECT($A4&amp;"!A1:F11"),COLUMN('1月'!$F$1),FALSE)</f>
        <v>1692168</v>
      </c>
      <c r="E11">
        <f ca="1">VLOOKUP(E$3,INDIRECT($A4&amp;"!A1:F11"),COLUMN('1月'!$F$1),FALSE)</f>
        <v>1832467</v>
      </c>
      <c r="F11">
        <f ca="1">VLOOKUP(F$3,INDIRECT($A4&amp;"!A1:F11"),COLUMN('1月'!$F$1),FALSE)</f>
        <v>2042860</v>
      </c>
      <c r="G11">
        <f ca="1">VLOOKUP(G$3,INDIRECT($A4&amp;"!A1:F11"),COLUMN('1月'!$F$1),FALSE)</f>
        <v>2121694</v>
      </c>
      <c r="H11">
        <f ca="1">VLOOKUP(H$3,INDIRECT($A4&amp;"!A1:F11"),COLUMN('1月'!$F$1),FALSE)</f>
        <v>2232373</v>
      </c>
      <c r="I11">
        <f ca="1">VLOOKUP(I$3,INDIRECT($A4&amp;"!A1:F11"),COLUMN('1月'!$F$1),FALSE)</f>
        <v>2180120</v>
      </c>
      <c r="J11">
        <f ca="1">VLOOKUP(J$3,INDIRECT($A4&amp;"!A1:F11"),COLUMN('1月'!$F$1),FALSE)</f>
        <v>2073167</v>
      </c>
      <c r="K11">
        <f ca="1">VLOOKUP(K$3,INDIRECT($A4&amp;"!A1:F11"),COLUMN('1月'!$F$1),FALSE)</f>
        <v>1414659</v>
      </c>
      <c r="L11">
        <f ca="1">SUM(B11:K11)</f>
        <v>20396662</v>
      </c>
    </row>
    <row r="12" spans="1:12" x14ac:dyDescent="0.3">
      <c r="B12">
        <f ca="1">VLOOKUP(B$3,INDIRECT($A5&amp;"!A1:F11"),COLUMN('1月'!$F$1),FALSE)</f>
        <v>1714778</v>
      </c>
      <c r="C12">
        <f ca="1">VLOOKUP(C$3,INDIRECT($A5&amp;"!A1:F11"),COLUMN('1月'!$F$1),FALSE)</f>
        <v>643323</v>
      </c>
      <c r="D12">
        <f ca="1">VLOOKUP(D$3,INDIRECT($A5&amp;"!A1:F11"),COLUMN('1月'!$F$1),FALSE)</f>
        <v>2239852</v>
      </c>
      <c r="E12">
        <f ca="1">VLOOKUP(E$3,INDIRECT($A5&amp;"!A1:F11"),COLUMN('1月'!$F$1),FALSE)</f>
        <v>1184630</v>
      </c>
      <c r="F12">
        <f ca="1">VLOOKUP(F$3,INDIRECT($A5&amp;"!A1:F11"),COLUMN('1月'!$F$1),FALSE)</f>
        <v>1959507</v>
      </c>
      <c r="G12">
        <f ca="1">VLOOKUP(G$3,INDIRECT($A5&amp;"!A1:F11"),COLUMN('1月'!$F$1),FALSE)</f>
        <v>1736630</v>
      </c>
      <c r="H12">
        <f ca="1">VLOOKUP(H$3,INDIRECT($A5&amp;"!A1:F11"),COLUMN('1月'!$F$1),FALSE)</f>
        <v>1911851</v>
      </c>
      <c r="I12">
        <f ca="1">VLOOKUP(I$3,INDIRECT($A5&amp;"!A1:F11"),COLUMN('1月'!$F$1),FALSE)</f>
        <v>2240933</v>
      </c>
      <c r="J12">
        <f ca="1">VLOOKUP(J$3,INDIRECT($A5&amp;"!A1:F11"),COLUMN('1月'!$F$1),FALSE)</f>
        <v>1644267</v>
      </c>
      <c r="K12">
        <f ca="1">VLOOKUP(K$3,INDIRECT($A5&amp;"!A1:F11"),COLUMN('1月'!$F$1),FALSE)</f>
        <v>1338842</v>
      </c>
      <c r="L12">
        <f ca="1">SUM(B12:K12)</f>
        <v>16614613</v>
      </c>
    </row>
    <row r="13" spans="1:12" x14ac:dyDescent="0.3">
      <c r="B13">
        <f ca="1">VLOOKUP(B$3,INDIRECT($A6&amp;"!A1:F11"),COLUMN('1月'!$F$1),FALSE)</f>
        <v>1747011</v>
      </c>
      <c r="C13">
        <f ca="1">VLOOKUP(C$3,INDIRECT($A6&amp;"!A1:F11"),COLUMN('1月'!$F$1),FALSE)</f>
        <v>1720457</v>
      </c>
      <c r="D13">
        <f ca="1">VLOOKUP(D$3,INDIRECT($A6&amp;"!A1:F11"),COLUMN('1月'!$F$1),FALSE)</f>
        <v>1649666</v>
      </c>
      <c r="E13">
        <f ca="1">VLOOKUP(E$3,INDIRECT($A6&amp;"!A1:F11"),COLUMN('1月'!$F$1),FALSE)</f>
        <v>2290157</v>
      </c>
      <c r="F13">
        <f ca="1">VLOOKUP(F$3,INDIRECT($A6&amp;"!A1:F11"),COLUMN('1月'!$F$1),FALSE)</f>
        <v>2131006</v>
      </c>
      <c r="G13">
        <f ca="1">VLOOKUP(G$3,INDIRECT($A6&amp;"!A1:F11"),COLUMN('1月'!$F$1),FALSE)</f>
        <v>2741998</v>
      </c>
      <c r="H13">
        <f ca="1">VLOOKUP(H$3,INDIRECT($A6&amp;"!A1:F11"),COLUMN('1月'!$F$1),FALSE)</f>
        <v>1715944</v>
      </c>
      <c r="I13">
        <f ca="1">VLOOKUP(I$3,INDIRECT($A6&amp;"!A1:F11"),COLUMN('1月'!$F$1),FALSE)</f>
        <v>1721818</v>
      </c>
      <c r="J13">
        <f ca="1">VLOOKUP(J$3,INDIRECT($A6&amp;"!A1:F11"),COLUMN('1月'!$F$1),FALSE)</f>
        <v>2118193</v>
      </c>
      <c r="K13">
        <f ca="1">VLOOKUP(K$3,INDIRECT($A6&amp;"!A1:F11"),COLUMN('1月'!$F$1),FALSE)</f>
        <v>2939806</v>
      </c>
      <c r="L13">
        <f ca="1">SUM(B13:K13)</f>
        <v>20776056</v>
      </c>
    </row>
    <row r="14" spans="1:12" x14ac:dyDescent="0.3">
      <c r="B14">
        <f t="shared" ref="B14:K14" ca="1" si="2">SUM(B11:B13)</f>
        <v>5552978</v>
      </c>
      <c r="C14">
        <f t="shared" ca="1" si="2"/>
        <v>5079745</v>
      </c>
      <c r="D14">
        <f t="shared" ca="1" si="2"/>
        <v>5581686</v>
      </c>
      <c r="E14">
        <f t="shared" ca="1" si="2"/>
        <v>5307254</v>
      </c>
      <c r="F14">
        <f t="shared" ca="1" si="2"/>
        <v>6133373</v>
      </c>
      <c r="G14">
        <f t="shared" ca="1" si="2"/>
        <v>6600322</v>
      </c>
      <c r="H14">
        <f t="shared" ca="1" si="2"/>
        <v>5860168</v>
      </c>
      <c r="I14">
        <f t="shared" ca="1" si="2"/>
        <v>6142871</v>
      </c>
      <c r="J14">
        <f t="shared" ca="1" si="2"/>
        <v>5835627</v>
      </c>
      <c r="K14">
        <f t="shared" ca="1" si="2"/>
        <v>5693307</v>
      </c>
      <c r="L14">
        <f ca="1">SUM(B14:K14)</f>
        <v>57787331</v>
      </c>
    </row>
    <row r="17" spans="2:12" x14ac:dyDescent="0.3">
      <c r="B17">
        <f ca="1">VLOOKUP(B$3,INDIRECT(第一季!$A4&amp;"!A1:F11"),6,FALSE)</f>
        <v>2091189</v>
      </c>
      <c r="C17">
        <f ca="1">VLOOKUP(C$3,INDIRECT(第一季!$A4&amp;"!A1:F11"),6,FALSE)</f>
        <v>2715965</v>
      </c>
      <c r="D17">
        <f ca="1">VLOOKUP(D$3,INDIRECT(第一季!$A4&amp;"!A1:F11"),6,FALSE)</f>
        <v>1692168</v>
      </c>
      <c r="E17">
        <f ca="1">VLOOKUP(E$3,INDIRECT(第一季!$A4&amp;"!A1:F11"),6,FALSE)</f>
        <v>1832467</v>
      </c>
      <c r="F17">
        <f ca="1">VLOOKUP(F$3,INDIRECT(第一季!$A4&amp;"!A1:F11"),6,FALSE)</f>
        <v>2042860</v>
      </c>
      <c r="G17">
        <f ca="1">VLOOKUP(G$3,INDIRECT(第一季!$A4&amp;"!A1:F11"),6,FALSE)</f>
        <v>2121694</v>
      </c>
      <c r="H17">
        <f ca="1">VLOOKUP(H$3,INDIRECT(第一季!$A4&amp;"!A1:F11"),6,FALSE)</f>
        <v>2232373</v>
      </c>
      <c r="I17">
        <f ca="1">VLOOKUP(I$3,INDIRECT(第一季!$A4&amp;"!A1:F11"),6,FALSE)</f>
        <v>2180120</v>
      </c>
      <c r="J17">
        <f ca="1">VLOOKUP(J$3,INDIRECT(第一季!$A4&amp;"!A1:F11"),6,FALSE)</f>
        <v>2073167</v>
      </c>
      <c r="K17">
        <f ca="1">VLOOKUP(K$3,INDIRECT(第一季!$A4&amp;"!A1:F11"),6,FALSE)</f>
        <v>1414659</v>
      </c>
      <c r="L17">
        <f ca="1">SUM(B17:K17)</f>
        <v>20396662</v>
      </c>
    </row>
    <row r="18" spans="2:12" x14ac:dyDescent="0.3">
      <c r="B18">
        <f ca="1">VLOOKUP(B$3,INDIRECT(第一季!$A5&amp;"!A1:F11"),6,FALSE)</f>
        <v>1714778</v>
      </c>
      <c r="C18">
        <f ca="1">VLOOKUP(C$3,INDIRECT(第一季!$A5&amp;"!A1:F11"),6,FALSE)</f>
        <v>643323</v>
      </c>
      <c r="D18">
        <f ca="1">VLOOKUP(D$3,INDIRECT(第一季!$A5&amp;"!A1:F11"),6,FALSE)</f>
        <v>2239852</v>
      </c>
      <c r="E18">
        <f ca="1">VLOOKUP(E$3,INDIRECT(第一季!$A5&amp;"!A1:F11"),6,FALSE)</f>
        <v>1184630</v>
      </c>
      <c r="F18">
        <f ca="1">VLOOKUP(F$3,INDIRECT(第一季!$A5&amp;"!A1:F11"),6,FALSE)</f>
        <v>1959507</v>
      </c>
      <c r="G18">
        <f ca="1">VLOOKUP(G$3,INDIRECT(第一季!$A5&amp;"!A1:F11"),6,FALSE)</f>
        <v>1736630</v>
      </c>
      <c r="H18">
        <f ca="1">VLOOKUP(H$3,INDIRECT(第一季!$A5&amp;"!A1:F11"),6,FALSE)</f>
        <v>1911851</v>
      </c>
      <c r="I18">
        <f ca="1">VLOOKUP(I$3,INDIRECT(第一季!$A5&amp;"!A1:F11"),6,FALSE)</f>
        <v>2240933</v>
      </c>
      <c r="J18">
        <f ca="1">VLOOKUP(J$3,INDIRECT(第一季!$A5&amp;"!A1:F11"),6,FALSE)</f>
        <v>1644267</v>
      </c>
      <c r="K18">
        <f ca="1">VLOOKUP(K$3,INDIRECT(第一季!$A5&amp;"!A1:F11"),6,FALSE)</f>
        <v>1338842</v>
      </c>
      <c r="L18">
        <f ca="1">SUM(B18:K18)</f>
        <v>16614613</v>
      </c>
    </row>
    <row r="19" spans="2:12" x14ac:dyDescent="0.3">
      <c r="B19">
        <f ca="1">VLOOKUP(B$3,INDIRECT(第一季!$A6&amp;"!A1:F11"),6,FALSE)</f>
        <v>1747011</v>
      </c>
      <c r="C19">
        <f ca="1">VLOOKUP(C$3,INDIRECT(第一季!$A6&amp;"!A1:F11"),6,FALSE)</f>
        <v>1720457</v>
      </c>
      <c r="D19">
        <f ca="1">VLOOKUP(D$3,INDIRECT(第一季!$A6&amp;"!A1:F11"),6,FALSE)</f>
        <v>1649666</v>
      </c>
      <c r="E19">
        <f ca="1">VLOOKUP(E$3,INDIRECT(第一季!$A6&amp;"!A1:F11"),6,FALSE)</f>
        <v>2290157</v>
      </c>
      <c r="F19">
        <f ca="1">VLOOKUP(F$3,INDIRECT(第一季!$A6&amp;"!A1:F11"),6,FALSE)</f>
        <v>2131006</v>
      </c>
      <c r="G19">
        <f ca="1">VLOOKUP(G$3,INDIRECT(第一季!$A6&amp;"!A1:F11"),6,FALSE)</f>
        <v>2741998</v>
      </c>
      <c r="H19">
        <f ca="1">VLOOKUP(H$3,INDIRECT(第一季!$A6&amp;"!A1:F11"),6,FALSE)</f>
        <v>1715944</v>
      </c>
      <c r="I19">
        <f ca="1">VLOOKUP(I$3,INDIRECT(第一季!$A6&amp;"!A1:F11"),6,FALSE)</f>
        <v>1721818</v>
      </c>
      <c r="J19">
        <f ca="1">VLOOKUP(J$3,INDIRECT(第一季!$A6&amp;"!A1:F11"),6,FALSE)</f>
        <v>2118193</v>
      </c>
      <c r="K19">
        <f ca="1">VLOOKUP(K$3,INDIRECT(第一季!$A6&amp;"!A1:F11"),6,FALSE)</f>
        <v>2939806</v>
      </c>
      <c r="L19">
        <f ca="1">SUM(B19:K19)</f>
        <v>20776056</v>
      </c>
    </row>
    <row r="20" spans="2:12" x14ac:dyDescent="0.3">
      <c r="B20">
        <f ca="1">SUM(B17:B19)</f>
        <v>5552978</v>
      </c>
      <c r="C20">
        <f ca="1">SUM(C17:C19)</f>
        <v>5079745</v>
      </c>
      <c r="D20">
        <f ca="1">SUM(D17:D19)</f>
        <v>5581686</v>
      </c>
      <c r="E20">
        <f ca="1">SUM(E17:E19)</f>
        <v>5307254</v>
      </c>
      <c r="F20">
        <f ca="1">SUM(F17:F19)</f>
        <v>6133373</v>
      </c>
      <c r="G20">
        <f ca="1">SUM(G17:G19)</f>
        <v>6600322</v>
      </c>
      <c r="H20">
        <f ca="1">SUM(H17:H19)</f>
        <v>5860168</v>
      </c>
      <c r="I20">
        <f ca="1">SUM(I17:I19)</f>
        <v>6142871</v>
      </c>
      <c r="J20">
        <f ca="1">SUM(J17:J19)</f>
        <v>5835627</v>
      </c>
      <c r="K20">
        <f ca="1">SUM(K17:K19)</f>
        <v>5693307</v>
      </c>
      <c r="L20">
        <f ca="1">SUM(B20:K20)</f>
        <v>57787331</v>
      </c>
    </row>
  </sheetData>
  <mergeCells count="1">
    <mergeCell ref="A1:L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2" sqref="F2"/>
    </sheetView>
  </sheetViews>
  <sheetFormatPr defaultRowHeight="16.2" x14ac:dyDescent="0.3"/>
  <cols>
    <col min="1" max="1" width="6.77734375" bestFit="1" customWidth="1"/>
    <col min="2" max="2" width="11.6640625" bestFit="1" customWidth="1"/>
    <col min="3" max="3" width="13.88671875" bestFit="1" customWidth="1"/>
    <col min="4" max="5" width="11.6640625" bestFit="1" customWidth="1"/>
    <col min="6" max="6" width="11.88671875" bestFit="1" customWidth="1"/>
  </cols>
  <sheetData>
    <row r="1" spans="1:6" ht="26.1" customHeight="1" x14ac:dyDescent="0.3">
      <c r="A1" s="1"/>
      <c r="B1" s="4" t="s">
        <v>11</v>
      </c>
      <c r="C1" s="4" t="s">
        <v>12</v>
      </c>
      <c r="D1" s="4" t="s">
        <v>13</v>
      </c>
      <c r="E1" s="4" t="s">
        <v>14</v>
      </c>
      <c r="F1" s="3" t="s">
        <v>10</v>
      </c>
    </row>
    <row r="2" spans="1:6" ht="26.1" customHeight="1" x14ac:dyDescent="0.3">
      <c r="A2" s="2" t="s">
        <v>0</v>
      </c>
      <c r="B2" s="9">
        <v>467628</v>
      </c>
      <c r="C2" s="9">
        <v>480668</v>
      </c>
      <c r="D2" s="9">
        <v>500759</v>
      </c>
      <c r="E2" s="9">
        <v>642134</v>
      </c>
      <c r="F2" s="10">
        <f>SUM(B2:E2)</f>
        <v>2091189</v>
      </c>
    </row>
    <row r="3" spans="1:6" ht="26.1" customHeight="1" x14ac:dyDescent="0.3">
      <c r="A3" s="2" t="s">
        <v>1</v>
      </c>
      <c r="B3" s="9">
        <v>573276</v>
      </c>
      <c r="C3" s="9">
        <v>949512</v>
      </c>
      <c r="D3" s="9">
        <v>391559</v>
      </c>
      <c r="E3" s="9">
        <v>801618</v>
      </c>
      <c r="F3" s="10">
        <f t="shared" ref="F3:F11" si="0">SUM(B3:E3)</f>
        <v>2715965</v>
      </c>
    </row>
    <row r="4" spans="1:6" ht="26.1" customHeight="1" x14ac:dyDescent="0.3">
      <c r="A4" s="2" t="s">
        <v>2</v>
      </c>
      <c r="B4" s="9">
        <v>248369</v>
      </c>
      <c r="C4" s="9">
        <v>605480</v>
      </c>
      <c r="D4" s="9">
        <v>726289</v>
      </c>
      <c r="E4" s="9">
        <v>112030</v>
      </c>
      <c r="F4" s="10">
        <f t="shared" si="0"/>
        <v>1692168</v>
      </c>
    </row>
    <row r="5" spans="1:6" ht="26.1" customHeight="1" x14ac:dyDescent="0.3">
      <c r="A5" s="2" t="s">
        <v>3</v>
      </c>
      <c r="B5" s="9">
        <v>124421</v>
      </c>
      <c r="C5" s="9">
        <v>748879</v>
      </c>
      <c r="D5" s="9">
        <v>678288</v>
      </c>
      <c r="E5" s="9">
        <v>280879</v>
      </c>
      <c r="F5" s="10">
        <f t="shared" si="0"/>
        <v>1832467</v>
      </c>
    </row>
    <row r="6" spans="1:6" ht="26.1" customHeight="1" x14ac:dyDescent="0.3">
      <c r="A6" s="2" t="s">
        <v>4</v>
      </c>
      <c r="B6" s="9">
        <v>181835</v>
      </c>
      <c r="C6" s="9">
        <v>859131</v>
      </c>
      <c r="D6" s="9">
        <v>331147</v>
      </c>
      <c r="E6" s="9">
        <v>670747</v>
      </c>
      <c r="F6" s="10">
        <f t="shared" si="0"/>
        <v>2042860</v>
      </c>
    </row>
    <row r="7" spans="1:6" ht="26.1" customHeight="1" x14ac:dyDescent="0.3">
      <c r="A7" s="2" t="s">
        <v>7</v>
      </c>
      <c r="B7" s="9">
        <v>392347</v>
      </c>
      <c r="C7" s="9">
        <v>366985</v>
      </c>
      <c r="D7" s="9">
        <v>914102</v>
      </c>
      <c r="E7" s="9">
        <v>448260</v>
      </c>
      <c r="F7" s="10">
        <f t="shared" si="0"/>
        <v>2121694</v>
      </c>
    </row>
    <row r="8" spans="1:6" ht="26.1" customHeight="1" x14ac:dyDescent="0.3">
      <c r="A8" s="2" t="s">
        <v>6</v>
      </c>
      <c r="B8" s="9">
        <v>430482</v>
      </c>
      <c r="C8" s="9">
        <v>261393</v>
      </c>
      <c r="D8" s="9">
        <v>868852</v>
      </c>
      <c r="E8" s="9">
        <v>671646</v>
      </c>
      <c r="F8" s="10">
        <f t="shared" si="0"/>
        <v>2232373</v>
      </c>
    </row>
    <row r="9" spans="1:6" ht="26.1" customHeight="1" x14ac:dyDescent="0.3">
      <c r="A9" s="2" t="s">
        <v>8</v>
      </c>
      <c r="B9" s="9">
        <v>860101</v>
      </c>
      <c r="C9" s="9">
        <v>188653</v>
      </c>
      <c r="D9" s="9">
        <v>972598</v>
      </c>
      <c r="E9" s="9">
        <v>158768</v>
      </c>
      <c r="F9" s="10">
        <f t="shared" si="0"/>
        <v>2180120</v>
      </c>
    </row>
    <row r="10" spans="1:6" ht="26.1" customHeight="1" x14ac:dyDescent="0.3">
      <c r="A10" s="2" t="s">
        <v>5</v>
      </c>
      <c r="B10" s="9">
        <v>990078</v>
      </c>
      <c r="C10" s="9">
        <v>644009</v>
      </c>
      <c r="D10" s="9">
        <v>42595</v>
      </c>
      <c r="E10" s="9">
        <v>396485</v>
      </c>
      <c r="F10" s="10">
        <f t="shared" si="0"/>
        <v>2073167</v>
      </c>
    </row>
    <row r="11" spans="1:6" ht="26.1" customHeight="1" x14ac:dyDescent="0.3">
      <c r="A11" s="2" t="s">
        <v>9</v>
      </c>
      <c r="B11" s="9">
        <v>682731</v>
      </c>
      <c r="C11" s="9">
        <v>559801</v>
      </c>
      <c r="D11" s="9">
        <v>85372</v>
      </c>
      <c r="E11" s="9">
        <v>86755</v>
      </c>
      <c r="F11" s="10">
        <f t="shared" si="0"/>
        <v>1414659</v>
      </c>
    </row>
    <row r="12" spans="1:6" ht="26.1" customHeight="1" x14ac:dyDescent="0.3">
      <c r="A12" s="3" t="s">
        <v>10</v>
      </c>
      <c r="B12" s="10">
        <f>SUM(B2:B11)</f>
        <v>4951268</v>
      </c>
      <c r="C12" s="10">
        <f>SUM(C2:C11)</f>
        <v>5664511</v>
      </c>
      <c r="D12" s="10">
        <f>SUM(D2:D11)</f>
        <v>5511561</v>
      </c>
      <c r="E12" s="10">
        <f>SUM(E2:E11)</f>
        <v>4269322</v>
      </c>
      <c r="F12" s="10">
        <f>SUM(F2:F11)</f>
        <v>20396662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/>
  </sheetViews>
  <sheetFormatPr defaultRowHeight="16.2" x14ac:dyDescent="0.3"/>
  <cols>
    <col min="1" max="1" width="6.77734375" bestFit="1" customWidth="1"/>
    <col min="2" max="2" width="11.6640625" bestFit="1" customWidth="1"/>
    <col min="3" max="3" width="13.88671875" bestFit="1" customWidth="1"/>
    <col min="4" max="5" width="11.6640625" bestFit="1" customWidth="1"/>
    <col min="6" max="6" width="11.88671875" bestFit="1" customWidth="1"/>
  </cols>
  <sheetData>
    <row r="1" spans="1:6" ht="26.1" customHeight="1" x14ac:dyDescent="0.3">
      <c r="A1" s="1"/>
      <c r="B1" s="4" t="s">
        <v>11</v>
      </c>
      <c r="C1" s="4" t="s">
        <v>12</v>
      </c>
      <c r="D1" s="4" t="s">
        <v>13</v>
      </c>
      <c r="E1" s="4" t="s">
        <v>14</v>
      </c>
      <c r="F1" s="3" t="s">
        <v>10</v>
      </c>
    </row>
    <row r="2" spans="1:6" ht="26.1" customHeight="1" x14ac:dyDescent="0.3">
      <c r="A2" s="2" t="s">
        <v>0</v>
      </c>
      <c r="B2" s="9">
        <v>86152</v>
      </c>
      <c r="C2" s="9">
        <v>528004</v>
      </c>
      <c r="D2" s="9">
        <v>931372</v>
      </c>
      <c r="E2" s="9">
        <v>169250</v>
      </c>
      <c r="F2" s="10">
        <f>SUM(B2:E2)</f>
        <v>1714778</v>
      </c>
    </row>
    <row r="3" spans="1:6" ht="26.1" customHeight="1" x14ac:dyDescent="0.3">
      <c r="A3" s="2" t="s">
        <v>1</v>
      </c>
      <c r="B3" s="9">
        <v>303944</v>
      </c>
      <c r="C3" s="9">
        <v>182740</v>
      </c>
      <c r="D3" s="9">
        <v>114968</v>
      </c>
      <c r="E3" s="9">
        <v>41671</v>
      </c>
      <c r="F3" s="10">
        <f t="shared" ref="F3:F11" si="0">SUM(B3:E3)</f>
        <v>643323</v>
      </c>
    </row>
    <row r="4" spans="1:6" ht="26.1" customHeight="1" x14ac:dyDescent="0.3">
      <c r="A4" s="2" t="s">
        <v>2</v>
      </c>
      <c r="B4" s="9">
        <v>697862</v>
      </c>
      <c r="C4" s="9">
        <v>610978</v>
      </c>
      <c r="D4" s="9">
        <v>31978</v>
      </c>
      <c r="E4" s="9">
        <v>899034</v>
      </c>
      <c r="F4" s="10">
        <f t="shared" si="0"/>
        <v>2239852</v>
      </c>
    </row>
    <row r="5" spans="1:6" ht="26.1" customHeight="1" x14ac:dyDescent="0.3">
      <c r="A5" s="2" t="s">
        <v>3</v>
      </c>
      <c r="B5" s="9">
        <v>666952</v>
      </c>
      <c r="C5" s="9">
        <v>349832</v>
      </c>
      <c r="D5" s="9">
        <v>145871</v>
      </c>
      <c r="E5" s="9">
        <v>21975</v>
      </c>
      <c r="F5" s="10">
        <f t="shared" si="0"/>
        <v>1184630</v>
      </c>
    </row>
    <row r="6" spans="1:6" ht="26.1" customHeight="1" x14ac:dyDescent="0.3">
      <c r="A6" s="2" t="s">
        <v>4</v>
      </c>
      <c r="B6" s="9">
        <v>293485</v>
      </c>
      <c r="C6" s="9">
        <v>941881</v>
      </c>
      <c r="D6" s="9">
        <v>490107</v>
      </c>
      <c r="E6" s="9">
        <v>234034</v>
      </c>
      <c r="F6" s="10">
        <f t="shared" si="0"/>
        <v>1959507</v>
      </c>
    </row>
    <row r="7" spans="1:6" ht="26.1" customHeight="1" x14ac:dyDescent="0.3">
      <c r="A7" s="2" t="s">
        <v>7</v>
      </c>
      <c r="B7" s="9">
        <v>99489</v>
      </c>
      <c r="C7" s="9">
        <v>550832</v>
      </c>
      <c r="D7" s="9">
        <v>779945</v>
      </c>
      <c r="E7" s="9">
        <v>306364</v>
      </c>
      <c r="F7" s="10">
        <f t="shared" si="0"/>
        <v>1736630</v>
      </c>
    </row>
    <row r="8" spans="1:6" ht="26.1" customHeight="1" x14ac:dyDescent="0.3">
      <c r="A8" s="2" t="s">
        <v>6</v>
      </c>
      <c r="B8" s="9">
        <v>798913</v>
      </c>
      <c r="C8" s="9">
        <v>38731</v>
      </c>
      <c r="D8" s="9">
        <v>537544</v>
      </c>
      <c r="E8" s="9">
        <v>536663</v>
      </c>
      <c r="F8" s="10">
        <f t="shared" si="0"/>
        <v>1911851</v>
      </c>
    </row>
    <row r="9" spans="1:6" ht="26.1" customHeight="1" x14ac:dyDescent="0.3">
      <c r="A9" s="2" t="s">
        <v>8</v>
      </c>
      <c r="B9" s="9">
        <v>458141</v>
      </c>
      <c r="C9" s="9">
        <v>754391</v>
      </c>
      <c r="D9" s="9">
        <v>380498</v>
      </c>
      <c r="E9" s="9">
        <v>647903</v>
      </c>
      <c r="F9" s="10">
        <f t="shared" si="0"/>
        <v>2240933</v>
      </c>
    </row>
    <row r="10" spans="1:6" ht="26.1" customHeight="1" x14ac:dyDescent="0.3">
      <c r="A10" s="2" t="s">
        <v>5</v>
      </c>
      <c r="B10" s="9">
        <v>19428</v>
      </c>
      <c r="C10" s="9">
        <v>811032</v>
      </c>
      <c r="D10" s="9">
        <v>531563</v>
      </c>
      <c r="E10" s="9">
        <v>282244</v>
      </c>
      <c r="F10" s="10">
        <f t="shared" si="0"/>
        <v>1644267</v>
      </c>
    </row>
    <row r="11" spans="1:6" ht="26.1" customHeight="1" x14ac:dyDescent="0.3">
      <c r="A11" s="2" t="s">
        <v>9</v>
      </c>
      <c r="B11" s="9">
        <v>87078</v>
      </c>
      <c r="C11" s="9">
        <v>770408</v>
      </c>
      <c r="D11" s="9">
        <v>385181</v>
      </c>
      <c r="E11" s="9">
        <v>96175</v>
      </c>
      <c r="F11" s="10">
        <f t="shared" si="0"/>
        <v>1338842</v>
      </c>
    </row>
    <row r="12" spans="1:6" ht="26.1" customHeight="1" x14ac:dyDescent="0.3">
      <c r="A12" s="3" t="s">
        <v>10</v>
      </c>
      <c r="B12" s="10">
        <f>SUM(B2:B11)</f>
        <v>3511444</v>
      </c>
      <c r="C12" s="10">
        <f>SUM(C2:C11)</f>
        <v>5538829</v>
      </c>
      <c r="D12" s="10">
        <f>SUM(D2:D11)</f>
        <v>4329027</v>
      </c>
      <c r="E12" s="10">
        <f>SUM(E2:E11)</f>
        <v>3235313</v>
      </c>
      <c r="F12" s="10">
        <f>SUM(F2:F11)</f>
        <v>16614613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/>
  </sheetViews>
  <sheetFormatPr defaultRowHeight="16.2" x14ac:dyDescent="0.3"/>
  <cols>
    <col min="1" max="1" width="6.77734375" bestFit="1" customWidth="1"/>
    <col min="2" max="2" width="11.6640625" bestFit="1" customWidth="1"/>
    <col min="3" max="3" width="13.88671875" bestFit="1" customWidth="1"/>
    <col min="4" max="5" width="11.6640625" bestFit="1" customWidth="1"/>
    <col min="6" max="6" width="11.88671875" bestFit="1" customWidth="1"/>
  </cols>
  <sheetData>
    <row r="1" spans="1:6" ht="26.1" customHeight="1" x14ac:dyDescent="0.3">
      <c r="A1" s="1"/>
      <c r="B1" s="4" t="s">
        <v>11</v>
      </c>
      <c r="C1" s="4" t="s">
        <v>12</v>
      </c>
      <c r="D1" s="4" t="s">
        <v>13</v>
      </c>
      <c r="E1" s="4" t="s">
        <v>14</v>
      </c>
      <c r="F1" s="3" t="s">
        <v>10</v>
      </c>
    </row>
    <row r="2" spans="1:6" ht="26.1" customHeight="1" x14ac:dyDescent="0.3">
      <c r="A2" s="2" t="s">
        <v>0</v>
      </c>
      <c r="B2" s="9">
        <v>988904</v>
      </c>
      <c r="C2" s="9">
        <v>111589</v>
      </c>
      <c r="D2" s="9">
        <v>629882</v>
      </c>
      <c r="E2" s="9">
        <v>16636</v>
      </c>
      <c r="F2" s="10">
        <f>SUM(B2:E2)</f>
        <v>1747011</v>
      </c>
    </row>
    <row r="3" spans="1:6" ht="26.1" customHeight="1" x14ac:dyDescent="0.3">
      <c r="A3" s="2" t="s">
        <v>1</v>
      </c>
      <c r="B3" s="9">
        <v>105444</v>
      </c>
      <c r="C3" s="9">
        <v>374489</v>
      </c>
      <c r="D3" s="9">
        <v>863117</v>
      </c>
      <c r="E3" s="9">
        <v>377407</v>
      </c>
      <c r="F3" s="10">
        <f t="shared" ref="F3:F11" si="0">SUM(B3:E3)</f>
        <v>1720457</v>
      </c>
    </row>
    <row r="4" spans="1:6" ht="26.1" customHeight="1" x14ac:dyDescent="0.3">
      <c r="A4" s="2" t="s">
        <v>2</v>
      </c>
      <c r="B4" s="9">
        <v>66154</v>
      </c>
      <c r="C4" s="9">
        <v>680482</v>
      </c>
      <c r="D4" s="9">
        <v>233586</v>
      </c>
      <c r="E4" s="9">
        <v>669444</v>
      </c>
      <c r="F4" s="10">
        <f t="shared" si="0"/>
        <v>1649666</v>
      </c>
    </row>
    <row r="5" spans="1:6" ht="26.1" customHeight="1" x14ac:dyDescent="0.3">
      <c r="A5" s="2" t="s">
        <v>3</v>
      </c>
      <c r="B5" s="9">
        <v>341163</v>
      </c>
      <c r="C5" s="9">
        <v>393077</v>
      </c>
      <c r="D5" s="9">
        <v>941930</v>
      </c>
      <c r="E5" s="9">
        <v>613987</v>
      </c>
      <c r="F5" s="10">
        <f t="shared" si="0"/>
        <v>2290157</v>
      </c>
    </row>
    <row r="6" spans="1:6" ht="26.1" customHeight="1" x14ac:dyDescent="0.3">
      <c r="A6" s="2" t="s">
        <v>4</v>
      </c>
      <c r="B6" s="9">
        <v>820347</v>
      </c>
      <c r="C6" s="9">
        <v>962157</v>
      </c>
      <c r="D6" s="9">
        <v>296161</v>
      </c>
      <c r="E6" s="9">
        <v>52341</v>
      </c>
      <c r="F6" s="10">
        <f t="shared" si="0"/>
        <v>2131006</v>
      </c>
    </row>
    <row r="7" spans="1:6" ht="26.1" customHeight="1" x14ac:dyDescent="0.3">
      <c r="A7" s="2" t="s">
        <v>7</v>
      </c>
      <c r="B7" s="9">
        <v>781065</v>
      </c>
      <c r="C7" s="9">
        <v>324318</v>
      </c>
      <c r="D7" s="9">
        <v>827763</v>
      </c>
      <c r="E7" s="9">
        <v>808852</v>
      </c>
      <c r="F7" s="10">
        <f t="shared" si="0"/>
        <v>2741998</v>
      </c>
    </row>
    <row r="8" spans="1:6" ht="26.1" customHeight="1" x14ac:dyDescent="0.3">
      <c r="A8" s="2" t="s">
        <v>6</v>
      </c>
      <c r="B8" s="9">
        <v>765690</v>
      </c>
      <c r="C8" s="9">
        <v>75454</v>
      </c>
      <c r="D8" s="9">
        <v>610626</v>
      </c>
      <c r="E8" s="9">
        <v>264174</v>
      </c>
      <c r="F8" s="10">
        <f t="shared" si="0"/>
        <v>1715944</v>
      </c>
    </row>
    <row r="9" spans="1:6" ht="26.1" customHeight="1" x14ac:dyDescent="0.3">
      <c r="A9" s="2" t="s">
        <v>8</v>
      </c>
      <c r="B9" s="9">
        <v>254266</v>
      </c>
      <c r="C9" s="9">
        <v>568917</v>
      </c>
      <c r="D9" s="9">
        <v>799182</v>
      </c>
      <c r="E9" s="9">
        <v>99453</v>
      </c>
      <c r="F9" s="10">
        <f t="shared" si="0"/>
        <v>1721818</v>
      </c>
    </row>
    <row r="10" spans="1:6" ht="26.1" customHeight="1" x14ac:dyDescent="0.3">
      <c r="A10" s="2" t="s">
        <v>5</v>
      </c>
      <c r="B10" s="9">
        <v>307120</v>
      </c>
      <c r="C10" s="9">
        <v>546894</v>
      </c>
      <c r="D10" s="9">
        <v>445075</v>
      </c>
      <c r="E10" s="9">
        <v>819104</v>
      </c>
      <c r="F10" s="10">
        <f t="shared" si="0"/>
        <v>2118193</v>
      </c>
    </row>
    <row r="11" spans="1:6" ht="26.1" customHeight="1" x14ac:dyDescent="0.3">
      <c r="A11" s="2" t="s">
        <v>9</v>
      </c>
      <c r="B11" s="9">
        <v>776003</v>
      </c>
      <c r="C11" s="9">
        <v>572404</v>
      </c>
      <c r="D11" s="9">
        <v>717620</v>
      </c>
      <c r="E11" s="9">
        <v>873779</v>
      </c>
      <c r="F11" s="10">
        <f t="shared" si="0"/>
        <v>2939806</v>
      </c>
    </row>
    <row r="12" spans="1:6" ht="26.1" customHeight="1" x14ac:dyDescent="0.3">
      <c r="A12" s="3" t="s">
        <v>10</v>
      </c>
      <c r="B12" s="10">
        <f>SUM(B2:B11)</f>
        <v>5206156</v>
      </c>
      <c r="C12" s="10">
        <f>SUM(C2:C11)</f>
        <v>4609781</v>
      </c>
      <c r="D12" s="10">
        <f>SUM(D2:D11)</f>
        <v>6364942</v>
      </c>
      <c r="E12" s="10">
        <f>SUM(E2:E11)</f>
        <v>4595177</v>
      </c>
      <c r="F12" s="10">
        <f>SUM(F2:F11)</f>
        <v>20776056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第一季</vt:lpstr>
      <vt:lpstr>1月</vt:lpstr>
      <vt:lpstr>2月</vt:lpstr>
      <vt:lpstr>3月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2019-11-05T02:55:29Z</dcterms:created>
  <dcterms:modified xsi:type="dcterms:W3CDTF">2024-04-16T07:05:33Z</dcterms:modified>
</cp:coreProperties>
</file>