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大學\大二下\資料視覺化\"/>
    </mc:Choice>
  </mc:AlternateContent>
  <xr:revisionPtr revIDLastSave="0" documentId="13_ncr:1_{CC2F73C1-E199-4345-9F5E-010767C9BF0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學生大一成績檔" sheetId="1" r:id="rId1"/>
    <sheet name="學生入學成績檔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20" i="1"/>
  <c r="P13" i="1" s="1"/>
  <c r="U12" i="1" l="1"/>
  <c r="T12" i="1"/>
  <c r="S12" i="1"/>
  <c r="R12" i="1"/>
  <c r="Q12" i="1"/>
  <c r="P12" i="1"/>
  <c r="U13" i="1"/>
  <c r="T13" i="1"/>
  <c r="S13" i="1"/>
  <c r="R13" i="1"/>
  <c r="O12" i="1"/>
  <c r="Q13" i="1"/>
  <c r="O13" i="1"/>
  <c r="D2" i="3"/>
  <c r="K20" i="1" s="1"/>
  <c r="E3" i="3"/>
  <c r="L21" i="1" s="1"/>
  <c r="E4" i="3"/>
  <c r="L22" i="1" s="1"/>
  <c r="E5" i="3"/>
  <c r="L23" i="1" s="1"/>
  <c r="E6" i="3"/>
  <c r="L24" i="1" s="1"/>
  <c r="E7" i="3"/>
  <c r="L25" i="1" s="1"/>
  <c r="E8" i="3"/>
  <c r="L26" i="1" s="1"/>
  <c r="E9" i="3"/>
  <c r="L27" i="1" s="1"/>
  <c r="E10" i="3"/>
  <c r="L28" i="1" s="1"/>
  <c r="E11" i="3"/>
  <c r="L29" i="1" s="1"/>
  <c r="E12" i="3"/>
  <c r="L30" i="1" s="1"/>
  <c r="E13" i="3"/>
  <c r="L31" i="1" s="1"/>
  <c r="E14" i="3"/>
  <c r="L32" i="1" s="1"/>
  <c r="E15" i="3"/>
  <c r="L33" i="1" s="1"/>
  <c r="E16" i="3"/>
  <c r="L34" i="1" s="1"/>
  <c r="E17" i="3"/>
  <c r="L35" i="1" s="1"/>
  <c r="E18" i="3"/>
  <c r="L36" i="1" s="1"/>
  <c r="E19" i="3"/>
  <c r="L37" i="1" s="1"/>
  <c r="E20" i="3"/>
  <c r="L38" i="1" s="1"/>
  <c r="E21" i="3"/>
  <c r="L39" i="1" s="1"/>
  <c r="E22" i="3"/>
  <c r="L40" i="1" s="1"/>
  <c r="E23" i="3"/>
  <c r="L41" i="1" s="1"/>
  <c r="E24" i="3"/>
  <c r="L42" i="1" s="1"/>
  <c r="E2" i="3"/>
  <c r="L20" i="1" s="1"/>
  <c r="D3" i="3"/>
  <c r="K21" i="1" s="1"/>
  <c r="D4" i="3"/>
  <c r="K22" i="1" s="1"/>
  <c r="D5" i="3"/>
  <c r="K23" i="1" s="1"/>
  <c r="D6" i="3"/>
  <c r="K24" i="1" s="1"/>
  <c r="D7" i="3"/>
  <c r="K25" i="1" s="1"/>
  <c r="D8" i="3"/>
  <c r="K26" i="1" s="1"/>
  <c r="D9" i="3"/>
  <c r="K27" i="1" s="1"/>
  <c r="D10" i="3"/>
  <c r="K28" i="1" s="1"/>
  <c r="D11" i="3"/>
  <c r="K29" i="1" s="1"/>
  <c r="D12" i="3"/>
  <c r="K30" i="1" s="1"/>
  <c r="D13" i="3"/>
  <c r="K31" i="1" s="1"/>
  <c r="D14" i="3"/>
  <c r="K32" i="1" s="1"/>
  <c r="D15" i="3"/>
  <c r="K33" i="1" s="1"/>
  <c r="D16" i="3"/>
  <c r="K34" i="1" s="1"/>
  <c r="D17" i="3"/>
  <c r="K35" i="1" s="1"/>
  <c r="D18" i="3"/>
  <c r="K36" i="1" s="1"/>
  <c r="D19" i="3"/>
  <c r="K37" i="1" s="1"/>
  <c r="D20" i="3"/>
  <c r="K38" i="1" s="1"/>
  <c r="D21" i="3"/>
  <c r="K39" i="1" s="1"/>
  <c r="D22" i="3"/>
  <c r="K40" i="1" s="1"/>
  <c r="D23" i="3"/>
  <c r="K41" i="1" s="1"/>
  <c r="D24" i="3"/>
  <c r="K42" i="1" s="1"/>
  <c r="T8" i="1" l="1"/>
  <c r="U8" i="1"/>
  <c r="P9" i="1"/>
  <c r="O9" i="1"/>
  <c r="Q9" i="1"/>
  <c r="O8" i="1"/>
  <c r="R9" i="1"/>
  <c r="O7" i="1"/>
  <c r="S9" i="1"/>
  <c r="P7" i="1"/>
  <c r="T9" i="1"/>
  <c r="Q7" i="1"/>
  <c r="U9" i="1"/>
  <c r="R7" i="1"/>
  <c r="P8" i="1"/>
  <c r="S7" i="1"/>
  <c r="Q8" i="1"/>
  <c r="T7" i="1"/>
  <c r="R8" i="1"/>
  <c r="U7" i="1"/>
  <c r="S8" i="1"/>
  <c r="P4" i="1"/>
  <c r="O4" i="1"/>
  <c r="Q4" i="1"/>
  <c r="R4" i="1"/>
  <c r="S4" i="1"/>
  <c r="T4" i="1"/>
  <c r="U4" i="1"/>
  <c r="P3" i="1"/>
  <c r="Q3" i="1"/>
  <c r="R3" i="1"/>
  <c r="S3" i="1"/>
  <c r="T3" i="1"/>
  <c r="U3" i="1"/>
</calcChain>
</file>

<file path=xl/sharedStrings.xml><?xml version="1.0" encoding="utf-8"?>
<sst xmlns="http://schemas.openxmlformats.org/spreadsheetml/2006/main" count="300" uniqueCount="105">
  <si>
    <t>經濟學</t>
    <phoneticPr fontId="1" type="noConversion"/>
  </si>
  <si>
    <t>計算機概論</t>
    <phoneticPr fontId="1" type="noConversion"/>
  </si>
  <si>
    <t>微積分</t>
    <phoneticPr fontId="1" type="noConversion"/>
  </si>
  <si>
    <t>會計學I</t>
    <phoneticPr fontId="1" type="noConversion"/>
  </si>
  <si>
    <t>107-1平均</t>
    <phoneticPr fontId="1" type="noConversion"/>
  </si>
  <si>
    <t>107-2平均</t>
    <phoneticPr fontId="1" type="noConversion"/>
  </si>
  <si>
    <t>程式設計</t>
    <phoneticPr fontId="1" type="noConversion"/>
  </si>
  <si>
    <t>管理學</t>
    <phoneticPr fontId="1" type="noConversion"/>
  </si>
  <si>
    <t>會計學II</t>
    <phoneticPr fontId="1" type="noConversion"/>
  </si>
  <si>
    <t>ID</t>
    <phoneticPr fontId="1" type="noConversion"/>
  </si>
  <si>
    <t>B</t>
  </si>
  <si>
    <t>-----</t>
  </si>
  <si>
    <t>27163</t>
  </si>
  <si>
    <t>56</t>
  </si>
  <si>
    <t>A</t>
  </si>
  <si>
    <t>30778</t>
  </si>
  <si>
    <t>11</t>
  </si>
  <si>
    <t>59</t>
  </si>
  <si>
    <t>27263</t>
  </si>
  <si>
    <t>51</t>
  </si>
  <si>
    <t>28698</t>
  </si>
  <si>
    <t>27898</t>
  </si>
  <si>
    <t>27480</t>
  </si>
  <si>
    <t>29975</t>
  </si>
  <si>
    <t>27078</t>
  </si>
  <si>
    <t>27113</t>
  </si>
  <si>
    <t>27160</t>
  </si>
  <si>
    <t>27285</t>
  </si>
  <si>
    <t>29140</t>
  </si>
  <si>
    <t>33678</t>
  </si>
  <si>
    <t>33018</t>
  </si>
  <si>
    <t>35248</t>
  </si>
  <si>
    <t>32263</t>
  </si>
  <si>
    <t>33025</t>
  </si>
  <si>
    <t>31983</t>
  </si>
  <si>
    <t>32520</t>
  </si>
  <si>
    <t>32383</t>
  </si>
  <si>
    <t>32875</t>
  </si>
  <si>
    <t>31975</t>
  </si>
  <si>
    <t>31993</t>
  </si>
  <si>
    <t>錄取學系中文名稱</t>
  </si>
  <si>
    <t>高中學力中文名稱</t>
  </si>
  <si>
    <t>學測國文級分</t>
  </si>
  <si>
    <t>學測英文級分</t>
  </si>
  <si>
    <t>學測數學級分</t>
  </si>
  <si>
    <t>學測社會級分</t>
  </si>
  <si>
    <t>學測自然級分</t>
  </si>
  <si>
    <t>學測總級分</t>
  </si>
  <si>
    <t>英聽成績</t>
  </si>
  <si>
    <t>指考國文實得分數</t>
  </si>
  <si>
    <t>指考英文實得分數</t>
  </si>
  <si>
    <t>指考數學甲實得分數</t>
  </si>
  <si>
    <t>指考數學乙實得分數</t>
  </si>
  <si>
    <t>指考歷史實得分數</t>
  </si>
  <si>
    <t>指考地理實得分數</t>
  </si>
  <si>
    <t>指考物理實得分數</t>
  </si>
  <si>
    <t>指考化學實得分數</t>
  </si>
  <si>
    <t>指考生物實得分數</t>
  </si>
  <si>
    <t>指考公民與社會實得分數</t>
  </si>
  <si>
    <t>指（術）科採計加權總分</t>
  </si>
  <si>
    <t>考生錄取志願序</t>
  </si>
  <si>
    <t>資訊管理學系(自然組)</t>
  </si>
  <si>
    <t>16</t>
  </si>
  <si>
    <t>26</t>
  </si>
  <si>
    <t>86</t>
  </si>
  <si>
    <t>54</t>
  </si>
  <si>
    <t>18</t>
  </si>
  <si>
    <t>25</t>
  </si>
  <si>
    <t>45</t>
  </si>
  <si>
    <t>31</t>
  </si>
  <si>
    <t>68</t>
  </si>
  <si>
    <t>資訊管理學系(社會組)</t>
  </si>
  <si>
    <t>70</t>
  </si>
  <si>
    <t>33</t>
  </si>
  <si>
    <t>32</t>
  </si>
  <si>
    <t>69</t>
  </si>
  <si>
    <t>43</t>
  </si>
  <si>
    <t>27</t>
  </si>
  <si>
    <t>17</t>
  </si>
  <si>
    <t>38</t>
  </si>
  <si>
    <t>44</t>
  </si>
  <si>
    <t>40</t>
  </si>
  <si>
    <t>ID</t>
    <phoneticPr fontId="1" type="noConversion"/>
  </si>
  <si>
    <t>臺中市立YYY中</t>
  </si>
  <si>
    <t>國立YYY中</t>
  </si>
  <si>
    <t>私立YYY中</t>
  </si>
  <si>
    <t>高雄市立YYY中</t>
  </si>
  <si>
    <t>新北市立YYY中</t>
  </si>
  <si>
    <t>男生</t>
  </si>
  <si>
    <t>女生</t>
  </si>
  <si>
    <t>性別</t>
    <phoneticPr fontId="1" type="noConversion"/>
  </si>
  <si>
    <t>自然組/社會組</t>
    <phoneticPr fontId="1" type="noConversion"/>
  </si>
  <si>
    <t>國立/私立/市立</t>
    <phoneticPr fontId="1" type="noConversion"/>
  </si>
  <si>
    <t>自然組/社會組</t>
    <phoneticPr fontId="1" type="noConversion"/>
  </si>
  <si>
    <t>國立/私立/市立</t>
    <phoneticPr fontId="1" type="noConversion"/>
  </si>
  <si>
    <t>性別</t>
    <phoneticPr fontId="1" type="noConversion"/>
  </si>
  <si>
    <t>自然組</t>
    <phoneticPr fontId="1" type="noConversion"/>
  </si>
  <si>
    <t>社會組</t>
    <phoneticPr fontId="1" type="noConversion"/>
  </si>
  <si>
    <t>經濟學</t>
    <phoneticPr fontId="1" type="noConversion"/>
  </si>
  <si>
    <t>國立</t>
    <phoneticPr fontId="1" type="noConversion"/>
  </si>
  <si>
    <t>私立</t>
    <phoneticPr fontId="1" type="noConversion"/>
  </si>
  <si>
    <t>市立</t>
    <phoneticPr fontId="1" type="noConversion"/>
  </si>
  <si>
    <t>男生</t>
    <phoneticPr fontId="1" type="noConversion"/>
  </si>
  <si>
    <t>女生</t>
    <phoneticPr fontId="1" type="noConversion"/>
  </si>
  <si>
    <t>資訊管理學系(自然組)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</si>
</sst>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Fill="1">
      <alignment vertical="center"/>
    </xf>
    <xf numFmtId="0" fontId="0" fillId="0" borderId="0" xfId="0" applyNumberFormat="1" applyFill="1">
      <alignment vertical="center"/>
    </xf>
    <xf numFmtId="0" fontId="0" fillId="0" borderId="0" xfId="0" applyFill="1" applyAlignment="1">
      <alignment vertical="center" wrapText="1"/>
    </xf>
  </cellXfs>
  <cellStyles count="1">
    <cellStyle name="一般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社會組與自然組各科平均比較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學生大一成績檔!$N$3</c:f>
              <c:strCache>
                <c:ptCount val="1"/>
                <c:pt idx="0">
                  <c:v>自然組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學生大一成績檔!$O$2:$U$2</c:f>
              <c:strCache>
                <c:ptCount val="7"/>
                <c:pt idx="0">
                  <c:v>經濟學</c:v>
                </c:pt>
                <c:pt idx="1">
                  <c:v>計算機概論</c:v>
                </c:pt>
                <c:pt idx="2">
                  <c:v>微積分</c:v>
                </c:pt>
                <c:pt idx="3">
                  <c:v>會計學I</c:v>
                </c:pt>
                <c:pt idx="4">
                  <c:v>程式設計</c:v>
                </c:pt>
                <c:pt idx="5">
                  <c:v>管理學</c:v>
                </c:pt>
                <c:pt idx="6">
                  <c:v>會計學II</c:v>
                </c:pt>
              </c:strCache>
            </c:strRef>
          </c:cat>
          <c:val>
            <c:numRef>
              <c:f>學生大一成績檔!$O$3:$U$3</c:f>
              <c:numCache>
                <c:formatCode>General</c:formatCode>
                <c:ptCount val="7"/>
                <c:pt idx="0">
                  <c:v>79.166666666666671</c:v>
                </c:pt>
                <c:pt idx="1">
                  <c:v>72.166666666666671</c:v>
                </c:pt>
                <c:pt idx="2">
                  <c:v>78.666666666666671</c:v>
                </c:pt>
                <c:pt idx="3">
                  <c:v>78.25</c:v>
                </c:pt>
                <c:pt idx="4">
                  <c:v>71.083333333333329</c:v>
                </c:pt>
                <c:pt idx="5">
                  <c:v>81.25</c:v>
                </c:pt>
                <c:pt idx="6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C-4F90-875F-E3F178A83A53}"/>
            </c:ext>
          </c:extLst>
        </c:ser>
        <c:ser>
          <c:idx val="1"/>
          <c:order val="1"/>
          <c:tx>
            <c:strRef>
              <c:f>學生大一成績檔!$N$4</c:f>
              <c:strCache>
                <c:ptCount val="1"/>
                <c:pt idx="0">
                  <c:v>社會組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學生大一成績檔!$O$2:$U$2</c:f>
              <c:strCache>
                <c:ptCount val="7"/>
                <c:pt idx="0">
                  <c:v>經濟學</c:v>
                </c:pt>
                <c:pt idx="1">
                  <c:v>計算機概論</c:v>
                </c:pt>
                <c:pt idx="2">
                  <c:v>微積分</c:v>
                </c:pt>
                <c:pt idx="3">
                  <c:v>會計學I</c:v>
                </c:pt>
                <c:pt idx="4">
                  <c:v>程式設計</c:v>
                </c:pt>
                <c:pt idx="5">
                  <c:v>管理學</c:v>
                </c:pt>
                <c:pt idx="6">
                  <c:v>會計學II</c:v>
                </c:pt>
              </c:strCache>
            </c:strRef>
          </c:cat>
          <c:val>
            <c:numRef>
              <c:f>學生大一成績檔!$O$4:$U$4</c:f>
              <c:numCache>
                <c:formatCode>General</c:formatCode>
                <c:ptCount val="7"/>
                <c:pt idx="0">
                  <c:v>80.454545454545453</c:v>
                </c:pt>
                <c:pt idx="1">
                  <c:v>74.090909090909093</c:v>
                </c:pt>
                <c:pt idx="2">
                  <c:v>83.272727272727266</c:v>
                </c:pt>
                <c:pt idx="3">
                  <c:v>79.454545454545453</c:v>
                </c:pt>
                <c:pt idx="4">
                  <c:v>68.090909090909093</c:v>
                </c:pt>
                <c:pt idx="5">
                  <c:v>81.818181818181813</c:v>
                </c:pt>
                <c:pt idx="6">
                  <c:v>73.909090909090907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9C-4F90-875F-E3F178A83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1368991"/>
        <c:axId val="1321377311"/>
      </c:barChart>
      <c:catAx>
        <c:axId val="132136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21377311"/>
        <c:crosses val="autoZero"/>
        <c:auto val="1"/>
        <c:lblAlgn val="ctr"/>
        <c:lblOffset val="100"/>
        <c:noMultiLvlLbl val="0"/>
      </c:catAx>
      <c:valAx>
        <c:axId val="132137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2136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國立、私立、市立各科平均比較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學生大一成績檔!$N$7</c:f>
              <c:strCache>
                <c:ptCount val="1"/>
                <c:pt idx="0">
                  <c:v>國立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學生大一成績檔!$O$6:$U$6</c:f>
              <c:strCache>
                <c:ptCount val="7"/>
                <c:pt idx="0">
                  <c:v>經濟學</c:v>
                </c:pt>
                <c:pt idx="1">
                  <c:v>計算機概論</c:v>
                </c:pt>
                <c:pt idx="2">
                  <c:v>微積分</c:v>
                </c:pt>
                <c:pt idx="3">
                  <c:v>會計學I</c:v>
                </c:pt>
                <c:pt idx="4">
                  <c:v>程式設計</c:v>
                </c:pt>
                <c:pt idx="5">
                  <c:v>管理學</c:v>
                </c:pt>
                <c:pt idx="6">
                  <c:v>會計學II</c:v>
                </c:pt>
              </c:strCache>
            </c:strRef>
          </c:cat>
          <c:val>
            <c:numRef>
              <c:f>學生大一成績檔!$O$7:$U$7</c:f>
              <c:numCache>
                <c:formatCode>General</c:formatCode>
                <c:ptCount val="7"/>
                <c:pt idx="0">
                  <c:v>81.25</c:v>
                </c:pt>
                <c:pt idx="1">
                  <c:v>74.666666666666671</c:v>
                </c:pt>
                <c:pt idx="2">
                  <c:v>81.333333333333329</c:v>
                </c:pt>
                <c:pt idx="3">
                  <c:v>79.75</c:v>
                </c:pt>
                <c:pt idx="4">
                  <c:v>70.583333333333329</c:v>
                </c:pt>
                <c:pt idx="5">
                  <c:v>82.666666666666671</c:v>
                </c:pt>
                <c:pt idx="6">
                  <c:v>75.833333333333329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B-4569-9995-5357684E254A}"/>
            </c:ext>
          </c:extLst>
        </c:ser>
        <c:ser>
          <c:idx val="1"/>
          <c:order val="1"/>
          <c:tx>
            <c:strRef>
              <c:f>學生大一成績檔!$N$8</c:f>
              <c:strCache>
                <c:ptCount val="1"/>
                <c:pt idx="0">
                  <c:v>私立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學生大一成績檔!$O$6:$U$6</c:f>
              <c:strCache>
                <c:ptCount val="7"/>
                <c:pt idx="0">
                  <c:v>經濟學</c:v>
                </c:pt>
                <c:pt idx="1">
                  <c:v>計算機概論</c:v>
                </c:pt>
                <c:pt idx="2">
                  <c:v>微積分</c:v>
                </c:pt>
                <c:pt idx="3">
                  <c:v>會計學I</c:v>
                </c:pt>
                <c:pt idx="4">
                  <c:v>程式設計</c:v>
                </c:pt>
                <c:pt idx="5">
                  <c:v>管理學</c:v>
                </c:pt>
                <c:pt idx="6">
                  <c:v>會計學II</c:v>
                </c:pt>
              </c:strCache>
            </c:strRef>
          </c:cat>
          <c:val>
            <c:numRef>
              <c:f>學生大一成績檔!$O$8:$U$8</c:f>
              <c:numCache>
                <c:formatCode>General</c:formatCode>
                <c:ptCount val="7"/>
                <c:pt idx="0">
                  <c:v>85.5</c:v>
                </c:pt>
                <c:pt idx="1">
                  <c:v>78</c:v>
                </c:pt>
                <c:pt idx="2">
                  <c:v>89.5</c:v>
                </c:pt>
                <c:pt idx="3">
                  <c:v>80.5</c:v>
                </c:pt>
                <c:pt idx="4">
                  <c:v>68</c:v>
                </c:pt>
                <c:pt idx="5">
                  <c:v>89.5</c:v>
                </c:pt>
                <c:pt idx="6">
                  <c:v>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9B-4569-9995-5357684E254A}"/>
            </c:ext>
          </c:extLst>
        </c:ser>
        <c:ser>
          <c:idx val="2"/>
          <c:order val="2"/>
          <c:tx>
            <c:strRef>
              <c:f>學生大一成績檔!$N$9</c:f>
              <c:strCache>
                <c:ptCount val="1"/>
                <c:pt idx="0">
                  <c:v>市立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學生大一成績檔!$O$6:$U$6</c:f>
              <c:strCache>
                <c:ptCount val="7"/>
                <c:pt idx="0">
                  <c:v>經濟學</c:v>
                </c:pt>
                <c:pt idx="1">
                  <c:v>計算機概論</c:v>
                </c:pt>
                <c:pt idx="2">
                  <c:v>微積分</c:v>
                </c:pt>
                <c:pt idx="3">
                  <c:v>會計學I</c:v>
                </c:pt>
                <c:pt idx="4">
                  <c:v>程式設計</c:v>
                </c:pt>
                <c:pt idx="5">
                  <c:v>管理學</c:v>
                </c:pt>
                <c:pt idx="6">
                  <c:v>會計學II</c:v>
                </c:pt>
              </c:strCache>
            </c:strRef>
          </c:cat>
          <c:val>
            <c:numRef>
              <c:f>學生大一成績檔!$O$9:$U$9</c:f>
              <c:numCache>
                <c:formatCode>General</c:formatCode>
                <c:ptCount val="7"/>
                <c:pt idx="0">
                  <c:v>76.555555555555557</c:v>
                </c:pt>
                <c:pt idx="1">
                  <c:v>69.888888888888886</c:v>
                </c:pt>
                <c:pt idx="2">
                  <c:v>78.333333333333329</c:v>
                </c:pt>
                <c:pt idx="3">
                  <c:v>77.222222222222229</c:v>
                </c:pt>
                <c:pt idx="4">
                  <c:v>68.777777777777771</c:v>
                </c:pt>
                <c:pt idx="5">
                  <c:v>78.222222222222229</c:v>
                </c:pt>
                <c:pt idx="6">
                  <c:v>72.666666666666671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9B-4569-9995-5357684E2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0843599"/>
        <c:axId val="1320846511"/>
      </c:barChart>
      <c:catAx>
        <c:axId val="132084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20846511"/>
        <c:crosses val="autoZero"/>
        <c:auto val="1"/>
        <c:lblAlgn val="ctr"/>
        <c:lblOffset val="100"/>
        <c:noMultiLvlLbl val="0"/>
      </c:catAx>
      <c:valAx>
        <c:axId val="132084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2084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男生與女生各科平均比較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學生大一成績檔!$N$12</c:f>
              <c:strCache>
                <c:ptCount val="1"/>
                <c:pt idx="0">
                  <c:v>男生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學生大一成績檔!$O$11:$U$11</c:f>
              <c:strCache>
                <c:ptCount val="7"/>
                <c:pt idx="0">
                  <c:v>經濟學</c:v>
                </c:pt>
                <c:pt idx="1">
                  <c:v>計算機概論</c:v>
                </c:pt>
                <c:pt idx="2">
                  <c:v>微積分</c:v>
                </c:pt>
                <c:pt idx="3">
                  <c:v>會計學I</c:v>
                </c:pt>
                <c:pt idx="4">
                  <c:v>程式設計</c:v>
                </c:pt>
                <c:pt idx="5">
                  <c:v>管理學</c:v>
                </c:pt>
                <c:pt idx="6">
                  <c:v>會計學II</c:v>
                </c:pt>
              </c:strCache>
            </c:strRef>
          </c:cat>
          <c:val>
            <c:numRef>
              <c:f>學生大一成績檔!$O$12:$U$12</c:f>
              <c:numCache>
                <c:formatCode>General</c:formatCode>
                <c:ptCount val="7"/>
                <c:pt idx="0">
                  <c:v>80</c:v>
                </c:pt>
                <c:pt idx="1">
                  <c:v>72.733333333333334</c:v>
                </c:pt>
                <c:pt idx="2">
                  <c:v>80.933333333333337</c:v>
                </c:pt>
                <c:pt idx="3">
                  <c:v>79.666666666666671</c:v>
                </c:pt>
                <c:pt idx="4">
                  <c:v>70.466666666666669</c:v>
                </c:pt>
                <c:pt idx="5">
                  <c:v>80.466666666666669</c:v>
                </c:pt>
                <c:pt idx="6">
                  <c:v>75.400000000000006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2-4E1D-80FC-5A087726F5A8}"/>
            </c:ext>
          </c:extLst>
        </c:ser>
        <c:ser>
          <c:idx val="1"/>
          <c:order val="1"/>
          <c:tx>
            <c:strRef>
              <c:f>學生大一成績檔!$N$13</c:f>
              <c:strCache>
                <c:ptCount val="1"/>
                <c:pt idx="0">
                  <c:v>女生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學生大一成績檔!$O$11:$U$11</c:f>
              <c:strCache>
                <c:ptCount val="7"/>
                <c:pt idx="0">
                  <c:v>經濟學</c:v>
                </c:pt>
                <c:pt idx="1">
                  <c:v>計算機概論</c:v>
                </c:pt>
                <c:pt idx="2">
                  <c:v>微積分</c:v>
                </c:pt>
                <c:pt idx="3">
                  <c:v>會計學I</c:v>
                </c:pt>
                <c:pt idx="4">
                  <c:v>程式設計</c:v>
                </c:pt>
                <c:pt idx="5">
                  <c:v>管理學</c:v>
                </c:pt>
                <c:pt idx="6">
                  <c:v>會計學II</c:v>
                </c:pt>
              </c:strCache>
            </c:strRef>
          </c:cat>
          <c:val>
            <c:numRef>
              <c:f>學生大一成績檔!$O$13:$U$13</c:f>
              <c:numCache>
                <c:formatCode>General</c:formatCode>
                <c:ptCount val="7"/>
                <c:pt idx="0">
                  <c:v>79.375</c:v>
                </c:pt>
                <c:pt idx="1">
                  <c:v>73.75</c:v>
                </c:pt>
                <c:pt idx="2">
                  <c:v>80.75</c:v>
                </c:pt>
                <c:pt idx="3">
                  <c:v>77.25</c:v>
                </c:pt>
                <c:pt idx="4">
                  <c:v>68.125</c:v>
                </c:pt>
                <c:pt idx="5">
                  <c:v>83.5</c:v>
                </c:pt>
                <c:pt idx="6">
                  <c:v>72.75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B2-4E1D-80FC-5A087726F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5102895"/>
        <c:axId val="1325111215"/>
      </c:barChart>
      <c:catAx>
        <c:axId val="132510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25111215"/>
        <c:crosses val="autoZero"/>
        <c:auto val="1"/>
        <c:lblAlgn val="ctr"/>
        <c:lblOffset val="100"/>
        <c:noMultiLvlLbl val="0"/>
      </c:catAx>
      <c:valAx>
        <c:axId val="132511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2510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15</xdr:row>
      <xdr:rowOff>23812</xdr:rowOff>
    </xdr:from>
    <xdr:to>
      <xdr:col>18</xdr:col>
      <xdr:colOff>361950</xdr:colOff>
      <xdr:row>28</xdr:row>
      <xdr:rowOff>42862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223837</xdr:colOff>
      <xdr:row>28</xdr:row>
      <xdr:rowOff>157162</xdr:rowOff>
    </xdr:from>
    <xdr:to>
      <xdr:col>17</xdr:col>
      <xdr:colOff>909637</xdr:colOff>
      <xdr:row>41</xdr:row>
      <xdr:rowOff>176212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90487</xdr:colOff>
      <xdr:row>28</xdr:row>
      <xdr:rowOff>195262</xdr:rowOff>
    </xdr:from>
    <xdr:to>
      <xdr:col>23</xdr:col>
      <xdr:colOff>376237</xdr:colOff>
      <xdr:row>42</xdr:row>
      <xdr:rowOff>4762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workbookViewId="0">
      <selection activeCell="O3" sqref="O3"/>
    </sheetView>
  </sheetViews>
  <sheetFormatPr defaultRowHeight="16.2" x14ac:dyDescent="0.3"/>
  <cols>
    <col min="3" max="3" width="12.88671875" bestFit="1" customWidth="1"/>
    <col min="6" max="6" width="10.44140625" bestFit="1" customWidth="1"/>
    <col min="9" max="10" width="10" bestFit="1" customWidth="1"/>
    <col min="11" max="11" width="16" customWidth="1"/>
    <col min="12" max="12" width="16.21875" customWidth="1"/>
    <col min="13" max="13" width="10.88671875" customWidth="1"/>
    <col min="14" max="14" width="12.77734375" customWidth="1"/>
    <col min="15" max="15" width="12.77734375" bestFit="1" customWidth="1"/>
    <col min="16" max="16" width="12.77734375" customWidth="1"/>
    <col min="17" max="21" width="12.77734375" bestFit="1" customWidth="1"/>
  </cols>
  <sheetData>
    <row r="1" spans="1:21" s="1" customFormat="1" ht="19.5" customHeight="1" x14ac:dyDescent="0.3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8</v>
      </c>
      <c r="I1" s="2" t="s">
        <v>4</v>
      </c>
      <c r="J1" s="2" t="s">
        <v>5</v>
      </c>
      <c r="K1" s="1" t="s">
        <v>93</v>
      </c>
      <c r="L1" s="1" t="s">
        <v>94</v>
      </c>
      <c r="M1" s="1" t="s">
        <v>95</v>
      </c>
    </row>
    <row r="2" spans="1:21" x14ac:dyDescent="0.3">
      <c r="A2">
        <v>93001</v>
      </c>
      <c r="B2">
        <v>60</v>
      </c>
      <c r="C2">
        <v>61</v>
      </c>
      <c r="D2">
        <v>43</v>
      </c>
      <c r="E2">
        <v>75</v>
      </c>
      <c r="F2">
        <v>54</v>
      </c>
      <c r="G2">
        <v>66</v>
      </c>
      <c r="H2">
        <v>66</v>
      </c>
      <c r="I2">
        <v>72.7</v>
      </c>
      <c r="J2">
        <v>74.7</v>
      </c>
      <c r="O2" t="s">
        <v>98</v>
      </c>
      <c r="P2" s="2" t="s">
        <v>1</v>
      </c>
      <c r="Q2" s="2" t="s">
        <v>2</v>
      </c>
      <c r="R2" s="2" t="s">
        <v>3</v>
      </c>
      <c r="S2" s="2" t="s">
        <v>6</v>
      </c>
      <c r="T2" s="2" t="s">
        <v>7</v>
      </c>
      <c r="U2" s="2" t="s">
        <v>8</v>
      </c>
    </row>
    <row r="3" spans="1:21" x14ac:dyDescent="0.3">
      <c r="A3">
        <v>93002</v>
      </c>
      <c r="B3">
        <v>55</v>
      </c>
      <c r="C3">
        <v>68</v>
      </c>
      <c r="D3">
        <v>77</v>
      </c>
      <c r="E3">
        <v>66</v>
      </c>
      <c r="F3">
        <v>30</v>
      </c>
      <c r="G3">
        <v>61</v>
      </c>
      <c r="H3">
        <v>61</v>
      </c>
      <c r="I3">
        <v>65.099999999999994</v>
      </c>
      <c r="J3">
        <v>72.3</v>
      </c>
      <c r="N3" t="s">
        <v>96</v>
      </c>
      <c r="O3">
        <f>AVERAGEIF($K$20:$K$42, "自然組", B$20:B$42)</f>
        <v>79.166666666666671</v>
      </c>
      <c r="P3">
        <f t="shared" ref="P3:U3" si="0">AVERAGEIF($K$20:$K$42, "自然組", C$20:C$42)</f>
        <v>72.166666666666671</v>
      </c>
      <c r="Q3">
        <f t="shared" si="0"/>
        <v>78.666666666666671</v>
      </c>
      <c r="R3">
        <f t="shared" si="0"/>
        <v>78.25</v>
      </c>
      <c r="S3">
        <f t="shared" si="0"/>
        <v>71.083333333333329</v>
      </c>
      <c r="T3">
        <f t="shared" si="0"/>
        <v>81.25</v>
      </c>
      <c r="U3">
        <f t="shared" si="0"/>
        <v>75</v>
      </c>
    </row>
    <row r="4" spans="1:21" x14ac:dyDescent="0.3">
      <c r="A4">
        <v>93003</v>
      </c>
      <c r="B4">
        <v>76</v>
      </c>
      <c r="C4">
        <v>84</v>
      </c>
      <c r="D4">
        <v>84</v>
      </c>
      <c r="E4">
        <v>84</v>
      </c>
      <c r="F4">
        <v>98</v>
      </c>
      <c r="G4">
        <v>90</v>
      </c>
      <c r="H4">
        <v>75</v>
      </c>
      <c r="I4">
        <v>85.5</v>
      </c>
      <c r="J4">
        <v>86.7</v>
      </c>
      <c r="N4" t="s">
        <v>97</v>
      </c>
      <c r="O4">
        <f>AVERAGEIF($K$20:$K$42, "社會組", B$20:B$42)</f>
        <v>80.454545454545453</v>
      </c>
      <c r="P4">
        <f t="shared" ref="P4:U4" si="1">AVERAGEIF($K$20:$K$42, "社會組", C$20:C$42)</f>
        <v>74.090909090909093</v>
      </c>
      <c r="Q4">
        <f t="shared" si="1"/>
        <v>83.272727272727266</v>
      </c>
      <c r="R4">
        <f t="shared" si="1"/>
        <v>79.454545454545453</v>
      </c>
      <c r="S4">
        <f t="shared" si="1"/>
        <v>68.090909090909093</v>
      </c>
      <c r="T4">
        <f t="shared" si="1"/>
        <v>81.818181818181813</v>
      </c>
      <c r="U4">
        <f t="shared" si="1"/>
        <v>73.909090909090907</v>
      </c>
    </row>
    <row r="5" spans="1:21" x14ac:dyDescent="0.3">
      <c r="A5">
        <v>93004</v>
      </c>
      <c r="B5">
        <v>51</v>
      </c>
      <c r="C5">
        <v>61</v>
      </c>
      <c r="D5">
        <v>61</v>
      </c>
      <c r="E5">
        <v>68</v>
      </c>
      <c r="F5">
        <v>13</v>
      </c>
      <c r="G5">
        <v>61</v>
      </c>
      <c r="H5">
        <v>50</v>
      </c>
      <c r="I5">
        <v>53.3</v>
      </c>
      <c r="J5">
        <v>44.7</v>
      </c>
    </row>
    <row r="6" spans="1:21" x14ac:dyDescent="0.3">
      <c r="A6">
        <v>93005</v>
      </c>
      <c r="B6">
        <v>68</v>
      </c>
      <c r="C6">
        <v>72</v>
      </c>
      <c r="D6">
        <v>76</v>
      </c>
      <c r="E6">
        <v>74</v>
      </c>
      <c r="F6">
        <v>66</v>
      </c>
      <c r="G6">
        <v>87</v>
      </c>
      <c r="H6">
        <v>69</v>
      </c>
      <c r="I6">
        <v>82.2</v>
      </c>
      <c r="J6">
        <v>83.4</v>
      </c>
      <c r="O6" t="s">
        <v>98</v>
      </c>
      <c r="P6" s="2" t="s">
        <v>1</v>
      </c>
      <c r="Q6" s="2" t="s">
        <v>2</v>
      </c>
      <c r="R6" s="2" t="s">
        <v>3</v>
      </c>
      <c r="S6" s="2" t="s">
        <v>6</v>
      </c>
      <c r="T6" s="2" t="s">
        <v>7</v>
      </c>
      <c r="U6" s="2" t="s">
        <v>8</v>
      </c>
    </row>
    <row r="7" spans="1:21" x14ac:dyDescent="0.3">
      <c r="A7">
        <v>93006</v>
      </c>
      <c r="B7">
        <v>58</v>
      </c>
      <c r="C7">
        <v>71</v>
      </c>
      <c r="D7">
        <v>71</v>
      </c>
      <c r="E7">
        <v>68</v>
      </c>
      <c r="F7">
        <v>56</v>
      </c>
      <c r="G7">
        <v>73</v>
      </c>
      <c r="H7">
        <v>71</v>
      </c>
      <c r="I7">
        <v>69.5</v>
      </c>
      <c r="J7">
        <v>71.8</v>
      </c>
      <c r="N7" t="s">
        <v>99</v>
      </c>
      <c r="O7">
        <f>AVERAGEIF($L$20:$L$42, "國立", B$20:B$42)</f>
        <v>81.25</v>
      </c>
      <c r="P7">
        <f t="shared" ref="P7:U7" si="2">AVERAGEIF($L$20:$L$42, "國立", C$20:C$42)</f>
        <v>74.666666666666671</v>
      </c>
      <c r="Q7">
        <f t="shared" si="2"/>
        <v>81.333333333333329</v>
      </c>
      <c r="R7">
        <f t="shared" si="2"/>
        <v>79.75</v>
      </c>
      <c r="S7">
        <f t="shared" si="2"/>
        <v>70.583333333333329</v>
      </c>
      <c r="T7">
        <f t="shared" si="2"/>
        <v>82.666666666666671</v>
      </c>
      <c r="U7">
        <f t="shared" si="2"/>
        <v>75.833333333333329</v>
      </c>
    </row>
    <row r="8" spans="1:21" x14ac:dyDescent="0.3">
      <c r="A8">
        <v>93007</v>
      </c>
      <c r="B8">
        <v>62</v>
      </c>
      <c r="C8">
        <v>81</v>
      </c>
      <c r="D8">
        <v>62</v>
      </c>
      <c r="E8">
        <v>76</v>
      </c>
      <c r="F8">
        <v>65</v>
      </c>
      <c r="G8">
        <v>80</v>
      </c>
      <c r="H8">
        <v>74</v>
      </c>
      <c r="I8">
        <v>71.099999999999994</v>
      </c>
      <c r="J8">
        <v>67.3</v>
      </c>
      <c r="N8" t="s">
        <v>100</v>
      </c>
      <c r="O8">
        <f>AVERAGEIF($L$20:$L$42, "私立", B$20:B$42)</f>
        <v>85.5</v>
      </c>
      <c r="P8">
        <f t="shared" ref="P8:U8" si="3">AVERAGEIF($L$20:$L$42, "私立", C$20:C$42)</f>
        <v>78</v>
      </c>
      <c r="Q8">
        <f t="shared" si="3"/>
        <v>89.5</v>
      </c>
      <c r="R8">
        <f t="shared" si="3"/>
        <v>80.5</v>
      </c>
      <c r="S8">
        <f t="shared" si="3"/>
        <v>68</v>
      </c>
      <c r="T8">
        <f t="shared" si="3"/>
        <v>89.5</v>
      </c>
      <c r="U8">
        <f t="shared" si="3"/>
        <v>74.5</v>
      </c>
    </row>
    <row r="9" spans="1:21" x14ac:dyDescent="0.3">
      <c r="A9">
        <v>93008</v>
      </c>
      <c r="B9">
        <v>71</v>
      </c>
      <c r="C9">
        <v>79</v>
      </c>
      <c r="D9">
        <v>98</v>
      </c>
      <c r="E9">
        <v>86</v>
      </c>
      <c r="F9">
        <v>80</v>
      </c>
      <c r="G9">
        <v>86</v>
      </c>
      <c r="H9">
        <v>70</v>
      </c>
      <c r="I9">
        <v>87.1</v>
      </c>
      <c r="J9">
        <v>85.3</v>
      </c>
      <c r="N9" t="s">
        <v>101</v>
      </c>
      <c r="O9">
        <f>AVERAGEIF($L$20:$L$42, "市立", B$20:B$42)</f>
        <v>76.555555555555557</v>
      </c>
      <c r="P9">
        <f t="shared" ref="P9:U9" si="4">AVERAGEIF($L$20:$L$42, "市立", C$20:C$42)</f>
        <v>69.888888888888886</v>
      </c>
      <c r="Q9">
        <f t="shared" si="4"/>
        <v>78.333333333333329</v>
      </c>
      <c r="R9">
        <f t="shared" si="4"/>
        <v>77.222222222222229</v>
      </c>
      <c r="S9">
        <f t="shared" si="4"/>
        <v>68.777777777777771</v>
      </c>
      <c r="T9">
        <f t="shared" si="4"/>
        <v>78.222222222222229</v>
      </c>
      <c r="U9">
        <f t="shared" si="4"/>
        <v>72.666666666666671</v>
      </c>
    </row>
    <row r="10" spans="1:21" x14ac:dyDescent="0.3">
      <c r="A10">
        <v>93009</v>
      </c>
      <c r="B10">
        <v>80</v>
      </c>
      <c r="C10">
        <v>87</v>
      </c>
      <c r="D10">
        <v>79</v>
      </c>
      <c r="E10">
        <v>84</v>
      </c>
      <c r="F10">
        <v>78</v>
      </c>
      <c r="G10">
        <v>88</v>
      </c>
      <c r="H10">
        <v>82</v>
      </c>
      <c r="I10">
        <v>88.2</v>
      </c>
      <c r="J10">
        <v>88.9</v>
      </c>
    </row>
    <row r="11" spans="1:21" x14ac:dyDescent="0.3">
      <c r="A11">
        <v>93010</v>
      </c>
      <c r="B11">
        <v>66</v>
      </c>
      <c r="C11">
        <v>71</v>
      </c>
      <c r="D11">
        <v>70</v>
      </c>
      <c r="E11">
        <v>68</v>
      </c>
      <c r="F11">
        <v>42</v>
      </c>
      <c r="G11">
        <v>83</v>
      </c>
      <c r="H11">
        <v>60</v>
      </c>
      <c r="I11">
        <v>66.099999999999994</v>
      </c>
      <c r="J11">
        <v>73.2</v>
      </c>
      <c r="O11" t="s">
        <v>98</v>
      </c>
      <c r="P11" s="2" t="s">
        <v>1</v>
      </c>
      <c r="Q11" s="2" t="s">
        <v>2</v>
      </c>
      <c r="R11" s="2" t="s">
        <v>3</v>
      </c>
      <c r="S11" s="2" t="s">
        <v>6</v>
      </c>
      <c r="T11" s="2" t="s">
        <v>7</v>
      </c>
      <c r="U11" s="2" t="s">
        <v>8</v>
      </c>
    </row>
    <row r="12" spans="1:21" x14ac:dyDescent="0.3">
      <c r="A12">
        <v>93011</v>
      </c>
      <c r="B12">
        <v>74</v>
      </c>
      <c r="C12">
        <v>84</v>
      </c>
      <c r="D12">
        <v>73</v>
      </c>
      <c r="E12">
        <v>80</v>
      </c>
      <c r="F12">
        <v>68</v>
      </c>
      <c r="G12">
        <v>86</v>
      </c>
      <c r="H12">
        <v>67</v>
      </c>
      <c r="I12">
        <v>77.900000000000006</v>
      </c>
      <c r="J12">
        <v>81.099999999999994</v>
      </c>
      <c r="N12" t="s">
        <v>102</v>
      </c>
      <c r="O12">
        <f>AVERAGEIF($M$20:$M$42, "男生", B$20:B$42)</f>
        <v>80</v>
      </c>
      <c r="P12">
        <f t="shared" ref="P12:U12" si="5">AVERAGEIF($M$20:$M$42, "男生", C$20:C$42)</f>
        <v>72.733333333333334</v>
      </c>
      <c r="Q12">
        <f t="shared" si="5"/>
        <v>80.933333333333337</v>
      </c>
      <c r="R12">
        <f t="shared" si="5"/>
        <v>79.666666666666671</v>
      </c>
      <c r="S12">
        <f t="shared" si="5"/>
        <v>70.466666666666669</v>
      </c>
      <c r="T12">
        <f t="shared" si="5"/>
        <v>80.466666666666669</v>
      </c>
      <c r="U12">
        <f t="shared" si="5"/>
        <v>75.400000000000006</v>
      </c>
    </row>
    <row r="13" spans="1:21" x14ac:dyDescent="0.3">
      <c r="A13">
        <v>93012</v>
      </c>
      <c r="B13">
        <v>64</v>
      </c>
      <c r="C13">
        <v>69</v>
      </c>
      <c r="D13">
        <v>72</v>
      </c>
      <c r="E13">
        <v>66</v>
      </c>
      <c r="F13">
        <v>48</v>
      </c>
      <c r="G13">
        <v>80</v>
      </c>
      <c r="H13">
        <v>60</v>
      </c>
      <c r="I13">
        <v>70.7</v>
      </c>
      <c r="J13">
        <v>78.099999999999994</v>
      </c>
      <c r="N13" t="s">
        <v>103</v>
      </c>
      <c r="O13">
        <f>AVERAGEIF($M$20:$M$42, "女生", B$20:B$42)</f>
        <v>79.375</v>
      </c>
      <c r="P13">
        <f t="shared" ref="P13:U13" si="6">AVERAGEIF($M$20:$M$42, "女生", C$20:C$42)</f>
        <v>73.75</v>
      </c>
      <c r="Q13">
        <f t="shared" si="6"/>
        <v>80.75</v>
      </c>
      <c r="R13">
        <f t="shared" si="6"/>
        <v>77.25</v>
      </c>
      <c r="S13">
        <f t="shared" si="6"/>
        <v>68.125</v>
      </c>
      <c r="T13">
        <f t="shared" si="6"/>
        <v>83.5</v>
      </c>
      <c r="U13">
        <f t="shared" si="6"/>
        <v>72.75</v>
      </c>
    </row>
    <row r="14" spans="1:21" x14ac:dyDescent="0.3">
      <c r="A14">
        <v>93013</v>
      </c>
      <c r="B14">
        <v>65</v>
      </c>
      <c r="C14">
        <v>76</v>
      </c>
      <c r="D14">
        <v>61</v>
      </c>
      <c r="E14">
        <v>76</v>
      </c>
      <c r="F14">
        <v>33</v>
      </c>
      <c r="G14">
        <v>82</v>
      </c>
      <c r="H14">
        <v>65</v>
      </c>
      <c r="I14">
        <v>69.2</v>
      </c>
      <c r="J14">
        <v>80.400000000000006</v>
      </c>
    </row>
    <row r="15" spans="1:21" x14ac:dyDescent="0.3">
      <c r="A15">
        <v>93014</v>
      </c>
      <c r="B15">
        <v>76</v>
      </c>
      <c r="C15">
        <v>68</v>
      </c>
      <c r="D15">
        <v>74</v>
      </c>
      <c r="E15">
        <v>75</v>
      </c>
      <c r="F15">
        <v>67</v>
      </c>
      <c r="G15">
        <v>88</v>
      </c>
      <c r="H15">
        <v>60</v>
      </c>
      <c r="I15">
        <v>72.8</v>
      </c>
      <c r="J15">
        <v>81.8</v>
      </c>
    </row>
    <row r="16" spans="1:21" x14ac:dyDescent="0.3">
      <c r="A16">
        <v>93015</v>
      </c>
      <c r="B16">
        <v>63</v>
      </c>
      <c r="C16">
        <v>80</v>
      </c>
      <c r="D16">
        <v>66</v>
      </c>
      <c r="E16">
        <v>74</v>
      </c>
      <c r="F16">
        <v>68</v>
      </c>
      <c r="G16">
        <v>77</v>
      </c>
      <c r="H16">
        <v>66</v>
      </c>
      <c r="I16">
        <v>69.7</v>
      </c>
      <c r="J16">
        <v>77.8</v>
      </c>
    </row>
    <row r="17" spans="1:13" x14ac:dyDescent="0.3">
      <c r="A17">
        <v>93016</v>
      </c>
      <c r="B17">
        <v>66</v>
      </c>
      <c r="C17">
        <v>73</v>
      </c>
      <c r="D17">
        <v>57</v>
      </c>
      <c r="E17">
        <v>80</v>
      </c>
      <c r="F17">
        <v>53</v>
      </c>
      <c r="G17">
        <v>72</v>
      </c>
      <c r="H17">
        <v>61</v>
      </c>
      <c r="I17">
        <v>69.2</v>
      </c>
      <c r="J17">
        <v>75.3</v>
      </c>
    </row>
    <row r="18" spans="1:13" x14ac:dyDescent="0.3">
      <c r="A18">
        <v>93017</v>
      </c>
      <c r="B18">
        <v>70</v>
      </c>
      <c r="C18">
        <v>77</v>
      </c>
      <c r="D18">
        <v>93</v>
      </c>
      <c r="E18">
        <v>78</v>
      </c>
      <c r="F18">
        <v>77</v>
      </c>
      <c r="G18">
        <v>90</v>
      </c>
      <c r="H18">
        <v>71</v>
      </c>
      <c r="I18">
        <v>82.1</v>
      </c>
      <c r="J18">
        <v>82.1</v>
      </c>
    </row>
    <row r="19" spans="1:13" x14ac:dyDescent="0.3">
      <c r="A19">
        <v>93018</v>
      </c>
      <c r="B19">
        <v>61</v>
      </c>
      <c r="C19">
        <v>69</v>
      </c>
      <c r="D19">
        <v>53</v>
      </c>
      <c r="E19">
        <v>68</v>
      </c>
      <c r="F19">
        <v>56</v>
      </c>
      <c r="G19">
        <v>78</v>
      </c>
      <c r="H19">
        <v>71</v>
      </c>
      <c r="I19">
        <v>71.8</v>
      </c>
      <c r="J19">
        <v>72.599999999999994</v>
      </c>
    </row>
    <row r="20" spans="1:13" x14ac:dyDescent="0.3">
      <c r="A20">
        <v>93019</v>
      </c>
      <c r="B20">
        <v>86</v>
      </c>
      <c r="C20">
        <v>74</v>
      </c>
      <c r="D20">
        <v>78</v>
      </c>
      <c r="E20">
        <v>77</v>
      </c>
      <c r="F20">
        <v>76</v>
      </c>
      <c r="G20">
        <v>70</v>
      </c>
      <c r="H20">
        <v>70</v>
      </c>
      <c r="I20">
        <v>80.400000000000006</v>
      </c>
      <c r="J20">
        <v>77.099999999999994</v>
      </c>
      <c r="K20" t="str">
        <f>VLOOKUP(A20,學生入學成績檔!B2:Y24,3)</f>
        <v>自然組</v>
      </c>
      <c r="L20" t="str">
        <f>VLOOKUP(A20,學生入學成績檔!B2:Y24,4)</f>
        <v>市立</v>
      </c>
      <c r="M20" t="str">
        <f>VLOOKUP(A20,學生入學成績檔!B2:Y24,5)</f>
        <v>男生</v>
      </c>
    </row>
    <row r="21" spans="1:13" x14ac:dyDescent="0.3">
      <c r="A21">
        <v>93020</v>
      </c>
      <c r="B21">
        <v>73</v>
      </c>
      <c r="C21">
        <v>68</v>
      </c>
      <c r="D21">
        <v>67</v>
      </c>
      <c r="E21">
        <v>75</v>
      </c>
      <c r="F21">
        <v>65</v>
      </c>
      <c r="G21">
        <v>86</v>
      </c>
      <c r="H21">
        <v>67</v>
      </c>
      <c r="I21">
        <v>79.7</v>
      </c>
      <c r="J21">
        <v>75.099999999999994</v>
      </c>
      <c r="K21" t="str">
        <f>VLOOKUP(A21,學生入學成績檔!B3:Y25,3)</f>
        <v>自然組</v>
      </c>
      <c r="L21" t="str">
        <f>VLOOKUP(A21,學生入學成績檔!B3:Y25,4)</f>
        <v>國立</v>
      </c>
      <c r="M21" t="str">
        <f>VLOOKUP(A21,學生入學成績檔!B3:Y25,5)</f>
        <v>女生</v>
      </c>
    </row>
    <row r="22" spans="1:13" x14ac:dyDescent="0.3">
      <c r="A22">
        <v>93021</v>
      </c>
      <c r="B22">
        <v>83</v>
      </c>
      <c r="C22">
        <v>76</v>
      </c>
      <c r="D22">
        <v>93</v>
      </c>
      <c r="E22">
        <v>82</v>
      </c>
      <c r="F22">
        <v>72</v>
      </c>
      <c r="G22">
        <v>91</v>
      </c>
      <c r="H22">
        <v>80</v>
      </c>
      <c r="I22">
        <v>84.6</v>
      </c>
      <c r="J22">
        <v>83.7</v>
      </c>
      <c r="K22" t="str">
        <f>VLOOKUP(A22,學生入學成績檔!B4:Y26,3)</f>
        <v>自然組</v>
      </c>
      <c r="L22" t="str">
        <f>VLOOKUP(A22,學生入學成績檔!B4:Y26,4)</f>
        <v>私立</v>
      </c>
      <c r="M22" t="str">
        <f>VLOOKUP(A22,學生入學成績檔!B4:Y26,5)</f>
        <v>女生</v>
      </c>
    </row>
    <row r="23" spans="1:13" x14ac:dyDescent="0.3">
      <c r="A23">
        <v>93022</v>
      </c>
      <c r="B23">
        <v>79</v>
      </c>
      <c r="C23">
        <v>61</v>
      </c>
      <c r="D23">
        <v>73</v>
      </c>
      <c r="E23">
        <v>66</v>
      </c>
      <c r="F23">
        <v>75</v>
      </c>
      <c r="G23">
        <v>77</v>
      </c>
      <c r="H23">
        <v>73</v>
      </c>
      <c r="I23">
        <v>72.400000000000006</v>
      </c>
      <c r="J23">
        <v>77.7</v>
      </c>
      <c r="K23" t="str">
        <f>VLOOKUP(A23,學生入學成績檔!B5:Y27,3)</f>
        <v>自然組</v>
      </c>
      <c r="L23" t="str">
        <f>VLOOKUP(A23,學生入學成績檔!B5:Y27,4)</f>
        <v>市立</v>
      </c>
      <c r="M23" t="str">
        <f>VLOOKUP(A23,學生入學成績檔!B5:Y27,5)</f>
        <v>女生</v>
      </c>
    </row>
    <row r="24" spans="1:13" x14ac:dyDescent="0.3">
      <c r="A24">
        <v>93023</v>
      </c>
      <c r="B24">
        <v>86</v>
      </c>
      <c r="C24">
        <v>80</v>
      </c>
      <c r="D24">
        <v>93</v>
      </c>
      <c r="E24">
        <v>92</v>
      </c>
      <c r="F24">
        <v>73</v>
      </c>
      <c r="G24">
        <v>100</v>
      </c>
      <c r="H24">
        <v>83</v>
      </c>
      <c r="I24">
        <v>87.7</v>
      </c>
      <c r="J24">
        <v>87.4</v>
      </c>
      <c r="K24" t="str">
        <f>VLOOKUP(A24,學生入學成績檔!B6:Y28,3)</f>
        <v>自然組</v>
      </c>
      <c r="L24" t="str">
        <f>VLOOKUP(A24,學生入學成績檔!B6:Y28,4)</f>
        <v>市立</v>
      </c>
      <c r="M24" t="str">
        <f>VLOOKUP(A24,學生入學成績檔!B6:Y28,5)</f>
        <v>男生</v>
      </c>
    </row>
    <row r="25" spans="1:13" x14ac:dyDescent="0.3">
      <c r="A25">
        <v>93024</v>
      </c>
      <c r="B25">
        <v>73</v>
      </c>
      <c r="C25">
        <v>71</v>
      </c>
      <c r="D25">
        <v>80</v>
      </c>
      <c r="E25">
        <v>80</v>
      </c>
      <c r="F25">
        <v>91</v>
      </c>
      <c r="G25">
        <v>66</v>
      </c>
      <c r="H25">
        <v>71</v>
      </c>
      <c r="I25">
        <v>78.3</v>
      </c>
      <c r="J25">
        <v>72</v>
      </c>
      <c r="K25" t="str">
        <f>VLOOKUP(A25,學生入學成績檔!B7:Y29,3)</f>
        <v>自然組</v>
      </c>
      <c r="L25" t="str">
        <f>VLOOKUP(A25,學生入學成績檔!B7:Y29,4)</f>
        <v>市立</v>
      </c>
      <c r="M25" t="str">
        <f>VLOOKUP(A25,學生入學成績檔!B7:Y29,5)</f>
        <v>男生</v>
      </c>
    </row>
    <row r="26" spans="1:13" x14ac:dyDescent="0.3">
      <c r="A26">
        <v>93025</v>
      </c>
      <c r="B26">
        <v>60</v>
      </c>
      <c r="C26">
        <v>66</v>
      </c>
      <c r="D26">
        <v>66</v>
      </c>
      <c r="E26">
        <v>80</v>
      </c>
      <c r="F26">
        <v>66</v>
      </c>
      <c r="G26">
        <v>84</v>
      </c>
      <c r="H26">
        <v>91</v>
      </c>
      <c r="I26">
        <v>74</v>
      </c>
      <c r="J26">
        <v>75.900000000000006</v>
      </c>
      <c r="K26" t="str">
        <f>VLOOKUP(A26,學生入學成績檔!B8:Y30,3)</f>
        <v>自然組</v>
      </c>
      <c r="L26" t="str">
        <f>VLOOKUP(A26,學生入學成績檔!B8:Y30,4)</f>
        <v>市立</v>
      </c>
      <c r="M26" t="str">
        <f>VLOOKUP(A26,學生入學成績檔!B8:Y30,5)</f>
        <v>男生</v>
      </c>
    </row>
    <row r="27" spans="1:13" x14ac:dyDescent="0.3">
      <c r="A27">
        <v>93026</v>
      </c>
      <c r="B27">
        <v>95</v>
      </c>
      <c r="C27">
        <v>78</v>
      </c>
      <c r="D27">
        <v>86</v>
      </c>
      <c r="E27">
        <v>85</v>
      </c>
      <c r="F27">
        <v>88</v>
      </c>
      <c r="G27">
        <v>90</v>
      </c>
      <c r="H27">
        <v>79</v>
      </c>
      <c r="I27">
        <v>86.3</v>
      </c>
      <c r="J27">
        <v>85.8</v>
      </c>
      <c r="K27" t="str">
        <f>VLOOKUP(A27,學生入學成績檔!B9:Y31,3)</f>
        <v>自然組</v>
      </c>
      <c r="L27" t="str">
        <f>VLOOKUP(A27,學生入學成績檔!B9:Y31,4)</f>
        <v>國立</v>
      </c>
      <c r="M27" t="str">
        <f>VLOOKUP(A27,學生入學成績檔!B9:Y31,5)</f>
        <v>男生</v>
      </c>
    </row>
    <row r="28" spans="1:13" x14ac:dyDescent="0.3">
      <c r="A28">
        <v>93027</v>
      </c>
      <c r="B28">
        <v>87</v>
      </c>
      <c r="C28">
        <v>84</v>
      </c>
      <c r="D28">
        <v>92</v>
      </c>
      <c r="E28">
        <v>79</v>
      </c>
      <c r="F28">
        <v>86</v>
      </c>
      <c r="G28">
        <v>94</v>
      </c>
      <c r="H28">
        <v>80</v>
      </c>
      <c r="I28">
        <v>88</v>
      </c>
      <c r="J28">
        <v>89.1</v>
      </c>
      <c r="K28" t="str">
        <f>VLOOKUP(A28,學生入學成績檔!B10:Y32,3)</f>
        <v>自然組</v>
      </c>
      <c r="L28" t="str">
        <f>VLOOKUP(A28,學生入學成績檔!B10:Y32,4)</f>
        <v>國立</v>
      </c>
      <c r="M28" t="str">
        <f>VLOOKUP(A28,學生入學成績檔!B10:Y32,5)</f>
        <v>女生</v>
      </c>
    </row>
    <row r="29" spans="1:13" x14ac:dyDescent="0.3">
      <c r="A29">
        <v>93028</v>
      </c>
      <c r="B29">
        <v>88</v>
      </c>
      <c r="C29">
        <v>80</v>
      </c>
      <c r="D29">
        <v>86</v>
      </c>
      <c r="E29">
        <v>79</v>
      </c>
      <c r="F29">
        <v>64</v>
      </c>
      <c r="G29">
        <v>88</v>
      </c>
      <c r="H29">
        <v>69</v>
      </c>
      <c r="I29">
        <v>84.2</v>
      </c>
      <c r="J29">
        <v>80.900000000000006</v>
      </c>
      <c r="K29" t="str">
        <f>VLOOKUP(A29,學生入學成績檔!B11:Y33,3)</f>
        <v>自然組</v>
      </c>
      <c r="L29" t="str">
        <f>VLOOKUP(A29,學生入學成績檔!B11:Y33,4)</f>
        <v>私立</v>
      </c>
      <c r="M29" t="str">
        <f>VLOOKUP(A29,學生入學成績檔!B11:Y33,5)</f>
        <v>女生</v>
      </c>
    </row>
    <row r="30" spans="1:13" x14ac:dyDescent="0.3">
      <c r="A30">
        <v>93029</v>
      </c>
      <c r="B30">
        <v>70</v>
      </c>
      <c r="C30">
        <v>66</v>
      </c>
      <c r="D30">
        <v>66</v>
      </c>
      <c r="E30">
        <v>70</v>
      </c>
      <c r="F30">
        <v>55</v>
      </c>
      <c r="G30">
        <v>75</v>
      </c>
      <c r="H30">
        <v>65</v>
      </c>
      <c r="I30">
        <v>73</v>
      </c>
      <c r="J30">
        <v>72.3</v>
      </c>
      <c r="K30" t="str">
        <f>VLOOKUP(A30,學生入學成績檔!B12:Y34,3)</f>
        <v>自然組</v>
      </c>
      <c r="L30" t="str">
        <f>VLOOKUP(A30,學生入學成績檔!B12:Y34,4)</f>
        <v>市立</v>
      </c>
      <c r="M30" t="str">
        <f>VLOOKUP(A30,學生入學成績檔!B12:Y34,5)</f>
        <v>男生</v>
      </c>
    </row>
    <row r="31" spans="1:13" x14ac:dyDescent="0.3">
      <c r="A31">
        <v>93030</v>
      </c>
      <c r="B31">
        <v>70</v>
      </c>
      <c r="C31">
        <v>62</v>
      </c>
      <c r="D31">
        <v>64</v>
      </c>
      <c r="E31">
        <v>74</v>
      </c>
      <c r="F31">
        <v>42</v>
      </c>
      <c r="G31">
        <v>54</v>
      </c>
      <c r="H31">
        <v>72</v>
      </c>
      <c r="I31">
        <v>70.8</v>
      </c>
      <c r="J31">
        <v>69.099999999999994</v>
      </c>
      <c r="K31" t="str">
        <f>VLOOKUP(A31,學生入學成績檔!B13:Y35,3)</f>
        <v>自然組</v>
      </c>
      <c r="L31" t="str">
        <f>VLOOKUP(A31,學生入學成績檔!B13:Y35,4)</f>
        <v>國立</v>
      </c>
      <c r="M31" t="str">
        <f>VLOOKUP(A31,學生入學成績檔!B13:Y35,5)</f>
        <v>男生</v>
      </c>
    </row>
    <row r="32" spans="1:13" x14ac:dyDescent="0.3">
      <c r="A32">
        <v>93031</v>
      </c>
      <c r="B32">
        <v>64</v>
      </c>
      <c r="C32">
        <v>68</v>
      </c>
      <c r="D32">
        <v>79</v>
      </c>
      <c r="E32">
        <v>63</v>
      </c>
      <c r="F32">
        <v>58</v>
      </c>
      <c r="G32">
        <v>74</v>
      </c>
      <c r="H32">
        <v>67</v>
      </c>
      <c r="I32">
        <v>72</v>
      </c>
      <c r="J32">
        <v>75.099999999999994</v>
      </c>
      <c r="K32" t="str">
        <f>VLOOKUP(A32,學生入學成績檔!B14:Y36,3)</f>
        <v>社會組</v>
      </c>
      <c r="L32" t="str">
        <f>VLOOKUP(A32,學生入學成績檔!B14:Y36,4)</f>
        <v>市立</v>
      </c>
      <c r="M32" t="str">
        <f>VLOOKUP(A32,學生入學成績檔!B14:Y36,5)</f>
        <v>男生</v>
      </c>
    </row>
    <row r="33" spans="1:13" x14ac:dyDescent="0.3">
      <c r="A33">
        <v>93032</v>
      </c>
      <c r="B33">
        <v>87</v>
      </c>
      <c r="C33">
        <v>86</v>
      </c>
      <c r="D33">
        <v>93</v>
      </c>
      <c r="E33">
        <v>88</v>
      </c>
      <c r="F33">
        <v>97</v>
      </c>
      <c r="G33">
        <v>92</v>
      </c>
      <c r="H33">
        <v>90</v>
      </c>
      <c r="I33">
        <v>85.9</v>
      </c>
      <c r="J33">
        <v>89.6</v>
      </c>
      <c r="K33" t="str">
        <f>VLOOKUP(A33,學生入學成績檔!B15:Y37,3)</f>
        <v>社會組</v>
      </c>
      <c r="L33" t="str">
        <f>VLOOKUP(A33,學生入學成績檔!B15:Y37,4)</f>
        <v>國立</v>
      </c>
      <c r="M33" t="str">
        <f>VLOOKUP(A33,學生入學成績檔!B15:Y37,5)</f>
        <v>男生</v>
      </c>
    </row>
    <row r="34" spans="1:13" x14ac:dyDescent="0.3">
      <c r="A34">
        <v>93033</v>
      </c>
      <c r="B34">
        <v>77</v>
      </c>
      <c r="C34">
        <v>79</v>
      </c>
      <c r="D34">
        <v>86</v>
      </c>
      <c r="E34">
        <v>86</v>
      </c>
      <c r="F34">
        <v>70</v>
      </c>
      <c r="G34">
        <v>87</v>
      </c>
      <c r="H34">
        <v>75</v>
      </c>
      <c r="I34">
        <v>85</v>
      </c>
      <c r="J34">
        <v>82</v>
      </c>
      <c r="K34" t="str">
        <f>VLOOKUP(A34,學生入學成績檔!B16:Y38,3)</f>
        <v>社會組</v>
      </c>
      <c r="L34" t="str">
        <f>VLOOKUP(A34,學生入學成績檔!B16:Y38,4)</f>
        <v>國立</v>
      </c>
      <c r="M34" t="str">
        <f>VLOOKUP(A34,學生入學成績檔!B16:Y38,5)</f>
        <v>女生</v>
      </c>
    </row>
    <row r="35" spans="1:13" x14ac:dyDescent="0.3">
      <c r="A35">
        <v>93034</v>
      </c>
      <c r="B35">
        <v>89</v>
      </c>
      <c r="C35">
        <v>74</v>
      </c>
      <c r="D35">
        <v>92</v>
      </c>
      <c r="E35">
        <v>80</v>
      </c>
      <c r="F35">
        <v>56</v>
      </c>
      <c r="G35">
        <v>76</v>
      </c>
      <c r="H35">
        <v>64</v>
      </c>
      <c r="I35">
        <v>83</v>
      </c>
      <c r="J35">
        <v>72.5</v>
      </c>
      <c r="K35" t="str">
        <f>VLOOKUP(A35,學生入學成績檔!B17:Y39,3)</f>
        <v>社會組</v>
      </c>
      <c r="L35" t="str">
        <f>VLOOKUP(A35,學生入學成績檔!B17:Y39,4)</f>
        <v>市立</v>
      </c>
      <c r="M35" t="str">
        <f>VLOOKUP(A35,學生入學成績檔!B17:Y39,5)</f>
        <v>男生</v>
      </c>
    </row>
    <row r="36" spans="1:13" x14ac:dyDescent="0.3">
      <c r="A36">
        <v>93035</v>
      </c>
      <c r="B36">
        <v>83</v>
      </c>
      <c r="C36">
        <v>75</v>
      </c>
      <c r="D36">
        <v>79</v>
      </c>
      <c r="E36">
        <v>72</v>
      </c>
      <c r="F36">
        <v>65</v>
      </c>
      <c r="G36">
        <v>82</v>
      </c>
      <c r="H36">
        <v>71</v>
      </c>
      <c r="I36">
        <v>80.2</v>
      </c>
      <c r="J36">
        <v>77.900000000000006</v>
      </c>
      <c r="K36" t="str">
        <f>VLOOKUP(A36,學生入學成績檔!B18:Y40,3)</f>
        <v>社會組</v>
      </c>
      <c r="L36" t="str">
        <f>VLOOKUP(A36,學生入學成績檔!B18:Y40,4)</f>
        <v>國立</v>
      </c>
      <c r="M36" t="str">
        <f>VLOOKUP(A36,學生入學成績檔!B18:Y40,5)</f>
        <v>男生</v>
      </c>
    </row>
    <row r="37" spans="1:13" x14ac:dyDescent="0.3">
      <c r="A37">
        <v>93036</v>
      </c>
      <c r="B37">
        <v>82</v>
      </c>
      <c r="C37">
        <v>69</v>
      </c>
      <c r="D37">
        <v>78</v>
      </c>
      <c r="E37">
        <v>87</v>
      </c>
      <c r="F37">
        <v>69</v>
      </c>
      <c r="G37">
        <v>82</v>
      </c>
      <c r="H37">
        <v>70</v>
      </c>
      <c r="I37">
        <v>81.099999999999994</v>
      </c>
      <c r="J37">
        <v>79.099999999999994</v>
      </c>
      <c r="K37" t="str">
        <f>VLOOKUP(A37,學生入學成績檔!B19:Y41,3)</f>
        <v>社會組</v>
      </c>
      <c r="L37" t="str">
        <f>VLOOKUP(A37,學生入學成績檔!B19:Y41,4)</f>
        <v>市立</v>
      </c>
      <c r="M37" t="str">
        <f>VLOOKUP(A37,學生入學成績檔!B19:Y41,5)</f>
        <v>男生</v>
      </c>
    </row>
    <row r="38" spans="1:13" x14ac:dyDescent="0.3">
      <c r="A38">
        <v>93037</v>
      </c>
      <c r="B38">
        <v>82</v>
      </c>
      <c r="C38">
        <v>77</v>
      </c>
      <c r="D38">
        <v>91</v>
      </c>
      <c r="E38">
        <v>83</v>
      </c>
      <c r="F38">
        <v>73</v>
      </c>
      <c r="G38">
        <v>89</v>
      </c>
      <c r="H38">
        <v>80</v>
      </c>
      <c r="I38">
        <v>82.5</v>
      </c>
      <c r="J38">
        <v>83.4</v>
      </c>
      <c r="K38" t="str">
        <f>VLOOKUP(A38,學生入學成績檔!B20:Y42,3)</f>
        <v>社會組</v>
      </c>
      <c r="L38" t="str">
        <f>VLOOKUP(A38,學生入學成績檔!B20:Y42,4)</f>
        <v>國立</v>
      </c>
      <c r="M38" t="str">
        <f>VLOOKUP(A38,學生入學成績檔!B20:Y42,5)</f>
        <v>男生</v>
      </c>
    </row>
    <row r="39" spans="1:13" x14ac:dyDescent="0.3">
      <c r="A39">
        <v>93038</v>
      </c>
      <c r="B39">
        <v>82</v>
      </c>
      <c r="C39">
        <v>74</v>
      </c>
      <c r="D39">
        <v>81</v>
      </c>
      <c r="E39">
        <v>85</v>
      </c>
      <c r="F39">
        <v>72</v>
      </c>
      <c r="G39">
        <v>93</v>
      </c>
      <c r="H39">
        <v>84</v>
      </c>
      <c r="I39">
        <v>80.8</v>
      </c>
      <c r="J39">
        <v>83.2</v>
      </c>
      <c r="K39" t="str">
        <f>VLOOKUP(A39,學生入學成績檔!B21:Y43,3)</f>
        <v>社會組</v>
      </c>
      <c r="L39" t="str">
        <f>VLOOKUP(A39,學生入學成績檔!B21:Y43,4)</f>
        <v>國立</v>
      </c>
      <c r="M39" t="str">
        <f>VLOOKUP(A39,學生入學成績檔!B21:Y43,5)</f>
        <v>男生</v>
      </c>
    </row>
    <row r="40" spans="1:13" x14ac:dyDescent="0.3">
      <c r="A40">
        <v>93039</v>
      </c>
      <c r="B40">
        <v>91</v>
      </c>
      <c r="C40">
        <v>71</v>
      </c>
      <c r="D40">
        <v>88</v>
      </c>
      <c r="E40">
        <v>79</v>
      </c>
      <c r="F40">
        <v>76</v>
      </c>
      <c r="G40">
        <v>80</v>
      </c>
      <c r="H40">
        <v>74</v>
      </c>
      <c r="I40">
        <v>80.599999999999994</v>
      </c>
      <c r="J40">
        <v>85</v>
      </c>
      <c r="K40" t="str">
        <f>VLOOKUP(A40,學生入學成績檔!B22:Y44,3)</f>
        <v>社會組</v>
      </c>
      <c r="L40" t="str">
        <f>VLOOKUP(A40,學生入學成績檔!B22:Y44,4)</f>
        <v>國立</v>
      </c>
      <c r="M40" t="str">
        <f>VLOOKUP(A40,學生入學成績檔!B22:Y44,5)</f>
        <v>男生</v>
      </c>
    </row>
    <row r="41" spans="1:13" x14ac:dyDescent="0.3">
      <c r="A41">
        <v>93040</v>
      </c>
      <c r="B41">
        <v>70</v>
      </c>
      <c r="C41">
        <v>75</v>
      </c>
      <c r="D41">
        <v>67</v>
      </c>
      <c r="E41">
        <v>72</v>
      </c>
      <c r="F41">
        <v>49</v>
      </c>
      <c r="G41">
        <v>63</v>
      </c>
      <c r="H41">
        <v>64</v>
      </c>
      <c r="I41">
        <v>78.7</v>
      </c>
      <c r="J41">
        <v>67.7</v>
      </c>
      <c r="K41" t="str">
        <f>VLOOKUP(A41,學生入學成績檔!B23:Y45,3)</f>
        <v>社會組</v>
      </c>
      <c r="L41" t="str">
        <f>VLOOKUP(A41,學生入學成績檔!B23:Y45,4)</f>
        <v>國立</v>
      </c>
      <c r="M41" t="str">
        <f>VLOOKUP(A41,學生入學成績檔!B23:Y45,5)</f>
        <v>女生</v>
      </c>
    </row>
    <row r="42" spans="1:13" x14ac:dyDescent="0.3">
      <c r="A42">
        <v>93041</v>
      </c>
      <c r="B42">
        <v>78</v>
      </c>
      <c r="C42">
        <v>67</v>
      </c>
      <c r="D42">
        <v>82</v>
      </c>
      <c r="E42">
        <v>79</v>
      </c>
      <c r="F42">
        <v>64</v>
      </c>
      <c r="G42">
        <v>82</v>
      </c>
      <c r="H42">
        <v>74</v>
      </c>
      <c r="I42">
        <v>80.599999999999994</v>
      </c>
      <c r="J42">
        <v>80.599999999999994</v>
      </c>
      <c r="K42" t="str">
        <f>VLOOKUP(A42,學生入學成績檔!B24:Y46,3)</f>
        <v>社會組</v>
      </c>
      <c r="L42" t="str">
        <f>VLOOKUP(A42,學生入學成績檔!B24:Y46,4)</f>
        <v>國立</v>
      </c>
      <c r="M42" t="str">
        <f>VLOOKUP(A42,學生入學成績檔!B24:Y46,5)</f>
        <v>女生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4"/>
  <sheetViews>
    <sheetView tabSelected="1" workbookViewId="0">
      <selection activeCell="C2" sqref="C2"/>
    </sheetView>
  </sheetViews>
  <sheetFormatPr defaultRowHeight="16.2" x14ac:dyDescent="0.3"/>
  <cols>
    <col min="1" max="1" width="24.109375" bestFit="1" customWidth="1"/>
    <col min="3" max="3" width="20.21875" bestFit="1" customWidth="1"/>
    <col min="4" max="5" width="14.33203125" customWidth="1"/>
    <col min="6" max="6" width="9.88671875" customWidth="1"/>
  </cols>
  <sheetData>
    <row r="1" spans="1:25" ht="64.8" x14ac:dyDescent="0.3">
      <c r="A1" s="5" t="s">
        <v>40</v>
      </c>
      <c r="B1" s="5" t="s">
        <v>82</v>
      </c>
      <c r="C1" s="5" t="s">
        <v>41</v>
      </c>
      <c r="D1" s="5" t="s">
        <v>91</v>
      </c>
      <c r="E1" s="5" t="s">
        <v>92</v>
      </c>
      <c r="F1" s="5" t="s">
        <v>90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</row>
    <row r="2" spans="1:25" x14ac:dyDescent="0.3">
      <c r="A2" s="3" t="s">
        <v>104</v>
      </c>
      <c r="B2">
        <v>93019</v>
      </c>
      <c r="C2" s="3" t="s">
        <v>83</v>
      </c>
      <c r="D2" t="str">
        <f t="shared" ref="D2:D24" si="0">MID(A2,FIND("組",A2)-2,3)</f>
        <v>自然組</v>
      </c>
      <c r="E2" t="str">
        <f>MID(C2,FIND("立",C2)-1,2)</f>
        <v>市立</v>
      </c>
      <c r="F2" s="3" t="s">
        <v>88</v>
      </c>
      <c r="G2" s="3">
        <v>9</v>
      </c>
      <c r="H2" s="3">
        <v>9</v>
      </c>
      <c r="I2" s="3">
        <v>10</v>
      </c>
      <c r="J2" s="3">
        <v>9</v>
      </c>
      <c r="K2" s="3">
        <v>10</v>
      </c>
      <c r="L2" s="3">
        <v>47</v>
      </c>
      <c r="M2" s="3" t="s">
        <v>10</v>
      </c>
      <c r="N2" s="4">
        <v>5960</v>
      </c>
      <c r="O2" s="4">
        <v>5175</v>
      </c>
      <c r="P2" s="4">
        <v>6720</v>
      </c>
      <c r="Q2" s="3" t="s">
        <v>11</v>
      </c>
      <c r="R2" s="3" t="s">
        <v>11</v>
      </c>
      <c r="S2" s="3" t="s">
        <v>11</v>
      </c>
      <c r="T2" s="4">
        <v>8100</v>
      </c>
      <c r="U2" s="4">
        <v>4580</v>
      </c>
      <c r="V2" s="3" t="s">
        <v>11</v>
      </c>
      <c r="W2" s="3" t="s">
        <v>11</v>
      </c>
      <c r="X2" s="3" t="s">
        <v>12</v>
      </c>
      <c r="Y2" s="3" t="s">
        <v>62</v>
      </c>
    </row>
    <row r="3" spans="1:25" x14ac:dyDescent="0.3">
      <c r="A3" s="3" t="s">
        <v>61</v>
      </c>
      <c r="B3">
        <v>93020</v>
      </c>
      <c r="C3" s="3" t="s">
        <v>84</v>
      </c>
      <c r="D3" t="str">
        <f t="shared" si="0"/>
        <v>自然組</v>
      </c>
      <c r="E3" t="str">
        <f t="shared" ref="E3:E24" si="1">MID(C3,FIND("立",C3)-1,2)</f>
        <v>國立</v>
      </c>
      <c r="F3" s="3" t="s">
        <v>89</v>
      </c>
      <c r="G3" s="3">
        <v>13</v>
      </c>
      <c r="H3" s="3">
        <v>13</v>
      </c>
      <c r="I3" s="3">
        <v>8</v>
      </c>
      <c r="J3" s="3">
        <v>12</v>
      </c>
      <c r="K3" s="3">
        <v>10</v>
      </c>
      <c r="L3" s="3">
        <v>56</v>
      </c>
      <c r="M3" s="3" t="s">
        <v>14</v>
      </c>
      <c r="N3" s="4">
        <v>6960</v>
      </c>
      <c r="O3" s="4">
        <v>7025</v>
      </c>
      <c r="P3" s="4">
        <v>6640</v>
      </c>
      <c r="Q3" s="4">
        <v>6820</v>
      </c>
      <c r="R3" s="3" t="s">
        <v>11</v>
      </c>
      <c r="S3" s="3" t="s">
        <v>11</v>
      </c>
      <c r="T3" s="3" t="s">
        <v>11</v>
      </c>
      <c r="U3" s="3" t="s">
        <v>11</v>
      </c>
      <c r="V3" s="3" t="s">
        <v>11</v>
      </c>
      <c r="W3" s="3" t="s">
        <v>11</v>
      </c>
      <c r="X3" s="3" t="s">
        <v>15</v>
      </c>
      <c r="Y3" s="3" t="s">
        <v>63</v>
      </c>
    </row>
    <row r="4" spans="1:25" x14ac:dyDescent="0.3">
      <c r="A4" s="3" t="s">
        <v>61</v>
      </c>
      <c r="B4">
        <v>93021</v>
      </c>
      <c r="C4" s="3" t="s">
        <v>85</v>
      </c>
      <c r="D4" t="str">
        <f t="shared" si="0"/>
        <v>自然組</v>
      </c>
      <c r="E4" t="str">
        <f t="shared" si="1"/>
        <v>私立</v>
      </c>
      <c r="F4" s="3" t="s">
        <v>89</v>
      </c>
      <c r="G4" s="3">
        <v>13</v>
      </c>
      <c r="H4" s="3">
        <v>12</v>
      </c>
      <c r="I4" s="3">
        <v>11</v>
      </c>
      <c r="J4" s="3">
        <v>13</v>
      </c>
      <c r="K4" s="3">
        <v>10</v>
      </c>
      <c r="L4" s="3">
        <v>59</v>
      </c>
      <c r="M4" s="3" t="s">
        <v>10</v>
      </c>
      <c r="N4" s="4">
        <v>6720</v>
      </c>
      <c r="O4" s="4">
        <v>6175</v>
      </c>
      <c r="P4" s="4">
        <v>5640</v>
      </c>
      <c r="Q4" s="4">
        <v>8200</v>
      </c>
      <c r="R4" s="3" t="s">
        <v>11</v>
      </c>
      <c r="S4" s="3" t="s">
        <v>11</v>
      </c>
      <c r="T4" s="4">
        <v>3900</v>
      </c>
      <c r="U4" s="4">
        <v>4810</v>
      </c>
      <c r="V4" s="4">
        <v>6380</v>
      </c>
      <c r="W4" s="3" t="s">
        <v>11</v>
      </c>
      <c r="X4" s="3" t="s">
        <v>18</v>
      </c>
      <c r="Y4" s="3" t="s">
        <v>64</v>
      </c>
    </row>
    <row r="5" spans="1:25" x14ac:dyDescent="0.3">
      <c r="A5" s="3" t="s">
        <v>61</v>
      </c>
      <c r="B5">
        <v>93022</v>
      </c>
      <c r="C5" s="3" t="s">
        <v>86</v>
      </c>
      <c r="D5" t="str">
        <f t="shared" si="0"/>
        <v>自然組</v>
      </c>
      <c r="E5" t="str">
        <f t="shared" si="1"/>
        <v>市立</v>
      </c>
      <c r="F5" s="3" t="s">
        <v>89</v>
      </c>
      <c r="G5" s="3">
        <v>11</v>
      </c>
      <c r="H5" s="3">
        <v>7</v>
      </c>
      <c r="I5" s="3">
        <v>13</v>
      </c>
      <c r="J5" s="3">
        <v>11</v>
      </c>
      <c r="K5" s="3">
        <v>9</v>
      </c>
      <c r="L5" s="3">
        <v>51</v>
      </c>
      <c r="M5" s="3" t="s">
        <v>10</v>
      </c>
      <c r="N5" s="4">
        <v>6760</v>
      </c>
      <c r="O5" s="4">
        <v>5025</v>
      </c>
      <c r="P5" s="4">
        <v>7200</v>
      </c>
      <c r="Q5" s="4">
        <v>6460</v>
      </c>
      <c r="R5" s="3" t="s">
        <v>11</v>
      </c>
      <c r="S5" s="3" t="s">
        <v>11</v>
      </c>
      <c r="T5" s="4">
        <v>3300</v>
      </c>
      <c r="U5" s="4">
        <v>3360</v>
      </c>
      <c r="V5" s="4">
        <v>4190</v>
      </c>
      <c r="W5" s="3" t="s">
        <v>11</v>
      </c>
      <c r="X5" s="3" t="s">
        <v>20</v>
      </c>
      <c r="Y5" s="3" t="s">
        <v>65</v>
      </c>
    </row>
    <row r="6" spans="1:25" x14ac:dyDescent="0.3">
      <c r="A6" s="3" t="s">
        <v>61</v>
      </c>
      <c r="B6">
        <v>93023</v>
      </c>
      <c r="C6" s="3" t="s">
        <v>86</v>
      </c>
      <c r="D6" t="str">
        <f t="shared" si="0"/>
        <v>自然組</v>
      </c>
      <c r="E6" t="str">
        <f t="shared" si="1"/>
        <v>市立</v>
      </c>
      <c r="F6" s="3" t="s">
        <v>88</v>
      </c>
      <c r="G6" s="3">
        <v>11</v>
      </c>
      <c r="H6" s="3">
        <v>12</v>
      </c>
      <c r="I6" s="3">
        <v>13</v>
      </c>
      <c r="J6" s="3">
        <v>12</v>
      </c>
      <c r="K6" s="3">
        <v>11</v>
      </c>
      <c r="L6" s="3">
        <v>59</v>
      </c>
      <c r="M6" s="3" t="s">
        <v>10</v>
      </c>
      <c r="N6" s="4">
        <v>6640</v>
      </c>
      <c r="O6" s="4">
        <v>6225</v>
      </c>
      <c r="P6" s="4">
        <v>5960</v>
      </c>
      <c r="Q6" s="4">
        <v>6460</v>
      </c>
      <c r="R6" s="3" t="s">
        <v>11</v>
      </c>
      <c r="S6" s="3" t="s">
        <v>11</v>
      </c>
      <c r="T6" s="4">
        <v>3600</v>
      </c>
      <c r="U6" s="4">
        <v>4580</v>
      </c>
      <c r="V6" s="3" t="s">
        <v>11</v>
      </c>
      <c r="W6" s="3" t="s">
        <v>11</v>
      </c>
      <c r="X6" s="3" t="s">
        <v>21</v>
      </c>
      <c r="Y6" s="3" t="s">
        <v>17</v>
      </c>
    </row>
    <row r="7" spans="1:25" x14ac:dyDescent="0.3">
      <c r="A7" s="3" t="s">
        <v>61</v>
      </c>
      <c r="B7">
        <v>93024</v>
      </c>
      <c r="C7" s="3" t="s">
        <v>86</v>
      </c>
      <c r="D7" t="str">
        <f t="shared" si="0"/>
        <v>自然組</v>
      </c>
      <c r="E7" t="str">
        <f t="shared" si="1"/>
        <v>市立</v>
      </c>
      <c r="F7" s="3" t="s">
        <v>88</v>
      </c>
      <c r="G7" s="3">
        <v>10</v>
      </c>
      <c r="H7" s="3">
        <v>13</v>
      </c>
      <c r="I7" s="3">
        <v>13</v>
      </c>
      <c r="J7" s="3">
        <v>9</v>
      </c>
      <c r="K7" s="3">
        <v>10</v>
      </c>
      <c r="L7" s="3">
        <v>55</v>
      </c>
      <c r="M7" s="3" t="s">
        <v>10</v>
      </c>
      <c r="N7" s="4">
        <v>6280</v>
      </c>
      <c r="O7" s="4">
        <v>8000</v>
      </c>
      <c r="P7" s="4">
        <v>4600</v>
      </c>
      <c r="Q7" s="3" t="s">
        <v>11</v>
      </c>
      <c r="R7" s="3" t="s">
        <v>11</v>
      </c>
      <c r="S7" s="3" t="s">
        <v>11</v>
      </c>
      <c r="T7" s="4">
        <v>4750</v>
      </c>
      <c r="U7" s="4">
        <v>5260</v>
      </c>
      <c r="V7" s="4">
        <v>5080</v>
      </c>
      <c r="W7" s="3" t="s">
        <v>11</v>
      </c>
      <c r="X7" s="3" t="s">
        <v>22</v>
      </c>
      <c r="Y7" s="3" t="s">
        <v>13</v>
      </c>
    </row>
    <row r="8" spans="1:25" x14ac:dyDescent="0.3">
      <c r="A8" s="3" t="s">
        <v>61</v>
      </c>
      <c r="B8">
        <v>93025</v>
      </c>
      <c r="C8" s="3" t="s">
        <v>86</v>
      </c>
      <c r="D8" t="str">
        <f t="shared" si="0"/>
        <v>自然組</v>
      </c>
      <c r="E8" t="str">
        <f t="shared" si="1"/>
        <v>市立</v>
      </c>
      <c r="F8" s="3" t="s">
        <v>88</v>
      </c>
      <c r="G8" s="3">
        <v>9</v>
      </c>
      <c r="H8" s="3">
        <v>12</v>
      </c>
      <c r="I8" s="3">
        <v>13</v>
      </c>
      <c r="J8" s="3">
        <v>9</v>
      </c>
      <c r="K8" s="3">
        <v>7</v>
      </c>
      <c r="L8" s="3">
        <v>50</v>
      </c>
      <c r="M8" s="3" t="s">
        <v>14</v>
      </c>
      <c r="N8" s="4">
        <v>6320</v>
      </c>
      <c r="O8" s="4">
        <v>7183</v>
      </c>
      <c r="P8" s="4">
        <v>6440</v>
      </c>
      <c r="Q8" s="4">
        <v>7640</v>
      </c>
      <c r="R8" s="3" t="s">
        <v>11</v>
      </c>
      <c r="S8" s="3" t="s">
        <v>11</v>
      </c>
      <c r="T8" s="4">
        <v>3000</v>
      </c>
      <c r="U8" s="3" t="s">
        <v>11</v>
      </c>
      <c r="V8" s="3" t="s">
        <v>11</v>
      </c>
      <c r="W8" s="3" t="s">
        <v>11</v>
      </c>
      <c r="X8" s="3" t="s">
        <v>23</v>
      </c>
      <c r="Y8" s="3" t="s">
        <v>66</v>
      </c>
    </row>
    <row r="9" spans="1:25" x14ac:dyDescent="0.3">
      <c r="A9" s="3" t="s">
        <v>61</v>
      </c>
      <c r="B9">
        <v>93026</v>
      </c>
      <c r="C9" s="3" t="s">
        <v>84</v>
      </c>
      <c r="D9" t="str">
        <f t="shared" si="0"/>
        <v>自然組</v>
      </c>
      <c r="E9" t="str">
        <f t="shared" si="1"/>
        <v>國立</v>
      </c>
      <c r="F9" s="3" t="s">
        <v>88</v>
      </c>
      <c r="G9" s="3">
        <v>11</v>
      </c>
      <c r="H9" s="3">
        <v>8</v>
      </c>
      <c r="I9" s="3">
        <v>10</v>
      </c>
      <c r="J9" s="3">
        <v>12</v>
      </c>
      <c r="K9" s="3">
        <v>11</v>
      </c>
      <c r="L9" s="3">
        <v>52</v>
      </c>
      <c r="M9" s="3" t="s">
        <v>10</v>
      </c>
      <c r="N9" s="4">
        <v>5920</v>
      </c>
      <c r="O9" s="4">
        <v>4025</v>
      </c>
      <c r="P9" s="4">
        <v>7560</v>
      </c>
      <c r="Q9" s="4">
        <v>9040</v>
      </c>
      <c r="R9" s="4">
        <v>6840</v>
      </c>
      <c r="S9" s="4">
        <v>7900</v>
      </c>
      <c r="T9" s="3" t="s">
        <v>11</v>
      </c>
      <c r="U9" s="3" t="s">
        <v>11</v>
      </c>
      <c r="V9" s="3" t="s">
        <v>11</v>
      </c>
      <c r="W9" s="3" t="s">
        <v>11</v>
      </c>
      <c r="X9" s="3" t="s">
        <v>24</v>
      </c>
      <c r="Y9" s="3" t="s">
        <v>67</v>
      </c>
    </row>
    <row r="10" spans="1:25" x14ac:dyDescent="0.3">
      <c r="A10" s="3" t="s">
        <v>61</v>
      </c>
      <c r="B10">
        <v>93027</v>
      </c>
      <c r="C10" s="3" t="s">
        <v>84</v>
      </c>
      <c r="D10" t="str">
        <f t="shared" si="0"/>
        <v>自然組</v>
      </c>
      <c r="E10" t="str">
        <f t="shared" si="1"/>
        <v>國立</v>
      </c>
      <c r="F10" s="3" t="s">
        <v>89</v>
      </c>
      <c r="G10" s="3">
        <v>11</v>
      </c>
      <c r="H10" s="3">
        <v>11</v>
      </c>
      <c r="I10" s="3">
        <v>11</v>
      </c>
      <c r="J10" s="3">
        <v>11</v>
      </c>
      <c r="K10" s="3">
        <v>8</v>
      </c>
      <c r="L10" s="3">
        <v>52</v>
      </c>
      <c r="M10" s="3" t="s">
        <v>14</v>
      </c>
      <c r="N10" s="4">
        <v>6800</v>
      </c>
      <c r="O10" s="4">
        <v>5275</v>
      </c>
      <c r="P10" s="4">
        <v>6200</v>
      </c>
      <c r="Q10" s="4">
        <v>7320</v>
      </c>
      <c r="R10" s="4">
        <v>6970</v>
      </c>
      <c r="S10" s="4">
        <v>6200</v>
      </c>
      <c r="T10" s="3" t="s">
        <v>11</v>
      </c>
      <c r="U10" s="3" t="s">
        <v>11</v>
      </c>
      <c r="V10" s="3" t="s">
        <v>11</v>
      </c>
      <c r="W10" s="4">
        <v>5720</v>
      </c>
      <c r="X10" s="3" t="s">
        <v>25</v>
      </c>
      <c r="Y10" s="3" t="s">
        <v>68</v>
      </c>
    </row>
    <row r="11" spans="1:25" x14ac:dyDescent="0.3">
      <c r="A11" s="3" t="s">
        <v>61</v>
      </c>
      <c r="B11">
        <v>93028</v>
      </c>
      <c r="C11" s="3" t="s">
        <v>85</v>
      </c>
      <c r="D11" t="str">
        <f t="shared" si="0"/>
        <v>自然組</v>
      </c>
      <c r="E11" t="str">
        <f t="shared" si="1"/>
        <v>私立</v>
      </c>
      <c r="F11" s="3" t="s">
        <v>89</v>
      </c>
      <c r="G11" s="3">
        <v>11</v>
      </c>
      <c r="H11" s="3">
        <v>14</v>
      </c>
      <c r="I11" s="3">
        <v>8</v>
      </c>
      <c r="J11" s="3">
        <v>11</v>
      </c>
      <c r="K11" s="3">
        <v>7</v>
      </c>
      <c r="L11" s="3">
        <v>51</v>
      </c>
      <c r="M11" s="3" t="s">
        <v>10</v>
      </c>
      <c r="N11" s="4">
        <v>7400</v>
      </c>
      <c r="O11" s="4">
        <v>7200</v>
      </c>
      <c r="P11" s="4">
        <v>4480</v>
      </c>
      <c r="Q11" s="4">
        <v>5140</v>
      </c>
      <c r="R11" s="3" t="s">
        <v>11</v>
      </c>
      <c r="S11" s="3" t="s">
        <v>11</v>
      </c>
      <c r="T11" s="3" t="s">
        <v>11</v>
      </c>
      <c r="U11" s="3" t="s">
        <v>11</v>
      </c>
      <c r="V11" s="3" t="s">
        <v>11</v>
      </c>
      <c r="W11" s="3" t="s">
        <v>11</v>
      </c>
      <c r="X11" s="3" t="s">
        <v>26</v>
      </c>
      <c r="Y11" s="3" t="s">
        <v>69</v>
      </c>
    </row>
    <row r="12" spans="1:25" x14ac:dyDescent="0.3">
      <c r="A12" s="3" t="s">
        <v>61</v>
      </c>
      <c r="B12">
        <v>93029</v>
      </c>
      <c r="C12" s="3" t="s">
        <v>83</v>
      </c>
      <c r="D12" t="str">
        <f t="shared" si="0"/>
        <v>自然組</v>
      </c>
      <c r="E12" t="str">
        <f t="shared" si="1"/>
        <v>市立</v>
      </c>
      <c r="F12" s="3" t="s">
        <v>88</v>
      </c>
      <c r="G12" s="3">
        <v>10</v>
      </c>
      <c r="H12" s="3">
        <v>12</v>
      </c>
      <c r="I12" s="3">
        <v>7</v>
      </c>
      <c r="J12" s="3">
        <v>8</v>
      </c>
      <c r="K12" s="3">
        <v>9</v>
      </c>
      <c r="L12" s="3">
        <v>46</v>
      </c>
      <c r="M12" s="3" t="s">
        <v>10</v>
      </c>
      <c r="N12" s="4">
        <v>6320</v>
      </c>
      <c r="O12" s="4">
        <v>5550</v>
      </c>
      <c r="P12" s="4">
        <v>6320</v>
      </c>
      <c r="Q12" s="4">
        <v>8440</v>
      </c>
      <c r="R12" s="3" t="s">
        <v>11</v>
      </c>
      <c r="S12" s="3" t="s">
        <v>11</v>
      </c>
      <c r="T12" s="3" t="s">
        <v>11</v>
      </c>
      <c r="U12" s="3" t="s">
        <v>11</v>
      </c>
      <c r="V12" s="3" t="s">
        <v>11</v>
      </c>
      <c r="W12" s="3" t="s">
        <v>11</v>
      </c>
      <c r="X12" s="3" t="s">
        <v>27</v>
      </c>
      <c r="Y12" s="3" t="s">
        <v>16</v>
      </c>
    </row>
    <row r="13" spans="1:25" x14ac:dyDescent="0.3">
      <c r="A13" s="3" t="s">
        <v>61</v>
      </c>
      <c r="B13">
        <v>93030</v>
      </c>
      <c r="C13" s="3" t="s">
        <v>84</v>
      </c>
      <c r="D13" t="str">
        <f t="shared" si="0"/>
        <v>自然組</v>
      </c>
      <c r="E13" t="str">
        <f t="shared" si="1"/>
        <v>國立</v>
      </c>
      <c r="F13" s="3" t="s">
        <v>88</v>
      </c>
      <c r="G13" s="3">
        <v>10</v>
      </c>
      <c r="H13" s="3">
        <v>12</v>
      </c>
      <c r="I13" s="3">
        <v>12</v>
      </c>
      <c r="J13" s="3">
        <v>12</v>
      </c>
      <c r="K13" s="3">
        <v>12</v>
      </c>
      <c r="L13" s="3">
        <v>58</v>
      </c>
      <c r="M13" s="3" t="s">
        <v>14</v>
      </c>
      <c r="N13" s="4">
        <v>5440</v>
      </c>
      <c r="O13" s="4">
        <v>8600</v>
      </c>
      <c r="P13" s="4">
        <v>5400</v>
      </c>
      <c r="Q13" s="4">
        <v>4780</v>
      </c>
      <c r="R13" s="4">
        <v>5480</v>
      </c>
      <c r="S13" s="4">
        <v>6800</v>
      </c>
      <c r="T13" s="4">
        <v>3200</v>
      </c>
      <c r="U13" s="4">
        <v>4610</v>
      </c>
      <c r="V13" s="4">
        <v>5040</v>
      </c>
      <c r="W13" s="4">
        <v>7080</v>
      </c>
      <c r="X13" s="3" t="s">
        <v>28</v>
      </c>
      <c r="Y13" s="3" t="s">
        <v>70</v>
      </c>
    </row>
    <row r="14" spans="1:25" x14ac:dyDescent="0.3">
      <c r="A14" s="3" t="s">
        <v>71</v>
      </c>
      <c r="B14">
        <v>93031</v>
      </c>
      <c r="C14" s="3" t="s">
        <v>87</v>
      </c>
      <c r="D14" t="str">
        <f t="shared" si="0"/>
        <v>社會組</v>
      </c>
      <c r="E14" t="str">
        <f t="shared" si="1"/>
        <v>市立</v>
      </c>
      <c r="F14" s="3" t="s">
        <v>88</v>
      </c>
      <c r="G14" s="3">
        <v>11</v>
      </c>
      <c r="H14" s="3">
        <v>14</v>
      </c>
      <c r="I14" s="3">
        <v>9</v>
      </c>
      <c r="J14" s="3">
        <v>12</v>
      </c>
      <c r="K14" s="3">
        <v>11</v>
      </c>
      <c r="L14" s="3">
        <v>57</v>
      </c>
      <c r="M14" s="3" t="s">
        <v>10</v>
      </c>
      <c r="N14" s="4">
        <v>4720</v>
      </c>
      <c r="O14" s="4">
        <v>6825</v>
      </c>
      <c r="P14" s="4">
        <v>5320</v>
      </c>
      <c r="Q14" s="4">
        <v>9360</v>
      </c>
      <c r="R14" s="3" t="s">
        <v>11</v>
      </c>
      <c r="S14" s="3" t="s">
        <v>11</v>
      </c>
      <c r="T14" s="4">
        <v>5600</v>
      </c>
      <c r="U14" s="4">
        <v>2890</v>
      </c>
      <c r="V14" s="3" t="s">
        <v>11</v>
      </c>
      <c r="W14" s="3" t="s">
        <v>11</v>
      </c>
      <c r="X14" s="3" t="s">
        <v>29</v>
      </c>
      <c r="Y14" s="3" t="s">
        <v>72</v>
      </c>
    </row>
    <row r="15" spans="1:25" x14ac:dyDescent="0.3">
      <c r="A15" s="3" t="s">
        <v>71</v>
      </c>
      <c r="B15">
        <v>93032</v>
      </c>
      <c r="C15" s="3" t="s">
        <v>84</v>
      </c>
      <c r="D15" t="str">
        <f t="shared" si="0"/>
        <v>社會組</v>
      </c>
      <c r="E15" t="str">
        <f t="shared" si="1"/>
        <v>國立</v>
      </c>
      <c r="F15" s="3" t="s">
        <v>88</v>
      </c>
      <c r="G15" s="3">
        <v>14</v>
      </c>
      <c r="H15" s="3">
        <v>12</v>
      </c>
      <c r="I15" s="3">
        <v>12</v>
      </c>
      <c r="J15" s="3">
        <v>13</v>
      </c>
      <c r="K15" s="3">
        <v>13</v>
      </c>
      <c r="L15" s="3">
        <v>64</v>
      </c>
      <c r="M15" s="3" t="s">
        <v>10</v>
      </c>
      <c r="N15" s="4">
        <v>6920</v>
      </c>
      <c r="O15" s="4">
        <v>5825</v>
      </c>
      <c r="P15" s="4">
        <v>5360</v>
      </c>
      <c r="Q15" s="4">
        <v>8680</v>
      </c>
      <c r="R15" s="3" t="s">
        <v>11</v>
      </c>
      <c r="S15" s="3" t="s">
        <v>11</v>
      </c>
      <c r="T15" s="4">
        <v>7000</v>
      </c>
      <c r="U15" s="4">
        <v>6700</v>
      </c>
      <c r="V15" s="3" t="s">
        <v>11</v>
      </c>
      <c r="W15" s="3" t="s">
        <v>11</v>
      </c>
      <c r="X15" s="3" t="s">
        <v>30</v>
      </c>
      <c r="Y15" s="3" t="s">
        <v>73</v>
      </c>
    </row>
    <row r="16" spans="1:25" x14ac:dyDescent="0.3">
      <c r="A16" s="3" t="s">
        <v>71</v>
      </c>
      <c r="B16">
        <v>93033</v>
      </c>
      <c r="C16" s="3" t="s">
        <v>84</v>
      </c>
      <c r="D16" t="str">
        <f t="shared" si="0"/>
        <v>社會組</v>
      </c>
      <c r="E16" t="str">
        <f t="shared" si="1"/>
        <v>國立</v>
      </c>
      <c r="F16" s="3" t="s">
        <v>89</v>
      </c>
      <c r="G16" s="3">
        <v>13</v>
      </c>
      <c r="H16" s="3">
        <v>12</v>
      </c>
      <c r="I16" s="3">
        <v>9</v>
      </c>
      <c r="J16" s="3">
        <v>12</v>
      </c>
      <c r="K16" s="3">
        <v>9</v>
      </c>
      <c r="L16" s="3">
        <v>55</v>
      </c>
      <c r="M16" s="3" t="s">
        <v>14</v>
      </c>
      <c r="N16" s="4">
        <v>7640</v>
      </c>
      <c r="O16" s="4">
        <v>5925</v>
      </c>
      <c r="P16" s="4">
        <v>4200</v>
      </c>
      <c r="Q16" s="4">
        <v>9360</v>
      </c>
      <c r="R16" s="3" t="s">
        <v>11</v>
      </c>
      <c r="S16" s="3" t="s">
        <v>11</v>
      </c>
      <c r="T16" s="4">
        <v>4050</v>
      </c>
      <c r="U16" s="4">
        <v>4060</v>
      </c>
      <c r="V16" s="3" t="s">
        <v>11</v>
      </c>
      <c r="W16" s="3" t="s">
        <v>11</v>
      </c>
      <c r="X16" s="3" t="s">
        <v>31</v>
      </c>
      <c r="Y16" s="3" t="s">
        <v>74</v>
      </c>
    </row>
    <row r="17" spans="1:25" x14ac:dyDescent="0.3">
      <c r="A17" s="3" t="s">
        <v>71</v>
      </c>
      <c r="B17">
        <v>93034</v>
      </c>
      <c r="C17" s="3" t="s">
        <v>83</v>
      </c>
      <c r="D17" t="str">
        <f t="shared" si="0"/>
        <v>社會組</v>
      </c>
      <c r="E17" t="str">
        <f t="shared" si="1"/>
        <v>市立</v>
      </c>
      <c r="F17" s="3" t="s">
        <v>88</v>
      </c>
      <c r="G17" s="3">
        <v>13</v>
      </c>
      <c r="H17" s="3">
        <v>11</v>
      </c>
      <c r="I17" s="3">
        <v>7</v>
      </c>
      <c r="J17" s="3">
        <v>10</v>
      </c>
      <c r="K17" s="3">
        <v>11</v>
      </c>
      <c r="L17" s="3">
        <v>52</v>
      </c>
      <c r="M17" s="3" t="s">
        <v>10</v>
      </c>
      <c r="N17" s="4">
        <v>6160</v>
      </c>
      <c r="O17" s="4">
        <v>6575</v>
      </c>
      <c r="P17" s="4">
        <v>4920</v>
      </c>
      <c r="Q17" s="4">
        <v>8120</v>
      </c>
      <c r="R17" s="3" t="s">
        <v>11</v>
      </c>
      <c r="S17" s="3" t="s">
        <v>11</v>
      </c>
      <c r="T17" s="4">
        <v>5850</v>
      </c>
      <c r="U17" s="4">
        <v>5740</v>
      </c>
      <c r="V17" s="3" t="s">
        <v>11</v>
      </c>
      <c r="W17" s="3" t="s">
        <v>11</v>
      </c>
      <c r="X17" s="3" t="s">
        <v>32</v>
      </c>
      <c r="Y17" s="3" t="s">
        <v>19</v>
      </c>
    </row>
    <row r="18" spans="1:25" x14ac:dyDescent="0.3">
      <c r="A18" s="3" t="s">
        <v>71</v>
      </c>
      <c r="B18">
        <v>93035</v>
      </c>
      <c r="C18" s="3" t="s">
        <v>84</v>
      </c>
      <c r="D18" t="str">
        <f t="shared" si="0"/>
        <v>社會組</v>
      </c>
      <c r="E18" t="str">
        <f t="shared" si="1"/>
        <v>國立</v>
      </c>
      <c r="F18" s="3" t="s">
        <v>88</v>
      </c>
      <c r="G18" s="3">
        <v>9</v>
      </c>
      <c r="H18" s="3">
        <v>14</v>
      </c>
      <c r="I18" s="3">
        <v>11</v>
      </c>
      <c r="J18" s="3">
        <v>12</v>
      </c>
      <c r="K18" s="3">
        <v>9</v>
      </c>
      <c r="L18" s="3">
        <v>55</v>
      </c>
      <c r="M18" s="3" t="s">
        <v>14</v>
      </c>
      <c r="N18" s="4">
        <v>5120</v>
      </c>
      <c r="O18" s="4">
        <v>7350</v>
      </c>
      <c r="P18" s="4">
        <v>3280</v>
      </c>
      <c r="Q18" s="4">
        <v>8440</v>
      </c>
      <c r="R18" s="4">
        <v>6690</v>
      </c>
      <c r="S18" s="4">
        <v>6800</v>
      </c>
      <c r="T18" s="3" t="s">
        <v>11</v>
      </c>
      <c r="U18" s="3" t="s">
        <v>11</v>
      </c>
      <c r="V18" s="3" t="s">
        <v>11</v>
      </c>
      <c r="W18" s="4">
        <v>5480</v>
      </c>
      <c r="X18" s="3" t="s">
        <v>33</v>
      </c>
      <c r="Y18" s="3" t="s">
        <v>75</v>
      </c>
    </row>
    <row r="19" spans="1:25" x14ac:dyDescent="0.3">
      <c r="A19" s="3" t="s">
        <v>71</v>
      </c>
      <c r="B19">
        <v>93036</v>
      </c>
      <c r="C19" s="3" t="s">
        <v>83</v>
      </c>
      <c r="D19" t="str">
        <f t="shared" si="0"/>
        <v>社會組</v>
      </c>
      <c r="E19" t="str">
        <f t="shared" si="1"/>
        <v>市立</v>
      </c>
      <c r="F19" s="3" t="s">
        <v>88</v>
      </c>
      <c r="G19" s="3">
        <v>11</v>
      </c>
      <c r="H19" s="3">
        <v>13</v>
      </c>
      <c r="I19" s="3">
        <v>10</v>
      </c>
      <c r="J19" s="3">
        <v>10</v>
      </c>
      <c r="K19" s="3">
        <v>8</v>
      </c>
      <c r="L19" s="3">
        <v>52</v>
      </c>
      <c r="M19" s="3" t="s">
        <v>14</v>
      </c>
      <c r="N19" s="4">
        <v>6880</v>
      </c>
      <c r="O19" s="4">
        <v>6975</v>
      </c>
      <c r="P19" s="3" t="s">
        <v>11</v>
      </c>
      <c r="Q19" s="4">
        <v>7320</v>
      </c>
      <c r="R19" s="4">
        <v>6360</v>
      </c>
      <c r="S19" s="4">
        <v>7200</v>
      </c>
      <c r="T19" s="3" t="s">
        <v>11</v>
      </c>
      <c r="U19" s="3" t="s">
        <v>11</v>
      </c>
      <c r="V19" s="3" t="s">
        <v>11</v>
      </c>
      <c r="W19" s="4">
        <v>6960</v>
      </c>
      <c r="X19" s="3" t="s">
        <v>34</v>
      </c>
      <c r="Y19" s="3" t="s">
        <v>76</v>
      </c>
    </row>
    <row r="20" spans="1:25" x14ac:dyDescent="0.3">
      <c r="A20" s="3" t="s">
        <v>71</v>
      </c>
      <c r="B20">
        <v>93037</v>
      </c>
      <c r="C20" s="3" t="s">
        <v>84</v>
      </c>
      <c r="D20" t="str">
        <f t="shared" si="0"/>
        <v>社會組</v>
      </c>
      <c r="E20" t="str">
        <f t="shared" si="1"/>
        <v>國立</v>
      </c>
      <c r="F20" s="3" t="s">
        <v>88</v>
      </c>
      <c r="G20" s="3">
        <v>12</v>
      </c>
      <c r="H20" s="3">
        <v>11</v>
      </c>
      <c r="I20" s="3">
        <v>10</v>
      </c>
      <c r="J20" s="3">
        <v>12</v>
      </c>
      <c r="K20" s="3">
        <v>10</v>
      </c>
      <c r="L20" s="3">
        <v>55</v>
      </c>
      <c r="M20" s="3" t="s">
        <v>10</v>
      </c>
      <c r="N20" s="4">
        <v>7200</v>
      </c>
      <c r="O20" s="4">
        <v>5200</v>
      </c>
      <c r="P20" s="3" t="s">
        <v>11</v>
      </c>
      <c r="Q20" s="4">
        <v>8760</v>
      </c>
      <c r="R20" s="4">
        <v>7040</v>
      </c>
      <c r="S20" s="3" t="s">
        <v>11</v>
      </c>
      <c r="T20" s="3" t="s">
        <v>11</v>
      </c>
      <c r="U20" s="3" t="s">
        <v>11</v>
      </c>
      <c r="V20" s="3" t="s">
        <v>11</v>
      </c>
      <c r="W20" s="4">
        <v>4840</v>
      </c>
      <c r="X20" s="3" t="s">
        <v>35</v>
      </c>
      <c r="Y20" s="3" t="s">
        <v>77</v>
      </c>
    </row>
    <row r="21" spans="1:25" x14ac:dyDescent="0.3">
      <c r="A21" s="3" t="s">
        <v>71</v>
      </c>
      <c r="B21">
        <v>93038</v>
      </c>
      <c r="C21" s="3" t="s">
        <v>84</v>
      </c>
      <c r="D21" t="str">
        <f t="shared" si="0"/>
        <v>社會組</v>
      </c>
      <c r="E21" t="str">
        <f t="shared" si="1"/>
        <v>國立</v>
      </c>
      <c r="F21" s="3" t="s">
        <v>88</v>
      </c>
      <c r="G21" s="3">
        <v>11</v>
      </c>
      <c r="H21" s="3">
        <v>12</v>
      </c>
      <c r="I21" s="3">
        <v>9</v>
      </c>
      <c r="J21" s="3">
        <v>12</v>
      </c>
      <c r="K21" s="3">
        <v>7</v>
      </c>
      <c r="L21" s="3">
        <v>51</v>
      </c>
      <c r="M21" s="3" t="s">
        <v>10</v>
      </c>
      <c r="N21" s="4">
        <v>7200</v>
      </c>
      <c r="O21" s="4">
        <v>6175</v>
      </c>
      <c r="P21" s="3" t="s">
        <v>11</v>
      </c>
      <c r="Q21" s="4">
        <v>7960</v>
      </c>
      <c r="R21" s="4">
        <v>5960</v>
      </c>
      <c r="S21" s="4">
        <v>6200</v>
      </c>
      <c r="T21" s="3" t="s">
        <v>11</v>
      </c>
      <c r="U21" s="3" t="s">
        <v>11</v>
      </c>
      <c r="V21" s="3" t="s">
        <v>11</v>
      </c>
      <c r="W21" s="4">
        <v>4600</v>
      </c>
      <c r="X21" s="3" t="s">
        <v>36</v>
      </c>
      <c r="Y21" s="3" t="s">
        <v>78</v>
      </c>
    </row>
    <row r="22" spans="1:25" x14ac:dyDescent="0.3">
      <c r="A22" s="3" t="s">
        <v>71</v>
      </c>
      <c r="B22">
        <v>93039</v>
      </c>
      <c r="C22" s="3" t="s">
        <v>84</v>
      </c>
      <c r="D22" t="str">
        <f t="shared" si="0"/>
        <v>社會組</v>
      </c>
      <c r="E22" t="str">
        <f t="shared" si="1"/>
        <v>國立</v>
      </c>
      <c r="F22" s="3" t="s">
        <v>88</v>
      </c>
      <c r="G22" s="3">
        <v>10</v>
      </c>
      <c r="H22" s="3">
        <v>9</v>
      </c>
      <c r="I22" s="3">
        <v>13</v>
      </c>
      <c r="J22" s="3">
        <v>12</v>
      </c>
      <c r="K22" s="3">
        <v>12</v>
      </c>
      <c r="L22" s="3">
        <v>56</v>
      </c>
      <c r="M22" s="3" t="s">
        <v>10</v>
      </c>
      <c r="N22" s="4">
        <v>6400</v>
      </c>
      <c r="O22" s="4">
        <v>4850</v>
      </c>
      <c r="P22" s="3" t="s">
        <v>11</v>
      </c>
      <c r="Q22" s="4">
        <v>9600</v>
      </c>
      <c r="R22" s="3" t="s">
        <v>11</v>
      </c>
      <c r="S22" s="3" t="s">
        <v>11</v>
      </c>
      <c r="T22" s="3" t="s">
        <v>11</v>
      </c>
      <c r="U22" s="3" t="s">
        <v>11</v>
      </c>
      <c r="V22" s="3" t="s">
        <v>11</v>
      </c>
      <c r="W22" s="3" t="s">
        <v>11</v>
      </c>
      <c r="X22" s="3" t="s">
        <v>37</v>
      </c>
      <c r="Y22" s="3" t="s">
        <v>79</v>
      </c>
    </row>
    <row r="23" spans="1:25" x14ac:dyDescent="0.3">
      <c r="A23" s="3" t="s">
        <v>71</v>
      </c>
      <c r="B23">
        <v>93040</v>
      </c>
      <c r="C23" s="3" t="s">
        <v>84</v>
      </c>
      <c r="D23" t="str">
        <f t="shared" si="0"/>
        <v>社會組</v>
      </c>
      <c r="E23" t="str">
        <f t="shared" si="1"/>
        <v>國立</v>
      </c>
      <c r="F23" s="3" t="s">
        <v>89</v>
      </c>
      <c r="G23" s="3">
        <v>11</v>
      </c>
      <c r="H23" s="3">
        <v>12</v>
      </c>
      <c r="I23" s="3">
        <v>10</v>
      </c>
      <c r="J23" s="3">
        <v>11</v>
      </c>
      <c r="K23" s="3">
        <v>9</v>
      </c>
      <c r="L23" s="3">
        <v>53</v>
      </c>
      <c r="M23" s="3" t="s">
        <v>10</v>
      </c>
      <c r="N23" s="4">
        <v>6360</v>
      </c>
      <c r="O23" s="4">
        <v>5450</v>
      </c>
      <c r="P23" s="3" t="s">
        <v>11</v>
      </c>
      <c r="Q23" s="4">
        <v>8720</v>
      </c>
      <c r="R23" s="4">
        <v>3540</v>
      </c>
      <c r="S23" s="4">
        <v>5500</v>
      </c>
      <c r="T23" s="3" t="s">
        <v>11</v>
      </c>
      <c r="U23" s="3" t="s">
        <v>11</v>
      </c>
      <c r="V23" s="3" t="s">
        <v>11</v>
      </c>
      <c r="W23" s="4">
        <v>5800</v>
      </c>
      <c r="X23" s="3" t="s">
        <v>38</v>
      </c>
      <c r="Y23" s="3" t="s">
        <v>80</v>
      </c>
    </row>
    <row r="24" spans="1:25" x14ac:dyDescent="0.3">
      <c r="A24" s="3" t="s">
        <v>71</v>
      </c>
      <c r="B24">
        <v>93041</v>
      </c>
      <c r="C24" s="3" t="s">
        <v>84</v>
      </c>
      <c r="D24" t="str">
        <f t="shared" si="0"/>
        <v>社會組</v>
      </c>
      <c r="E24" t="str">
        <f t="shared" si="1"/>
        <v>國立</v>
      </c>
      <c r="F24" s="3" t="s">
        <v>89</v>
      </c>
      <c r="G24" s="3">
        <v>12</v>
      </c>
      <c r="H24" s="3">
        <v>11</v>
      </c>
      <c r="I24" s="3">
        <v>12</v>
      </c>
      <c r="J24" s="3">
        <v>10</v>
      </c>
      <c r="K24" s="3">
        <v>7</v>
      </c>
      <c r="L24" s="3">
        <v>52</v>
      </c>
      <c r="M24" s="3" t="s">
        <v>10</v>
      </c>
      <c r="N24" s="4">
        <v>6520</v>
      </c>
      <c r="O24" s="4">
        <v>4875</v>
      </c>
      <c r="P24" s="4">
        <v>7760</v>
      </c>
      <c r="Q24" s="4">
        <v>9080</v>
      </c>
      <c r="R24" s="4">
        <v>4870</v>
      </c>
      <c r="S24" s="4">
        <v>6200</v>
      </c>
      <c r="T24" s="3" t="s">
        <v>11</v>
      </c>
      <c r="U24" s="3" t="s">
        <v>11</v>
      </c>
      <c r="V24" s="3" t="s">
        <v>11</v>
      </c>
      <c r="W24" s="3" t="s">
        <v>11</v>
      </c>
      <c r="X24" s="3" t="s">
        <v>39</v>
      </c>
      <c r="Y24" s="3" t="s">
        <v>81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學生大一成績檔</vt:lpstr>
      <vt:lpstr>學生入學成績檔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Renegade</dc:creator>
  <cp:lastModifiedBy>陳群翔</cp:lastModifiedBy>
  <cp:lastPrinted>2019-10-09T04:43:56Z</cp:lastPrinted>
  <dcterms:created xsi:type="dcterms:W3CDTF">2019-10-01T07:43:55Z</dcterms:created>
  <dcterms:modified xsi:type="dcterms:W3CDTF">2024-04-16T07:05:44Z</dcterms:modified>
</cp:coreProperties>
</file>