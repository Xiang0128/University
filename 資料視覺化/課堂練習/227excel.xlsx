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Unity專案\資料視覺化\"/>
    </mc:Choice>
  </mc:AlternateContent>
  <bookViews>
    <workbookView xWindow="0" yWindow="0" windowWidth="21570" windowHeight="8040" activeTab="1"/>
  </bookViews>
  <sheets>
    <sheet name="week1" sheetId="1" r:id="rId1"/>
    <sheet name="工作表1" sheetId="11" r:id="rId2"/>
    <sheet name="week2" sheetId="2" r:id="rId3"/>
    <sheet name="week3" sheetId="3" r:id="rId4"/>
    <sheet name="week4" sheetId="4" r:id="rId5"/>
    <sheet name="工讀金表" sheetId="5" r:id="rId6"/>
    <sheet name="Feb" sheetId="6" r:id="rId7"/>
    <sheet name="99" sheetId="10" r:id="rId8"/>
  </sheets>
  <definedNames>
    <definedName name="第一週工讀時數表">表格1[]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1" l="1"/>
  <c r="B8" i="11"/>
  <c r="B4" i="11"/>
  <c r="B6" i="11"/>
  <c r="B7" i="11"/>
  <c r="B3" i="11"/>
  <c r="N26" i="1" l="1"/>
  <c r="N27" i="1"/>
  <c r="N28" i="1"/>
  <c r="N25" i="1"/>
  <c r="J29" i="1"/>
  <c r="I29" i="1"/>
  <c r="H29" i="1"/>
  <c r="G29" i="1"/>
  <c r="F29" i="1"/>
  <c r="E29" i="1"/>
  <c r="D29" i="1"/>
  <c r="J28" i="1"/>
  <c r="I28" i="1"/>
  <c r="H28" i="1"/>
  <c r="G28" i="1"/>
  <c r="F28" i="1"/>
  <c r="E28" i="1"/>
  <c r="D28" i="1"/>
  <c r="J8" i="6"/>
  <c r="J20" i="6" s="1"/>
  <c r="E20" i="1"/>
  <c r="F20" i="1"/>
  <c r="G20" i="1"/>
  <c r="H20" i="1"/>
  <c r="I20" i="1"/>
  <c r="J20" i="1"/>
  <c r="D20" i="1"/>
  <c r="E19" i="1"/>
  <c r="F19" i="1"/>
  <c r="G19" i="1"/>
  <c r="H19" i="1"/>
  <c r="I19" i="1"/>
  <c r="J19" i="1"/>
  <c r="E18" i="1"/>
  <c r="F17" i="1"/>
  <c r="G17" i="1"/>
  <c r="H17" i="1"/>
  <c r="I17" i="1"/>
  <c r="J17" i="1"/>
  <c r="E17" i="1"/>
  <c r="D19" i="1"/>
  <c r="F18" i="1"/>
  <c r="G18" i="1"/>
  <c r="H18" i="1"/>
  <c r="I18" i="1"/>
  <c r="J18" i="1"/>
  <c r="D18" i="1"/>
  <c r="D17" i="1"/>
  <c r="K17" i="1" s="1"/>
  <c r="E8" i="5"/>
  <c r="F8" i="5"/>
  <c r="G8" i="5"/>
  <c r="H8" i="5"/>
  <c r="I8" i="5"/>
  <c r="J8" i="5"/>
  <c r="E7" i="5"/>
  <c r="F7" i="5"/>
  <c r="G7" i="5"/>
  <c r="H7" i="5"/>
  <c r="I7" i="5"/>
  <c r="J7" i="5"/>
  <c r="D8" i="5"/>
  <c r="D7" i="5"/>
  <c r="D4" i="10"/>
  <c r="E4" i="10"/>
  <c r="F4" i="10"/>
  <c r="G4" i="10"/>
  <c r="H4" i="10"/>
  <c r="I4" i="10"/>
  <c r="J4" i="10"/>
  <c r="K4" i="10"/>
  <c r="L4" i="10"/>
  <c r="D5" i="10"/>
  <c r="E5" i="10"/>
  <c r="F5" i="10"/>
  <c r="G5" i="10"/>
  <c r="H5" i="10"/>
  <c r="I5" i="10"/>
  <c r="J5" i="10"/>
  <c r="K5" i="10"/>
  <c r="L5" i="10"/>
  <c r="D6" i="10"/>
  <c r="E6" i="10"/>
  <c r="F6" i="10"/>
  <c r="G6" i="10"/>
  <c r="H6" i="10"/>
  <c r="I6" i="10"/>
  <c r="J6" i="10"/>
  <c r="K6" i="10"/>
  <c r="L6" i="10"/>
  <c r="D7" i="10"/>
  <c r="E7" i="10"/>
  <c r="F7" i="10"/>
  <c r="G7" i="10"/>
  <c r="H7" i="10"/>
  <c r="I7" i="10"/>
  <c r="J7" i="10"/>
  <c r="K7" i="10"/>
  <c r="L7" i="10"/>
  <c r="D8" i="10"/>
  <c r="E8" i="10"/>
  <c r="F8" i="10"/>
  <c r="G8" i="10"/>
  <c r="H8" i="10"/>
  <c r="I8" i="10"/>
  <c r="J8" i="10"/>
  <c r="K8" i="10"/>
  <c r="L8" i="10"/>
  <c r="D9" i="10"/>
  <c r="E9" i="10"/>
  <c r="F9" i="10"/>
  <c r="G9" i="10"/>
  <c r="H9" i="10"/>
  <c r="I9" i="10"/>
  <c r="J9" i="10"/>
  <c r="K9" i="10"/>
  <c r="L9" i="10"/>
  <c r="D10" i="10"/>
  <c r="E10" i="10"/>
  <c r="F10" i="10"/>
  <c r="G10" i="10"/>
  <c r="H10" i="10"/>
  <c r="I10" i="10"/>
  <c r="J10" i="10"/>
  <c r="K10" i="10"/>
  <c r="L10" i="10"/>
  <c r="D11" i="10"/>
  <c r="E11" i="10"/>
  <c r="F11" i="10"/>
  <c r="G11" i="10"/>
  <c r="H11" i="10"/>
  <c r="I11" i="10"/>
  <c r="J11" i="10"/>
  <c r="K11" i="10"/>
  <c r="L11" i="10"/>
  <c r="E3" i="10"/>
  <c r="F3" i="10"/>
  <c r="G3" i="10"/>
  <c r="H3" i="10"/>
  <c r="I3" i="10"/>
  <c r="J3" i="10"/>
  <c r="K3" i="10"/>
  <c r="L3" i="10"/>
  <c r="D3" i="10"/>
  <c r="K6" i="1"/>
  <c r="K7" i="1"/>
  <c r="K8" i="1"/>
  <c r="K5" i="1"/>
  <c r="E9" i="1"/>
  <c r="F9" i="1"/>
  <c r="G9" i="1"/>
  <c r="H9" i="1"/>
  <c r="I9" i="1"/>
  <c r="J9" i="1"/>
  <c r="D9" i="1"/>
  <c r="D6" i="4"/>
  <c r="D16" i="4" s="1"/>
  <c r="E6" i="4"/>
  <c r="E16" i="4" s="1"/>
  <c r="F6" i="4"/>
  <c r="F16" i="4" s="1"/>
  <c r="G6" i="4"/>
  <c r="G16" i="4" s="1"/>
  <c r="H6" i="4"/>
  <c r="H16" i="4" s="1"/>
  <c r="I6" i="4"/>
  <c r="I16" i="4" s="1"/>
  <c r="J6" i="4"/>
  <c r="J16" i="4" s="1"/>
  <c r="D7" i="4"/>
  <c r="D17" i="4" s="1"/>
  <c r="E7" i="4"/>
  <c r="E17" i="4" s="1"/>
  <c r="F7" i="4"/>
  <c r="F17" i="4" s="1"/>
  <c r="G7" i="4"/>
  <c r="H7" i="4"/>
  <c r="H17" i="4" s="1"/>
  <c r="I7" i="4"/>
  <c r="I7" i="6" s="1"/>
  <c r="I19" i="6" s="1"/>
  <c r="J7" i="4"/>
  <c r="J17" i="4" s="1"/>
  <c r="D8" i="4"/>
  <c r="D18" i="4" s="1"/>
  <c r="E8" i="4"/>
  <c r="E18" i="4" s="1"/>
  <c r="F8" i="4"/>
  <c r="F18" i="4" s="1"/>
  <c r="G8" i="4"/>
  <c r="G18" i="4" s="1"/>
  <c r="H8" i="4"/>
  <c r="H8" i="6" s="1"/>
  <c r="H20" i="6" s="1"/>
  <c r="I8" i="4"/>
  <c r="I18" i="4" s="1"/>
  <c r="J8" i="4"/>
  <c r="J18" i="4" s="1"/>
  <c r="E5" i="4"/>
  <c r="E15" i="4" s="1"/>
  <c r="F5" i="4"/>
  <c r="F15" i="4" s="1"/>
  <c r="G5" i="4"/>
  <c r="H5" i="4"/>
  <c r="H15" i="4" s="1"/>
  <c r="I5" i="4"/>
  <c r="I9" i="4" s="1"/>
  <c r="J5" i="4"/>
  <c r="D5" i="4"/>
  <c r="D15" i="4" s="1"/>
  <c r="D6" i="3"/>
  <c r="D16" i="3" s="1"/>
  <c r="E6" i="3"/>
  <c r="E16" i="3" s="1"/>
  <c r="F6" i="3"/>
  <c r="F16" i="3" s="1"/>
  <c r="G6" i="3"/>
  <c r="G16" i="3" s="1"/>
  <c r="H6" i="3"/>
  <c r="H16" i="3" s="1"/>
  <c r="I6" i="3"/>
  <c r="I16" i="3" s="1"/>
  <c r="J6" i="3"/>
  <c r="J16" i="3" s="1"/>
  <c r="D7" i="3"/>
  <c r="D17" i="3" s="1"/>
  <c r="E7" i="3"/>
  <c r="E17" i="3" s="1"/>
  <c r="F7" i="3"/>
  <c r="F17" i="3" s="1"/>
  <c r="G7" i="3"/>
  <c r="G17" i="3" s="1"/>
  <c r="H7" i="3"/>
  <c r="H17" i="3" s="1"/>
  <c r="I7" i="3"/>
  <c r="I17" i="3" s="1"/>
  <c r="J7" i="3"/>
  <c r="J17" i="3" s="1"/>
  <c r="D8" i="3"/>
  <c r="D18" i="3" s="1"/>
  <c r="E8" i="3"/>
  <c r="E18" i="3" s="1"/>
  <c r="F8" i="3"/>
  <c r="F18" i="3" s="1"/>
  <c r="G8" i="3"/>
  <c r="G18" i="3" s="1"/>
  <c r="H8" i="3"/>
  <c r="H18" i="3" s="1"/>
  <c r="I8" i="3"/>
  <c r="I18" i="3" s="1"/>
  <c r="J8" i="3"/>
  <c r="J18" i="3" s="1"/>
  <c r="E5" i="3"/>
  <c r="E9" i="3" s="1"/>
  <c r="F5" i="3"/>
  <c r="G5" i="3"/>
  <c r="H5" i="3"/>
  <c r="H15" i="3" s="1"/>
  <c r="I5" i="3"/>
  <c r="I15" i="3" s="1"/>
  <c r="J5" i="3"/>
  <c r="J15" i="3" s="1"/>
  <c r="D5" i="3"/>
  <c r="D15" i="3" s="1"/>
  <c r="D6" i="2"/>
  <c r="E6" i="2"/>
  <c r="E16" i="2" s="1"/>
  <c r="F6" i="2"/>
  <c r="F16" i="2" s="1"/>
  <c r="G6" i="2"/>
  <c r="G16" i="2" s="1"/>
  <c r="H6" i="2"/>
  <c r="H6" i="6" s="1"/>
  <c r="H18" i="6" s="1"/>
  <c r="I6" i="2"/>
  <c r="I6" i="6" s="1"/>
  <c r="I18" i="6" s="1"/>
  <c r="J6" i="2"/>
  <c r="J16" i="2" s="1"/>
  <c r="D7" i="2"/>
  <c r="D17" i="2" s="1"/>
  <c r="E7" i="2"/>
  <c r="E17" i="2" s="1"/>
  <c r="F7" i="2"/>
  <c r="F17" i="2" s="1"/>
  <c r="G7" i="2"/>
  <c r="G7" i="6" s="1"/>
  <c r="G19" i="6" s="1"/>
  <c r="H7" i="2"/>
  <c r="H7" i="6" s="1"/>
  <c r="H19" i="6" s="1"/>
  <c r="I7" i="2"/>
  <c r="J7" i="2"/>
  <c r="J17" i="2" s="1"/>
  <c r="D8" i="2"/>
  <c r="D18" i="2" s="1"/>
  <c r="E8" i="2"/>
  <c r="E18" i="2" s="1"/>
  <c r="F8" i="2"/>
  <c r="F8" i="6" s="1"/>
  <c r="F20" i="6" s="1"/>
  <c r="G8" i="2"/>
  <c r="G8" i="6" s="1"/>
  <c r="G20" i="6" s="1"/>
  <c r="H8" i="2"/>
  <c r="I8" i="2"/>
  <c r="J8" i="2"/>
  <c r="J18" i="2" s="1"/>
  <c r="E5" i="2"/>
  <c r="E15" i="2" s="1"/>
  <c r="F5" i="2"/>
  <c r="F5" i="6" s="1"/>
  <c r="F17" i="6" s="1"/>
  <c r="G5" i="2"/>
  <c r="G5" i="6" s="1"/>
  <c r="G17" i="6" s="1"/>
  <c r="H5" i="2"/>
  <c r="I5" i="2"/>
  <c r="I15" i="2" s="1"/>
  <c r="J5" i="2"/>
  <c r="J15" i="2" s="1"/>
  <c r="D5" i="2"/>
  <c r="D15" i="2" s="1"/>
  <c r="D8" i="6" l="1"/>
  <c r="D20" i="6" s="1"/>
  <c r="E7" i="6"/>
  <c r="E19" i="6" s="1"/>
  <c r="F6" i="6"/>
  <c r="F18" i="6" s="1"/>
  <c r="H18" i="4"/>
  <c r="I5" i="6"/>
  <c r="I17" i="6" s="1"/>
  <c r="K19" i="1"/>
  <c r="H5" i="6"/>
  <c r="H17" i="6" s="1"/>
  <c r="J7" i="6"/>
  <c r="J19" i="6" s="1"/>
  <c r="J6" i="6"/>
  <c r="J18" i="6" s="1"/>
  <c r="G9" i="4"/>
  <c r="K18" i="1"/>
  <c r="I17" i="4"/>
  <c r="I8" i="6"/>
  <c r="I20" i="6" s="1"/>
  <c r="D7" i="6"/>
  <c r="D19" i="6" s="1"/>
  <c r="E6" i="6"/>
  <c r="E18" i="6" s="1"/>
  <c r="D6" i="6"/>
  <c r="D18" i="6" s="1"/>
  <c r="D5" i="6"/>
  <c r="D17" i="6" s="1"/>
  <c r="E5" i="6"/>
  <c r="E17" i="6" s="1"/>
  <c r="F9" i="3"/>
  <c r="J9" i="4"/>
  <c r="K20" i="1"/>
  <c r="J5" i="6"/>
  <c r="J17" i="6" s="1"/>
  <c r="E8" i="6"/>
  <c r="E20" i="6" s="1"/>
  <c r="F7" i="6"/>
  <c r="F19" i="6" s="1"/>
  <c r="K19" i="6" s="1"/>
  <c r="G6" i="6"/>
  <c r="G18" i="6" s="1"/>
  <c r="K18" i="4"/>
  <c r="K16" i="4"/>
  <c r="K17" i="3"/>
  <c r="K16" i="3"/>
  <c r="H9" i="2"/>
  <c r="F15" i="2"/>
  <c r="I16" i="2"/>
  <c r="I17" i="2"/>
  <c r="I18" i="2"/>
  <c r="K18" i="3"/>
  <c r="H16" i="2"/>
  <c r="H17" i="2"/>
  <c r="H18" i="2"/>
  <c r="G17" i="4"/>
  <c r="K17" i="4" s="1"/>
  <c r="D16" i="2"/>
  <c r="G17" i="2"/>
  <c r="K17" i="2" s="1"/>
  <c r="G18" i="2"/>
  <c r="J9" i="2"/>
  <c r="F18" i="2"/>
  <c r="F15" i="3"/>
  <c r="J15" i="4"/>
  <c r="K15" i="4" s="1"/>
  <c r="K19" i="4" s="1"/>
  <c r="L19" i="4" s="1"/>
  <c r="I9" i="2"/>
  <c r="I9" i="6" s="1"/>
  <c r="H15" i="2"/>
  <c r="E15" i="3"/>
  <c r="I15" i="4"/>
  <c r="K8" i="2"/>
  <c r="K7" i="2"/>
  <c r="K9" i="1"/>
  <c r="J10" i="1" s="1"/>
  <c r="K6" i="2"/>
  <c r="K6" i="3"/>
  <c r="K8" i="4"/>
  <c r="F9" i="4"/>
  <c r="K5" i="2"/>
  <c r="D9" i="3"/>
  <c r="G9" i="3"/>
  <c r="K7" i="4"/>
  <c r="E9" i="4"/>
  <c r="F9" i="2"/>
  <c r="J9" i="3"/>
  <c r="K8" i="3"/>
  <c r="H9" i="4"/>
  <c r="K6" i="4"/>
  <c r="D9" i="2"/>
  <c r="E9" i="2"/>
  <c r="E9" i="6" s="1"/>
  <c r="I9" i="3"/>
  <c r="K7" i="3"/>
  <c r="K5" i="4"/>
  <c r="H9" i="3"/>
  <c r="G9" i="2"/>
  <c r="K5" i="3"/>
  <c r="D9" i="4"/>
  <c r="K7" i="6" l="1"/>
  <c r="J9" i="6"/>
  <c r="F9" i="6"/>
  <c r="G9" i="6"/>
  <c r="D9" i="6"/>
  <c r="K20" i="6"/>
  <c r="K17" i="6"/>
  <c r="K21" i="1"/>
  <c r="L21" i="1" s="1"/>
  <c r="K6" i="6"/>
  <c r="K18" i="6"/>
  <c r="K15" i="3"/>
  <c r="K8" i="6"/>
  <c r="K15" i="2"/>
  <c r="K18" i="2"/>
  <c r="H9" i="6"/>
  <c r="K5" i="6"/>
  <c r="L17" i="1"/>
  <c r="L19" i="1"/>
  <c r="K19" i="3"/>
  <c r="L19" i="3" s="1"/>
  <c r="L18" i="1"/>
  <c r="K9" i="4"/>
  <c r="F10" i="4" s="1"/>
  <c r="K16" i="2"/>
  <c r="L20" i="1"/>
  <c r="L15" i="4"/>
  <c r="L17" i="4"/>
  <c r="L16" i="4"/>
  <c r="L18" i="4"/>
  <c r="K10" i="1"/>
  <c r="D10" i="1"/>
  <c r="L6" i="1"/>
  <c r="L7" i="1"/>
  <c r="L8" i="1"/>
  <c r="L9" i="1"/>
  <c r="E10" i="1"/>
  <c r="F10" i="1"/>
  <c r="G10" i="1"/>
  <c r="I10" i="1"/>
  <c r="H10" i="1"/>
  <c r="L5" i="1"/>
  <c r="J10" i="4"/>
  <c r="K9" i="3"/>
  <c r="H10" i="3" s="1"/>
  <c r="L6" i="4"/>
  <c r="K9" i="2"/>
  <c r="K9" i="6" l="1"/>
  <c r="H10" i="6" s="1"/>
  <c r="K21" i="6"/>
  <c r="L19" i="6" s="1"/>
  <c r="D10" i="4"/>
  <c r="L5" i="4"/>
  <c r="L8" i="4"/>
  <c r="K10" i="4"/>
  <c r="G10" i="4"/>
  <c r="I10" i="4"/>
  <c r="H10" i="4"/>
  <c r="L9" i="4"/>
  <c r="L7" i="4"/>
  <c r="L17" i="3"/>
  <c r="L18" i="3"/>
  <c r="L15" i="3"/>
  <c r="K19" i="2"/>
  <c r="E10" i="4"/>
  <c r="L16" i="3"/>
  <c r="E10" i="2"/>
  <c r="J10" i="2"/>
  <c r="L9" i="2"/>
  <c r="L8" i="2"/>
  <c r="L6" i="2"/>
  <c r="I10" i="2"/>
  <c r="K10" i="2"/>
  <c r="L7" i="2"/>
  <c r="L5" i="2"/>
  <c r="F10" i="2"/>
  <c r="D10" i="2"/>
  <c r="H10" i="2"/>
  <c r="G10" i="2"/>
  <c r="F10" i="3"/>
  <c r="D10" i="3"/>
  <c r="E10" i="3"/>
  <c r="L8" i="3"/>
  <c r="J10" i="3"/>
  <c r="G10" i="3"/>
  <c r="L9" i="3"/>
  <c r="L7" i="3"/>
  <c r="K10" i="3"/>
  <c r="L6" i="3"/>
  <c r="I10" i="3"/>
  <c r="L5" i="3"/>
  <c r="L5" i="6" l="1"/>
  <c r="L8" i="6"/>
  <c r="K10" i="6"/>
  <c r="D10" i="6"/>
  <c r="L6" i="6"/>
  <c r="I10" i="6"/>
  <c r="E10" i="6"/>
  <c r="J10" i="6"/>
  <c r="G10" i="6"/>
  <c r="L9" i="6"/>
  <c r="L7" i="6"/>
  <c r="F10" i="6"/>
  <c r="L17" i="6"/>
  <c r="L20" i="6"/>
  <c r="L18" i="6"/>
  <c r="L19" i="2"/>
  <c r="L17" i="2"/>
  <c r="L18" i="2"/>
  <c r="L15" i="2"/>
  <c r="L16" i="2"/>
</calcChain>
</file>

<file path=xl/sharedStrings.xml><?xml version="1.0" encoding="utf-8"?>
<sst xmlns="http://schemas.openxmlformats.org/spreadsheetml/2006/main" count="218" uniqueCount="41">
  <si>
    <t>時段</t>
    <phoneticPr fontId="5" type="noConversion"/>
  </si>
  <si>
    <t>早上</t>
    <phoneticPr fontId="5" type="noConversion"/>
  </si>
  <si>
    <t>中午</t>
    <phoneticPr fontId="5" type="noConversion"/>
  </si>
  <si>
    <t>晚上</t>
    <phoneticPr fontId="5" type="noConversion"/>
  </si>
  <si>
    <t>凌晨</t>
    <phoneticPr fontId="5" type="noConversion"/>
  </si>
  <si>
    <t>總計</t>
    <phoneticPr fontId="5" type="noConversion"/>
  </si>
  <si>
    <t>佔比</t>
    <phoneticPr fontId="5" type="noConversion"/>
  </si>
  <si>
    <t>週一</t>
    <phoneticPr fontId="5" type="noConversion"/>
  </si>
  <si>
    <t>週二</t>
    <phoneticPr fontId="5" type="noConversion"/>
  </si>
  <si>
    <t>週三</t>
  </si>
  <si>
    <t>週四</t>
  </si>
  <si>
    <t>週五</t>
  </si>
  <si>
    <t>週六</t>
  </si>
  <si>
    <t>週日</t>
  </si>
  <si>
    <t>總計</t>
    <phoneticPr fontId="5" type="noConversion"/>
  </si>
  <si>
    <t>佔比</t>
    <phoneticPr fontId="5" type="noConversion"/>
  </si>
  <si>
    <t>二月第一週哈士奇自行車工讀時數表</t>
    <phoneticPr fontId="5" type="noConversion"/>
  </si>
  <si>
    <t>二月第一週工讀費用表</t>
    <phoneticPr fontId="5" type="noConversion"/>
  </si>
  <si>
    <t>二月第二週哈士奇自行車工讀時數表</t>
    <phoneticPr fontId="5" type="noConversion"/>
  </si>
  <si>
    <t>二月第三週哈士奇自行車工讀時數表</t>
    <phoneticPr fontId="5" type="noConversion"/>
  </si>
  <si>
    <t>工讀金表</t>
    <phoneticPr fontId="5" type="noConversion"/>
  </si>
  <si>
    <t>星期一</t>
  </si>
  <si>
    <t>星期一</t>
    <phoneticPr fontId="5" type="noConversion"/>
  </si>
  <si>
    <t>星期二</t>
  </si>
  <si>
    <t>星期三</t>
  </si>
  <si>
    <t>星期四</t>
  </si>
  <si>
    <t>星期五</t>
  </si>
  <si>
    <t>星期六</t>
  </si>
  <si>
    <t>星期日</t>
  </si>
  <si>
    <t>二月第一週哈士奇自行車工讀時數表</t>
    <phoneticPr fontId="5" type="noConversion"/>
  </si>
  <si>
    <t>二月哈士奇自行車工讀時數表</t>
    <phoneticPr fontId="5" type="noConversion"/>
  </si>
  <si>
    <t>二月工讀費用表</t>
    <phoneticPr fontId="5" type="noConversion"/>
  </si>
  <si>
    <t>100%</t>
  </si>
  <si>
    <t>Sumproduct</t>
    <phoneticPr fontId="5" type="noConversion"/>
  </si>
  <si>
    <t>總和</t>
    <phoneticPr fontId="5" type="noConversion"/>
  </si>
  <si>
    <t>b</t>
    <phoneticPr fontId="5" type="noConversion"/>
  </si>
  <si>
    <t>c</t>
    <phoneticPr fontId="5" type="noConversion"/>
  </si>
  <si>
    <t>d</t>
    <phoneticPr fontId="5" type="noConversion"/>
  </si>
  <si>
    <t>e</t>
    <phoneticPr fontId="5" type="noConversion"/>
  </si>
  <si>
    <t>不及格</t>
    <phoneticPr fontId="5" type="noConversion"/>
  </si>
  <si>
    <t>a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</si>
</sst>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00&quot;小&quot;&quot;時&quot;"/>
    <numFmt numFmtId="177" formatCode="&quot;$&quot;#,##0.0_);[Red]\(&quot;$&quot;#,##0.0\)"/>
    <numFmt numFmtId="178" formatCode="&quot;$&quot;#,##0_);[Red]\(&quot;$&quot;#,##0\)"/>
    <numFmt numFmtId="179" formatCode="m&quot;月&quot;d&quot;日&quot;"/>
    <numFmt numFmtId="180" formatCode="0.00_);[Red]\(0.00\)"/>
    <numFmt numFmtId="181" formatCode="00&quot;小時&quot;"/>
    <numFmt numFmtId="182" formatCode="[&gt;=60]&quot;及&quot;&quot;格&quot;;[&lt;60]&quot;不&quot;&quot;及&quot;&quot;格&quot;"/>
    <numFmt numFmtId="183" formatCode="[&gt;=60]&quot;及&quot;&quot;格&quot;;[Red][&lt;60]&quot;不&quot;&quot;及&quot;&quot;格&quot;"/>
  </numFmts>
  <fonts count="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59999389629810485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0" fillId="0" borderId="1" xfId="0" applyFont="1" applyBorder="1">
      <alignment vertical="center"/>
    </xf>
    <xf numFmtId="0" fontId="0" fillId="0" borderId="2" xfId="0" applyFont="1" applyBorder="1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178" fontId="0" fillId="0" borderId="2" xfId="0" applyNumberFormat="1" applyFont="1" applyBorder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2" fillId="2" borderId="4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0" fillId="3" borderId="4" xfId="0" applyFont="1" applyFill="1" applyBorder="1">
      <alignment vertical="center"/>
    </xf>
    <xf numFmtId="181" fontId="0" fillId="3" borderId="5" xfId="0" applyNumberFormat="1" applyFont="1" applyFill="1" applyBorder="1">
      <alignment vertical="center"/>
    </xf>
    <xf numFmtId="0" fontId="0" fillId="0" borderId="4" xfId="0" applyFont="1" applyBorder="1">
      <alignment vertical="center"/>
    </xf>
    <xf numFmtId="181" fontId="0" fillId="0" borderId="5" xfId="0" applyNumberFormat="1" applyFont="1" applyBorder="1">
      <alignment vertical="center"/>
    </xf>
    <xf numFmtId="180" fontId="0" fillId="0" borderId="3" xfId="0" applyNumberFormat="1" applyFont="1" applyBorder="1">
      <alignment vertical="center"/>
    </xf>
    <xf numFmtId="9" fontId="0" fillId="3" borderId="6" xfId="1" applyFont="1" applyFill="1" applyBorder="1">
      <alignment vertical="center"/>
    </xf>
    <xf numFmtId="9" fontId="0" fillId="0" borderId="0" xfId="1" applyFont="1">
      <alignment vertical="center"/>
    </xf>
    <xf numFmtId="9" fontId="0" fillId="0" borderId="2" xfId="1" applyNumberFormat="1" applyFont="1" applyBorder="1">
      <alignment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  <xf numFmtId="181" fontId="0" fillId="6" borderId="5" xfId="0" applyNumberFormat="1" applyFont="1" applyFill="1" applyBorder="1">
      <alignment vertical="center"/>
    </xf>
    <xf numFmtId="9" fontId="0" fillId="6" borderId="6" xfId="1" applyFont="1" applyFill="1" applyBorder="1">
      <alignment vertical="center"/>
    </xf>
    <xf numFmtId="9" fontId="0" fillId="3" borderId="6" xfId="1" applyNumberFormat="1" applyFont="1" applyFill="1" applyBorder="1">
      <alignment vertical="center"/>
    </xf>
    <xf numFmtId="9" fontId="0" fillId="0" borderId="6" xfId="1" applyNumberFormat="1" applyFont="1" applyBorder="1">
      <alignment vertical="center"/>
    </xf>
    <xf numFmtId="176" fontId="0" fillId="3" borderId="5" xfId="0" applyNumberFormat="1" applyFont="1" applyFill="1" applyBorder="1">
      <alignment vertical="center"/>
    </xf>
    <xf numFmtId="176" fontId="0" fillId="0" borderId="5" xfId="0" applyNumberFormat="1" applyFont="1" applyBorder="1">
      <alignment vertical="center"/>
    </xf>
    <xf numFmtId="178" fontId="0" fillId="3" borderId="5" xfId="0" applyNumberFormat="1" applyFont="1" applyFill="1" applyBorder="1">
      <alignment vertical="center"/>
    </xf>
    <xf numFmtId="178" fontId="0" fillId="3" borderId="6" xfId="0" applyNumberFormat="1" applyFont="1" applyFill="1" applyBorder="1">
      <alignment vertical="center"/>
    </xf>
    <xf numFmtId="178" fontId="0" fillId="0" borderId="5" xfId="0" applyNumberFormat="1" applyFont="1" applyBorder="1">
      <alignment vertical="center"/>
    </xf>
    <xf numFmtId="178" fontId="0" fillId="0" borderId="6" xfId="0" applyNumberFormat="1" applyFont="1" applyBorder="1">
      <alignment vertical="center"/>
    </xf>
    <xf numFmtId="0" fontId="2" fillId="2" borderId="0" xfId="0" applyFont="1" applyFill="1" applyBorder="1">
      <alignment vertical="center"/>
    </xf>
    <xf numFmtId="177" fontId="0" fillId="3" borderId="5" xfId="0" applyNumberFormat="1" applyFont="1" applyFill="1" applyBorder="1">
      <alignment vertical="center"/>
    </xf>
    <xf numFmtId="177" fontId="0" fillId="0" borderId="5" xfId="0" applyNumberFormat="1" applyFont="1" applyBorder="1">
      <alignment vertical="center"/>
    </xf>
    <xf numFmtId="178" fontId="0" fillId="6" borderId="5" xfId="0" applyNumberFormat="1" applyFont="1" applyFill="1" applyBorder="1">
      <alignment vertical="center"/>
    </xf>
    <xf numFmtId="178" fontId="0" fillId="6" borderId="7" xfId="0" applyNumberFormat="1" applyFont="1" applyFill="1" applyBorder="1">
      <alignment vertical="center"/>
    </xf>
    <xf numFmtId="9" fontId="0" fillId="6" borderId="8" xfId="1" applyFont="1" applyFill="1" applyBorder="1">
      <alignment vertical="center"/>
    </xf>
    <xf numFmtId="9" fontId="0" fillId="6" borderId="9" xfId="1" applyFont="1" applyFill="1" applyBorder="1">
      <alignment vertical="center"/>
    </xf>
    <xf numFmtId="0" fontId="4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3" fillId="0" borderId="10" xfId="0" applyFont="1" applyBorder="1">
      <alignment vertical="center"/>
    </xf>
    <xf numFmtId="9" fontId="3" fillId="0" borderId="12" xfId="1" applyNumberFormat="1" applyFont="1" applyBorder="1" applyAlignment="1">
      <alignment horizontal="right" vertical="center"/>
    </xf>
    <xf numFmtId="177" fontId="3" fillId="0" borderId="11" xfId="0" applyNumberFormat="1" applyFont="1" applyBorder="1">
      <alignment vertical="center"/>
    </xf>
    <xf numFmtId="0" fontId="8" fillId="0" borderId="0" xfId="0" applyFont="1">
      <alignment vertical="center"/>
    </xf>
    <xf numFmtId="178" fontId="6" fillId="7" borderId="5" xfId="0" applyNumberFormat="1" applyFont="1" applyFill="1" applyBorder="1">
      <alignment vertical="center"/>
    </xf>
    <xf numFmtId="178" fontId="6" fillId="7" borderId="7" xfId="0" applyNumberFormat="1" applyFont="1" applyFill="1" applyBorder="1">
      <alignment vertical="center"/>
    </xf>
    <xf numFmtId="0" fontId="6" fillId="4" borderId="0" xfId="0" applyFont="1" applyFill="1">
      <alignment vertical="center"/>
    </xf>
    <xf numFmtId="0" fontId="7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3" borderId="5" xfId="0" applyFont="1" applyFill="1" applyBorder="1">
      <alignment vertical="center"/>
    </xf>
    <xf numFmtId="0" fontId="0" fillId="0" borderId="5" xfId="0" applyFont="1" applyBorder="1">
      <alignment vertical="center"/>
    </xf>
    <xf numFmtId="9" fontId="0" fillId="3" borderId="5" xfId="1" applyFont="1" applyFill="1" applyBorder="1">
      <alignment vertical="center"/>
    </xf>
    <xf numFmtId="9" fontId="0" fillId="6" borderId="5" xfId="1" applyFont="1" applyFill="1" applyBorder="1">
      <alignment vertical="center"/>
    </xf>
    <xf numFmtId="0" fontId="0" fillId="0" borderId="13" xfId="0" applyFont="1" applyBorder="1">
      <alignment vertical="center"/>
    </xf>
    <xf numFmtId="9" fontId="0" fillId="0" borderId="14" xfId="1" applyFont="1" applyBorder="1">
      <alignment vertical="center"/>
    </xf>
    <xf numFmtId="0" fontId="0" fillId="0" borderId="14" xfId="0" applyFont="1" applyBorder="1">
      <alignment vertical="center"/>
    </xf>
    <xf numFmtId="9" fontId="0" fillId="3" borderId="5" xfId="1" applyNumberFormat="1" applyFont="1" applyFill="1" applyBorder="1">
      <alignment vertical="center"/>
    </xf>
    <xf numFmtId="9" fontId="0" fillId="3" borderId="15" xfId="1" applyNumberFormat="1" applyFont="1" applyFill="1" applyBorder="1">
      <alignment vertical="center"/>
    </xf>
    <xf numFmtId="9" fontId="0" fillId="0" borderId="5" xfId="1" applyNumberFormat="1" applyFont="1" applyBorder="1">
      <alignment vertical="center"/>
    </xf>
    <xf numFmtId="9" fontId="0" fillId="0" borderId="14" xfId="1" applyNumberFormat="1" applyFont="1" applyBorder="1">
      <alignment vertical="center"/>
    </xf>
    <xf numFmtId="180" fontId="0" fillId="0" borderId="16" xfId="0" applyNumberFormat="1" applyFont="1" applyBorder="1">
      <alignment vertical="center"/>
    </xf>
  </cellXfs>
  <cellStyles count="2">
    <cellStyle name="一般" xfId="0" builtinId="0"/>
    <cellStyle name="百分比" xfId="1" builtinId="5"/>
  </cellStyles>
  <dxfs count="3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新細明體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181" formatCode="00&quot;小時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181" formatCode="00&quot;小時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181" formatCode="00&quot;小時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181" formatCode="00&quot;小時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181" formatCode="00&quot;小時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181" formatCode="00&quot;小時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181" formatCode="00&quot;小時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181" formatCode="00&quot;小時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新細明體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178" formatCode="&quot;$&quot;#,##0_);[Red]\(&quot;$&quot;#,##0\)"/>
      <fill>
        <patternFill patternType="solid">
          <fgColor theme="4" tint="0.79998168889431442"/>
          <bgColor theme="7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181" formatCode="00&quot;小時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181" formatCode="00&quot;小時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181" formatCode="00&quot;小時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181" formatCode="00&quot;小時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181" formatCode="00&quot;小時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181" formatCode="00&quot;小時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181" formatCode="00&quot;小時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181" formatCode="00&quot;小時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新細明體"/>
        <scheme val="minor"/>
      </font>
      <fill>
        <patternFill patternType="solid">
          <fgColor theme="4"/>
          <bgColor theme="4"/>
        </patternFill>
      </fill>
    </dxf>
    <dxf>
      <numFmt numFmtId="184" formatCode="00&quot;台&quot;"/>
    </dxf>
    <dxf>
      <numFmt numFmtId="184" formatCode="00&quot;台&quot;"/>
    </dxf>
    <dxf>
      <numFmt numFmtId="184" formatCode="00&quot;台&quot;"/>
    </dxf>
    <dxf>
      <numFmt numFmtId="184" formatCode="00&quot;台&quot;"/>
    </dxf>
    <dxf>
      <numFmt numFmtId="184" formatCode="00&quot;台&quot;"/>
    </dxf>
    <dxf>
      <numFmt numFmtId="184" formatCode="00&quot;台&quot;"/>
    </dxf>
    <dxf>
      <numFmt numFmtId="184" formatCode="00&quot;台&quot;"/>
    </dxf>
    <dxf>
      <numFmt numFmtId="181" formatCode="00&quot;小時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MIS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week1!$D$4</c:f>
              <c:strCache>
                <c:ptCount val="1"/>
                <c:pt idx="0">
                  <c:v>週一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week1!$C$5:$C$8</c:f>
              <c:strCache>
                <c:ptCount val="4"/>
                <c:pt idx="0">
                  <c:v>早上</c:v>
                </c:pt>
                <c:pt idx="1">
                  <c:v>中午</c:v>
                </c:pt>
                <c:pt idx="2">
                  <c:v>晚上</c:v>
                </c:pt>
                <c:pt idx="3">
                  <c:v>凌晨</c:v>
                </c:pt>
              </c:strCache>
            </c:strRef>
          </c:cat>
          <c:val>
            <c:numRef>
              <c:f>week1!$D$5:$D$8</c:f>
              <c:numCache>
                <c:formatCode>00"小時"</c:formatCode>
                <c:ptCount val="4"/>
                <c:pt idx="0">
                  <c:v>38</c:v>
                </c:pt>
                <c:pt idx="1">
                  <c:v>56</c:v>
                </c:pt>
                <c:pt idx="2">
                  <c:v>42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2-4E64-BD7A-DAC518B5971E}"/>
            </c:ext>
          </c:extLst>
        </c:ser>
        <c:ser>
          <c:idx val="1"/>
          <c:order val="1"/>
          <c:tx>
            <c:strRef>
              <c:f>week1!$E$4</c:f>
              <c:strCache>
                <c:ptCount val="1"/>
                <c:pt idx="0">
                  <c:v>週二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week1!$C$5:$C$8</c:f>
              <c:strCache>
                <c:ptCount val="4"/>
                <c:pt idx="0">
                  <c:v>早上</c:v>
                </c:pt>
                <c:pt idx="1">
                  <c:v>中午</c:v>
                </c:pt>
                <c:pt idx="2">
                  <c:v>晚上</c:v>
                </c:pt>
                <c:pt idx="3">
                  <c:v>凌晨</c:v>
                </c:pt>
              </c:strCache>
            </c:strRef>
          </c:cat>
          <c:val>
            <c:numRef>
              <c:f>week1!$E$5:$E$8</c:f>
              <c:numCache>
                <c:formatCode>00"小時"</c:formatCode>
                <c:ptCount val="4"/>
                <c:pt idx="0">
                  <c:v>42</c:v>
                </c:pt>
                <c:pt idx="1">
                  <c:v>36</c:v>
                </c:pt>
                <c:pt idx="2">
                  <c:v>97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52-4E64-BD7A-DAC518B5971E}"/>
            </c:ext>
          </c:extLst>
        </c:ser>
        <c:ser>
          <c:idx val="2"/>
          <c:order val="2"/>
          <c:tx>
            <c:strRef>
              <c:f>week1!$F$4</c:f>
              <c:strCache>
                <c:ptCount val="1"/>
                <c:pt idx="0">
                  <c:v>週三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week1!$C$5:$C$8</c:f>
              <c:strCache>
                <c:ptCount val="4"/>
                <c:pt idx="0">
                  <c:v>早上</c:v>
                </c:pt>
                <c:pt idx="1">
                  <c:v>中午</c:v>
                </c:pt>
                <c:pt idx="2">
                  <c:v>晚上</c:v>
                </c:pt>
                <c:pt idx="3">
                  <c:v>凌晨</c:v>
                </c:pt>
              </c:strCache>
            </c:strRef>
          </c:cat>
          <c:val>
            <c:numRef>
              <c:f>week1!$F$5:$F$8</c:f>
              <c:numCache>
                <c:formatCode>00"小時"</c:formatCode>
                <c:ptCount val="4"/>
                <c:pt idx="0">
                  <c:v>45</c:v>
                </c:pt>
                <c:pt idx="1">
                  <c:v>22</c:v>
                </c:pt>
                <c:pt idx="2">
                  <c:v>15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52-4E64-BD7A-DAC518B5971E}"/>
            </c:ext>
          </c:extLst>
        </c:ser>
        <c:ser>
          <c:idx val="3"/>
          <c:order val="3"/>
          <c:tx>
            <c:strRef>
              <c:f>week1!$G$4</c:f>
              <c:strCache>
                <c:ptCount val="1"/>
                <c:pt idx="0">
                  <c:v>週四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week1!$C$5:$C$8</c:f>
              <c:strCache>
                <c:ptCount val="4"/>
                <c:pt idx="0">
                  <c:v>早上</c:v>
                </c:pt>
                <c:pt idx="1">
                  <c:v>中午</c:v>
                </c:pt>
                <c:pt idx="2">
                  <c:v>晚上</c:v>
                </c:pt>
                <c:pt idx="3">
                  <c:v>凌晨</c:v>
                </c:pt>
              </c:strCache>
            </c:strRef>
          </c:cat>
          <c:val>
            <c:numRef>
              <c:f>week1!$G$5:$G$8</c:f>
              <c:numCache>
                <c:formatCode>00"小時"</c:formatCode>
                <c:ptCount val="4"/>
                <c:pt idx="0">
                  <c:v>38</c:v>
                </c:pt>
                <c:pt idx="1">
                  <c:v>48</c:v>
                </c:pt>
                <c:pt idx="2">
                  <c:v>49</c:v>
                </c:pt>
                <c:pt idx="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52-4E64-BD7A-DAC518B5971E}"/>
            </c:ext>
          </c:extLst>
        </c:ser>
        <c:ser>
          <c:idx val="4"/>
          <c:order val="4"/>
          <c:tx>
            <c:strRef>
              <c:f>week1!$H$4</c:f>
              <c:strCache>
                <c:ptCount val="1"/>
                <c:pt idx="0">
                  <c:v>週五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week1!$C$5:$C$8</c:f>
              <c:strCache>
                <c:ptCount val="4"/>
                <c:pt idx="0">
                  <c:v>早上</c:v>
                </c:pt>
                <c:pt idx="1">
                  <c:v>中午</c:v>
                </c:pt>
                <c:pt idx="2">
                  <c:v>晚上</c:v>
                </c:pt>
                <c:pt idx="3">
                  <c:v>凌晨</c:v>
                </c:pt>
              </c:strCache>
            </c:strRef>
          </c:cat>
          <c:val>
            <c:numRef>
              <c:f>week1!$H$5:$H$8</c:f>
              <c:numCache>
                <c:formatCode>00"小時"</c:formatCode>
                <c:ptCount val="4"/>
                <c:pt idx="0">
                  <c:v>62</c:v>
                </c:pt>
                <c:pt idx="1">
                  <c:v>69</c:v>
                </c:pt>
                <c:pt idx="2">
                  <c:v>58</c:v>
                </c:pt>
                <c:pt idx="3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D52-4E64-BD7A-DAC518B5971E}"/>
            </c:ext>
          </c:extLst>
        </c:ser>
        <c:ser>
          <c:idx val="5"/>
          <c:order val="5"/>
          <c:tx>
            <c:strRef>
              <c:f>week1!$I$4</c:f>
              <c:strCache>
                <c:ptCount val="1"/>
                <c:pt idx="0">
                  <c:v>週六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week1!$C$5:$C$8</c:f>
              <c:strCache>
                <c:ptCount val="4"/>
                <c:pt idx="0">
                  <c:v>早上</c:v>
                </c:pt>
                <c:pt idx="1">
                  <c:v>中午</c:v>
                </c:pt>
                <c:pt idx="2">
                  <c:v>晚上</c:v>
                </c:pt>
                <c:pt idx="3">
                  <c:v>凌晨</c:v>
                </c:pt>
              </c:strCache>
            </c:strRef>
          </c:cat>
          <c:val>
            <c:numRef>
              <c:f>week1!$I$5:$I$8</c:f>
              <c:numCache>
                <c:formatCode>00"小時"</c:formatCode>
                <c:ptCount val="4"/>
                <c:pt idx="0">
                  <c:v>69</c:v>
                </c:pt>
                <c:pt idx="1">
                  <c:v>78</c:v>
                </c:pt>
                <c:pt idx="2">
                  <c:v>21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D52-4E64-BD7A-DAC518B5971E}"/>
            </c:ext>
          </c:extLst>
        </c:ser>
        <c:ser>
          <c:idx val="6"/>
          <c:order val="6"/>
          <c:tx>
            <c:strRef>
              <c:f>week1!$J$4</c:f>
              <c:strCache>
                <c:ptCount val="1"/>
                <c:pt idx="0">
                  <c:v>週日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week1!$C$5:$C$8</c:f>
              <c:strCache>
                <c:ptCount val="4"/>
                <c:pt idx="0">
                  <c:v>早上</c:v>
                </c:pt>
                <c:pt idx="1">
                  <c:v>中午</c:v>
                </c:pt>
                <c:pt idx="2">
                  <c:v>晚上</c:v>
                </c:pt>
                <c:pt idx="3">
                  <c:v>凌晨</c:v>
                </c:pt>
              </c:strCache>
            </c:strRef>
          </c:cat>
          <c:val>
            <c:numRef>
              <c:f>week1!$J$5:$J$8</c:f>
              <c:numCache>
                <c:formatCode>00"小時"</c:formatCode>
                <c:ptCount val="4"/>
                <c:pt idx="0">
                  <c:v>27</c:v>
                </c:pt>
                <c:pt idx="1">
                  <c:v>96</c:v>
                </c:pt>
                <c:pt idx="2">
                  <c:v>32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D52-4E64-BD7A-DAC518B59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172016"/>
        <c:axId val="781169104"/>
      </c:barChart>
      <c:catAx>
        <c:axId val="78117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1169104"/>
        <c:crosses val="autoZero"/>
        <c:auto val="1"/>
        <c:lblAlgn val="ctr"/>
        <c:lblOffset val="100"/>
        <c:noMultiLvlLbl val="0"/>
      </c:catAx>
      <c:valAx>
        <c:axId val="78116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0&quot;小時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117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314325</xdr:colOff>
      <xdr:row>2</xdr:row>
      <xdr:rowOff>80962</xdr:rowOff>
    </xdr:from>
    <xdr:to>
      <xdr:col>18</xdr:col>
      <xdr:colOff>485775</xdr:colOff>
      <xdr:row>15</xdr:row>
      <xdr:rowOff>100012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格1" displayName="表格1" ref="C4:L9" totalsRowShown="0" headerRowDxfId="29" dataDxfId="28" tableBorderDxfId="27">
  <autoFilter ref="C4:L9"/>
  <tableColumns count="10">
    <tableColumn id="1" name="時段" dataDxfId="26"/>
    <tableColumn id="2" name="週一" dataDxfId="25"/>
    <tableColumn id="3" name="週二" dataDxfId="24"/>
    <tableColumn id="4" name="週三" dataDxfId="23"/>
    <tableColumn id="5" name="週四" dataDxfId="22"/>
    <tableColumn id="6" name="週五" dataDxfId="21"/>
    <tableColumn id="7" name="週六" dataDxfId="20"/>
    <tableColumn id="8" name="週日" dataDxfId="19"/>
    <tableColumn id="9" name="總計" dataDxfId="18">
      <calculatedColumnFormula>SUM(D5:J5)</calculatedColumnFormula>
    </tableColumn>
    <tableColumn id="10" name="佔比" dataDxfId="17" dataCellStyle="百分比">
      <calculatedColumnFormula>K5/$K$9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表格3" displayName="表格3" ref="C16:L20" totalsRowShown="0" headerRowDxfId="13" tableBorderDxfId="16">
  <autoFilter ref="C16:L20"/>
  <tableColumns count="10">
    <tableColumn id="1" name="時段"/>
    <tableColumn id="2" name="週一">
      <calculatedColumnFormula>D5*工讀金表!D5</calculatedColumnFormula>
    </tableColumn>
    <tableColumn id="3" name="週二">
      <calculatedColumnFormula>E5*工讀金表!E5</calculatedColumnFormula>
    </tableColumn>
    <tableColumn id="4" name="週三">
      <calculatedColumnFormula>F5*工讀金表!F5</calculatedColumnFormula>
    </tableColumn>
    <tableColumn id="5" name="週四">
      <calculatedColumnFormula>G5*工讀金表!G5</calculatedColumnFormula>
    </tableColumn>
    <tableColumn id="6" name="週五">
      <calculatedColumnFormula>H5*工讀金表!H5</calculatedColumnFormula>
    </tableColumn>
    <tableColumn id="7" name="週六">
      <calculatedColumnFormula>I5*工讀金表!I5</calculatedColumnFormula>
    </tableColumn>
    <tableColumn id="8" name="週日">
      <calculatedColumnFormula>J5*工讀金表!J5</calculatedColumnFormula>
    </tableColumn>
    <tableColumn id="9" name="總計" dataDxfId="15">
      <calculatedColumnFormula>SUM(D17:J17)</calculatedColumnFormula>
    </tableColumn>
    <tableColumn id="10" name="佔比" dataDxfId="14" dataCellStyle="百分比">
      <calculatedColumnFormula>K17/$K$21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表格4" displayName="表格4" ref="C4:L9" totalsRowShown="0" headerRowDxfId="0" dataDxfId="1" tableBorderDxfId="12">
  <autoFilter ref="C4:L9"/>
  <tableColumns count="10">
    <tableColumn id="1" name="時段" dataDxfId="11"/>
    <tableColumn id="2" name="週一" dataDxfId="10"/>
    <tableColumn id="3" name="週二" dataDxfId="9"/>
    <tableColumn id="4" name="週三" dataDxfId="8"/>
    <tableColumn id="5" name="週四" dataDxfId="7"/>
    <tableColumn id="6" name="週五" dataDxfId="6"/>
    <tableColumn id="7" name="週六" dataDxfId="5"/>
    <tableColumn id="8" name="週日" dataDxfId="4"/>
    <tableColumn id="9" name="總計" dataDxfId="3">
      <calculatedColumnFormula>SUM(week2!$D5:$J5)</calculatedColumnFormula>
    </tableColumn>
    <tableColumn id="10" name="佔比" dataDxfId="2" dataCellStyle="百分比">
      <calculatedColumnFormula>week2!$K5/$K$9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10" name="表格1_11" displayName="表格1_11" ref="C4:L10" totalsRowShown="0">
  <autoFilter ref="C4:L10"/>
  <tableColumns count="10">
    <tableColumn id="1" name="時段"/>
    <tableColumn id="2" name="週一" dataDxfId="37">
      <calculatedColumnFormula>week1!D5+week2!D5+week3!D5+week4!D5</calculatedColumnFormula>
    </tableColumn>
    <tableColumn id="3" name="週二" dataDxfId="36"/>
    <tableColumn id="4" name="週三" dataDxfId="35"/>
    <tableColumn id="5" name="週四" dataDxfId="34"/>
    <tableColumn id="6" name="週五" dataDxfId="33"/>
    <tableColumn id="7" name="週六" dataDxfId="32"/>
    <tableColumn id="8" name="週日" dataDxfId="31"/>
    <tableColumn id="9" name="總計" dataDxfId="30">
      <calculatedColumnFormula>SUM(表格1_11[[#This Row],[週一]:[週日]])</calculatedColumnFormula>
    </tableColumn>
    <tableColumn id="10" name="佔比" dataCellStyle="百分比">
      <calculatedColumnFormula>表格1_11[[#This Row],[總計]]/$K$9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29"/>
  <sheetViews>
    <sheetView workbookViewId="0">
      <selection activeCell="Q6" sqref="Q6"/>
    </sheetView>
  </sheetViews>
  <sheetFormatPr defaultRowHeight="16.5" x14ac:dyDescent="0.25"/>
  <cols>
    <col min="4" max="10" width="11.25" bestFit="1" customWidth="1"/>
    <col min="11" max="12" width="9.625" bestFit="1" customWidth="1"/>
    <col min="13" max="13" width="12.75" bestFit="1" customWidth="1"/>
  </cols>
  <sheetData>
    <row r="3" spans="3:12" x14ac:dyDescent="0.25">
      <c r="C3" s="48" t="s">
        <v>29</v>
      </c>
      <c r="D3" s="49"/>
      <c r="E3" s="49"/>
      <c r="F3" s="49"/>
      <c r="G3" s="49"/>
      <c r="H3" s="49"/>
      <c r="I3" s="49"/>
      <c r="J3" s="49"/>
      <c r="K3" s="49"/>
      <c r="L3" s="49"/>
    </row>
    <row r="4" spans="3:12" x14ac:dyDescent="0.25">
      <c r="C4" s="32" t="s">
        <v>0</v>
      </c>
      <c r="D4" s="32" t="s">
        <v>7</v>
      </c>
      <c r="E4" s="32" t="s">
        <v>8</v>
      </c>
      <c r="F4" s="32" t="s">
        <v>9</v>
      </c>
      <c r="G4" s="32" t="s">
        <v>10</v>
      </c>
      <c r="H4" s="32" t="s">
        <v>11</v>
      </c>
      <c r="I4" s="32" t="s">
        <v>12</v>
      </c>
      <c r="J4" s="32" t="s">
        <v>13</v>
      </c>
      <c r="K4" s="32" t="s">
        <v>14</v>
      </c>
      <c r="L4" s="32" t="s">
        <v>15</v>
      </c>
    </row>
    <row r="5" spans="3:12" x14ac:dyDescent="0.25">
      <c r="C5" s="51" t="s">
        <v>1</v>
      </c>
      <c r="D5" s="13">
        <v>38</v>
      </c>
      <c r="E5" s="13">
        <v>42</v>
      </c>
      <c r="F5" s="13">
        <v>45</v>
      </c>
      <c r="G5" s="13">
        <v>38</v>
      </c>
      <c r="H5" s="13">
        <v>62</v>
      </c>
      <c r="I5" s="13">
        <v>69</v>
      </c>
      <c r="J5" s="13">
        <v>27</v>
      </c>
      <c r="K5" s="13">
        <f>SUM(D5:J5)</f>
        <v>321</v>
      </c>
      <c r="L5" s="53">
        <f>K5/$K$9</f>
        <v>0.23126801152737753</v>
      </c>
    </row>
    <row r="6" spans="3:12" x14ac:dyDescent="0.25">
      <c r="C6" s="52" t="s">
        <v>2</v>
      </c>
      <c r="D6" s="15">
        <v>56</v>
      </c>
      <c r="E6" s="15">
        <v>36</v>
      </c>
      <c r="F6" s="15">
        <v>22</v>
      </c>
      <c r="G6" s="15">
        <v>48</v>
      </c>
      <c r="H6" s="15">
        <v>69</v>
      </c>
      <c r="I6" s="15">
        <v>78</v>
      </c>
      <c r="J6" s="15">
        <v>96</v>
      </c>
      <c r="K6" s="22">
        <f t="shared" ref="K6:K9" si="0">SUM(D6:J6)</f>
        <v>405</v>
      </c>
      <c r="L6" s="54">
        <f>K6/$K$9</f>
        <v>0.29178674351585016</v>
      </c>
    </row>
    <row r="7" spans="3:12" x14ac:dyDescent="0.25">
      <c r="C7" s="51" t="s">
        <v>3</v>
      </c>
      <c r="D7" s="13">
        <v>42</v>
      </c>
      <c r="E7" s="13">
        <v>97</v>
      </c>
      <c r="F7" s="13">
        <v>15</v>
      </c>
      <c r="G7" s="13">
        <v>49</v>
      </c>
      <c r="H7" s="13">
        <v>58</v>
      </c>
      <c r="I7" s="13">
        <v>21</v>
      </c>
      <c r="J7" s="13">
        <v>32</v>
      </c>
      <c r="K7" s="13">
        <f t="shared" si="0"/>
        <v>314</v>
      </c>
      <c r="L7" s="53">
        <f>K7/$K$9</f>
        <v>0.22622478386167147</v>
      </c>
    </row>
    <row r="8" spans="3:12" x14ac:dyDescent="0.25">
      <c r="C8" s="52" t="s">
        <v>4</v>
      </c>
      <c r="D8" s="15">
        <v>33</v>
      </c>
      <c r="E8" s="15">
        <v>56</v>
      </c>
      <c r="F8" s="15">
        <v>43</v>
      </c>
      <c r="G8" s="15">
        <v>65</v>
      </c>
      <c r="H8" s="15">
        <v>72</v>
      </c>
      <c r="I8" s="15">
        <v>34</v>
      </c>
      <c r="J8" s="15">
        <v>45</v>
      </c>
      <c r="K8" s="22">
        <f t="shared" si="0"/>
        <v>348</v>
      </c>
      <c r="L8" s="54">
        <f>K8/$K$9</f>
        <v>0.25072046109510088</v>
      </c>
    </row>
    <row r="9" spans="3:12" x14ac:dyDescent="0.25">
      <c r="C9" s="51" t="s">
        <v>5</v>
      </c>
      <c r="D9" s="13">
        <f>SUM(D5:D8)</f>
        <v>169</v>
      </c>
      <c r="E9" s="13">
        <f t="shared" ref="E9:J9" si="1">SUM(E5:E8)</f>
        <v>231</v>
      </c>
      <c r="F9" s="13">
        <f t="shared" si="1"/>
        <v>125</v>
      </c>
      <c r="G9" s="13">
        <f t="shared" si="1"/>
        <v>200</v>
      </c>
      <c r="H9" s="13">
        <f t="shared" si="1"/>
        <v>261</v>
      </c>
      <c r="I9" s="13">
        <f t="shared" si="1"/>
        <v>202</v>
      </c>
      <c r="J9" s="13">
        <f t="shared" si="1"/>
        <v>200</v>
      </c>
      <c r="K9" s="13">
        <f t="shared" si="0"/>
        <v>1388</v>
      </c>
      <c r="L9" s="53">
        <f>K9/$K$9</f>
        <v>1</v>
      </c>
    </row>
    <row r="10" spans="3:12" x14ac:dyDescent="0.25">
      <c r="C10" s="55" t="s">
        <v>6</v>
      </c>
      <c r="D10" s="56">
        <f t="shared" ref="D10:K10" si="2">D9/$K$9</f>
        <v>0.12175792507204611</v>
      </c>
      <c r="E10" s="56">
        <f t="shared" si="2"/>
        <v>0.16642651296829972</v>
      </c>
      <c r="F10" s="56">
        <f t="shared" si="2"/>
        <v>9.0057636887608067E-2</v>
      </c>
      <c r="G10" s="56">
        <f t="shared" si="2"/>
        <v>0.14409221902017291</v>
      </c>
      <c r="H10" s="56">
        <f t="shared" si="2"/>
        <v>0.18804034582132564</v>
      </c>
      <c r="I10" s="56">
        <f t="shared" si="2"/>
        <v>0.14553314121037464</v>
      </c>
      <c r="J10" s="56">
        <f t="shared" si="2"/>
        <v>0.14409221902017291</v>
      </c>
      <c r="K10" s="56">
        <f t="shared" si="2"/>
        <v>1</v>
      </c>
      <c r="L10" s="57"/>
    </row>
    <row r="15" spans="3:12" x14ac:dyDescent="0.25">
      <c r="C15" s="39" t="s">
        <v>17</v>
      </c>
      <c r="D15" s="40"/>
      <c r="E15" s="40"/>
      <c r="F15" s="40"/>
      <c r="G15" s="40"/>
      <c r="H15" s="40"/>
      <c r="I15" s="40"/>
      <c r="J15" s="40"/>
      <c r="K15" s="40"/>
      <c r="L15" s="40"/>
    </row>
    <row r="16" spans="3:12" x14ac:dyDescent="0.25">
      <c r="C16" s="32" t="s">
        <v>0</v>
      </c>
      <c r="D16" s="32" t="s">
        <v>7</v>
      </c>
      <c r="E16" s="32" t="s">
        <v>8</v>
      </c>
      <c r="F16" s="32" t="s">
        <v>9</v>
      </c>
      <c r="G16" s="32" t="s">
        <v>10</v>
      </c>
      <c r="H16" s="32" t="s">
        <v>11</v>
      </c>
      <c r="I16" s="32" t="s">
        <v>12</v>
      </c>
      <c r="J16" s="32" t="s">
        <v>13</v>
      </c>
      <c r="K16" s="32" t="s">
        <v>14</v>
      </c>
      <c r="L16" s="32" t="s">
        <v>15</v>
      </c>
    </row>
    <row r="17" spans="3:14" x14ac:dyDescent="0.25">
      <c r="C17" s="51" t="s">
        <v>1</v>
      </c>
      <c r="D17" s="28">
        <f>D5*工讀金表!D5</f>
        <v>7600</v>
      </c>
      <c r="E17" s="28">
        <f>E5*工讀金表!E5</f>
        <v>8400</v>
      </c>
      <c r="F17" s="28">
        <f>F5*工讀金表!F5</f>
        <v>9000</v>
      </c>
      <c r="G17" s="28">
        <f>G5*工讀金表!G5</f>
        <v>7600</v>
      </c>
      <c r="H17" s="28">
        <f>H5*工讀金表!H5</f>
        <v>12400</v>
      </c>
      <c r="I17" s="28">
        <f>I5*工讀金表!I5</f>
        <v>17250</v>
      </c>
      <c r="J17" s="28">
        <f>J5*工讀金表!J5</f>
        <v>8100</v>
      </c>
      <c r="K17" s="45">
        <f>SUM(D17:J17)</f>
        <v>70350</v>
      </c>
      <c r="L17" s="58">
        <f>K17/$K$21</f>
        <v>0.16602553512850163</v>
      </c>
    </row>
    <row r="18" spans="3:14" x14ac:dyDescent="0.25">
      <c r="C18" s="52" t="s">
        <v>2</v>
      </c>
      <c r="D18" s="30">
        <f>D6*工讀金表!D6</f>
        <v>11200</v>
      </c>
      <c r="E18" s="30">
        <f>E6*工讀金表!E6</f>
        <v>7200</v>
      </c>
      <c r="F18" s="30">
        <f>F6*工讀金表!F6</f>
        <v>4400</v>
      </c>
      <c r="G18" s="30">
        <f>G6*工讀金表!G6</f>
        <v>9600</v>
      </c>
      <c r="H18" s="30">
        <f>H6*工讀金表!H6</f>
        <v>13800</v>
      </c>
      <c r="I18" s="30">
        <f>I6*工讀金表!I6</f>
        <v>19500</v>
      </c>
      <c r="J18" s="30">
        <f>J6*工讀金表!J6</f>
        <v>28800</v>
      </c>
      <c r="K18" s="45">
        <f t="shared" ref="K18:K20" si="3">SUM(D18:J18)</f>
        <v>94500</v>
      </c>
      <c r="L18" s="58">
        <f>K18/$K$21</f>
        <v>0.22301937554574847</v>
      </c>
    </row>
    <row r="19" spans="3:14" x14ac:dyDescent="0.25">
      <c r="C19" s="51" t="s">
        <v>3</v>
      </c>
      <c r="D19" s="28">
        <f>D7*工讀金表!D7</f>
        <v>13440</v>
      </c>
      <c r="E19" s="28">
        <f>E7*工讀金表!E7</f>
        <v>31040</v>
      </c>
      <c r="F19" s="28">
        <f>F7*工讀金表!F7</f>
        <v>4800</v>
      </c>
      <c r="G19" s="28">
        <f>G7*工讀金表!G7</f>
        <v>15680</v>
      </c>
      <c r="H19" s="28">
        <f>H7*工讀金表!H7</f>
        <v>18560</v>
      </c>
      <c r="I19" s="28">
        <f>I7*工讀金表!I7</f>
        <v>8400</v>
      </c>
      <c r="J19" s="28">
        <f>J7*工讀金表!J7</f>
        <v>15360</v>
      </c>
      <c r="K19" s="45">
        <f t="shared" si="3"/>
        <v>107280</v>
      </c>
      <c r="L19" s="58">
        <f>K19/$K$21</f>
        <v>0.25318009109574491</v>
      </c>
    </row>
    <row r="20" spans="3:14" x14ac:dyDescent="0.25">
      <c r="C20" s="2" t="s">
        <v>4</v>
      </c>
      <c r="D20" s="5">
        <f>D8*工讀金表!D8</f>
        <v>13200</v>
      </c>
      <c r="E20" s="5">
        <f>E8*工讀金表!E8</f>
        <v>22400</v>
      </c>
      <c r="F20" s="5">
        <f>F8*工讀金表!F8</f>
        <v>17200</v>
      </c>
      <c r="G20" s="5">
        <f>G8*工讀金表!G8</f>
        <v>26000</v>
      </c>
      <c r="H20" s="5">
        <f>H8*工讀金表!H8</f>
        <v>28800</v>
      </c>
      <c r="I20" s="5">
        <f>I8*工讀金表!I8</f>
        <v>17000</v>
      </c>
      <c r="J20" s="5">
        <f>J8*工讀金表!J8</f>
        <v>27000</v>
      </c>
      <c r="K20" s="46">
        <f t="shared" si="3"/>
        <v>151600</v>
      </c>
      <c r="L20" s="59">
        <f>K20/$K$21</f>
        <v>0.35777499823000497</v>
      </c>
    </row>
    <row r="21" spans="3:14" x14ac:dyDescent="0.25">
      <c r="K21" s="4">
        <f>SUM(K17:K20)</f>
        <v>423730</v>
      </c>
      <c r="L21" s="38">
        <f>K21/$K$21</f>
        <v>1</v>
      </c>
    </row>
    <row r="24" spans="3:14" x14ac:dyDescent="0.25">
      <c r="C24" s="50" t="s">
        <v>20</v>
      </c>
      <c r="D24" s="48"/>
      <c r="E24" s="48"/>
      <c r="F24" s="48"/>
      <c r="G24" s="48"/>
      <c r="H24" s="48"/>
      <c r="I24" s="48"/>
      <c r="J24" s="48"/>
      <c r="M24" s="44" t="s">
        <v>33</v>
      </c>
    </row>
    <row r="25" spans="3:14" x14ac:dyDescent="0.25">
      <c r="C25" s="9" t="s">
        <v>0</v>
      </c>
      <c r="D25" s="10" t="s">
        <v>7</v>
      </c>
      <c r="E25" s="10" t="s">
        <v>8</v>
      </c>
      <c r="F25" s="10" t="s">
        <v>9</v>
      </c>
      <c r="G25" s="10" t="s">
        <v>10</v>
      </c>
      <c r="H25" s="10" t="s">
        <v>11</v>
      </c>
      <c r="I25" s="10" t="s">
        <v>12</v>
      </c>
      <c r="J25" s="11" t="s">
        <v>13</v>
      </c>
      <c r="M25" s="32" t="s">
        <v>34</v>
      </c>
      <c r="N25" s="47">
        <f>SUMPRODUCT(D5:J5,D26:J26)</f>
        <v>70350</v>
      </c>
    </row>
    <row r="26" spans="3:14" x14ac:dyDescent="0.25">
      <c r="C26" s="12" t="s">
        <v>1</v>
      </c>
      <c r="D26" s="28">
        <v>200</v>
      </c>
      <c r="E26" s="28">
        <v>200</v>
      </c>
      <c r="F26" s="28">
        <v>200</v>
      </c>
      <c r="G26" s="28">
        <v>200</v>
      </c>
      <c r="H26" s="28">
        <v>200</v>
      </c>
      <c r="I26" s="28">
        <v>250</v>
      </c>
      <c r="J26" s="29">
        <v>300</v>
      </c>
      <c r="N26" s="47">
        <f t="shared" ref="N26:N28" si="4">SUMPRODUCT(D6:J6,D27:J27)</f>
        <v>94500</v>
      </c>
    </row>
    <row r="27" spans="3:14" x14ac:dyDescent="0.25">
      <c r="C27" s="14" t="s">
        <v>2</v>
      </c>
      <c r="D27" s="30">
        <v>200</v>
      </c>
      <c r="E27" s="30">
        <v>200</v>
      </c>
      <c r="F27" s="30">
        <v>200</v>
      </c>
      <c r="G27" s="30">
        <v>200</v>
      </c>
      <c r="H27" s="30">
        <v>200</v>
      </c>
      <c r="I27" s="30">
        <v>250</v>
      </c>
      <c r="J27" s="31">
        <v>300</v>
      </c>
      <c r="N27" s="47">
        <f t="shared" si="4"/>
        <v>107280</v>
      </c>
    </row>
    <row r="28" spans="3:14" x14ac:dyDescent="0.25">
      <c r="C28" s="12" t="s">
        <v>3</v>
      </c>
      <c r="D28" s="28">
        <f>D26*1.6</f>
        <v>320</v>
      </c>
      <c r="E28" s="28">
        <f t="shared" ref="E28:J28" si="5">E26*1.6</f>
        <v>320</v>
      </c>
      <c r="F28" s="28">
        <f t="shared" si="5"/>
        <v>320</v>
      </c>
      <c r="G28" s="28">
        <f t="shared" si="5"/>
        <v>320</v>
      </c>
      <c r="H28" s="28">
        <f t="shared" si="5"/>
        <v>320</v>
      </c>
      <c r="I28" s="28">
        <f t="shared" si="5"/>
        <v>400</v>
      </c>
      <c r="J28" s="28">
        <f t="shared" si="5"/>
        <v>480</v>
      </c>
      <c r="N28" s="47">
        <f t="shared" si="4"/>
        <v>151600</v>
      </c>
    </row>
    <row r="29" spans="3:14" x14ac:dyDescent="0.25">
      <c r="C29" s="1" t="s">
        <v>4</v>
      </c>
      <c r="D29" s="5">
        <f>D26*2</f>
        <v>400</v>
      </c>
      <c r="E29" s="5">
        <f t="shared" ref="E29:J29" si="6">E26*2</f>
        <v>400</v>
      </c>
      <c r="F29" s="5">
        <f t="shared" si="6"/>
        <v>400</v>
      </c>
      <c r="G29" s="5">
        <f t="shared" si="6"/>
        <v>400</v>
      </c>
      <c r="H29" s="5">
        <f t="shared" si="6"/>
        <v>400</v>
      </c>
      <c r="I29" s="5">
        <f t="shared" si="6"/>
        <v>500</v>
      </c>
      <c r="J29" s="5">
        <f t="shared" si="6"/>
        <v>600</v>
      </c>
    </row>
  </sheetData>
  <mergeCells count="2">
    <mergeCell ref="C3:L3"/>
    <mergeCell ref="C24:J24"/>
  </mergeCells>
  <phoneticPr fontId="5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8"/>
  <sheetViews>
    <sheetView tabSelected="1" workbookViewId="0">
      <selection activeCell="B3" sqref="B3"/>
    </sheetView>
  </sheetViews>
  <sheetFormatPr defaultRowHeight="16.5" x14ac:dyDescent="0.25"/>
  <sheetData>
    <row r="3" spans="1:6" x14ac:dyDescent="0.25">
      <c r="A3">
        <v>60</v>
      </c>
      <c r="B3" t="str">
        <f>IF(A3&gt;=$F$3,$E$3,IF(A3&gt;=$F$4,$E$4,IF(A3&gt;=$F$5,$E$5,IF(A3&gt;=$F$6,$E$6,$E$7))))</f>
        <v>d</v>
      </c>
      <c r="E3" t="s">
        <v>40</v>
      </c>
      <c r="F3">
        <v>90</v>
      </c>
    </row>
    <row r="4" spans="1:6" x14ac:dyDescent="0.25">
      <c r="A4">
        <v>58</v>
      </c>
      <c r="B4" t="str">
        <f>IF(A4&gt;=$F$3,$E$3,IF(A4&gt;=$F$4,$E$4,IF(A4&gt;=$F$5,$E$5,IF(A4&gt;=$F$6,$E$6,$E$7))))</f>
        <v>e</v>
      </c>
      <c r="E4" t="s">
        <v>35</v>
      </c>
      <c r="F4">
        <v>80</v>
      </c>
    </row>
    <row r="5" spans="1:6" x14ac:dyDescent="0.25">
      <c r="A5">
        <v>70</v>
      </c>
      <c r="B5" t="str">
        <f>IF(A5&gt;=$F$3,$E$3,IF(A5&gt;=$F$4,$E$4,IF(A5&gt;=$F$5,$E$5,IF(A5&gt;=$F$6,$E$6,$E$7))))</f>
        <v>c</v>
      </c>
      <c r="E5" t="s">
        <v>36</v>
      </c>
      <c r="F5">
        <v>70</v>
      </c>
    </row>
    <row r="6" spans="1:6" x14ac:dyDescent="0.25">
      <c r="A6">
        <v>88</v>
      </c>
      <c r="B6" t="str">
        <f>IF(A6&gt;=$F$3,$E$3,IF(A6&gt;=$F$4,$E$4,IF(A6&gt;=$F$5,$E$5,IF(A6&gt;=$F$6,$E$6,$E$7))))</f>
        <v>b</v>
      </c>
      <c r="E6" t="s">
        <v>37</v>
      </c>
      <c r="F6">
        <v>60</v>
      </c>
    </row>
    <row r="7" spans="1:6" x14ac:dyDescent="0.25">
      <c r="A7">
        <v>95</v>
      </c>
      <c r="B7" t="str">
        <f>IF(A7&gt;=$F$3,$E$3,IF(A7&gt;=$F$4,$E$4,IF(A7&gt;=$F$5,$E$5,IF(A7&gt;=$F$6,$E$6,$E$7))))</f>
        <v>a</v>
      </c>
      <c r="E7" t="s">
        <v>38</v>
      </c>
      <c r="F7" s="3" t="s">
        <v>39</v>
      </c>
    </row>
    <row r="8" spans="1:6" x14ac:dyDescent="0.25">
      <c r="A8">
        <v>47</v>
      </c>
      <c r="B8" t="str">
        <f>IF(A8&gt;=$F$3,$E$3,IF(A8&gt;=$F$4,$E$4,IF(A8&gt;=$F$5,$E$5,IF(A8&gt;=$F$6,$E$6,$E$7))))</f>
        <v>e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19"/>
  <sheetViews>
    <sheetView workbookViewId="0">
      <selection activeCell="K19" sqref="K19"/>
    </sheetView>
  </sheetViews>
  <sheetFormatPr defaultRowHeight="16.5" x14ac:dyDescent="0.25"/>
  <cols>
    <col min="4" max="4" width="9.5" bestFit="1" customWidth="1"/>
    <col min="11" max="11" width="9.625" bestFit="1" customWidth="1"/>
  </cols>
  <sheetData>
    <row r="3" spans="3:12" x14ac:dyDescent="0.25">
      <c r="C3" s="50" t="s">
        <v>18</v>
      </c>
      <c r="D3" s="48"/>
      <c r="E3" s="48"/>
      <c r="F3" s="48"/>
      <c r="G3" s="48"/>
      <c r="H3" s="48"/>
      <c r="I3" s="48"/>
      <c r="J3" s="48"/>
      <c r="K3" s="48"/>
      <c r="L3" s="48"/>
    </row>
    <row r="4" spans="3:12" x14ac:dyDescent="0.25">
      <c r="C4" s="32" t="s">
        <v>0</v>
      </c>
      <c r="D4" s="32" t="s">
        <v>7</v>
      </c>
      <c r="E4" s="32" t="s">
        <v>8</v>
      </c>
      <c r="F4" s="32" t="s">
        <v>9</v>
      </c>
      <c r="G4" s="32" t="s">
        <v>10</v>
      </c>
      <c r="H4" s="32" t="s">
        <v>11</v>
      </c>
      <c r="I4" s="32" t="s">
        <v>12</v>
      </c>
      <c r="J4" s="32" t="s">
        <v>13</v>
      </c>
      <c r="K4" s="32" t="s">
        <v>14</v>
      </c>
      <c r="L4" s="32" t="s">
        <v>15</v>
      </c>
    </row>
    <row r="5" spans="3:12" x14ac:dyDescent="0.25">
      <c r="C5" s="51" t="s">
        <v>1</v>
      </c>
      <c r="D5" s="13">
        <f>week1!D5+5</f>
        <v>43</v>
      </c>
      <c r="E5" s="13">
        <f>week1!E5+5</f>
        <v>47</v>
      </c>
      <c r="F5" s="13">
        <f>week1!F5+5</f>
        <v>50</v>
      </c>
      <c r="G5" s="13">
        <f>week1!G5+5</f>
        <v>43</v>
      </c>
      <c r="H5" s="13">
        <f>week1!H5+5</f>
        <v>67</v>
      </c>
      <c r="I5" s="13">
        <f>week1!I5+5</f>
        <v>74</v>
      </c>
      <c r="J5" s="13">
        <f>week1!J5+5</f>
        <v>32</v>
      </c>
      <c r="K5" s="13">
        <f>SUM(week2!$D5:$J5)</f>
        <v>356</v>
      </c>
      <c r="L5" s="58">
        <f>week2!$K5/$K$9</f>
        <v>0.23298429319371727</v>
      </c>
    </row>
    <row r="6" spans="3:12" x14ac:dyDescent="0.25">
      <c r="C6" s="52" t="s">
        <v>2</v>
      </c>
      <c r="D6" s="15">
        <f>week1!D6+5</f>
        <v>61</v>
      </c>
      <c r="E6" s="15">
        <f>week1!E6+5</f>
        <v>41</v>
      </c>
      <c r="F6" s="15">
        <f>week1!F6+5</f>
        <v>27</v>
      </c>
      <c r="G6" s="15">
        <f>week1!G6+5</f>
        <v>53</v>
      </c>
      <c r="H6" s="15">
        <f>week1!H6+5</f>
        <v>74</v>
      </c>
      <c r="I6" s="15">
        <f>week1!I6+5</f>
        <v>83</v>
      </c>
      <c r="J6" s="15">
        <f>week1!J6+5</f>
        <v>101</v>
      </c>
      <c r="K6" s="15">
        <f>SUM(week2!$D6:$J6)</f>
        <v>440</v>
      </c>
      <c r="L6" s="60">
        <f>week2!$K6/$K$9</f>
        <v>0.2879581151832461</v>
      </c>
    </row>
    <row r="7" spans="3:12" x14ac:dyDescent="0.25">
      <c r="C7" s="51" t="s">
        <v>3</v>
      </c>
      <c r="D7" s="13">
        <f>week1!D7+5</f>
        <v>47</v>
      </c>
      <c r="E7" s="13">
        <f>week1!E7+5</f>
        <v>102</v>
      </c>
      <c r="F7" s="13">
        <f>week1!F7+5</f>
        <v>20</v>
      </c>
      <c r="G7" s="13">
        <f>week1!G7+5</f>
        <v>54</v>
      </c>
      <c r="H7" s="13">
        <f>week1!H7+5</f>
        <v>63</v>
      </c>
      <c r="I7" s="13">
        <f>week1!I7+5</f>
        <v>26</v>
      </c>
      <c r="J7" s="13">
        <f>week1!J7+5</f>
        <v>37</v>
      </c>
      <c r="K7" s="13">
        <f>SUM(week2!$D7:$J7)</f>
        <v>349</v>
      </c>
      <c r="L7" s="58">
        <f>week2!$K7/$K$9</f>
        <v>0.22840314136125656</v>
      </c>
    </row>
    <row r="8" spans="3:12" x14ac:dyDescent="0.25">
      <c r="C8" s="52" t="s">
        <v>4</v>
      </c>
      <c r="D8" s="15">
        <f>week1!D8+5</f>
        <v>38</v>
      </c>
      <c r="E8" s="15">
        <f>week1!E8+5</f>
        <v>61</v>
      </c>
      <c r="F8" s="15">
        <f>week1!F8+5</f>
        <v>48</v>
      </c>
      <c r="G8" s="15">
        <f>week1!G8+5</f>
        <v>70</v>
      </c>
      <c r="H8" s="15">
        <f>week1!H8+5</f>
        <v>77</v>
      </c>
      <c r="I8" s="15">
        <f>week1!I8+5</f>
        <v>39</v>
      </c>
      <c r="J8" s="15">
        <f>week1!J8+5</f>
        <v>50</v>
      </c>
      <c r="K8" s="15">
        <f>SUM(week2!$D8:$J8)</f>
        <v>383</v>
      </c>
      <c r="L8" s="60">
        <f>week2!$K8/$K$9</f>
        <v>0.25065445026178013</v>
      </c>
    </row>
    <row r="9" spans="3:12" x14ac:dyDescent="0.25">
      <c r="C9" s="51" t="s">
        <v>5</v>
      </c>
      <c r="D9" s="13">
        <f>SUM(D5:D8)</f>
        <v>189</v>
      </c>
      <c r="E9" s="13">
        <f t="shared" ref="E9:J9" si="0">SUM(E5:E8)</f>
        <v>251</v>
      </c>
      <c r="F9" s="13">
        <f t="shared" si="0"/>
        <v>145</v>
      </c>
      <c r="G9" s="13">
        <f t="shared" si="0"/>
        <v>220</v>
      </c>
      <c r="H9" s="13">
        <f t="shared" si="0"/>
        <v>281</v>
      </c>
      <c r="I9" s="13">
        <f t="shared" si="0"/>
        <v>222</v>
      </c>
      <c r="J9" s="13">
        <f t="shared" si="0"/>
        <v>220</v>
      </c>
      <c r="K9" s="13">
        <f>SUM(week2!$D9:$J9)</f>
        <v>1528</v>
      </c>
      <c r="L9" s="58">
        <f>week2!$K9/$K$9</f>
        <v>1</v>
      </c>
    </row>
    <row r="10" spans="3:12" x14ac:dyDescent="0.25">
      <c r="C10" s="55" t="s">
        <v>6</v>
      </c>
      <c r="D10" s="61">
        <f>D9/$K$9</f>
        <v>0.12369109947643979</v>
      </c>
      <c r="E10" s="61">
        <f t="shared" ref="E10:K10" si="1">E9/$K$9</f>
        <v>0.1642670157068063</v>
      </c>
      <c r="F10" s="61">
        <f t="shared" si="1"/>
        <v>9.4895287958115179E-2</v>
      </c>
      <c r="G10" s="61">
        <f t="shared" si="1"/>
        <v>0.14397905759162305</v>
      </c>
      <c r="H10" s="61">
        <f t="shared" si="1"/>
        <v>0.18390052356020942</v>
      </c>
      <c r="I10" s="61">
        <f t="shared" si="1"/>
        <v>0.14528795811518325</v>
      </c>
      <c r="J10" s="61">
        <f t="shared" si="1"/>
        <v>0.14397905759162305</v>
      </c>
      <c r="K10" s="61">
        <f t="shared" si="1"/>
        <v>1</v>
      </c>
      <c r="L10" s="62"/>
    </row>
    <row r="13" spans="3:12" x14ac:dyDescent="0.25">
      <c r="C13" s="50" t="s">
        <v>17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3:12" x14ac:dyDescent="0.25">
      <c r="C14" s="9" t="s">
        <v>0</v>
      </c>
      <c r="D14" s="10" t="s">
        <v>7</v>
      </c>
      <c r="E14" s="10" t="s">
        <v>8</v>
      </c>
      <c r="F14" s="10" t="s">
        <v>9</v>
      </c>
      <c r="G14" s="10" t="s">
        <v>10</v>
      </c>
      <c r="H14" s="10" t="s">
        <v>11</v>
      </c>
      <c r="I14" s="10" t="s">
        <v>12</v>
      </c>
      <c r="J14" s="10" t="s">
        <v>13</v>
      </c>
      <c r="K14" s="10" t="s">
        <v>14</v>
      </c>
      <c r="L14" s="11" t="s">
        <v>15</v>
      </c>
    </row>
    <row r="15" spans="3:12" x14ac:dyDescent="0.25">
      <c r="C15" s="12" t="s">
        <v>1</v>
      </c>
      <c r="D15" s="28">
        <f>D5*工讀金表!D5</f>
        <v>8600</v>
      </c>
      <c r="E15" s="28">
        <f>E5*工讀金表!E5</f>
        <v>9400</v>
      </c>
      <c r="F15" s="28">
        <f>F5*工讀金表!F5</f>
        <v>10000</v>
      </c>
      <c r="G15" s="28"/>
      <c r="H15" s="28">
        <f>H5*工讀金表!H5</f>
        <v>13400</v>
      </c>
      <c r="I15" s="28">
        <f>I5*工讀金表!I5</f>
        <v>18500</v>
      </c>
      <c r="J15" s="28">
        <f>J5*工讀金表!J5</f>
        <v>9600</v>
      </c>
      <c r="K15" s="28">
        <f>SUM(D15:J15)</f>
        <v>69500</v>
      </c>
      <c r="L15" s="17">
        <f>K15/$K$19</f>
        <v>0.15157132575840185</v>
      </c>
    </row>
    <row r="16" spans="3:12" x14ac:dyDescent="0.25">
      <c r="C16" s="14" t="s">
        <v>2</v>
      </c>
      <c r="D16" s="35">
        <f>D6*工讀金表!D6</f>
        <v>12200</v>
      </c>
      <c r="E16" s="35">
        <f>E6*工讀金表!E6</f>
        <v>8200</v>
      </c>
      <c r="F16" s="35">
        <f>F6*工讀金表!F6</f>
        <v>5400</v>
      </c>
      <c r="G16" s="35">
        <f>G6*工讀金表!G6</f>
        <v>10600</v>
      </c>
      <c r="H16" s="35">
        <f>H6*工讀金表!H6</f>
        <v>14800</v>
      </c>
      <c r="I16" s="35">
        <f>I6*工讀金表!I6</f>
        <v>20750</v>
      </c>
      <c r="J16" s="35">
        <f>J6*工讀金表!J6</f>
        <v>30300</v>
      </c>
      <c r="K16" s="35">
        <f t="shared" ref="K16:K18" si="2">SUM(D16:J16)</f>
        <v>102250</v>
      </c>
      <c r="L16" s="23">
        <f t="shared" ref="L16:L19" si="3">K16/$K$19</f>
        <v>0.22299522386757681</v>
      </c>
    </row>
    <row r="17" spans="3:12" x14ac:dyDescent="0.25">
      <c r="C17" s="12" t="s">
        <v>3</v>
      </c>
      <c r="D17" s="28">
        <f>D7*工讀金表!D7</f>
        <v>15040</v>
      </c>
      <c r="E17" s="28">
        <f>E7*工讀金表!E7</f>
        <v>32640</v>
      </c>
      <c r="F17" s="28">
        <f>F7*工讀金表!F7</f>
        <v>6400</v>
      </c>
      <c r="G17" s="28">
        <f>G7*工讀金表!G7</f>
        <v>17280</v>
      </c>
      <c r="H17" s="28">
        <f>H7*工讀金表!H7</f>
        <v>20160</v>
      </c>
      <c r="I17" s="28">
        <f>I7*工讀金表!I7</f>
        <v>10400</v>
      </c>
      <c r="J17" s="28">
        <f>J7*工讀金表!J7</f>
        <v>17760</v>
      </c>
      <c r="K17" s="28">
        <f t="shared" si="2"/>
        <v>119680</v>
      </c>
      <c r="L17" s="17">
        <f t="shared" si="3"/>
        <v>0.26100800383835299</v>
      </c>
    </row>
    <row r="18" spans="3:12" x14ac:dyDescent="0.25">
      <c r="C18" s="1" t="s">
        <v>4</v>
      </c>
      <c r="D18" s="36">
        <f>D8*工讀金表!D8</f>
        <v>15200</v>
      </c>
      <c r="E18" s="36">
        <f>E8*工讀金表!E8</f>
        <v>24400</v>
      </c>
      <c r="F18" s="36">
        <f>F8*工讀金表!F8</f>
        <v>19200</v>
      </c>
      <c r="G18" s="36">
        <f>G8*工讀金表!G8</f>
        <v>28000</v>
      </c>
      <c r="H18" s="36">
        <f>H8*工讀金表!H8</f>
        <v>30800</v>
      </c>
      <c r="I18" s="36">
        <f>I8*工讀金表!I8</f>
        <v>19500</v>
      </c>
      <c r="J18" s="36">
        <f>J8*工讀金表!J8</f>
        <v>30000</v>
      </c>
      <c r="K18" s="36">
        <f t="shared" si="2"/>
        <v>167100</v>
      </c>
      <c r="L18" s="37">
        <f t="shared" si="3"/>
        <v>0.36442544653566833</v>
      </c>
    </row>
    <row r="19" spans="3:12" x14ac:dyDescent="0.25">
      <c r="K19" s="4">
        <f>SUM(K15:K18)</f>
        <v>458530</v>
      </c>
      <c r="L19" s="38">
        <f t="shared" si="3"/>
        <v>1</v>
      </c>
    </row>
  </sheetData>
  <mergeCells count="2">
    <mergeCell ref="C3:L3"/>
    <mergeCell ref="C13:L13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M19"/>
  <sheetViews>
    <sheetView workbookViewId="0">
      <selection activeCell="G15" sqref="G15"/>
    </sheetView>
  </sheetViews>
  <sheetFormatPr defaultRowHeight="16.5" x14ac:dyDescent="0.25"/>
  <cols>
    <col min="11" max="11" width="9.625" bestFit="1" customWidth="1"/>
  </cols>
  <sheetData>
    <row r="3" spans="3:13" x14ac:dyDescent="0.25">
      <c r="C3" s="50" t="s">
        <v>19</v>
      </c>
      <c r="D3" s="48"/>
      <c r="E3" s="48"/>
      <c r="F3" s="48"/>
      <c r="G3" s="48"/>
      <c r="H3" s="48"/>
      <c r="I3" s="48"/>
      <c r="J3" s="48"/>
      <c r="K3" s="48"/>
      <c r="L3" s="48"/>
    </row>
    <row r="4" spans="3:13" x14ac:dyDescent="0.25">
      <c r="C4" s="9" t="s">
        <v>0</v>
      </c>
      <c r="D4" s="10" t="s">
        <v>7</v>
      </c>
      <c r="E4" s="10" t="s">
        <v>8</v>
      </c>
      <c r="F4" s="10" t="s">
        <v>9</v>
      </c>
      <c r="G4" s="10" t="s">
        <v>10</v>
      </c>
      <c r="H4" s="10" t="s">
        <v>11</v>
      </c>
      <c r="I4" s="10" t="s">
        <v>12</v>
      </c>
      <c r="J4" s="10" t="s">
        <v>13</v>
      </c>
      <c r="K4" s="10" t="s">
        <v>14</v>
      </c>
      <c r="L4" s="11" t="s">
        <v>15</v>
      </c>
    </row>
    <row r="5" spans="3:13" x14ac:dyDescent="0.25">
      <c r="C5" s="12" t="s">
        <v>1</v>
      </c>
      <c r="D5" s="13">
        <f>week1!D5+12</f>
        <v>50</v>
      </c>
      <c r="E5" s="13">
        <f>week1!E5+12</f>
        <v>54</v>
      </c>
      <c r="F5" s="13">
        <f>week1!F5+12</f>
        <v>57</v>
      </c>
      <c r="G5" s="13">
        <f>week1!G5+12</f>
        <v>50</v>
      </c>
      <c r="H5" s="13">
        <f>week1!H5+12</f>
        <v>74</v>
      </c>
      <c r="I5" s="13">
        <f>week1!I5+12</f>
        <v>81</v>
      </c>
      <c r="J5" s="13">
        <f>week1!J5+12</f>
        <v>39</v>
      </c>
      <c r="K5" s="13">
        <f>SUM(week3!$D5:$J5)</f>
        <v>405</v>
      </c>
      <c r="L5" s="24">
        <f>week3!$K5/$K$9</f>
        <v>0.23491879350348027</v>
      </c>
    </row>
    <row r="6" spans="3:13" x14ac:dyDescent="0.25">
      <c r="C6" s="14" t="s">
        <v>2</v>
      </c>
      <c r="D6" s="15">
        <f>week1!D6+12</f>
        <v>68</v>
      </c>
      <c r="E6" s="15">
        <f>week1!E6+12</f>
        <v>48</v>
      </c>
      <c r="F6" s="15">
        <f>week1!F6+12</f>
        <v>34</v>
      </c>
      <c r="G6" s="15">
        <f>week1!G6+12</f>
        <v>60</v>
      </c>
      <c r="H6" s="15">
        <f>week1!H6+12</f>
        <v>81</v>
      </c>
      <c r="I6" s="15">
        <f>week1!I6+12</f>
        <v>90</v>
      </c>
      <c r="J6" s="15">
        <f>week1!J6+12</f>
        <v>108</v>
      </c>
      <c r="K6" s="15">
        <f>SUM(week3!$D6:$J6)</f>
        <v>489</v>
      </c>
      <c r="L6" s="25">
        <f>week3!$K6/$K$9</f>
        <v>0.28364269141531323</v>
      </c>
    </row>
    <row r="7" spans="3:13" x14ac:dyDescent="0.25">
      <c r="C7" s="12" t="s">
        <v>3</v>
      </c>
      <c r="D7" s="13">
        <f>week1!D7+12</f>
        <v>54</v>
      </c>
      <c r="E7" s="13">
        <f>week1!E7+12</f>
        <v>109</v>
      </c>
      <c r="F7" s="13">
        <f>week1!F7+12</f>
        <v>27</v>
      </c>
      <c r="G7" s="13">
        <f>week1!G7+12</f>
        <v>61</v>
      </c>
      <c r="H7" s="13">
        <f>week1!H7+12</f>
        <v>70</v>
      </c>
      <c r="I7" s="13">
        <f>week1!I7+12</f>
        <v>33</v>
      </c>
      <c r="J7" s="13">
        <f>week1!J7+12</f>
        <v>44</v>
      </c>
      <c r="K7" s="13">
        <f>SUM(week3!$D7:$J7)</f>
        <v>398</v>
      </c>
      <c r="L7" s="24">
        <f>week3!$K7/$K$9</f>
        <v>0.23085846867749421</v>
      </c>
    </row>
    <row r="8" spans="3:13" x14ac:dyDescent="0.25">
      <c r="C8" s="14" t="s">
        <v>4</v>
      </c>
      <c r="D8" s="15">
        <f>week1!D8+12</f>
        <v>45</v>
      </c>
      <c r="E8" s="15">
        <f>week1!E8+12</f>
        <v>68</v>
      </c>
      <c r="F8" s="15">
        <f>week1!F8+12</f>
        <v>55</v>
      </c>
      <c r="G8" s="15">
        <f>week1!G8+12</f>
        <v>77</v>
      </c>
      <c r="H8" s="15">
        <f>week1!H8+12</f>
        <v>84</v>
      </c>
      <c r="I8" s="15">
        <f>week1!I8+12</f>
        <v>46</v>
      </c>
      <c r="J8" s="15">
        <f>week1!J8+12</f>
        <v>57</v>
      </c>
      <c r="K8" s="15">
        <f>SUM(week3!$D8:$J8)</f>
        <v>432</v>
      </c>
      <c r="L8" s="25">
        <f>week3!$K8/$K$9</f>
        <v>0.25058004640371229</v>
      </c>
    </row>
    <row r="9" spans="3:13" x14ac:dyDescent="0.25">
      <c r="C9" s="12" t="s">
        <v>5</v>
      </c>
      <c r="D9" s="13">
        <f>SUM(D5:D8)</f>
        <v>217</v>
      </c>
      <c r="E9" s="13">
        <f t="shared" ref="E9:J9" si="0">SUM(E5:E8)</f>
        <v>279</v>
      </c>
      <c r="F9" s="13">
        <f t="shared" si="0"/>
        <v>173</v>
      </c>
      <c r="G9" s="13">
        <f t="shared" si="0"/>
        <v>248</v>
      </c>
      <c r="H9" s="13">
        <f t="shared" si="0"/>
        <v>309</v>
      </c>
      <c r="I9" s="13">
        <f t="shared" si="0"/>
        <v>250</v>
      </c>
      <c r="J9" s="13">
        <f t="shared" si="0"/>
        <v>248</v>
      </c>
      <c r="K9" s="13">
        <f>SUM(week3!$D9:$J9)</f>
        <v>1724</v>
      </c>
      <c r="L9" s="24">
        <f>week3!$K9/$K$9</f>
        <v>1</v>
      </c>
    </row>
    <row r="10" spans="3:13" x14ac:dyDescent="0.25">
      <c r="C10" s="1" t="s">
        <v>6</v>
      </c>
      <c r="D10" s="19">
        <f>D9/$K$9</f>
        <v>0.12587006960556846</v>
      </c>
      <c r="E10" s="19">
        <f t="shared" ref="E10:K10" si="1">E9/$K$9</f>
        <v>0.16183294663573086</v>
      </c>
      <c r="F10" s="19">
        <f t="shared" si="1"/>
        <v>0.10034802784222738</v>
      </c>
      <c r="G10" s="19">
        <f t="shared" si="1"/>
        <v>0.14385150812064965</v>
      </c>
      <c r="H10" s="19">
        <f t="shared" si="1"/>
        <v>0.17923433874709976</v>
      </c>
      <c r="I10" s="19">
        <f t="shared" si="1"/>
        <v>0.14501160092807425</v>
      </c>
      <c r="J10" s="19">
        <f t="shared" si="1"/>
        <v>0.14385150812064965</v>
      </c>
      <c r="K10" s="19">
        <f t="shared" si="1"/>
        <v>1</v>
      </c>
      <c r="L10" s="16"/>
      <c r="M10" s="7"/>
    </row>
    <row r="13" spans="3:13" x14ac:dyDescent="0.25">
      <c r="C13" s="50" t="s">
        <v>17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3:13" x14ac:dyDescent="0.25">
      <c r="C14" s="9" t="s">
        <v>0</v>
      </c>
      <c r="D14" s="10" t="s">
        <v>7</v>
      </c>
      <c r="E14" s="10" t="s">
        <v>8</v>
      </c>
      <c r="F14" s="10" t="s">
        <v>9</v>
      </c>
      <c r="G14" s="10" t="s">
        <v>10</v>
      </c>
      <c r="H14" s="10" t="s">
        <v>11</v>
      </c>
      <c r="I14" s="10" t="s">
        <v>12</v>
      </c>
      <c r="J14" s="10" t="s">
        <v>13</v>
      </c>
      <c r="K14" s="10" t="s">
        <v>14</v>
      </c>
      <c r="L14" s="11" t="s">
        <v>15</v>
      </c>
    </row>
    <row r="15" spans="3:13" x14ac:dyDescent="0.25">
      <c r="C15" s="12" t="s">
        <v>1</v>
      </c>
      <c r="D15" s="28">
        <f>D5*工讀金表!D5</f>
        <v>10000</v>
      </c>
      <c r="E15" s="28">
        <f>E5*工讀金表!E5</f>
        <v>10800</v>
      </c>
      <c r="F15" s="28">
        <f>F5*工讀金表!F5</f>
        <v>11400</v>
      </c>
      <c r="G15" s="28"/>
      <c r="H15" s="28">
        <f>H5*工讀金表!H5</f>
        <v>14800</v>
      </c>
      <c r="I15" s="28">
        <f>I5*工讀金表!I5</f>
        <v>20250</v>
      </c>
      <c r="J15" s="28">
        <f>J5*工讀金表!J5</f>
        <v>11700</v>
      </c>
      <c r="K15" s="28">
        <f>SUM(D15:J15)</f>
        <v>78950</v>
      </c>
      <c r="L15" s="17">
        <f>K15/$K$19</f>
        <v>0.15244550000965457</v>
      </c>
    </row>
    <row r="16" spans="3:13" x14ac:dyDescent="0.25">
      <c r="C16" s="14" t="s">
        <v>2</v>
      </c>
      <c r="D16" s="28">
        <f>D6*工讀金表!D6</f>
        <v>13600</v>
      </c>
      <c r="E16" s="28">
        <f>E6*工讀金表!E6</f>
        <v>9600</v>
      </c>
      <c r="F16" s="28">
        <f>F6*工讀金表!F6</f>
        <v>6800</v>
      </c>
      <c r="G16" s="28">
        <f>G6*工讀金表!G6</f>
        <v>12000</v>
      </c>
      <c r="H16" s="28">
        <f>H6*工讀金表!H6</f>
        <v>16200</v>
      </c>
      <c r="I16" s="28">
        <f>I6*工讀金表!I6</f>
        <v>22500</v>
      </c>
      <c r="J16" s="28">
        <f>J6*工讀金表!J6</f>
        <v>32400</v>
      </c>
      <c r="K16" s="28">
        <f t="shared" ref="K16:K18" si="2">SUM(D16:J16)</f>
        <v>113100</v>
      </c>
      <c r="L16" s="17">
        <f t="shared" ref="L16:L19" si="3">K16/$K$19</f>
        <v>0.21838614377570525</v>
      </c>
    </row>
    <row r="17" spans="3:12" x14ac:dyDescent="0.25">
      <c r="C17" s="12" t="s">
        <v>3</v>
      </c>
      <c r="D17" s="28">
        <f>D7*工讀金表!D7</f>
        <v>17280</v>
      </c>
      <c r="E17" s="28">
        <f>E7*工讀金表!E7</f>
        <v>34880</v>
      </c>
      <c r="F17" s="28">
        <f>F7*工讀金表!F7</f>
        <v>8640</v>
      </c>
      <c r="G17" s="28">
        <f>G7*工讀金表!G7</f>
        <v>19520</v>
      </c>
      <c r="H17" s="28">
        <f>H7*工讀金表!H7</f>
        <v>22400</v>
      </c>
      <c r="I17" s="28">
        <f>I7*工讀金表!I7</f>
        <v>13200</v>
      </c>
      <c r="J17" s="28">
        <f>J7*工讀金表!J7</f>
        <v>21120</v>
      </c>
      <c r="K17" s="28">
        <f t="shared" si="2"/>
        <v>137040</v>
      </c>
      <c r="L17" s="17">
        <f t="shared" si="3"/>
        <v>0.26461217633088108</v>
      </c>
    </row>
    <row r="18" spans="3:12" x14ac:dyDescent="0.25">
      <c r="C18" s="1" t="s">
        <v>4</v>
      </c>
      <c r="D18" s="28">
        <f>D8*工讀金表!D8</f>
        <v>18000</v>
      </c>
      <c r="E18" s="28">
        <f>E8*工讀金表!E8</f>
        <v>27200</v>
      </c>
      <c r="F18" s="28">
        <f>F8*工讀金表!F8</f>
        <v>22000</v>
      </c>
      <c r="G18" s="28">
        <f>G8*工讀金表!G8</f>
        <v>30800</v>
      </c>
      <c r="H18" s="28">
        <f>H8*工讀金表!H8</f>
        <v>33600</v>
      </c>
      <c r="I18" s="28">
        <f>I8*工讀金表!I8</f>
        <v>23000</v>
      </c>
      <c r="J18" s="28">
        <f>J8*工讀金表!J8</f>
        <v>34200</v>
      </c>
      <c r="K18" s="28">
        <f t="shared" si="2"/>
        <v>188800</v>
      </c>
      <c r="L18" s="17">
        <f t="shared" si="3"/>
        <v>0.3645561798837591</v>
      </c>
    </row>
    <row r="19" spans="3:12" x14ac:dyDescent="0.25">
      <c r="K19" s="4">
        <f>SUM(K15:K18)</f>
        <v>517890</v>
      </c>
      <c r="L19" s="38">
        <f t="shared" si="3"/>
        <v>1</v>
      </c>
    </row>
  </sheetData>
  <mergeCells count="2">
    <mergeCell ref="C3:L3"/>
    <mergeCell ref="C13:L13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S60"/>
  <sheetViews>
    <sheetView workbookViewId="0">
      <selection activeCell="G15" sqref="G15"/>
    </sheetView>
  </sheetViews>
  <sheetFormatPr defaultRowHeight="16.5" x14ac:dyDescent="0.25"/>
  <sheetData>
    <row r="3" spans="3:19" x14ac:dyDescent="0.25">
      <c r="C3" s="50" t="s">
        <v>16</v>
      </c>
      <c r="D3" s="48"/>
      <c r="E3" s="48"/>
      <c r="F3" s="48"/>
      <c r="G3" s="48"/>
      <c r="H3" s="48"/>
      <c r="I3" s="48"/>
      <c r="J3" s="48"/>
      <c r="K3" s="48"/>
      <c r="L3" s="48"/>
    </row>
    <row r="4" spans="3:19" x14ac:dyDescent="0.25">
      <c r="C4" s="9" t="s">
        <v>0</v>
      </c>
      <c r="D4" s="10" t="s">
        <v>7</v>
      </c>
      <c r="E4" s="10" t="s">
        <v>8</v>
      </c>
      <c r="F4" s="10" t="s">
        <v>9</v>
      </c>
      <c r="G4" s="10" t="s">
        <v>10</v>
      </c>
      <c r="H4" s="10" t="s">
        <v>11</v>
      </c>
      <c r="I4" s="10" t="s">
        <v>12</v>
      </c>
      <c r="J4" s="10" t="s">
        <v>13</v>
      </c>
      <c r="K4" s="10" t="s">
        <v>14</v>
      </c>
      <c r="L4" s="11" t="s">
        <v>15</v>
      </c>
    </row>
    <row r="5" spans="3:19" x14ac:dyDescent="0.25">
      <c r="C5" s="12" t="s">
        <v>1</v>
      </c>
      <c r="D5" s="26">
        <f>week1!D5-6</f>
        <v>32</v>
      </c>
      <c r="E5" s="26">
        <f>week1!E5-6</f>
        <v>36</v>
      </c>
      <c r="F5" s="26">
        <f>week1!F5-6</f>
        <v>39</v>
      </c>
      <c r="G5" s="26">
        <f>week1!G5-6</f>
        <v>32</v>
      </c>
      <c r="H5" s="26">
        <f>week1!H5-6</f>
        <v>56</v>
      </c>
      <c r="I5" s="26">
        <f>week1!I5-6</f>
        <v>63</v>
      </c>
      <c r="J5" s="26">
        <f>week1!J5-6</f>
        <v>21</v>
      </c>
      <c r="K5" s="26">
        <f>SUM(week4!$D5:$J5)</f>
        <v>279</v>
      </c>
      <c r="L5" s="24">
        <f>week4!$K5/$K$9</f>
        <v>0.22868852459016392</v>
      </c>
      <c r="P5" s="6">
        <v>45292</v>
      </c>
      <c r="Q5">
        <v>1</v>
      </c>
      <c r="R5">
        <v>1</v>
      </c>
      <c r="S5" t="s">
        <v>22</v>
      </c>
    </row>
    <row r="6" spans="3:19" x14ac:dyDescent="0.25">
      <c r="C6" s="14" t="s">
        <v>2</v>
      </c>
      <c r="D6" s="27">
        <f>week1!D6-6</f>
        <v>50</v>
      </c>
      <c r="E6" s="27">
        <f>week1!E6-6</f>
        <v>30</v>
      </c>
      <c r="F6" s="27">
        <f>week1!F6-6</f>
        <v>16</v>
      </c>
      <c r="G6" s="27">
        <f>week1!G6-6</f>
        <v>42</v>
      </c>
      <c r="H6" s="27">
        <f>week1!H6-6</f>
        <v>63</v>
      </c>
      <c r="I6" s="27">
        <f>week1!I6-6</f>
        <v>72</v>
      </c>
      <c r="J6" s="27">
        <f>week1!J6-6</f>
        <v>90</v>
      </c>
      <c r="K6" s="27">
        <f>SUM(week4!$D6:$J6)</f>
        <v>363</v>
      </c>
      <c r="L6" s="25">
        <f>week4!$K6/$K$9</f>
        <v>0.2975409836065574</v>
      </c>
      <c r="P6" s="6">
        <v>45293</v>
      </c>
      <c r="Q6">
        <v>2</v>
      </c>
      <c r="R6">
        <v>2</v>
      </c>
      <c r="S6" t="s">
        <v>23</v>
      </c>
    </row>
    <row r="7" spans="3:19" x14ac:dyDescent="0.25">
      <c r="C7" s="12" t="s">
        <v>3</v>
      </c>
      <c r="D7" s="26">
        <f>week1!D7-6</f>
        <v>36</v>
      </c>
      <c r="E7" s="26">
        <f>week1!E7-6</f>
        <v>91</v>
      </c>
      <c r="F7" s="26">
        <f>week1!F7-6</f>
        <v>9</v>
      </c>
      <c r="G7" s="26">
        <f>week1!G7-6</f>
        <v>43</v>
      </c>
      <c r="H7" s="26">
        <f>week1!H7-6</f>
        <v>52</v>
      </c>
      <c r="I7" s="26">
        <f>week1!I7-6</f>
        <v>15</v>
      </c>
      <c r="J7" s="26">
        <f>week1!J7-6</f>
        <v>26</v>
      </c>
      <c r="K7" s="26">
        <f>SUM(week4!$D7:$J7)</f>
        <v>272</v>
      </c>
      <c r="L7" s="24">
        <f>week4!$K7/$K$9</f>
        <v>0.22295081967213115</v>
      </c>
      <c r="P7" s="6">
        <v>45294</v>
      </c>
      <c r="Q7">
        <v>4</v>
      </c>
      <c r="R7">
        <v>3</v>
      </c>
      <c r="S7" t="s">
        <v>24</v>
      </c>
    </row>
    <row r="8" spans="3:19" x14ac:dyDescent="0.25">
      <c r="C8" s="14" t="s">
        <v>4</v>
      </c>
      <c r="D8" s="27">
        <f>week1!D8-6</f>
        <v>27</v>
      </c>
      <c r="E8" s="27">
        <f>week1!E8-6</f>
        <v>50</v>
      </c>
      <c r="F8" s="27">
        <f>week1!F8-6</f>
        <v>37</v>
      </c>
      <c r="G8" s="27">
        <f>week1!G8-6</f>
        <v>59</v>
      </c>
      <c r="H8" s="27">
        <f>week1!H8-6</f>
        <v>66</v>
      </c>
      <c r="I8" s="27">
        <f>week1!I8-6</f>
        <v>28</v>
      </c>
      <c r="J8" s="27">
        <f>week1!J8-6</f>
        <v>39</v>
      </c>
      <c r="K8" s="27">
        <f>SUM(week4!$D8:$J8)</f>
        <v>306</v>
      </c>
      <c r="L8" s="25">
        <f>week4!$K8/$K$9</f>
        <v>0.25081967213114753</v>
      </c>
      <c r="P8" s="6">
        <v>45295</v>
      </c>
      <c r="Q8">
        <v>8</v>
      </c>
      <c r="R8">
        <v>4</v>
      </c>
      <c r="S8" t="s">
        <v>25</v>
      </c>
    </row>
    <row r="9" spans="3:19" x14ac:dyDescent="0.25">
      <c r="C9" s="12" t="s">
        <v>5</v>
      </c>
      <c r="D9" s="26">
        <f>SUM(D5:D8)</f>
        <v>145</v>
      </c>
      <c r="E9" s="26">
        <f t="shared" ref="E9:J9" si="0">SUM(E5:E8)</f>
        <v>207</v>
      </c>
      <c r="F9" s="26">
        <f t="shared" si="0"/>
        <v>101</v>
      </c>
      <c r="G9" s="26">
        <f t="shared" si="0"/>
        <v>176</v>
      </c>
      <c r="H9" s="26">
        <f t="shared" si="0"/>
        <v>237</v>
      </c>
      <c r="I9" s="26">
        <f t="shared" si="0"/>
        <v>178</v>
      </c>
      <c r="J9" s="26">
        <f t="shared" si="0"/>
        <v>176</v>
      </c>
      <c r="K9" s="26">
        <f>SUM(week4!$D9:$J9)</f>
        <v>1220</v>
      </c>
      <c r="L9" s="24">
        <f>week4!$K9/$K$9</f>
        <v>1</v>
      </c>
      <c r="P9" s="6">
        <v>45296</v>
      </c>
      <c r="Q9">
        <v>16</v>
      </c>
      <c r="R9">
        <v>5</v>
      </c>
      <c r="S9" t="s">
        <v>26</v>
      </c>
    </row>
    <row r="10" spans="3:19" x14ac:dyDescent="0.25">
      <c r="C10" s="1" t="s">
        <v>6</v>
      </c>
      <c r="D10" s="19">
        <f>D9/$K$9</f>
        <v>0.11885245901639344</v>
      </c>
      <c r="E10" s="19">
        <f t="shared" ref="E10:K10" si="1">E9/$K$9</f>
        <v>0.16967213114754098</v>
      </c>
      <c r="F10" s="19">
        <f t="shared" si="1"/>
        <v>8.2786885245901637E-2</v>
      </c>
      <c r="G10" s="19">
        <f t="shared" si="1"/>
        <v>0.14426229508196722</v>
      </c>
      <c r="H10" s="19">
        <f t="shared" si="1"/>
        <v>0.19426229508196721</v>
      </c>
      <c r="I10" s="19">
        <f t="shared" si="1"/>
        <v>0.14590163934426228</v>
      </c>
      <c r="J10" s="19">
        <f t="shared" si="1"/>
        <v>0.14426229508196722</v>
      </c>
      <c r="K10" s="19">
        <f t="shared" si="1"/>
        <v>1</v>
      </c>
      <c r="L10" s="16"/>
      <c r="P10" s="6">
        <v>45297</v>
      </c>
      <c r="Q10">
        <v>32</v>
      </c>
      <c r="R10">
        <v>6</v>
      </c>
      <c r="S10" t="s">
        <v>27</v>
      </c>
    </row>
    <row r="11" spans="3:19" x14ac:dyDescent="0.25">
      <c r="P11" s="6">
        <v>45298</v>
      </c>
      <c r="Q11">
        <v>64</v>
      </c>
      <c r="R11">
        <v>7</v>
      </c>
      <c r="S11" t="s">
        <v>28</v>
      </c>
    </row>
    <row r="12" spans="3:19" x14ac:dyDescent="0.25">
      <c r="P12" s="6">
        <v>45299</v>
      </c>
      <c r="Q12">
        <v>128</v>
      </c>
      <c r="R12">
        <v>8</v>
      </c>
      <c r="S12" t="s">
        <v>21</v>
      </c>
    </row>
    <row r="13" spans="3:19" x14ac:dyDescent="0.25">
      <c r="C13" s="50" t="s">
        <v>17</v>
      </c>
      <c r="D13" s="48"/>
      <c r="E13" s="48"/>
      <c r="F13" s="48"/>
      <c r="G13" s="48"/>
      <c r="H13" s="48"/>
      <c r="I13" s="48"/>
      <c r="J13" s="48"/>
      <c r="K13" s="48"/>
      <c r="L13" s="48"/>
      <c r="P13" s="6">
        <v>45300</v>
      </c>
      <c r="Q13">
        <v>256</v>
      </c>
      <c r="R13">
        <v>9</v>
      </c>
      <c r="S13" t="s">
        <v>23</v>
      </c>
    </row>
    <row r="14" spans="3:19" x14ac:dyDescent="0.25">
      <c r="C14" s="9" t="s">
        <v>0</v>
      </c>
      <c r="D14" s="10" t="s">
        <v>7</v>
      </c>
      <c r="E14" s="10" t="s">
        <v>8</v>
      </c>
      <c r="F14" s="10" t="s">
        <v>9</v>
      </c>
      <c r="G14" s="10" t="s">
        <v>10</v>
      </c>
      <c r="H14" s="10" t="s">
        <v>11</v>
      </c>
      <c r="I14" s="10" t="s">
        <v>12</v>
      </c>
      <c r="J14" s="10" t="s">
        <v>13</v>
      </c>
      <c r="K14" s="10" t="s">
        <v>14</v>
      </c>
      <c r="L14" s="11" t="s">
        <v>15</v>
      </c>
      <c r="P14" s="6">
        <v>45301</v>
      </c>
      <c r="Q14">
        <v>512</v>
      </c>
      <c r="R14">
        <v>10</v>
      </c>
      <c r="S14" t="s">
        <v>24</v>
      </c>
    </row>
    <row r="15" spans="3:19" x14ac:dyDescent="0.25">
      <c r="C15" s="12" t="s">
        <v>1</v>
      </c>
      <c r="D15" s="28">
        <f>D5*工讀金表!D5</f>
        <v>6400</v>
      </c>
      <c r="E15" s="28">
        <f>E5*工讀金表!E5</f>
        <v>7200</v>
      </c>
      <c r="F15" s="28">
        <f>F5*工讀金表!F5</f>
        <v>7800</v>
      </c>
      <c r="G15" s="28"/>
      <c r="H15" s="28">
        <f>H5*工讀金表!H5</f>
        <v>11200</v>
      </c>
      <c r="I15" s="28">
        <f>I5*工讀金表!I5</f>
        <v>15750</v>
      </c>
      <c r="J15" s="28">
        <f>J5*工讀金表!J5</f>
        <v>6300</v>
      </c>
      <c r="K15" s="28">
        <f>SUM(D15:J15)</f>
        <v>54650</v>
      </c>
      <c r="L15" s="17">
        <f>K15/$K$19</f>
        <v>0.14962354551676935</v>
      </c>
      <c r="P15" s="6">
        <v>45302</v>
      </c>
      <c r="Q15">
        <v>1024</v>
      </c>
      <c r="R15">
        <v>11</v>
      </c>
      <c r="S15" t="s">
        <v>25</v>
      </c>
    </row>
    <row r="16" spans="3:19" x14ac:dyDescent="0.25">
      <c r="C16" s="14" t="s">
        <v>2</v>
      </c>
      <c r="D16" s="28">
        <f>D6*工讀金表!D6</f>
        <v>10000</v>
      </c>
      <c r="E16" s="28">
        <f>E6*工讀金表!E6</f>
        <v>6000</v>
      </c>
      <c r="F16" s="28">
        <f>F6*工讀金表!F6</f>
        <v>3200</v>
      </c>
      <c r="G16" s="28">
        <f>G6*工讀金表!G6</f>
        <v>8400</v>
      </c>
      <c r="H16" s="28">
        <f>H6*工讀金表!H6</f>
        <v>12600</v>
      </c>
      <c r="I16" s="28">
        <f>I6*工讀金表!I6</f>
        <v>18000</v>
      </c>
      <c r="J16" s="28">
        <f>J6*工讀金表!J6</f>
        <v>27000</v>
      </c>
      <c r="K16" s="28">
        <f t="shared" ref="K16:K18" si="2">SUM(D16:J16)</f>
        <v>85200</v>
      </c>
      <c r="L16" s="17">
        <f t="shared" ref="L16:L19" si="3">K16/$K$19</f>
        <v>0.23326488706365503</v>
      </c>
      <c r="P16" s="6">
        <v>45303</v>
      </c>
      <c r="Q16">
        <v>2048</v>
      </c>
      <c r="R16">
        <v>12</v>
      </c>
      <c r="S16" t="s">
        <v>26</v>
      </c>
    </row>
    <row r="17" spans="3:19" x14ac:dyDescent="0.25">
      <c r="C17" s="12" t="s">
        <v>3</v>
      </c>
      <c r="D17" s="28">
        <f>D7*工讀金表!D7</f>
        <v>11520</v>
      </c>
      <c r="E17" s="28">
        <f>E7*工讀金表!E7</f>
        <v>29120</v>
      </c>
      <c r="F17" s="28">
        <f>F7*工讀金表!F7</f>
        <v>2880</v>
      </c>
      <c r="G17" s="28">
        <f>G7*工讀金表!G7</f>
        <v>13760</v>
      </c>
      <c r="H17" s="28">
        <f>H7*工讀金表!H7</f>
        <v>16640</v>
      </c>
      <c r="I17" s="28">
        <f>I7*工讀金表!I7</f>
        <v>6000</v>
      </c>
      <c r="J17" s="28">
        <f>J7*工讀金表!J7</f>
        <v>12480</v>
      </c>
      <c r="K17" s="28">
        <f t="shared" si="2"/>
        <v>92400</v>
      </c>
      <c r="L17" s="17">
        <f t="shared" si="3"/>
        <v>0.25297741273100616</v>
      </c>
      <c r="P17" s="6">
        <v>45304</v>
      </c>
      <c r="Q17">
        <v>4096</v>
      </c>
      <c r="R17">
        <v>13</v>
      </c>
      <c r="S17" t="s">
        <v>27</v>
      </c>
    </row>
    <row r="18" spans="3:19" x14ac:dyDescent="0.25">
      <c r="C18" s="1" t="s">
        <v>4</v>
      </c>
      <c r="D18" s="28">
        <f>D8*工讀金表!D8</f>
        <v>10800</v>
      </c>
      <c r="E18" s="28">
        <f>E8*工讀金表!E8</f>
        <v>20000</v>
      </c>
      <c r="F18" s="28">
        <f>F8*工讀金表!F8</f>
        <v>14800</v>
      </c>
      <c r="G18" s="28">
        <f>G8*工讀金表!G8</f>
        <v>23600</v>
      </c>
      <c r="H18" s="28">
        <f>H8*工讀金表!H8</f>
        <v>26400</v>
      </c>
      <c r="I18" s="28">
        <f>I8*工讀金表!I8</f>
        <v>14000</v>
      </c>
      <c r="J18" s="28">
        <f>J8*工讀金表!J8</f>
        <v>23400</v>
      </c>
      <c r="K18" s="28">
        <f t="shared" si="2"/>
        <v>133000</v>
      </c>
      <c r="L18" s="17">
        <f t="shared" si="3"/>
        <v>0.36413415468856947</v>
      </c>
      <c r="P18" s="6">
        <v>45305</v>
      </c>
      <c r="Q18">
        <v>8192</v>
      </c>
      <c r="R18">
        <v>14</v>
      </c>
      <c r="S18" t="s">
        <v>28</v>
      </c>
    </row>
    <row r="19" spans="3:19" x14ac:dyDescent="0.25">
      <c r="K19" s="4">
        <f>SUM(K15:K18)</f>
        <v>365250</v>
      </c>
      <c r="L19" s="38">
        <f t="shared" si="3"/>
        <v>1</v>
      </c>
      <c r="P19" s="6">
        <v>45306</v>
      </c>
      <c r="Q19">
        <v>16384</v>
      </c>
      <c r="R19">
        <v>15</v>
      </c>
      <c r="S19" t="s">
        <v>21</v>
      </c>
    </row>
    <row r="20" spans="3:19" x14ac:dyDescent="0.25">
      <c r="P20" s="6">
        <v>45307</v>
      </c>
      <c r="Q20">
        <v>32768</v>
      </c>
      <c r="R20">
        <v>16</v>
      </c>
      <c r="S20" t="s">
        <v>23</v>
      </c>
    </row>
    <row r="21" spans="3:19" x14ac:dyDescent="0.25">
      <c r="P21" s="6">
        <v>45308</v>
      </c>
      <c r="Q21">
        <v>65536</v>
      </c>
      <c r="R21">
        <v>17</v>
      </c>
      <c r="S21" t="s">
        <v>24</v>
      </c>
    </row>
    <row r="22" spans="3:19" x14ac:dyDescent="0.25">
      <c r="P22" s="6">
        <v>45309</v>
      </c>
      <c r="Q22">
        <v>131072</v>
      </c>
      <c r="R22">
        <v>18</v>
      </c>
      <c r="S22" t="s">
        <v>25</v>
      </c>
    </row>
    <row r="23" spans="3:19" x14ac:dyDescent="0.25">
      <c r="P23" s="6">
        <v>45310</v>
      </c>
      <c r="R23">
        <v>19</v>
      </c>
      <c r="S23" t="s">
        <v>26</v>
      </c>
    </row>
    <row r="24" spans="3:19" x14ac:dyDescent="0.25">
      <c r="P24" s="6">
        <v>45311</v>
      </c>
      <c r="R24">
        <v>20</v>
      </c>
      <c r="S24" t="s">
        <v>27</v>
      </c>
    </row>
    <row r="25" spans="3:19" x14ac:dyDescent="0.25">
      <c r="P25" s="6">
        <v>45312</v>
      </c>
      <c r="R25">
        <v>21</v>
      </c>
      <c r="S25" t="s">
        <v>28</v>
      </c>
    </row>
    <row r="26" spans="3:19" x14ac:dyDescent="0.25">
      <c r="P26" s="6">
        <v>45313</v>
      </c>
      <c r="R26">
        <v>22</v>
      </c>
      <c r="S26" t="s">
        <v>21</v>
      </c>
    </row>
    <row r="27" spans="3:19" x14ac:dyDescent="0.25">
      <c r="P27" s="6">
        <v>45314</v>
      </c>
      <c r="R27">
        <v>23</v>
      </c>
      <c r="S27" t="s">
        <v>23</v>
      </c>
    </row>
    <row r="28" spans="3:19" x14ac:dyDescent="0.25">
      <c r="P28" s="6">
        <v>45315</v>
      </c>
      <c r="R28">
        <v>24</v>
      </c>
    </row>
    <row r="29" spans="3:19" x14ac:dyDescent="0.25">
      <c r="P29" s="6">
        <v>45316</v>
      </c>
      <c r="R29">
        <v>25</v>
      </c>
    </row>
    <row r="30" spans="3:19" x14ac:dyDescent="0.25">
      <c r="P30" s="6">
        <v>45317</v>
      </c>
      <c r="R30">
        <v>26</v>
      </c>
    </row>
    <row r="31" spans="3:19" x14ac:dyDescent="0.25">
      <c r="P31" s="6">
        <v>45318</v>
      </c>
      <c r="R31">
        <v>27</v>
      </c>
    </row>
    <row r="32" spans="3:19" x14ac:dyDescent="0.25">
      <c r="P32" s="6">
        <v>45319</v>
      </c>
      <c r="R32">
        <v>28</v>
      </c>
    </row>
    <row r="33" spans="16:18" x14ac:dyDescent="0.25">
      <c r="P33" s="6">
        <v>45320</v>
      </c>
      <c r="R33">
        <v>29</v>
      </c>
    </row>
    <row r="34" spans="16:18" x14ac:dyDescent="0.25">
      <c r="P34" s="6">
        <v>45321</v>
      </c>
      <c r="R34">
        <v>30</v>
      </c>
    </row>
    <row r="35" spans="16:18" x14ac:dyDescent="0.25">
      <c r="P35" s="6">
        <v>45322</v>
      </c>
      <c r="R35">
        <v>31</v>
      </c>
    </row>
    <row r="36" spans="16:18" x14ac:dyDescent="0.25">
      <c r="P36" s="6">
        <v>45323</v>
      </c>
      <c r="R36">
        <v>32</v>
      </c>
    </row>
    <row r="37" spans="16:18" x14ac:dyDescent="0.25">
      <c r="P37" s="6">
        <v>45324</v>
      </c>
      <c r="R37">
        <v>33</v>
      </c>
    </row>
    <row r="38" spans="16:18" x14ac:dyDescent="0.25">
      <c r="P38" s="6">
        <v>45325</v>
      </c>
      <c r="R38">
        <v>34</v>
      </c>
    </row>
    <row r="39" spans="16:18" x14ac:dyDescent="0.25">
      <c r="P39" s="6">
        <v>45326</v>
      </c>
      <c r="R39">
        <v>35</v>
      </c>
    </row>
    <row r="40" spans="16:18" x14ac:dyDescent="0.25">
      <c r="R40">
        <v>36</v>
      </c>
    </row>
    <row r="41" spans="16:18" x14ac:dyDescent="0.25">
      <c r="R41">
        <v>37</v>
      </c>
    </row>
    <row r="42" spans="16:18" x14ac:dyDescent="0.25">
      <c r="R42">
        <v>38</v>
      </c>
    </row>
    <row r="43" spans="16:18" x14ac:dyDescent="0.25">
      <c r="R43">
        <v>39</v>
      </c>
    </row>
    <row r="44" spans="16:18" x14ac:dyDescent="0.25">
      <c r="R44">
        <v>40</v>
      </c>
    </row>
    <row r="45" spans="16:18" x14ac:dyDescent="0.25">
      <c r="R45">
        <v>41</v>
      </c>
    </row>
    <row r="46" spans="16:18" x14ac:dyDescent="0.25">
      <c r="R46">
        <v>42</v>
      </c>
    </row>
    <row r="47" spans="16:18" x14ac:dyDescent="0.25">
      <c r="R47">
        <v>43</v>
      </c>
    </row>
    <row r="48" spans="16:18" x14ac:dyDescent="0.25">
      <c r="R48">
        <v>44</v>
      </c>
    </row>
    <row r="49" spans="18:18" x14ac:dyDescent="0.25">
      <c r="R49">
        <v>45</v>
      </c>
    </row>
    <row r="50" spans="18:18" x14ac:dyDescent="0.25">
      <c r="R50">
        <v>46</v>
      </c>
    </row>
    <row r="51" spans="18:18" x14ac:dyDescent="0.25">
      <c r="R51">
        <v>47</v>
      </c>
    </row>
    <row r="52" spans="18:18" x14ac:dyDescent="0.25">
      <c r="R52">
        <v>48</v>
      </c>
    </row>
    <row r="53" spans="18:18" x14ac:dyDescent="0.25">
      <c r="R53">
        <v>49</v>
      </c>
    </row>
    <row r="54" spans="18:18" x14ac:dyDescent="0.25">
      <c r="R54">
        <v>50</v>
      </c>
    </row>
    <row r="55" spans="18:18" x14ac:dyDescent="0.25">
      <c r="R55">
        <v>51</v>
      </c>
    </row>
    <row r="56" spans="18:18" x14ac:dyDescent="0.25">
      <c r="R56">
        <v>52</v>
      </c>
    </row>
    <row r="57" spans="18:18" x14ac:dyDescent="0.25">
      <c r="R57">
        <v>53</v>
      </c>
    </row>
    <row r="58" spans="18:18" x14ac:dyDescent="0.25">
      <c r="R58">
        <v>54</v>
      </c>
    </row>
    <row r="59" spans="18:18" x14ac:dyDescent="0.25">
      <c r="R59">
        <v>55</v>
      </c>
    </row>
    <row r="60" spans="18:18" x14ac:dyDescent="0.25">
      <c r="R60">
        <v>56</v>
      </c>
    </row>
  </sheetData>
  <mergeCells count="2">
    <mergeCell ref="C3:L3"/>
    <mergeCell ref="C13:L13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8"/>
  <sheetViews>
    <sheetView workbookViewId="0">
      <selection activeCell="H13" sqref="H13"/>
    </sheetView>
  </sheetViews>
  <sheetFormatPr defaultRowHeight="16.5" x14ac:dyDescent="0.25"/>
  <cols>
    <col min="4" max="4" width="9.625" bestFit="1" customWidth="1"/>
  </cols>
  <sheetData>
    <row r="3" spans="3:12" x14ac:dyDescent="0.25">
      <c r="C3" s="50" t="s">
        <v>20</v>
      </c>
      <c r="D3" s="48"/>
      <c r="E3" s="48"/>
      <c r="F3" s="48"/>
      <c r="G3" s="48"/>
      <c r="H3" s="48"/>
      <c r="I3" s="48"/>
      <c r="J3" s="48"/>
      <c r="K3" s="3"/>
      <c r="L3" s="3"/>
    </row>
    <row r="4" spans="3:12" x14ac:dyDescent="0.25">
      <c r="C4" s="9" t="s">
        <v>0</v>
      </c>
      <c r="D4" s="10" t="s">
        <v>7</v>
      </c>
      <c r="E4" s="10" t="s">
        <v>8</v>
      </c>
      <c r="F4" s="10" t="s">
        <v>9</v>
      </c>
      <c r="G4" s="10" t="s">
        <v>10</v>
      </c>
      <c r="H4" s="10" t="s">
        <v>11</v>
      </c>
      <c r="I4" s="10" t="s">
        <v>12</v>
      </c>
      <c r="J4" s="11" t="s">
        <v>13</v>
      </c>
    </row>
    <row r="5" spans="3:12" x14ac:dyDescent="0.25">
      <c r="C5" s="12" t="s">
        <v>1</v>
      </c>
      <c r="D5" s="28">
        <v>200</v>
      </c>
      <c r="E5" s="28">
        <v>200</v>
      </c>
      <c r="F5" s="28">
        <v>200</v>
      </c>
      <c r="G5" s="28">
        <v>200</v>
      </c>
      <c r="H5" s="28">
        <v>200</v>
      </c>
      <c r="I5" s="28">
        <v>250</v>
      </c>
      <c r="J5" s="29">
        <v>300</v>
      </c>
    </row>
    <row r="6" spans="3:12" x14ac:dyDescent="0.25">
      <c r="C6" s="14" t="s">
        <v>2</v>
      </c>
      <c r="D6" s="30">
        <v>200</v>
      </c>
      <c r="E6" s="30">
        <v>200</v>
      </c>
      <c r="F6" s="30">
        <v>200</v>
      </c>
      <c r="G6" s="30">
        <v>200</v>
      </c>
      <c r="H6" s="30">
        <v>200</v>
      </c>
      <c r="I6" s="30">
        <v>250</v>
      </c>
      <c r="J6" s="31">
        <v>300</v>
      </c>
    </row>
    <row r="7" spans="3:12" x14ac:dyDescent="0.25">
      <c r="C7" s="12" t="s">
        <v>3</v>
      </c>
      <c r="D7" s="28">
        <f>D5*1.6</f>
        <v>320</v>
      </c>
      <c r="E7" s="28">
        <f t="shared" ref="E7:J7" si="0">E5*1.6</f>
        <v>320</v>
      </c>
      <c r="F7" s="28">
        <f t="shared" si="0"/>
        <v>320</v>
      </c>
      <c r="G7" s="28">
        <f t="shared" si="0"/>
        <v>320</v>
      </c>
      <c r="H7" s="28">
        <f t="shared" si="0"/>
        <v>320</v>
      </c>
      <c r="I7" s="28">
        <f t="shared" si="0"/>
        <v>400</v>
      </c>
      <c r="J7" s="28">
        <f t="shared" si="0"/>
        <v>480</v>
      </c>
    </row>
    <row r="8" spans="3:12" x14ac:dyDescent="0.25">
      <c r="C8" s="1" t="s">
        <v>4</v>
      </c>
      <c r="D8" s="5">
        <f>D5*2</f>
        <v>400</v>
      </c>
      <c r="E8" s="5">
        <f t="shared" ref="E8:J8" si="1">E5*2</f>
        <v>400</v>
      </c>
      <c r="F8" s="5">
        <f t="shared" si="1"/>
        <v>400</v>
      </c>
      <c r="G8" s="5">
        <f t="shared" si="1"/>
        <v>400</v>
      </c>
      <c r="H8" s="5">
        <f t="shared" si="1"/>
        <v>400</v>
      </c>
      <c r="I8" s="5">
        <f t="shared" si="1"/>
        <v>500</v>
      </c>
      <c r="J8" s="5">
        <f t="shared" si="1"/>
        <v>600</v>
      </c>
    </row>
  </sheetData>
  <mergeCells count="1">
    <mergeCell ref="C3:J3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21"/>
  <sheetViews>
    <sheetView workbookViewId="0">
      <selection activeCell="C5" sqref="C5:L10"/>
    </sheetView>
  </sheetViews>
  <sheetFormatPr defaultRowHeight="16.5" x14ac:dyDescent="0.25"/>
  <cols>
    <col min="4" max="4" width="12.375" bestFit="1" customWidth="1"/>
    <col min="5" max="5" width="13.5" bestFit="1" customWidth="1"/>
    <col min="6" max="6" width="12.375" bestFit="1" customWidth="1"/>
    <col min="7" max="8" width="13.5" bestFit="1" customWidth="1"/>
    <col min="9" max="9" width="12.375" bestFit="1" customWidth="1"/>
    <col min="10" max="10" width="13.5" bestFit="1" customWidth="1"/>
    <col min="11" max="11" width="17.5" bestFit="1" customWidth="1"/>
  </cols>
  <sheetData>
    <row r="3" spans="3:12" x14ac:dyDescent="0.25">
      <c r="C3" s="50" t="s">
        <v>30</v>
      </c>
      <c r="D3" s="48"/>
      <c r="E3" s="48"/>
      <c r="F3" s="48"/>
      <c r="G3" s="48"/>
      <c r="H3" s="48"/>
      <c r="I3" s="48"/>
      <c r="J3" s="48"/>
      <c r="K3" s="48"/>
      <c r="L3" s="48"/>
    </row>
    <row r="4" spans="3:12" x14ac:dyDescent="0.25">
      <c r="C4" t="s">
        <v>0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</row>
    <row r="5" spans="3:12" x14ac:dyDescent="0.25">
      <c r="C5" t="s">
        <v>1</v>
      </c>
      <c r="D5" s="8">
        <f>SUM(week1:week4!D5)</f>
        <v>163</v>
      </c>
      <c r="E5" s="8">
        <f>SUM(week1:week4!E5)</f>
        <v>179</v>
      </c>
      <c r="F5" s="8">
        <f>SUM(week1:week4!F5)</f>
        <v>261</v>
      </c>
      <c r="G5" s="8">
        <f>SUM(week1:week4!G5)</f>
        <v>163</v>
      </c>
      <c r="H5" s="8">
        <f>SUM(week1:week4!H5)</f>
        <v>259</v>
      </c>
      <c r="I5" s="8">
        <f>SUM(week1:week4!I5)</f>
        <v>287</v>
      </c>
      <c r="J5" s="8">
        <f>SUM(week1:week4!J5)</f>
        <v>119</v>
      </c>
      <c r="K5" s="8">
        <f>SUM(表格1_11[[#This Row],[週一]:[週日]])</f>
        <v>1431</v>
      </c>
      <c r="L5" s="18">
        <f>表格1_11[[#This Row],[總計]]/$K$9</f>
        <v>0.24419795221843005</v>
      </c>
    </row>
    <row r="6" spans="3:12" x14ac:dyDescent="0.25">
      <c r="C6" t="s">
        <v>2</v>
      </c>
      <c r="D6" s="8">
        <f>SUM(week1:week4!D6)</f>
        <v>235</v>
      </c>
      <c r="E6" s="8">
        <f>SUM(week1:week4!E6)</f>
        <v>155</v>
      </c>
      <c r="F6" s="8">
        <f>SUM(week1:week4!F6)</f>
        <v>159</v>
      </c>
      <c r="G6" s="8">
        <f>SUM(week1:week4!G6)</f>
        <v>203</v>
      </c>
      <c r="H6" s="8">
        <f>SUM(week1:week4!H6)</f>
        <v>287</v>
      </c>
      <c r="I6" s="8">
        <f>SUM(week1:week4!I6)</f>
        <v>323</v>
      </c>
      <c r="J6" s="8">
        <f>SUM(week1:week4!J6)</f>
        <v>395</v>
      </c>
      <c r="K6" s="8">
        <f>SUM(表格1_11[[#This Row],[週一]:[週日]])</f>
        <v>1757</v>
      </c>
      <c r="L6" s="18">
        <f>表格1_11[[#This Row],[總計]]/$K$9</f>
        <v>0.29982935153583617</v>
      </c>
    </row>
    <row r="7" spans="3:12" x14ac:dyDescent="0.25">
      <c r="C7" t="s">
        <v>3</v>
      </c>
      <c r="D7" s="8">
        <f>SUM(week1:week4!D7)</f>
        <v>179</v>
      </c>
      <c r="E7" s="8">
        <f>SUM(week1:week4!E7)</f>
        <v>399</v>
      </c>
      <c r="F7" s="8">
        <f>SUM(week1:week4!F7)</f>
        <v>71</v>
      </c>
      <c r="G7" s="8">
        <f>SUM(week1:week4!G7)</f>
        <v>207</v>
      </c>
      <c r="H7" s="8">
        <f>SUM(week1:week4!H7)</f>
        <v>243</v>
      </c>
      <c r="I7" s="8">
        <f>SUM(week1:week4!I7)</f>
        <v>95</v>
      </c>
      <c r="J7" s="8">
        <f>SUM(week1:week4!J7)</f>
        <v>139</v>
      </c>
      <c r="K7" s="8">
        <f>SUM(表格1_11[[#This Row],[週一]:[週日]])</f>
        <v>1333</v>
      </c>
      <c r="L7" s="18">
        <f>表格1_11[[#This Row],[總計]]/$K$9</f>
        <v>0.22747440273037542</v>
      </c>
    </row>
    <row r="8" spans="3:12" x14ac:dyDescent="0.25">
      <c r="C8" t="s">
        <v>4</v>
      </c>
      <c r="D8" s="8">
        <f>SUM(week1:week4!D8)</f>
        <v>143</v>
      </c>
      <c r="E8" s="8">
        <f>SUM(week1:week4!E8)</f>
        <v>235</v>
      </c>
      <c r="F8" s="8">
        <f>SUM(week1:week4!F8)</f>
        <v>183</v>
      </c>
      <c r="G8" s="8">
        <f>SUM(week1:week4!G8)</f>
        <v>271</v>
      </c>
      <c r="H8" s="8">
        <f>SUM(week1:week4!H8)</f>
        <v>299</v>
      </c>
      <c r="I8" s="8">
        <f>SUM(week1:week4!I8)</f>
        <v>147</v>
      </c>
      <c r="J8" s="8">
        <f>SUM(week1:week4!J8)</f>
        <v>191</v>
      </c>
      <c r="K8" s="8">
        <f>SUM(表格1_11[[#This Row],[週一]:[週日]])</f>
        <v>1469</v>
      </c>
      <c r="L8" s="18">
        <f>表格1_11[[#This Row],[總計]]/$K$9</f>
        <v>0.25068259385665531</v>
      </c>
    </row>
    <row r="9" spans="3:12" x14ac:dyDescent="0.25">
      <c r="C9" t="s">
        <v>5</v>
      </c>
      <c r="D9" s="8">
        <f>SUM(week1:week4!D9)</f>
        <v>720</v>
      </c>
      <c r="E9" s="8">
        <f>SUM(week1:week4!E9)</f>
        <v>968</v>
      </c>
      <c r="F9" s="8">
        <f>SUM(week1:week4!F9)</f>
        <v>544</v>
      </c>
      <c r="G9" s="8">
        <f>SUM(week1:week4!G9)</f>
        <v>844</v>
      </c>
      <c r="H9" s="8">
        <f>SUM(week1:week4!H9)</f>
        <v>1088</v>
      </c>
      <c r="I9" s="8">
        <f>SUM(week1:week4!I9)</f>
        <v>852</v>
      </c>
      <c r="J9" s="8">
        <f>SUM(week1:week4!J9)</f>
        <v>844</v>
      </c>
      <c r="K9" s="8">
        <f>SUM(表格1_11[[#This Row],[週一]:[週日]])</f>
        <v>5860</v>
      </c>
      <c r="L9" s="18">
        <f>表格1_11[[#This Row],[總計]]/$K$9</f>
        <v>1</v>
      </c>
    </row>
    <row r="10" spans="3:12" x14ac:dyDescent="0.25">
      <c r="C10" t="s">
        <v>6</v>
      </c>
      <c r="D10" s="18">
        <f>D9/$K$9</f>
        <v>0.12286689419795221</v>
      </c>
      <c r="E10" s="18">
        <f>E9/$K$9</f>
        <v>0.16518771331058021</v>
      </c>
      <c r="F10" s="18">
        <f>F9/$K$9</f>
        <v>9.2832764505119458E-2</v>
      </c>
      <c r="G10" s="18">
        <f>G9/$K$9</f>
        <v>0.1440273037542662</v>
      </c>
      <c r="H10" s="18">
        <f>H9/$K$9</f>
        <v>0.18566552901023892</v>
      </c>
      <c r="I10" s="18">
        <f>I9/$K$9</f>
        <v>0.1453924914675768</v>
      </c>
      <c r="J10" s="18">
        <f>J9/$K$9</f>
        <v>0.1440273037542662</v>
      </c>
      <c r="K10" s="18">
        <f>K9/$K$9</f>
        <v>1</v>
      </c>
      <c r="L10" s="18"/>
    </row>
    <row r="15" spans="3:12" x14ac:dyDescent="0.25">
      <c r="C15" s="50" t="s">
        <v>31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3:12" x14ac:dyDescent="0.25">
      <c r="C16" s="9" t="s">
        <v>0</v>
      </c>
      <c r="D16" s="10" t="s">
        <v>7</v>
      </c>
      <c r="E16" s="10" t="s">
        <v>8</v>
      </c>
      <c r="F16" s="10" t="s">
        <v>9</v>
      </c>
      <c r="G16" s="10" t="s">
        <v>10</v>
      </c>
      <c r="H16" s="10" t="s">
        <v>11</v>
      </c>
      <c r="I16" s="10" t="s">
        <v>12</v>
      </c>
      <c r="J16" s="10" t="s">
        <v>13</v>
      </c>
      <c r="K16" s="10" t="s">
        <v>14</v>
      </c>
      <c r="L16" s="11" t="s">
        <v>15</v>
      </c>
    </row>
    <row r="17" spans="3:12" x14ac:dyDescent="0.25">
      <c r="C17" s="12" t="s">
        <v>1</v>
      </c>
      <c r="D17" s="33">
        <f>D5*工讀金表!D5</f>
        <v>32600</v>
      </c>
      <c r="E17" s="33">
        <f>E5*工讀金表!E5</f>
        <v>35800</v>
      </c>
      <c r="F17" s="33">
        <f>F5*工讀金表!F5</f>
        <v>52200</v>
      </c>
      <c r="G17" s="33">
        <f>G5*工讀金表!G5</f>
        <v>32600</v>
      </c>
      <c r="H17" s="33">
        <f>H5*工讀金表!H5</f>
        <v>51800</v>
      </c>
      <c r="I17" s="33">
        <f>I5*工讀金表!I5</f>
        <v>71750</v>
      </c>
      <c r="J17" s="33">
        <f>J5*工讀金表!J5</f>
        <v>35700</v>
      </c>
      <c r="K17" s="33">
        <f>SUM(Feb!$D17:$J17)</f>
        <v>312450</v>
      </c>
      <c r="L17" s="24">
        <f>Feb!$K17/Feb!$K$21</f>
        <v>0.17201607575423916</v>
      </c>
    </row>
    <row r="18" spans="3:12" x14ac:dyDescent="0.25">
      <c r="C18" s="14" t="s">
        <v>2</v>
      </c>
      <c r="D18" s="34">
        <f>D6*工讀金表!D6</f>
        <v>47000</v>
      </c>
      <c r="E18" s="34">
        <f>E6*工讀金表!E6</f>
        <v>31000</v>
      </c>
      <c r="F18" s="34">
        <f>F6*工讀金表!F6</f>
        <v>31800</v>
      </c>
      <c r="G18" s="34">
        <f>G6*工讀金表!G6</f>
        <v>40600</v>
      </c>
      <c r="H18" s="34">
        <f>H6*工讀金表!H6</f>
        <v>57400</v>
      </c>
      <c r="I18" s="34">
        <f>I6*工讀金表!I6</f>
        <v>80750</v>
      </c>
      <c r="J18" s="34">
        <f>J6*工讀金表!J6</f>
        <v>118500</v>
      </c>
      <c r="K18" s="34">
        <f>SUM(Feb!$D18:$J18)</f>
        <v>407050</v>
      </c>
      <c r="L18" s="25">
        <f>Feb!$K18/Feb!$K$21</f>
        <v>0.2240971151728694</v>
      </c>
    </row>
    <row r="19" spans="3:12" x14ac:dyDescent="0.25">
      <c r="C19" s="12" t="s">
        <v>3</v>
      </c>
      <c r="D19" s="33">
        <f>D7*工讀金表!D7</f>
        <v>57280</v>
      </c>
      <c r="E19" s="33">
        <f>E7*工讀金表!E7</f>
        <v>127680</v>
      </c>
      <c r="F19" s="33">
        <f>F7*工讀金表!F7</f>
        <v>22720</v>
      </c>
      <c r="G19" s="33">
        <f>G7*工讀金表!G7</f>
        <v>66240</v>
      </c>
      <c r="H19" s="33">
        <f>H7*工讀金表!H7</f>
        <v>77760</v>
      </c>
      <c r="I19" s="33">
        <f>I7*工讀金表!I7</f>
        <v>38000</v>
      </c>
      <c r="J19" s="33">
        <f>J7*工讀金表!J7</f>
        <v>66720</v>
      </c>
      <c r="K19" s="33">
        <f>SUM(Feb!$D19:$J19)</f>
        <v>456400</v>
      </c>
      <c r="L19" s="24">
        <f>Feb!$K19/Feb!$K$21</f>
        <v>0.25126624091609778</v>
      </c>
    </row>
    <row r="20" spans="3:12" ht="17.25" thickBot="1" x14ac:dyDescent="0.3">
      <c r="C20" s="14" t="s">
        <v>4</v>
      </c>
      <c r="D20" s="34">
        <f>D8*工讀金表!D8</f>
        <v>57200</v>
      </c>
      <c r="E20" s="34">
        <f>E8*工讀金表!E8</f>
        <v>94000</v>
      </c>
      <c r="F20" s="34">
        <f>F8*工讀金表!F8</f>
        <v>73200</v>
      </c>
      <c r="G20" s="34">
        <f>G8*工讀金表!G8</f>
        <v>108400</v>
      </c>
      <c r="H20" s="34">
        <f>H8*工讀金表!H8</f>
        <v>119600</v>
      </c>
      <c r="I20" s="34">
        <f>I8*工讀金表!I8</f>
        <v>73500</v>
      </c>
      <c r="J20" s="34">
        <f>J8*工讀金表!J8</f>
        <v>114600</v>
      </c>
      <c r="K20" s="34">
        <f>SUM(Feb!$D20:$J20)</f>
        <v>640500</v>
      </c>
      <c r="L20" s="25">
        <f>Feb!$K20/Feb!$K$21</f>
        <v>0.35262056815679366</v>
      </c>
    </row>
    <row r="21" spans="3:12" ht="17.25" thickTop="1" x14ac:dyDescent="0.25">
      <c r="C21" s="41"/>
      <c r="D21" s="43"/>
      <c r="E21" s="43"/>
      <c r="F21" s="43"/>
      <c r="G21" s="43"/>
      <c r="H21" s="43"/>
      <c r="I21" s="43"/>
      <c r="J21" s="43"/>
      <c r="K21" s="43">
        <f>SUM(Feb!$K$17:$K$20)</f>
        <v>1816400</v>
      </c>
      <c r="L21" s="42" t="s">
        <v>32</v>
      </c>
    </row>
  </sheetData>
  <mergeCells count="2">
    <mergeCell ref="C3:L3"/>
    <mergeCell ref="C15:L15"/>
  </mergeCells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L16"/>
  <sheetViews>
    <sheetView workbookViewId="0">
      <selection activeCell="E3" sqref="E3"/>
    </sheetView>
  </sheetViews>
  <sheetFormatPr defaultRowHeight="16.5" x14ac:dyDescent="0.25"/>
  <sheetData>
    <row r="2" spans="3:12" x14ac:dyDescent="0.25"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</row>
    <row r="3" spans="3:12" x14ac:dyDescent="0.25">
      <c r="C3">
        <v>1</v>
      </c>
      <c r="D3">
        <f>$C3*D$2</f>
        <v>1</v>
      </c>
      <c r="E3">
        <f t="shared" ref="E3:L11" si="0">$C3*E$2</f>
        <v>2</v>
      </c>
      <c r="F3">
        <f t="shared" si="0"/>
        <v>3</v>
      </c>
      <c r="G3">
        <f t="shared" si="0"/>
        <v>4</v>
      </c>
      <c r="H3">
        <f t="shared" si="0"/>
        <v>5</v>
      </c>
      <c r="I3">
        <f t="shared" si="0"/>
        <v>6</v>
      </c>
      <c r="J3">
        <f t="shared" si="0"/>
        <v>7</v>
      </c>
      <c r="K3">
        <f t="shared" si="0"/>
        <v>8</v>
      </c>
      <c r="L3">
        <f t="shared" si="0"/>
        <v>9</v>
      </c>
    </row>
    <row r="4" spans="3:12" x14ac:dyDescent="0.25">
      <c r="C4">
        <v>2</v>
      </c>
      <c r="D4">
        <f t="shared" ref="D4:D11" si="1">$C4*D$2</f>
        <v>2</v>
      </c>
      <c r="E4">
        <f t="shared" si="0"/>
        <v>4</v>
      </c>
      <c r="F4">
        <f t="shared" si="0"/>
        <v>6</v>
      </c>
      <c r="G4">
        <f t="shared" si="0"/>
        <v>8</v>
      </c>
      <c r="H4">
        <f t="shared" si="0"/>
        <v>10</v>
      </c>
      <c r="I4">
        <f t="shared" si="0"/>
        <v>12</v>
      </c>
      <c r="J4">
        <f t="shared" si="0"/>
        <v>14</v>
      </c>
      <c r="K4">
        <f t="shared" si="0"/>
        <v>16</v>
      </c>
      <c r="L4">
        <f t="shared" si="0"/>
        <v>18</v>
      </c>
    </row>
    <row r="5" spans="3:12" x14ac:dyDescent="0.25">
      <c r="C5">
        <v>3</v>
      </c>
      <c r="D5">
        <f t="shared" si="1"/>
        <v>3</v>
      </c>
      <c r="E5">
        <f t="shared" si="0"/>
        <v>6</v>
      </c>
      <c r="F5">
        <f t="shared" si="0"/>
        <v>9</v>
      </c>
      <c r="G5">
        <f t="shared" si="0"/>
        <v>12</v>
      </c>
      <c r="H5">
        <f t="shared" si="0"/>
        <v>15</v>
      </c>
      <c r="I5">
        <f t="shared" si="0"/>
        <v>18</v>
      </c>
      <c r="J5">
        <f t="shared" si="0"/>
        <v>21</v>
      </c>
      <c r="K5">
        <f t="shared" si="0"/>
        <v>24</v>
      </c>
      <c r="L5">
        <f t="shared" si="0"/>
        <v>27</v>
      </c>
    </row>
    <row r="6" spans="3:12" x14ac:dyDescent="0.25">
      <c r="C6">
        <v>4</v>
      </c>
      <c r="D6">
        <f t="shared" si="1"/>
        <v>4</v>
      </c>
      <c r="E6">
        <f t="shared" si="0"/>
        <v>8</v>
      </c>
      <c r="F6">
        <f t="shared" si="0"/>
        <v>12</v>
      </c>
      <c r="G6">
        <f t="shared" si="0"/>
        <v>16</v>
      </c>
      <c r="H6">
        <f t="shared" si="0"/>
        <v>20</v>
      </c>
      <c r="I6">
        <f t="shared" si="0"/>
        <v>24</v>
      </c>
      <c r="J6">
        <f t="shared" si="0"/>
        <v>28</v>
      </c>
      <c r="K6">
        <f t="shared" si="0"/>
        <v>32</v>
      </c>
      <c r="L6">
        <f t="shared" si="0"/>
        <v>36</v>
      </c>
    </row>
    <row r="7" spans="3:12" x14ac:dyDescent="0.25">
      <c r="C7">
        <v>5</v>
      </c>
      <c r="D7">
        <f t="shared" si="1"/>
        <v>5</v>
      </c>
      <c r="E7">
        <f t="shared" si="0"/>
        <v>10</v>
      </c>
      <c r="F7">
        <f t="shared" si="0"/>
        <v>15</v>
      </c>
      <c r="G7">
        <f t="shared" si="0"/>
        <v>20</v>
      </c>
      <c r="H7">
        <f t="shared" si="0"/>
        <v>25</v>
      </c>
      <c r="I7">
        <f t="shared" si="0"/>
        <v>30</v>
      </c>
      <c r="J7">
        <f t="shared" si="0"/>
        <v>35</v>
      </c>
      <c r="K7">
        <f t="shared" si="0"/>
        <v>40</v>
      </c>
      <c r="L7">
        <f t="shared" si="0"/>
        <v>45</v>
      </c>
    </row>
    <row r="8" spans="3:12" x14ac:dyDescent="0.25">
      <c r="C8">
        <v>6</v>
      </c>
      <c r="D8">
        <f t="shared" si="1"/>
        <v>6</v>
      </c>
      <c r="E8">
        <f t="shared" si="0"/>
        <v>12</v>
      </c>
      <c r="F8">
        <f t="shared" si="0"/>
        <v>18</v>
      </c>
      <c r="G8">
        <f t="shared" si="0"/>
        <v>24</v>
      </c>
      <c r="H8">
        <f t="shared" si="0"/>
        <v>30</v>
      </c>
      <c r="I8">
        <f t="shared" si="0"/>
        <v>36</v>
      </c>
      <c r="J8">
        <f t="shared" si="0"/>
        <v>42</v>
      </c>
      <c r="K8">
        <f t="shared" si="0"/>
        <v>48</v>
      </c>
      <c r="L8">
        <f t="shared" si="0"/>
        <v>54</v>
      </c>
    </row>
    <row r="9" spans="3:12" x14ac:dyDescent="0.25">
      <c r="C9">
        <v>7</v>
      </c>
      <c r="D9">
        <f t="shared" si="1"/>
        <v>7</v>
      </c>
      <c r="E9">
        <f t="shared" si="0"/>
        <v>14</v>
      </c>
      <c r="F9">
        <f t="shared" si="0"/>
        <v>21</v>
      </c>
      <c r="G9">
        <f t="shared" si="0"/>
        <v>28</v>
      </c>
      <c r="H9">
        <f t="shared" si="0"/>
        <v>35</v>
      </c>
      <c r="I9">
        <f t="shared" si="0"/>
        <v>42</v>
      </c>
      <c r="J9">
        <f t="shared" si="0"/>
        <v>49</v>
      </c>
      <c r="K9">
        <f t="shared" si="0"/>
        <v>56</v>
      </c>
      <c r="L9">
        <f t="shared" si="0"/>
        <v>63</v>
      </c>
    </row>
    <row r="10" spans="3:12" x14ac:dyDescent="0.25">
      <c r="C10">
        <v>8</v>
      </c>
      <c r="D10">
        <f t="shared" si="1"/>
        <v>8</v>
      </c>
      <c r="E10">
        <f t="shared" si="0"/>
        <v>16</v>
      </c>
      <c r="F10">
        <f t="shared" si="0"/>
        <v>24</v>
      </c>
      <c r="G10">
        <f t="shared" si="0"/>
        <v>32</v>
      </c>
      <c r="H10">
        <f t="shared" si="0"/>
        <v>40</v>
      </c>
      <c r="I10">
        <f t="shared" si="0"/>
        <v>48</v>
      </c>
      <c r="J10">
        <f t="shared" si="0"/>
        <v>56</v>
      </c>
      <c r="K10">
        <f t="shared" si="0"/>
        <v>64</v>
      </c>
      <c r="L10">
        <f t="shared" si="0"/>
        <v>72</v>
      </c>
    </row>
    <row r="11" spans="3:12" x14ac:dyDescent="0.25">
      <c r="C11">
        <v>9</v>
      </c>
      <c r="D11">
        <f t="shared" si="1"/>
        <v>9</v>
      </c>
      <c r="E11">
        <f t="shared" si="0"/>
        <v>18</v>
      </c>
      <c r="F11">
        <f t="shared" si="0"/>
        <v>27</v>
      </c>
      <c r="G11">
        <f t="shared" si="0"/>
        <v>36</v>
      </c>
      <c r="H11">
        <f t="shared" si="0"/>
        <v>45</v>
      </c>
      <c r="I11">
        <f t="shared" si="0"/>
        <v>54</v>
      </c>
      <c r="J11">
        <f t="shared" si="0"/>
        <v>63</v>
      </c>
      <c r="K11">
        <f t="shared" si="0"/>
        <v>72</v>
      </c>
      <c r="L11">
        <f t="shared" si="0"/>
        <v>81</v>
      </c>
    </row>
    <row r="14" spans="3:12" x14ac:dyDescent="0.25">
      <c r="C14" s="20">
        <v>60</v>
      </c>
    </row>
    <row r="15" spans="3:12" x14ac:dyDescent="0.25">
      <c r="C15" s="20">
        <v>90</v>
      </c>
    </row>
    <row r="16" spans="3:12" x14ac:dyDescent="0.25">
      <c r="C16" s="21">
        <v>56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已命名的範圍</vt:lpstr>
      </vt:variant>
      <vt:variant>
        <vt:i4>1</vt:i4>
      </vt:variant>
    </vt:vector>
  </HeadingPairs>
  <TitlesOfParts>
    <vt:vector size="9" baseType="lpstr">
      <vt:lpstr>week1</vt:lpstr>
      <vt:lpstr>工作表1</vt:lpstr>
      <vt:lpstr>week2</vt:lpstr>
      <vt:lpstr>week3</vt:lpstr>
      <vt:lpstr>week4</vt:lpstr>
      <vt:lpstr>工讀金表</vt:lpstr>
      <vt:lpstr>Feb</vt:lpstr>
      <vt:lpstr>99</vt:lpstr>
      <vt:lpstr>第一週工讀時數表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2024-02-27T07:34:34Z</dcterms:created>
  <dcterms:modified xsi:type="dcterms:W3CDTF">2024-03-05T10:11:52Z</dcterms:modified>
</cp:coreProperties>
</file>